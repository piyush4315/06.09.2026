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1_3516AB8E0406DC7DA781271AC33F0603B6D7C863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Filter View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44" i="1" l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E4" i="1"/>
</calcChain>
</file>

<file path=xl/sharedStrings.xml><?xml version="1.0" encoding="utf-8"?>
<sst xmlns="http://schemas.openxmlformats.org/spreadsheetml/2006/main" count="163" uniqueCount="94">
  <si>
    <t>MSTC SCRAP SALE — FILTER VIEW</t>
  </si>
  <si>
    <t>Filter By</t>
  </si>
  <si>
    <t>Filter Value (contains)</t>
  </si>
  <si>
    <t>Matches Found</t>
  </si>
  <si>
    <t>Lot No.</t>
  </si>
  <si>
    <t>Instructions: Choose a field in A4 (Lot No. or Buyer), type part of the value in C4. Results below update automatically. Leave C4 blank to show all transactions.</t>
  </si>
  <si>
    <t>FILTERED RESULTS</t>
  </si>
  <si>
    <t>Txn #</t>
  </si>
  <si>
    <t>Lot Name</t>
  </si>
  <si>
    <t>Buyer</t>
  </si>
  <si>
    <t>Quantity</t>
  </si>
  <si>
    <t>Unit</t>
  </si>
  <si>
    <t>Rate</t>
  </si>
  <si>
    <t>Mat. Value</t>
  </si>
  <si>
    <t>GST</t>
  </si>
  <si>
    <t>Mat. Value + GST</t>
  </si>
  <si>
    <t>Total Receivables</t>
  </si>
  <si>
    <t>Invoice No.</t>
  </si>
  <si>
    <t>SAP Document</t>
  </si>
  <si>
    <t>SCRAP COPPER OF T/F WINDING (Oil impregnated paper insulated T/F winding)</t>
  </si>
  <si>
    <t>AL HAMD TRADE CORPORATION</t>
  </si>
  <si>
    <t>KG</t>
  </si>
  <si>
    <t>DR2640100029</t>
  </si>
  <si>
    <t>Scrap of Empty oil drum</t>
  </si>
  <si>
    <t>NATIONAL ENTERPRISES</t>
  </si>
  <si>
    <t>NO</t>
  </si>
  <si>
    <t>DR2640100030</t>
  </si>
  <si>
    <t>Scrap of Copper of faulty AC compressor</t>
  </si>
  <si>
    <t>F R KHANS ENTERPRISES</t>
  </si>
  <si>
    <t>DR2640100047</t>
  </si>
  <si>
    <t>Scrap of MS (extracted from equip cage and empty Sf6 gas cylinder)</t>
  </si>
  <si>
    <t>DR2640100048</t>
  </si>
  <si>
    <t>SCRAP ACSR CONDUCTORS (Conductor Pieces)</t>
  </si>
  <si>
    <t>OMKAR STEELS</t>
  </si>
  <si>
    <t>DR2640100045</t>
  </si>
  <si>
    <t>Scrap Power Transformer</t>
  </si>
  <si>
    <t>SHAR JAHAN TRADERS</t>
  </si>
  <si>
    <t>DR2640100023</t>
  </si>
  <si>
    <t>Scrap of 132 KV CT</t>
  </si>
  <si>
    <t>DR2640100031</t>
  </si>
  <si>
    <t>Scrap of 145 KV CB</t>
  </si>
  <si>
    <t>DR2640100032</t>
  </si>
  <si>
    <t>Scrap of 220KV CT</t>
  </si>
  <si>
    <t>DR2640100033</t>
  </si>
  <si>
    <t>Scrap of empty oil drums</t>
  </si>
  <si>
    <t>STERLING ENTERPRISES</t>
  </si>
  <si>
    <t>DR2640100018</t>
  </si>
  <si>
    <t>SCRAP POWER TRANSFORMER</t>
  </si>
  <si>
    <t>DR2640100024</t>
  </si>
  <si>
    <t>Scrap of empty oil Druam</t>
  </si>
  <si>
    <t>HIND TRADERS</t>
  </si>
  <si>
    <t>DR2640100026</t>
  </si>
  <si>
    <t>Scrap of empty oil Barrel</t>
  </si>
  <si>
    <t>DR2640100019</t>
  </si>
  <si>
    <t>Scrap of empty oil Barrels</t>
  </si>
  <si>
    <t>DR2640100020</t>
  </si>
  <si>
    <t>Scrap of 220 KV Circuit Breaker</t>
  </si>
  <si>
    <t>DR2640100034</t>
  </si>
  <si>
    <t>DR2640100035</t>
  </si>
  <si>
    <t>SCRAP 80MM² AAAC EARTHWIRE</t>
  </si>
  <si>
    <t>DR2640100017</t>
  </si>
  <si>
    <t>NATIONAL SCRAP AND BUILDING MATERIAL SUPPLIER</t>
  </si>
  <si>
    <t>DR2640100028</t>
  </si>
  <si>
    <t>DR2640100044</t>
  </si>
  <si>
    <t>DR2640100021</t>
  </si>
  <si>
    <t>DR2640100036</t>
  </si>
  <si>
    <t>Scrap Empty Oil Drum/ Barrel</t>
  </si>
  <si>
    <t>WATAN SCRAP TRADERS</t>
  </si>
  <si>
    <t>DR2640100042</t>
  </si>
  <si>
    <t>Scrap of 132 KV Wave Trap</t>
  </si>
  <si>
    <t>DR2640100037</t>
  </si>
  <si>
    <t>Mix Scrap (Tower angles &amp; 0.2 ACSR Condutor pieces)</t>
  </si>
  <si>
    <t>M I SCRAP TRADERS</t>
  </si>
  <si>
    <t>MT</t>
  </si>
  <si>
    <t>DR2640100043</t>
  </si>
  <si>
    <t>Scrap of 33 KV CT</t>
  </si>
  <si>
    <t>DR2640100038</t>
  </si>
  <si>
    <t>Scrap of AAAC Earth wire</t>
  </si>
  <si>
    <t>SAHARA ENTERPRISES</t>
  </si>
  <si>
    <t>DR2640100041</t>
  </si>
  <si>
    <t>Scrap of 220 KV CT</t>
  </si>
  <si>
    <t>DR2640100039</t>
  </si>
  <si>
    <t>Scrap of 33 KV GCB</t>
  </si>
  <si>
    <t>DR2640100046</t>
  </si>
  <si>
    <t>Scrap of Empty oil Barrels</t>
  </si>
  <si>
    <t>DR2640100022</t>
  </si>
  <si>
    <t>DR2640100027</t>
  </si>
  <si>
    <t>Scrap of 33 KV CB</t>
  </si>
  <si>
    <t>Scrap of 66 KV Isolater</t>
  </si>
  <si>
    <t>DR2640100040</t>
  </si>
  <si>
    <t>KASHYAP TRADING CO</t>
  </si>
  <si>
    <t>DR2640100025</t>
  </si>
  <si>
    <t>Scrap of 66 kv TBC C &amp; R Panel</t>
  </si>
  <si>
    <t>S M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</si>
</sst>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b/>
      <sz val="12"/>
      <color rgb="FF1E6B32"/>
      <name val="Arial"/>
      <charset val="1"/>
    </font>
    <font>
      <i/>
      <sz val="9"/>
      <color rgb="FF595959"/>
      <name val="Arial"/>
      <charset val="1"/>
    </font>
    <font>
      <sz val="10"/>
      <color rgb="FF000000"/>
      <name val="Arial"/>
      <charset val="1"/>
    </font>
    <font>
      <sz val="9"/>
      <color rgb="FF80808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2E75B6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EEEEEE"/>
      </patternFill>
    </fill>
    <fill>
      <patternFill patternType="solid">
        <fgColor rgb="FFF5F5F5"/>
        <bgColor rgb="FFF2F2F2"/>
      </patternFill>
    </fill>
    <fill>
      <patternFill patternType="solid">
        <fgColor rgb="FF2E75B6"/>
        <bgColor rgb="FF2F5496"/>
      </patternFill>
    </fill>
    <fill>
      <patternFill patternType="solid">
        <fgColor rgb="FFFFFFFF"/>
        <bgColor rgb="FFF5F5F5"/>
      </patternFill>
    </fill>
    <fill>
      <patternFill patternType="solid">
        <fgColor rgb="FFF2F2F2"/>
        <bgColor rgb="FFF5F5F5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7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vertical="center"/>
    </xf>
    <xf numFmtId="0" fontId="6" fillId="8" borderId="2" xfId="0" applyFont="1" applyFill="1" applyBorder="1" applyAlignment="1">
      <alignment vertical="center" wrapText="1"/>
    </xf>
    <xf numFmtId="3" fontId="6" fillId="8" borderId="2" xfId="0" applyNumberFormat="1" applyFont="1" applyFill="1" applyBorder="1" applyAlignment="1">
      <alignment vertical="center"/>
    </xf>
    <xf numFmtId="0" fontId="7" fillId="0" borderId="0" xfId="0" applyFont="1"/>
    <xf numFmtId="0" fontId="6" fillId="9" borderId="2" xfId="0" applyFont="1" applyFill="1" applyBorder="1" applyAlignment="1">
      <alignment vertical="center"/>
    </xf>
    <xf numFmtId="0" fontId="6" fillId="9" borderId="2" xfId="0" applyFont="1" applyFill="1" applyBorder="1" applyAlignment="1">
      <alignment vertical="center" wrapText="1"/>
    </xf>
    <xf numFmtId="3" fontId="6" fillId="9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2">
    <dxf>
      <font>
        <sz val="10"/>
        <color rgb="FFAAAAAA"/>
        <name val="Arial"/>
        <charset val="1"/>
      </font>
      <fill>
        <patternFill>
          <bgColor rgb="FFEEEEEE"/>
        </patternFill>
      </fill>
    </dxf>
    <dxf>
      <font>
        <b/>
        <sz val="10"/>
        <color rgb="FF1E6B32"/>
        <name val="Arial"/>
        <charset val="1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5F5F5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abSelected="1" zoomScaleNormal="100" workbookViewId="0">
      <pane ySplit="7" topLeftCell="A8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9.01171875" customWidth="1"/>
    <col min="3" max="3" width="39.953125" customWidth="1"/>
    <col min="4" max="4" width="27.98046875" customWidth="1"/>
    <col min="5" max="5" width="9.953125" customWidth="1"/>
    <col min="6" max="6" width="6.05078125" customWidth="1"/>
    <col min="7" max="7" width="11.97265625" customWidth="1"/>
    <col min="8" max="9" width="13.98828125" customWidth="1"/>
    <col min="10" max="11" width="16.0078125" customWidth="1"/>
    <col min="12" max="12" width="18.0234375" customWidth="1"/>
    <col min="13" max="13" width="13.98828125" customWidth="1"/>
    <col min="15" max="16" width="13.046875" hidden="1" customWidth="1"/>
  </cols>
  <sheetData>
    <row r="1" spans="1:16" ht="30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3" spans="1:16" x14ac:dyDescent="0.2">
      <c r="A3" s="6" t="s">
        <v>1</v>
      </c>
      <c r="B3" s="6"/>
      <c r="C3" s="6" t="s">
        <v>2</v>
      </c>
      <c r="D3" s="6"/>
      <c r="E3" s="6" t="s">
        <v>3</v>
      </c>
      <c r="F3" s="6"/>
      <c r="G3" s="6"/>
    </row>
    <row r="4" spans="1:16" x14ac:dyDescent="0.2">
      <c r="A4" s="5" t="s">
        <v>4</v>
      </c>
      <c r="B4" s="5"/>
      <c r="C4" s="4"/>
      <c r="D4" s="4"/>
      <c r="E4" s="3">
        <f>SUM(P8:P44)</f>
        <v>37</v>
      </c>
      <c r="F4" s="3"/>
      <c r="G4" s="3"/>
    </row>
    <row r="5" spans="1:16" ht="27.75" customHeight="1" x14ac:dyDescent="0.2">
      <c r="A5" s="2" t="s">
        <v>5</v>
      </c>
      <c r="B5" s="2"/>
      <c r="C5" s="2"/>
      <c r="D5" s="2"/>
      <c r="E5" s="2"/>
      <c r="F5" s="2"/>
      <c r="G5" s="2"/>
      <c r="H5" s="2"/>
      <c r="I5" s="2"/>
      <c r="J5" s="2"/>
    </row>
    <row r="6" spans="1:16" x14ac:dyDescent="0.2">
      <c r="A6" s="1" t="s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6" ht="39.75" customHeight="1" x14ac:dyDescent="0.2">
      <c r="A7" s="8" t="s">
        <v>7</v>
      </c>
      <c r="B7" s="8" t="s">
        <v>4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8" t="s">
        <v>14</v>
      </c>
      <c r="J7" s="8" t="s">
        <v>15</v>
      </c>
      <c r="K7" s="8" t="s">
        <v>16</v>
      </c>
      <c r="L7" s="8" t="s">
        <v>17</v>
      </c>
      <c r="M7" s="8" t="s">
        <v>18</v>
      </c>
    </row>
    <row r="8" spans="1:16" ht="24.75" x14ac:dyDescent="0.2">
      <c r="A8" s="9">
        <v>1</v>
      </c>
      <c r="B8" s="9">
        <v>1763</v>
      </c>
      <c r="C8" s="10" t="s">
        <v>19</v>
      </c>
      <c r="D8" s="9" t="s">
        <v>20</v>
      </c>
      <c r="E8" s="9">
        <v>669</v>
      </c>
      <c r="F8" s="9" t="s">
        <v>21</v>
      </c>
      <c r="G8" s="11">
        <v>1181</v>
      </c>
      <c r="H8" s="11">
        <v>790089</v>
      </c>
      <c r="I8" s="11">
        <v>142216</v>
      </c>
      <c r="J8" s="11">
        <v>932305</v>
      </c>
      <c r="K8" s="11">
        <v>913738</v>
      </c>
      <c r="L8" s="9" t="s">
        <v>22</v>
      </c>
      <c r="M8" s="9">
        <v>1800003271</v>
      </c>
      <c r="O8" s="12">
        <f>_xlfn.IFS($A$4="Lot No.",B8,$A$4="Buyer",D8,$A$4="Bid Sheet","N/A",$A$4="Unit",F8,TRUE(),"N/A")</f>
        <v>1763</v>
      </c>
      <c r="P8" s="12">
        <f>IF($C$4="",1,IFERROR(IF(SEARCH($C$4,O8)&gt;0,1,0),0))</f>
        <v>1</v>
      </c>
    </row>
    <row r="9" spans="1:16" x14ac:dyDescent="0.2">
      <c r="A9" s="13">
        <v>2</v>
      </c>
      <c r="B9" s="13">
        <v>1874</v>
      </c>
      <c r="C9" s="14" t="s">
        <v>23</v>
      </c>
      <c r="D9" s="13" t="s">
        <v>24</v>
      </c>
      <c r="E9" s="13">
        <v>270</v>
      </c>
      <c r="F9" s="13" t="s">
        <v>25</v>
      </c>
      <c r="G9" s="15">
        <v>580</v>
      </c>
      <c r="H9" s="15">
        <v>156600</v>
      </c>
      <c r="I9" s="15">
        <v>28188</v>
      </c>
      <c r="J9" s="15">
        <v>184788</v>
      </c>
      <c r="K9" s="15">
        <v>184240</v>
      </c>
      <c r="L9" s="13" t="s">
        <v>26</v>
      </c>
      <c r="M9" s="13">
        <v>1800003302</v>
      </c>
      <c r="O9" s="12">
        <f>_xlfn.IFS($A$4="Lot No.",B9,$A$4="Buyer",D9,$A$4="Bid Sheet","N/A",$A$4="Unit",F9,TRUE(),"N/A")</f>
        <v>1874</v>
      </c>
      <c r="P9" s="12">
        <f>IF($C$4="",1,IFERROR(IF(SEARCH($C$4,O9)&gt;0,1,0),0))</f>
        <v>1</v>
      </c>
    </row>
    <row r="10" spans="1:16" x14ac:dyDescent="0.2">
      <c r="A10" s="9">
        <v>3</v>
      </c>
      <c r="B10" s="9">
        <v>1875</v>
      </c>
      <c r="C10" s="10" t="s">
        <v>27</v>
      </c>
      <c r="D10" s="9" t="s">
        <v>28</v>
      </c>
      <c r="E10" s="9">
        <v>28</v>
      </c>
      <c r="F10" s="9" t="s">
        <v>21</v>
      </c>
      <c r="G10" s="11">
        <v>1456</v>
      </c>
      <c r="H10" s="11">
        <v>40768</v>
      </c>
      <c r="I10" s="11">
        <v>7338</v>
      </c>
      <c r="J10" s="11">
        <v>48106</v>
      </c>
      <c r="K10" s="11">
        <v>47964</v>
      </c>
      <c r="L10" s="9" t="s">
        <v>29</v>
      </c>
      <c r="M10" s="9">
        <v>1800003346</v>
      </c>
      <c r="O10" s="12">
        <f>_xlfn.IFS($A$4="Lot No.",B10,$A$4="Buyer",D10,$A$4="Bid Sheet","N/A",$A$4="Unit",F10,TRUE(),"N/A")</f>
        <v>1875</v>
      </c>
      <c r="P10" s="12">
        <f>IF($C$4="",1,IFERROR(IF(SEARCH($C$4,O10)&gt;0,1,0),0))</f>
        <v>1</v>
      </c>
    </row>
    <row r="11" spans="1:16" ht="24.75" x14ac:dyDescent="0.2">
      <c r="A11" s="13">
        <v>4</v>
      </c>
      <c r="B11" s="13">
        <v>1876</v>
      </c>
      <c r="C11" s="14" t="s">
        <v>30</v>
      </c>
      <c r="D11" s="13" t="s">
        <v>28</v>
      </c>
      <c r="E11" s="13">
        <v>3000</v>
      </c>
      <c r="F11" s="13" t="s">
        <v>21</v>
      </c>
      <c r="G11" s="15">
        <v>66</v>
      </c>
      <c r="H11" s="15">
        <v>198000</v>
      </c>
      <c r="I11" s="15">
        <v>35640</v>
      </c>
      <c r="J11" s="15">
        <v>233640</v>
      </c>
      <c r="K11" s="15">
        <v>232947</v>
      </c>
      <c r="L11" s="13" t="s">
        <v>31</v>
      </c>
      <c r="M11" s="13">
        <v>1800003347</v>
      </c>
      <c r="O11" s="12">
        <f>_xlfn.IFS($A$4="Lot No.",B11,$A$4="Buyer",D11,$A$4="Bid Sheet","N/A",$A$4="Unit",F11,TRUE(),"N/A")</f>
        <v>1876</v>
      </c>
      <c r="P11" s="12">
        <f>IF($C$4="",1,IFERROR(IF(SEARCH($C$4,O11)&gt;0,1,0),0))</f>
        <v>1</v>
      </c>
    </row>
    <row r="12" spans="1:16" ht="24.75" x14ac:dyDescent="0.2">
      <c r="A12" s="9">
        <v>5</v>
      </c>
      <c r="B12" s="9">
        <v>1923</v>
      </c>
      <c r="C12" s="10" t="s">
        <v>32</v>
      </c>
      <c r="D12" s="9" t="s">
        <v>33</v>
      </c>
      <c r="E12" s="9">
        <v>7253</v>
      </c>
      <c r="F12" s="9" t="s">
        <v>21</v>
      </c>
      <c r="G12" s="11">
        <v>227</v>
      </c>
      <c r="H12" s="11">
        <v>1646431</v>
      </c>
      <c r="I12" s="11">
        <v>296358</v>
      </c>
      <c r="J12" s="11">
        <v>1942789</v>
      </c>
      <c r="K12" s="11">
        <v>1904097</v>
      </c>
      <c r="L12" s="9" t="s">
        <v>34</v>
      </c>
      <c r="M12" s="9">
        <v>1800003315</v>
      </c>
      <c r="O12" s="12">
        <f>_xlfn.IFS($A$4="Lot No.",B12,$A$4="Buyer",D12,$A$4="Bid Sheet","N/A",$A$4="Unit",F12,TRUE(),"N/A")</f>
        <v>1923</v>
      </c>
      <c r="P12" s="12">
        <f>IF($C$4="",1,IFERROR(IF(SEARCH($C$4,O12)&gt;0,1,0),0))</f>
        <v>1</v>
      </c>
    </row>
    <row r="13" spans="1:16" x14ac:dyDescent="0.2">
      <c r="A13" s="13">
        <v>6</v>
      </c>
      <c r="B13" s="13">
        <v>1976</v>
      </c>
      <c r="C13" s="14" t="s">
        <v>35</v>
      </c>
      <c r="D13" s="13" t="s">
        <v>36</v>
      </c>
      <c r="E13" s="13">
        <v>1</v>
      </c>
      <c r="F13" s="13" t="s">
        <v>25</v>
      </c>
      <c r="G13" s="15">
        <v>2787314</v>
      </c>
      <c r="H13" s="15">
        <v>2787314</v>
      </c>
      <c r="I13" s="15">
        <v>501717</v>
      </c>
      <c r="J13" s="15">
        <v>3289031</v>
      </c>
      <c r="K13" s="15">
        <v>3279275</v>
      </c>
      <c r="L13" s="13" t="s">
        <v>37</v>
      </c>
      <c r="M13" s="13">
        <v>1800003194</v>
      </c>
      <c r="O13" s="12">
        <f>_xlfn.IFS($A$4="Lot No.",B13,$A$4="Buyer",D13,$A$4="Bid Sheet","N/A",$A$4="Unit",F13,TRUE(),"N/A")</f>
        <v>1976</v>
      </c>
      <c r="P13" s="12">
        <f>IF($C$4="",1,IFERROR(IF(SEARCH($C$4,O13)&gt;0,1,0),0))</f>
        <v>1</v>
      </c>
    </row>
    <row r="14" spans="1:16" x14ac:dyDescent="0.2">
      <c r="A14" s="9">
        <v>7</v>
      </c>
      <c r="B14" s="9">
        <v>2002</v>
      </c>
      <c r="C14" s="10" t="s">
        <v>38</v>
      </c>
      <c r="D14" s="9" t="s">
        <v>24</v>
      </c>
      <c r="E14" s="9">
        <v>4</v>
      </c>
      <c r="F14" s="9" t="s">
        <v>25</v>
      </c>
      <c r="G14" s="11">
        <v>51511</v>
      </c>
      <c r="H14" s="11">
        <v>206044</v>
      </c>
      <c r="I14" s="11">
        <v>37088</v>
      </c>
      <c r="J14" s="11">
        <v>243132</v>
      </c>
      <c r="K14" s="11">
        <v>242411</v>
      </c>
      <c r="L14" s="9" t="s">
        <v>39</v>
      </c>
      <c r="M14" s="9">
        <v>1800003303</v>
      </c>
      <c r="O14" s="12">
        <f>_xlfn.IFS($A$4="Lot No.",B14,$A$4="Buyer",D14,$A$4="Bid Sheet","N/A",$A$4="Unit",F14,TRUE(),"N/A")</f>
        <v>2002</v>
      </c>
      <c r="P14" s="12">
        <f>IF($C$4="",1,IFERROR(IF(SEARCH($C$4,O14)&gt;0,1,0),0))</f>
        <v>1</v>
      </c>
    </row>
    <row r="15" spans="1:16" x14ac:dyDescent="0.2">
      <c r="A15" s="13">
        <v>8</v>
      </c>
      <c r="B15" s="13">
        <v>2003</v>
      </c>
      <c r="C15" s="14" t="s">
        <v>40</v>
      </c>
      <c r="D15" s="13" t="s">
        <v>24</v>
      </c>
      <c r="E15" s="13">
        <v>1</v>
      </c>
      <c r="F15" s="13" t="s">
        <v>25</v>
      </c>
      <c r="G15" s="15">
        <v>65007</v>
      </c>
      <c r="H15" s="15">
        <v>65007</v>
      </c>
      <c r="I15" s="15">
        <v>11701</v>
      </c>
      <c r="J15" s="15">
        <v>76708</v>
      </c>
      <c r="K15" s="15">
        <v>76481</v>
      </c>
      <c r="L15" s="13" t="s">
        <v>41</v>
      </c>
      <c r="M15" s="13">
        <v>1800003304</v>
      </c>
      <c r="O15" s="12">
        <f>_xlfn.IFS($A$4="Lot No.",B15,$A$4="Buyer",D15,$A$4="Bid Sheet","N/A",$A$4="Unit",F15,TRUE(),"N/A")</f>
        <v>2003</v>
      </c>
      <c r="P15" s="12">
        <f>IF($C$4="",1,IFERROR(IF(SEARCH($C$4,O15)&gt;0,1,0),0))</f>
        <v>1</v>
      </c>
    </row>
    <row r="16" spans="1:16" x14ac:dyDescent="0.2">
      <c r="A16" s="9">
        <v>9</v>
      </c>
      <c r="B16" s="9">
        <v>2005</v>
      </c>
      <c r="C16" s="10" t="s">
        <v>42</v>
      </c>
      <c r="D16" s="9" t="s">
        <v>24</v>
      </c>
      <c r="E16" s="9">
        <v>1</v>
      </c>
      <c r="F16" s="9" t="s">
        <v>25</v>
      </c>
      <c r="G16" s="11">
        <v>70006</v>
      </c>
      <c r="H16" s="11">
        <v>70006</v>
      </c>
      <c r="I16" s="11">
        <v>12601</v>
      </c>
      <c r="J16" s="11">
        <v>82607</v>
      </c>
      <c r="K16" s="11">
        <v>82362</v>
      </c>
      <c r="L16" s="9" t="s">
        <v>43</v>
      </c>
      <c r="M16" s="9">
        <v>1800003305</v>
      </c>
      <c r="O16" s="12">
        <f>_xlfn.IFS($A$4="Lot No.",B16,$A$4="Buyer",D16,$A$4="Bid Sheet","N/A",$A$4="Unit",F16,TRUE(),"N/A")</f>
        <v>2005</v>
      </c>
      <c r="P16" s="12">
        <f>IF($C$4="",1,IFERROR(IF(SEARCH($C$4,O16)&gt;0,1,0),0))</f>
        <v>1</v>
      </c>
    </row>
    <row r="17" spans="1:16" x14ac:dyDescent="0.2">
      <c r="A17" s="13">
        <v>10</v>
      </c>
      <c r="B17" s="13">
        <v>2006</v>
      </c>
      <c r="C17" s="14" t="s">
        <v>44</v>
      </c>
      <c r="D17" s="13" t="s">
        <v>45</v>
      </c>
      <c r="E17" s="13">
        <v>25</v>
      </c>
      <c r="F17" s="13" t="s">
        <v>25</v>
      </c>
      <c r="G17" s="15">
        <v>700</v>
      </c>
      <c r="H17" s="15">
        <v>17500</v>
      </c>
      <c r="I17" s="15">
        <v>3150</v>
      </c>
      <c r="J17" s="15">
        <v>20650</v>
      </c>
      <c r="K17" s="15">
        <v>20589</v>
      </c>
      <c r="L17" s="13" t="s">
        <v>46</v>
      </c>
      <c r="M17" s="13">
        <v>1800003156</v>
      </c>
      <c r="O17" s="12">
        <f>_xlfn.IFS($A$4="Lot No.",B17,$A$4="Buyer",D17,$A$4="Bid Sheet","N/A",$A$4="Unit",F17,TRUE(),"N/A")</f>
        <v>2006</v>
      </c>
      <c r="P17" s="12">
        <f>IF($C$4="",1,IFERROR(IF(SEARCH($C$4,O17)&gt;0,1,0),0))</f>
        <v>1</v>
      </c>
    </row>
    <row r="18" spans="1:16" x14ac:dyDescent="0.2">
      <c r="A18" s="9">
        <v>11</v>
      </c>
      <c r="B18" s="9">
        <v>2007</v>
      </c>
      <c r="C18" s="10" t="s">
        <v>47</v>
      </c>
      <c r="D18" s="9" t="s">
        <v>36</v>
      </c>
      <c r="E18" s="9">
        <v>1</v>
      </c>
      <c r="F18" s="9" t="s">
        <v>25</v>
      </c>
      <c r="G18" s="11">
        <v>3857116</v>
      </c>
      <c r="H18" s="11">
        <v>3857116</v>
      </c>
      <c r="I18" s="11">
        <v>694281</v>
      </c>
      <c r="J18" s="11">
        <v>4551397</v>
      </c>
      <c r="K18" s="11">
        <v>4537897</v>
      </c>
      <c r="L18" s="9" t="s">
        <v>48</v>
      </c>
      <c r="M18" s="9">
        <v>1800003196</v>
      </c>
      <c r="O18" s="12">
        <f>_xlfn.IFS($A$4="Lot No.",B18,$A$4="Buyer",D18,$A$4="Bid Sheet","N/A",$A$4="Unit",F18,TRUE(),"N/A")</f>
        <v>2007</v>
      </c>
      <c r="P18" s="12">
        <f>IF($C$4="",1,IFERROR(IF(SEARCH($C$4,O18)&gt;0,1,0),0))</f>
        <v>1</v>
      </c>
    </row>
    <row r="19" spans="1:16" x14ac:dyDescent="0.2">
      <c r="A19" s="13">
        <v>12</v>
      </c>
      <c r="B19" s="13">
        <v>2008</v>
      </c>
      <c r="C19" s="14" t="s">
        <v>49</v>
      </c>
      <c r="D19" s="13" t="s">
        <v>50</v>
      </c>
      <c r="E19" s="13">
        <v>250</v>
      </c>
      <c r="F19" s="13" t="s">
        <v>25</v>
      </c>
      <c r="G19" s="15">
        <v>543</v>
      </c>
      <c r="H19" s="15">
        <v>135750</v>
      </c>
      <c r="I19" s="15">
        <v>24435</v>
      </c>
      <c r="J19" s="15">
        <v>160185</v>
      </c>
      <c r="K19" s="15">
        <v>159710</v>
      </c>
      <c r="L19" s="13" t="s">
        <v>51</v>
      </c>
      <c r="M19" s="13">
        <v>1800003247</v>
      </c>
      <c r="O19" s="12">
        <f>_xlfn.IFS($A$4="Lot No.",B19,$A$4="Buyer",D19,$A$4="Bid Sheet","N/A",$A$4="Unit",F19,TRUE(),"N/A")</f>
        <v>2008</v>
      </c>
      <c r="P19" s="12">
        <f>IF($C$4="",1,IFERROR(IF(SEARCH($C$4,O19)&gt;0,1,0),0))</f>
        <v>1</v>
      </c>
    </row>
    <row r="20" spans="1:16" x14ac:dyDescent="0.2">
      <c r="A20" s="9">
        <v>13</v>
      </c>
      <c r="B20" s="9">
        <v>2011</v>
      </c>
      <c r="C20" s="10" t="s">
        <v>52</v>
      </c>
      <c r="D20" s="9" t="s">
        <v>45</v>
      </c>
      <c r="E20" s="9">
        <v>22</v>
      </c>
      <c r="F20" s="9" t="s">
        <v>25</v>
      </c>
      <c r="G20" s="11">
        <v>700</v>
      </c>
      <c r="H20" s="11">
        <v>15400</v>
      </c>
      <c r="I20" s="11">
        <v>2772</v>
      </c>
      <c r="J20" s="11">
        <v>18172</v>
      </c>
      <c r="K20" s="11">
        <v>18118</v>
      </c>
      <c r="L20" s="9" t="s">
        <v>53</v>
      </c>
      <c r="M20" s="9">
        <v>1800003157</v>
      </c>
      <c r="O20" s="12">
        <f>_xlfn.IFS($A$4="Lot No.",B20,$A$4="Buyer",D20,$A$4="Bid Sheet","N/A",$A$4="Unit",F20,TRUE(),"N/A")</f>
        <v>2011</v>
      </c>
      <c r="P20" s="12">
        <f>IF($C$4="",1,IFERROR(IF(SEARCH($C$4,O20)&gt;0,1,0),0))</f>
        <v>1</v>
      </c>
    </row>
    <row r="21" spans="1:16" x14ac:dyDescent="0.2">
      <c r="A21" s="13">
        <v>14</v>
      </c>
      <c r="B21" s="13">
        <v>2015</v>
      </c>
      <c r="C21" s="14" t="s">
        <v>54</v>
      </c>
      <c r="D21" s="13" t="s">
        <v>45</v>
      </c>
      <c r="E21" s="13">
        <v>100</v>
      </c>
      <c r="F21" s="13" t="s">
        <v>25</v>
      </c>
      <c r="G21" s="15">
        <v>710</v>
      </c>
      <c r="H21" s="15">
        <v>71000</v>
      </c>
      <c r="I21" s="15">
        <v>12780</v>
      </c>
      <c r="J21" s="15">
        <v>83780</v>
      </c>
      <c r="K21" s="15">
        <v>83532</v>
      </c>
      <c r="L21" s="13" t="s">
        <v>55</v>
      </c>
      <c r="M21" s="13">
        <v>1800003158</v>
      </c>
      <c r="O21" s="12">
        <f>_xlfn.IFS($A$4="Lot No.",B21,$A$4="Buyer",D21,$A$4="Bid Sheet","N/A",$A$4="Unit",F21,TRUE(),"N/A")</f>
        <v>2015</v>
      </c>
      <c r="P21" s="12">
        <f>IF($C$4="",1,IFERROR(IF(SEARCH($C$4,O21)&gt;0,1,0),0))</f>
        <v>1</v>
      </c>
    </row>
    <row r="22" spans="1:16" x14ac:dyDescent="0.2">
      <c r="A22" s="9">
        <v>15</v>
      </c>
      <c r="B22" s="9">
        <v>2018</v>
      </c>
      <c r="C22" s="10" t="s">
        <v>56</v>
      </c>
      <c r="D22" s="9" t="s">
        <v>24</v>
      </c>
      <c r="E22" s="9">
        <v>1</v>
      </c>
      <c r="F22" s="9" t="s">
        <v>25</v>
      </c>
      <c r="G22" s="11">
        <v>220001</v>
      </c>
      <c r="H22" s="11">
        <v>220001</v>
      </c>
      <c r="I22" s="11">
        <v>39600</v>
      </c>
      <c r="J22" s="11">
        <v>259601</v>
      </c>
      <c r="K22" s="11">
        <v>258831</v>
      </c>
      <c r="L22" s="9" t="s">
        <v>57</v>
      </c>
      <c r="M22" s="9">
        <v>1800003306</v>
      </c>
      <c r="O22" s="12">
        <f>_xlfn.IFS($A$4="Lot No.",B22,$A$4="Buyer",D22,$A$4="Bid Sheet","N/A",$A$4="Unit",F22,TRUE(),"N/A")</f>
        <v>2018</v>
      </c>
      <c r="P22" s="12">
        <f>IF($C$4="",1,IFERROR(IF(SEARCH($C$4,O22)&gt;0,1,0),0))</f>
        <v>1</v>
      </c>
    </row>
    <row r="23" spans="1:16" x14ac:dyDescent="0.2">
      <c r="A23" s="13">
        <v>16</v>
      </c>
      <c r="B23" s="13">
        <v>2019</v>
      </c>
      <c r="C23" s="14" t="s">
        <v>56</v>
      </c>
      <c r="D23" s="13" t="s">
        <v>24</v>
      </c>
      <c r="E23" s="13">
        <v>1</v>
      </c>
      <c r="F23" s="13" t="s">
        <v>25</v>
      </c>
      <c r="G23" s="15">
        <v>210001</v>
      </c>
      <c r="H23" s="15">
        <v>210001</v>
      </c>
      <c r="I23" s="15">
        <v>37800</v>
      </c>
      <c r="J23" s="15">
        <v>247801</v>
      </c>
      <c r="K23" s="15">
        <v>247066</v>
      </c>
      <c r="L23" s="13" t="s">
        <v>58</v>
      </c>
      <c r="M23" s="13">
        <v>1800003307</v>
      </c>
      <c r="O23" s="12">
        <f>_xlfn.IFS($A$4="Lot No.",B23,$A$4="Buyer",D23,$A$4="Bid Sheet","N/A",$A$4="Unit",F23,TRUE(),"N/A")</f>
        <v>2019</v>
      </c>
      <c r="P23" s="12">
        <f>IF($C$4="",1,IFERROR(IF(SEARCH($C$4,O23)&gt;0,1,0),0))</f>
        <v>1</v>
      </c>
    </row>
    <row r="24" spans="1:16" x14ac:dyDescent="0.2">
      <c r="A24" s="9">
        <v>17</v>
      </c>
      <c r="B24" s="9">
        <v>2020</v>
      </c>
      <c r="C24" s="10" t="s">
        <v>59</v>
      </c>
      <c r="D24" s="9" t="s">
        <v>33</v>
      </c>
      <c r="E24" s="9">
        <v>3500</v>
      </c>
      <c r="F24" s="9" t="s">
        <v>21</v>
      </c>
      <c r="G24" s="11">
        <v>333</v>
      </c>
      <c r="H24" s="11">
        <v>1165500</v>
      </c>
      <c r="I24" s="11">
        <v>209790</v>
      </c>
      <c r="J24" s="11">
        <v>1375290</v>
      </c>
      <c r="K24" s="11">
        <v>1347901</v>
      </c>
      <c r="L24" s="9" t="s">
        <v>60</v>
      </c>
      <c r="M24" s="9">
        <v>1800003065</v>
      </c>
      <c r="O24" s="12">
        <f>_xlfn.IFS($A$4="Lot No.",B24,$A$4="Buyer",D24,$A$4="Bid Sheet","N/A",$A$4="Unit",F24,TRUE(),"N/A")</f>
        <v>2020</v>
      </c>
      <c r="P24" s="12">
        <f>IF($C$4="",1,IFERROR(IF(SEARCH($C$4,O24)&gt;0,1,0),0))</f>
        <v>1</v>
      </c>
    </row>
    <row r="25" spans="1:16" x14ac:dyDescent="0.2">
      <c r="A25" s="13">
        <v>18</v>
      </c>
      <c r="B25" s="13">
        <v>2022</v>
      </c>
      <c r="C25" s="14" t="s">
        <v>38</v>
      </c>
      <c r="D25" s="13" t="s">
        <v>61</v>
      </c>
      <c r="E25" s="13">
        <v>3</v>
      </c>
      <c r="F25" s="13" t="s">
        <v>25</v>
      </c>
      <c r="G25" s="15">
        <v>110200</v>
      </c>
      <c r="H25" s="15">
        <v>330600</v>
      </c>
      <c r="I25" s="15">
        <v>59508</v>
      </c>
      <c r="J25" s="15">
        <v>390108</v>
      </c>
      <c r="K25" s="15">
        <v>388951</v>
      </c>
      <c r="L25" s="13" t="s">
        <v>62</v>
      </c>
      <c r="M25" s="13">
        <v>1800003269</v>
      </c>
      <c r="O25" s="12">
        <f>_xlfn.IFS($A$4="Lot No.",B25,$A$4="Buyer",D25,$A$4="Bid Sheet","N/A",$A$4="Unit",F25,TRUE(),"N/A")</f>
        <v>2022</v>
      </c>
      <c r="P25" s="12">
        <f>IF($C$4="",1,IFERROR(IF(SEARCH($C$4,O25)&gt;0,1,0),0))</f>
        <v>1</v>
      </c>
    </row>
    <row r="26" spans="1:16" x14ac:dyDescent="0.2">
      <c r="A26" s="9">
        <v>19</v>
      </c>
      <c r="B26" s="9">
        <v>2023</v>
      </c>
      <c r="C26" s="10" t="s">
        <v>38</v>
      </c>
      <c r="D26" s="9" t="s">
        <v>24</v>
      </c>
      <c r="E26" s="9">
        <v>3</v>
      </c>
      <c r="F26" s="9" t="s">
        <v>25</v>
      </c>
      <c r="G26" s="11">
        <v>83743</v>
      </c>
      <c r="H26" s="11">
        <v>251229</v>
      </c>
      <c r="I26" s="11">
        <v>45221</v>
      </c>
      <c r="J26" s="11">
        <v>296450</v>
      </c>
      <c r="K26" s="11">
        <v>295571</v>
      </c>
      <c r="L26" s="9" t="s">
        <v>63</v>
      </c>
      <c r="M26" s="9">
        <v>1800003308</v>
      </c>
      <c r="O26" s="12">
        <f>_xlfn.IFS($A$4="Lot No.",B26,$A$4="Buyer",D26,$A$4="Bid Sheet","N/A",$A$4="Unit",F26,TRUE(),"N/A")</f>
        <v>2023</v>
      </c>
      <c r="P26" s="12">
        <f>IF($C$4="",1,IFERROR(IF(SEARCH($C$4,O26)&gt;0,1,0),0))</f>
        <v>1</v>
      </c>
    </row>
    <row r="27" spans="1:16" x14ac:dyDescent="0.2">
      <c r="A27" s="13">
        <v>20</v>
      </c>
      <c r="B27" s="13">
        <v>2025</v>
      </c>
      <c r="C27" s="14" t="s">
        <v>54</v>
      </c>
      <c r="D27" s="13" t="s">
        <v>45</v>
      </c>
      <c r="E27" s="13">
        <v>90</v>
      </c>
      <c r="F27" s="13" t="s">
        <v>25</v>
      </c>
      <c r="G27" s="15">
        <v>700</v>
      </c>
      <c r="H27" s="15">
        <v>63000</v>
      </c>
      <c r="I27" s="15">
        <v>11340</v>
      </c>
      <c r="J27" s="15">
        <v>74340</v>
      </c>
      <c r="K27" s="15">
        <v>74120</v>
      </c>
      <c r="L27" s="13" t="s">
        <v>64</v>
      </c>
      <c r="M27" s="13">
        <v>1800003160</v>
      </c>
      <c r="O27" s="12">
        <f>_xlfn.IFS($A$4="Lot No.",B27,$A$4="Buyer",D27,$A$4="Bid Sheet","N/A",$A$4="Unit",F27,TRUE(),"N/A")</f>
        <v>2025</v>
      </c>
      <c r="P27" s="12">
        <f>IF($C$4="",1,IFERROR(IF(SEARCH($C$4,O27)&gt;0,1,0),0))</f>
        <v>1</v>
      </c>
    </row>
    <row r="28" spans="1:16" x14ac:dyDescent="0.2">
      <c r="A28" s="9">
        <v>21</v>
      </c>
      <c r="B28" s="9">
        <v>2027</v>
      </c>
      <c r="C28" s="10" t="s">
        <v>38</v>
      </c>
      <c r="D28" s="9" t="s">
        <v>24</v>
      </c>
      <c r="E28" s="9">
        <v>1</v>
      </c>
      <c r="F28" s="9" t="s">
        <v>25</v>
      </c>
      <c r="G28" s="11">
        <v>50003</v>
      </c>
      <c r="H28" s="11">
        <v>50003</v>
      </c>
      <c r="I28" s="11">
        <v>9001</v>
      </c>
      <c r="J28" s="11">
        <v>59004</v>
      </c>
      <c r="K28" s="11">
        <v>58829</v>
      </c>
      <c r="L28" s="9" t="s">
        <v>65</v>
      </c>
      <c r="M28" s="9">
        <v>1800003309</v>
      </c>
      <c r="O28" s="12">
        <f>_xlfn.IFS($A$4="Lot No.",B28,$A$4="Buyer",D28,$A$4="Bid Sheet","N/A",$A$4="Unit",F28,TRUE(),"N/A")</f>
        <v>2027</v>
      </c>
      <c r="P28" s="12">
        <f>IF($C$4="",1,IFERROR(IF(SEARCH($C$4,O28)&gt;0,1,0),0))</f>
        <v>1</v>
      </c>
    </row>
    <row r="29" spans="1:16" x14ac:dyDescent="0.2">
      <c r="A29" s="13">
        <v>22</v>
      </c>
      <c r="B29" s="13">
        <v>2033</v>
      </c>
      <c r="C29" s="14" t="s">
        <v>66</v>
      </c>
      <c r="D29" s="13" t="s">
        <v>67</v>
      </c>
      <c r="E29" s="13">
        <v>1000</v>
      </c>
      <c r="F29" s="13" t="s">
        <v>25</v>
      </c>
      <c r="G29" s="15">
        <v>517</v>
      </c>
      <c r="H29" s="15">
        <v>517000</v>
      </c>
      <c r="I29" s="15">
        <v>93060</v>
      </c>
      <c r="J29" s="15">
        <v>610060</v>
      </c>
      <c r="K29" s="15">
        <v>608251</v>
      </c>
      <c r="L29" s="13" t="s">
        <v>68</v>
      </c>
      <c r="M29" s="13">
        <v>1800003317</v>
      </c>
      <c r="O29" s="12">
        <f>_xlfn.IFS($A$4="Lot No.",B29,$A$4="Buyer",D29,$A$4="Bid Sheet","N/A",$A$4="Unit",F29,TRUE(),"N/A")</f>
        <v>2033</v>
      </c>
      <c r="P29" s="12">
        <f>IF($C$4="",1,IFERROR(IF(SEARCH($C$4,O29)&gt;0,1,0),0))</f>
        <v>1</v>
      </c>
    </row>
    <row r="30" spans="1:16" x14ac:dyDescent="0.2">
      <c r="A30" s="9">
        <v>23</v>
      </c>
      <c r="B30" s="9">
        <v>2035</v>
      </c>
      <c r="C30" s="10" t="s">
        <v>69</v>
      </c>
      <c r="D30" s="9" t="s">
        <v>24</v>
      </c>
      <c r="E30" s="9">
        <v>2</v>
      </c>
      <c r="F30" s="9" t="s">
        <v>25</v>
      </c>
      <c r="G30" s="11">
        <v>14001</v>
      </c>
      <c r="H30" s="11">
        <v>28002</v>
      </c>
      <c r="I30" s="11">
        <v>5040</v>
      </c>
      <c r="J30" s="11">
        <v>33042</v>
      </c>
      <c r="K30" s="11">
        <v>32944</v>
      </c>
      <c r="L30" s="9" t="s">
        <v>70</v>
      </c>
      <c r="M30" s="9">
        <v>1800003310</v>
      </c>
      <c r="O30" s="12">
        <f>_xlfn.IFS($A$4="Lot No.",B30,$A$4="Buyer",D30,$A$4="Bid Sheet","N/A",$A$4="Unit",F30,TRUE(),"N/A")</f>
        <v>2035</v>
      </c>
      <c r="P30" s="12">
        <f>IF($C$4="",1,IFERROR(IF(SEARCH($C$4,O30)&gt;0,1,0),0))</f>
        <v>1</v>
      </c>
    </row>
    <row r="31" spans="1:16" ht="24.75" x14ac:dyDescent="0.2">
      <c r="A31" s="13">
        <v>24</v>
      </c>
      <c r="B31" s="13">
        <v>2036</v>
      </c>
      <c r="C31" s="14" t="s">
        <v>71</v>
      </c>
      <c r="D31" s="13" t="s">
        <v>72</v>
      </c>
      <c r="E31" s="13">
        <v>8.1999999999999993</v>
      </c>
      <c r="F31" s="13" t="s">
        <v>73</v>
      </c>
      <c r="G31" s="15">
        <v>67000</v>
      </c>
      <c r="H31" s="15">
        <v>549400</v>
      </c>
      <c r="I31" s="15">
        <v>98892</v>
      </c>
      <c r="J31" s="15">
        <v>648292</v>
      </c>
      <c r="K31" s="15">
        <v>635381</v>
      </c>
      <c r="L31" s="13"/>
      <c r="M31" s="13"/>
      <c r="O31" s="12">
        <f>_xlfn.IFS($A$4="Lot No.",B31,$A$4="Buyer",D31,$A$4="Bid Sheet","N/A",$A$4="Unit",F31,TRUE(),"N/A")</f>
        <v>2036</v>
      </c>
      <c r="P31" s="12">
        <f>IF($C$4="",1,IFERROR(IF(SEARCH($C$4,O31)&gt;0,1,0),0))</f>
        <v>1</v>
      </c>
    </row>
    <row r="32" spans="1:16" x14ac:dyDescent="0.2">
      <c r="A32" s="9">
        <v>25</v>
      </c>
      <c r="B32" s="9">
        <v>2037</v>
      </c>
      <c r="C32" s="10" t="s">
        <v>54</v>
      </c>
      <c r="D32" s="9" t="s">
        <v>67</v>
      </c>
      <c r="E32" s="9">
        <v>50</v>
      </c>
      <c r="F32" s="9" t="s">
        <v>25</v>
      </c>
      <c r="G32" s="11">
        <v>531</v>
      </c>
      <c r="H32" s="11">
        <v>26550</v>
      </c>
      <c r="I32" s="11">
        <v>4779</v>
      </c>
      <c r="J32" s="11">
        <v>31329</v>
      </c>
      <c r="K32" s="11">
        <v>31236</v>
      </c>
      <c r="L32" s="9" t="s">
        <v>74</v>
      </c>
      <c r="M32" s="9">
        <v>1800003318</v>
      </c>
      <c r="O32" s="12">
        <f>_xlfn.IFS($A$4="Lot No.",B32,$A$4="Buyer",D32,$A$4="Bid Sheet","N/A",$A$4="Unit",F32,TRUE(),"N/A")</f>
        <v>2037</v>
      </c>
      <c r="P32" s="12">
        <f>IF($C$4="",1,IFERROR(IF(SEARCH($C$4,O32)&gt;0,1,0),0))</f>
        <v>1</v>
      </c>
    </row>
    <row r="33" spans="1:16" x14ac:dyDescent="0.2">
      <c r="A33" s="13">
        <v>26</v>
      </c>
      <c r="B33" s="13">
        <v>2040</v>
      </c>
      <c r="C33" s="14" t="s">
        <v>75</v>
      </c>
      <c r="D33" s="13" t="s">
        <v>45</v>
      </c>
      <c r="E33" s="13">
        <v>3</v>
      </c>
      <c r="F33" s="13" t="s">
        <v>25</v>
      </c>
      <c r="G33" s="15">
        <v>90002</v>
      </c>
      <c r="H33" s="15">
        <v>270006</v>
      </c>
      <c r="I33" s="15">
        <v>48601</v>
      </c>
      <c r="J33" s="15">
        <v>318607</v>
      </c>
      <c r="K33" s="15">
        <v>317662</v>
      </c>
      <c r="L33" s="13"/>
      <c r="M33" s="13"/>
      <c r="O33" s="12">
        <f>_xlfn.IFS($A$4="Lot No.",B33,$A$4="Buyer",D33,$A$4="Bid Sheet","N/A",$A$4="Unit",F33,TRUE(),"N/A")</f>
        <v>2040</v>
      </c>
      <c r="P33" s="12">
        <f>IF($C$4="",1,IFERROR(IF(SEARCH($C$4,O33)&gt;0,1,0),0))</f>
        <v>1</v>
      </c>
    </row>
    <row r="34" spans="1:16" x14ac:dyDescent="0.2">
      <c r="A34" s="9">
        <v>27</v>
      </c>
      <c r="B34" s="9">
        <v>2043</v>
      </c>
      <c r="C34" s="10" t="s">
        <v>38</v>
      </c>
      <c r="D34" s="9" t="s">
        <v>24</v>
      </c>
      <c r="E34" s="9">
        <v>5</v>
      </c>
      <c r="F34" s="9" t="s">
        <v>25</v>
      </c>
      <c r="G34" s="11">
        <v>80000</v>
      </c>
      <c r="H34" s="11">
        <v>400000</v>
      </c>
      <c r="I34" s="11">
        <v>72000</v>
      </c>
      <c r="J34" s="11">
        <v>472000</v>
      </c>
      <c r="K34" s="11">
        <v>470600</v>
      </c>
      <c r="L34" s="9" t="s">
        <v>76</v>
      </c>
      <c r="M34" s="9">
        <v>1800003311</v>
      </c>
      <c r="O34" s="12">
        <f>_xlfn.IFS($A$4="Lot No.",B34,$A$4="Buyer",D34,$A$4="Bid Sheet","N/A",$A$4="Unit",F34,TRUE(),"N/A")</f>
        <v>2043</v>
      </c>
      <c r="P34" s="12">
        <f>IF($C$4="",1,IFERROR(IF(SEARCH($C$4,O34)&gt;0,1,0),0))</f>
        <v>1</v>
      </c>
    </row>
    <row r="35" spans="1:16" x14ac:dyDescent="0.2">
      <c r="A35" s="13">
        <v>28</v>
      </c>
      <c r="B35" s="13">
        <v>2046</v>
      </c>
      <c r="C35" s="14" t="s">
        <v>77</v>
      </c>
      <c r="D35" s="13" t="s">
        <v>78</v>
      </c>
      <c r="E35" s="13">
        <v>670</v>
      </c>
      <c r="F35" s="13" t="s">
        <v>21</v>
      </c>
      <c r="G35" s="15">
        <v>309</v>
      </c>
      <c r="H35" s="15">
        <v>207030</v>
      </c>
      <c r="I35" s="15">
        <v>37265</v>
      </c>
      <c r="J35" s="15">
        <v>244295</v>
      </c>
      <c r="K35" s="15">
        <v>243571</v>
      </c>
      <c r="L35" s="13" t="s">
        <v>79</v>
      </c>
      <c r="M35" s="13">
        <v>1800003316</v>
      </c>
      <c r="O35" s="12">
        <f>_xlfn.IFS($A$4="Lot No.",B35,$A$4="Buyer",D35,$A$4="Bid Sheet","N/A",$A$4="Unit",F35,TRUE(),"N/A")</f>
        <v>2046</v>
      </c>
      <c r="P35" s="12">
        <f>IF($C$4="",1,IFERROR(IF(SEARCH($C$4,O35)&gt;0,1,0),0))</f>
        <v>1</v>
      </c>
    </row>
    <row r="36" spans="1:16" x14ac:dyDescent="0.2">
      <c r="A36" s="9">
        <v>29</v>
      </c>
      <c r="B36" s="9">
        <v>2055</v>
      </c>
      <c r="C36" s="10" t="s">
        <v>80</v>
      </c>
      <c r="D36" s="9" t="s">
        <v>24</v>
      </c>
      <c r="E36" s="9">
        <v>2</v>
      </c>
      <c r="F36" s="9" t="s">
        <v>25</v>
      </c>
      <c r="G36" s="11">
        <v>80006</v>
      </c>
      <c r="H36" s="11">
        <v>160012</v>
      </c>
      <c r="I36" s="11">
        <v>28802</v>
      </c>
      <c r="J36" s="11">
        <v>188814</v>
      </c>
      <c r="K36" s="11">
        <v>188254</v>
      </c>
      <c r="L36" s="9" t="s">
        <v>81</v>
      </c>
      <c r="M36" s="9">
        <v>1800003312</v>
      </c>
      <c r="O36" s="12">
        <f>_xlfn.IFS($A$4="Lot No.",B36,$A$4="Buyer",D36,$A$4="Bid Sheet","N/A",$A$4="Unit",F36,TRUE(),"N/A")</f>
        <v>2055</v>
      </c>
      <c r="P36" s="12">
        <f>IF($C$4="",1,IFERROR(IF(SEARCH($C$4,O36)&gt;0,1,0),0))</f>
        <v>1</v>
      </c>
    </row>
    <row r="37" spans="1:16" x14ac:dyDescent="0.2">
      <c r="A37" s="13">
        <v>30</v>
      </c>
      <c r="B37" s="13">
        <v>2059</v>
      </c>
      <c r="C37" s="14" t="s">
        <v>82</v>
      </c>
      <c r="D37" s="13" t="s">
        <v>24</v>
      </c>
      <c r="E37" s="13">
        <v>1</v>
      </c>
      <c r="F37" s="13" t="s">
        <v>25</v>
      </c>
      <c r="G37" s="15">
        <v>29502</v>
      </c>
      <c r="H37" s="15">
        <v>29502</v>
      </c>
      <c r="I37" s="15">
        <v>5310</v>
      </c>
      <c r="J37" s="15">
        <v>34812</v>
      </c>
      <c r="K37" s="15">
        <v>34709</v>
      </c>
      <c r="L37" s="13" t="s">
        <v>83</v>
      </c>
      <c r="M37" s="13">
        <v>1800003313</v>
      </c>
      <c r="O37" s="12">
        <f>_xlfn.IFS($A$4="Lot No.",B37,$A$4="Buyer",D37,$A$4="Bid Sheet","N/A",$A$4="Unit",F37,TRUE(),"N/A")</f>
        <v>2059</v>
      </c>
      <c r="P37" s="12">
        <f>IF($C$4="",1,IFERROR(IF(SEARCH($C$4,O37)&gt;0,1,0),0))</f>
        <v>1</v>
      </c>
    </row>
    <row r="38" spans="1:16" x14ac:dyDescent="0.2">
      <c r="A38" s="9">
        <v>31</v>
      </c>
      <c r="B38" s="9">
        <v>2062</v>
      </c>
      <c r="C38" s="10" t="s">
        <v>84</v>
      </c>
      <c r="D38" s="9" t="s">
        <v>45</v>
      </c>
      <c r="E38" s="9">
        <v>30</v>
      </c>
      <c r="F38" s="9" t="s">
        <v>25</v>
      </c>
      <c r="G38" s="11">
        <v>702</v>
      </c>
      <c r="H38" s="11">
        <v>21060</v>
      </c>
      <c r="I38" s="11">
        <v>3791</v>
      </c>
      <c r="J38" s="11">
        <v>24851</v>
      </c>
      <c r="K38" s="11">
        <v>24777</v>
      </c>
      <c r="L38" s="9" t="s">
        <v>85</v>
      </c>
      <c r="M38" s="9">
        <v>1800003161</v>
      </c>
      <c r="O38" s="12">
        <f>_xlfn.IFS($A$4="Lot No.",B38,$A$4="Buyer",D38,$A$4="Bid Sheet","N/A",$A$4="Unit",F38,TRUE(),"N/A")</f>
        <v>2062</v>
      </c>
      <c r="P38" s="12">
        <f>IF($C$4="",1,IFERROR(IF(SEARCH($C$4,O38)&gt;0,1,0),0))</f>
        <v>1</v>
      </c>
    </row>
    <row r="39" spans="1:16" x14ac:dyDescent="0.2">
      <c r="A39" s="13">
        <v>32</v>
      </c>
      <c r="B39" s="13">
        <v>2067</v>
      </c>
      <c r="C39" s="14" t="s">
        <v>44</v>
      </c>
      <c r="D39" s="13" t="s">
        <v>67</v>
      </c>
      <c r="E39" s="13">
        <v>150</v>
      </c>
      <c r="F39" s="13" t="s">
        <v>25</v>
      </c>
      <c r="G39" s="15">
        <v>571</v>
      </c>
      <c r="H39" s="15">
        <v>85650</v>
      </c>
      <c r="I39" s="15">
        <v>15417</v>
      </c>
      <c r="J39" s="15">
        <v>101067</v>
      </c>
      <c r="K39" s="15">
        <v>100767</v>
      </c>
      <c r="L39" s="13" t="s">
        <v>86</v>
      </c>
      <c r="M39" s="13">
        <v>1800003248</v>
      </c>
      <c r="O39" s="12">
        <f>_xlfn.IFS($A$4="Lot No.",B39,$A$4="Buyer",D39,$A$4="Bid Sheet","N/A",$A$4="Unit",F39,TRUE(),"N/A")</f>
        <v>2067</v>
      </c>
      <c r="P39" s="12">
        <f>IF($C$4="",1,IFERROR(IF(SEARCH($C$4,O39)&gt;0,1,0),0))</f>
        <v>1</v>
      </c>
    </row>
    <row r="40" spans="1:16" x14ac:dyDescent="0.2">
      <c r="A40" s="9">
        <v>33</v>
      </c>
      <c r="B40" s="9">
        <v>2069</v>
      </c>
      <c r="C40" s="10" t="s">
        <v>87</v>
      </c>
      <c r="D40" s="9" t="s">
        <v>45</v>
      </c>
      <c r="E40" s="9">
        <v>1</v>
      </c>
      <c r="F40" s="9" t="s">
        <v>25</v>
      </c>
      <c r="G40" s="11">
        <v>54000</v>
      </c>
      <c r="H40" s="11">
        <v>54000</v>
      </c>
      <c r="I40" s="11">
        <v>9720</v>
      </c>
      <c r="J40" s="11">
        <v>63720</v>
      </c>
      <c r="K40" s="11">
        <v>63531</v>
      </c>
      <c r="L40" s="9"/>
      <c r="M40" s="9"/>
      <c r="O40" s="12">
        <f>_xlfn.IFS($A$4="Lot No.",B40,$A$4="Buyer",D40,$A$4="Bid Sheet","N/A",$A$4="Unit",F40,TRUE(),"N/A")</f>
        <v>2069</v>
      </c>
      <c r="P40" s="12">
        <f>IF($C$4="",1,IFERROR(IF(SEARCH($C$4,O40)&gt;0,1,0),0))</f>
        <v>1</v>
      </c>
    </row>
    <row r="41" spans="1:16" x14ac:dyDescent="0.2">
      <c r="A41" s="13">
        <v>34</v>
      </c>
      <c r="B41" s="13">
        <v>2071</v>
      </c>
      <c r="C41" s="14" t="s">
        <v>88</v>
      </c>
      <c r="D41" s="13" t="s">
        <v>24</v>
      </c>
      <c r="E41" s="13">
        <v>3</v>
      </c>
      <c r="F41" s="13" t="s">
        <v>25</v>
      </c>
      <c r="G41" s="15">
        <v>25001</v>
      </c>
      <c r="H41" s="15">
        <v>75003</v>
      </c>
      <c r="I41" s="15">
        <v>13501</v>
      </c>
      <c r="J41" s="15">
        <v>88504</v>
      </c>
      <c r="K41" s="15">
        <v>88241</v>
      </c>
      <c r="L41" s="13" t="s">
        <v>89</v>
      </c>
      <c r="M41" s="13">
        <v>1800003314</v>
      </c>
      <c r="O41" s="12">
        <f>_xlfn.IFS($A$4="Lot No.",B41,$A$4="Buyer",D41,$A$4="Bid Sheet","N/A",$A$4="Unit",F41,TRUE(),"N/A")</f>
        <v>2071</v>
      </c>
      <c r="P41" s="12">
        <f>IF($C$4="",1,IFERROR(IF(SEARCH($C$4,O41)&gt;0,1,0),0))</f>
        <v>1</v>
      </c>
    </row>
    <row r="42" spans="1:16" x14ac:dyDescent="0.2">
      <c r="A42" s="9">
        <v>35</v>
      </c>
      <c r="B42" s="9">
        <v>2086</v>
      </c>
      <c r="C42" s="10" t="s">
        <v>38</v>
      </c>
      <c r="D42" s="9" t="s">
        <v>90</v>
      </c>
      <c r="E42" s="9">
        <v>3</v>
      </c>
      <c r="F42" s="9" t="s">
        <v>25</v>
      </c>
      <c r="G42" s="11">
        <v>70001</v>
      </c>
      <c r="H42" s="11">
        <v>210003</v>
      </c>
      <c r="I42" s="11">
        <v>37801</v>
      </c>
      <c r="J42" s="11">
        <v>247804</v>
      </c>
      <c r="K42" s="11">
        <v>247069</v>
      </c>
      <c r="L42" s="9" t="s">
        <v>91</v>
      </c>
      <c r="M42" s="9">
        <v>1800003226</v>
      </c>
      <c r="O42" s="12">
        <f>_xlfn.IFS($A$4="Lot No.",B42,$A$4="Buyer",D42,$A$4="Bid Sheet","N/A",$A$4="Unit",F42,TRUE(),"N/A")</f>
        <v>2086</v>
      </c>
      <c r="P42" s="12">
        <f>IF($C$4="",1,IFERROR(IF(SEARCH($C$4,O42)&gt;0,1,0),0))</f>
        <v>1</v>
      </c>
    </row>
    <row r="43" spans="1:16" x14ac:dyDescent="0.2">
      <c r="A43" s="13">
        <v>36</v>
      </c>
      <c r="B43" s="13">
        <v>2089</v>
      </c>
      <c r="C43" s="14" t="s">
        <v>92</v>
      </c>
      <c r="D43" s="13" t="s">
        <v>93</v>
      </c>
      <c r="E43" s="13">
        <v>2</v>
      </c>
      <c r="F43" s="13" t="s">
        <v>25</v>
      </c>
      <c r="G43" s="15">
        <v>15006</v>
      </c>
      <c r="H43" s="15">
        <v>30012</v>
      </c>
      <c r="I43" s="15">
        <v>5402</v>
      </c>
      <c r="J43" s="15">
        <v>35414</v>
      </c>
      <c r="K43" s="15">
        <v>35309</v>
      </c>
      <c r="L43" s="13"/>
      <c r="M43" s="13"/>
      <c r="O43" s="12">
        <f>_xlfn.IFS($A$4="Lot No.",B43,$A$4="Buyer",D43,$A$4="Bid Sheet","N/A",$A$4="Unit",F43,TRUE(),"N/A")</f>
        <v>2089</v>
      </c>
      <c r="P43" s="12">
        <f>IF($C$4="",1,IFERROR(IF(SEARCH($C$4,O43)&gt;0,1,0),0))</f>
        <v>1</v>
      </c>
    </row>
    <row r="44" spans="1:16" x14ac:dyDescent="0.2">
      <c r="A44" s="9">
        <v>37</v>
      </c>
      <c r="B44" s="9">
        <v>2091</v>
      </c>
      <c r="C44" s="10" t="s">
        <v>38</v>
      </c>
      <c r="D44" s="9" t="s">
        <v>93</v>
      </c>
      <c r="E44" s="9">
        <v>3</v>
      </c>
      <c r="F44" s="9" t="s">
        <v>25</v>
      </c>
      <c r="G44" s="11">
        <v>40003</v>
      </c>
      <c r="H44" s="11">
        <v>120009</v>
      </c>
      <c r="I44" s="11">
        <v>21602</v>
      </c>
      <c r="J44" s="11">
        <v>141611</v>
      </c>
      <c r="K44" s="11">
        <v>141191</v>
      </c>
      <c r="L44" s="9"/>
      <c r="M44" s="9"/>
      <c r="O44" s="12">
        <f>_xlfn.IFS($A$4="Lot No.",B44,$A$4="Buyer",D44,$A$4="Bid Sheet","N/A",$A$4="Unit",F44,TRUE(),"N/A")</f>
        <v>2091</v>
      </c>
      <c r="P44" s="12">
        <f>IF($C$4="",1,IFERROR(IF(SEARCH($C$4,O44)&gt;0,1,0),0))</f>
        <v>1</v>
      </c>
    </row>
  </sheetData>
  <mergeCells count="9">
    <mergeCell ref="A5:J5"/>
    <mergeCell ref="A6:M6"/>
    <mergeCell ref="A1:J1"/>
    <mergeCell ref="A3:B3"/>
    <mergeCell ref="C3:D3"/>
    <mergeCell ref="E3:G3"/>
    <mergeCell ref="A4:B4"/>
    <mergeCell ref="C4:D4"/>
    <mergeCell ref="E4:G4"/>
  </mergeCells>
  <conditionalFormatting sqref="A8:M44">
    <cfRule type="expression" dxfId="1" priority="2">
      <formula>AND($C$4&lt;&gt;"",P8=1)</formula>
    </cfRule>
    <cfRule type="expression" dxfId="0" priority="3">
      <formula>AND($C$4&lt;&gt;"",P8=0)</formula>
    </cfRule>
  </conditionalFormatting>
  <dataValidations count="1">
    <dataValidation type="list" sqref="A4:B4" xr:uid="{00000000-0002-0000-0000-000000000000}">
      <formula1>"Lot No.,Buyer,Bid Sheet,Unit"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2026-09-07T13:35:03Z</dcterms:created>
  <dcterms:modified xsi:type="dcterms:W3CDTF">2026-09-07T13:35:04Z</dcterms:modified>
  <dc:language>en-US</dc:language>
</cp:coreProperties>
</file>