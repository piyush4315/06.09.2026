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500" firstSheet="0" activeTab="2" autoFilterDateGrouping="1"/>
  </bookViews>
  <sheets>
    <sheet name="Final Calculation Sheet" sheetId="1" state="visible" r:id="rId1"/>
    <sheet name="Collapsible - Lots Across" sheetId="2" state="visible" r:id="rId2"/>
    <sheet name="Collapsible - Lots Down" sheetId="3" state="visible" r:id="rId3"/>
    <sheet name="Ledger Filter - Lots Down" sheetId="4" state="visible" r:id="rId4"/>
    <sheet name="Ledger Filter - Lots Across" sheetId="5" state="visible" r:id="rId5"/>
  </sheets>
  <definedNames>
    <definedName name="_xlnm._FilterDatabase" localSheetId="0" hidden="1">'Final Calculation Sheet'!$A$3:$AG$43</definedName>
    <definedName name="_xlnm.Print_Titles" localSheetId="2">'Collapsible - Lots Down'!$4:$4</definedName>
    <definedName name="_xlnm._FilterDatabase" localSheetId="3" hidden="1">'Ledger Filter - Lots Down'!$A$5:$AI$55</definedName>
    <definedName name="_xlnm.Print_Titles" localSheetId="3">'Ledger Filter - Lots Down'!$5:$5</definedName>
    <definedName name="_xlnm._FilterDatabase" localSheetId="4" hidden="1">'Ledger Filter - Lots Across'!$A$5:$AM$45</definedName>
  </definedNames>
  <calcPr calcId="181029" fullCalcOnLoad="1" iterateDelta="0.0001"/>
</workbook>
</file>

<file path=xl/styles.xml><?xml version="1.0" encoding="utf-8"?>
<styleSheet xmlns="http://schemas.openxmlformats.org/spreadsheetml/2006/main">
  <numFmts count="3">
    <numFmt numFmtId="164" formatCode="#,##0;\(#,##0\)"/>
    <numFmt numFmtId="165" formatCode="_ * #,##0_ ;_ * \-#,##0_ ;_ * \-??_ ;_ @_ "/>
    <numFmt numFmtId="166" formatCode="#,##0.###"/>
  </numFmts>
  <fonts count="30">
    <font>
      <name val="Calibri"/>
      <charset val="1"/>
      <family val="2"/>
      <color theme="1"/>
      <sz val="11"/>
    </font>
    <font>
      <name val="Arial"/>
      <charset val="1"/>
      <family val="2"/>
      <b val="1"/>
      <sz val="13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theme="1"/>
      <sz val="9"/>
    </font>
    <font>
      <name val="Arial"/>
      <charset val="1"/>
      <family val="2"/>
      <b val="1"/>
      <color theme="1"/>
      <sz val="10"/>
    </font>
    <font>
      <name val="Arial"/>
      <charset val="1"/>
      <family val="2"/>
      <sz val="10"/>
    </font>
    <font>
      <name val="Arial"/>
      <charset val="1"/>
      <family val="2"/>
      <color theme="1"/>
      <sz val="10"/>
    </font>
    <font>
      <b val="1"/>
      <color rgb="00FFFFFF"/>
      <sz val="15"/>
    </font>
    <font>
      <b val="1"/>
      <color rgb="00FFFFFF"/>
      <sz val="10"/>
    </font>
    <font>
      <i val="1"/>
      <color rgb="001F3864"/>
      <sz val="9"/>
    </font>
    <font>
      <b val="1"/>
      <color rgb="00FFFFFF"/>
      <sz val="12"/>
    </font>
    <font>
      <b val="1"/>
      <color rgb="001F4E79"/>
      <sz val="10"/>
    </font>
    <font>
      <color rgb="00333333"/>
      <sz val="10"/>
    </font>
    <font>
      <sz val="10"/>
    </font>
    <font>
      <color rgb="00808080"/>
      <sz val="10"/>
    </font>
    <font>
      <sz val="9"/>
    </font>
    <font>
      <b val="1"/>
      <sz val="10"/>
    </font>
    <font>
      <b val="1"/>
      <color rgb="00C55A11"/>
      <sz val="10"/>
    </font>
    <font>
      <b val="1"/>
      <color rgb="00548235"/>
      <sz val="10"/>
    </font>
    <font>
      <b val="1"/>
      <color rgb="007030A0"/>
      <sz val="10"/>
    </font>
    <font>
      <b val="1"/>
      <color rgb="00C00000"/>
      <sz val="10"/>
    </font>
    <font>
      <b val="1"/>
      <color rgb="0000838F"/>
      <sz val="10"/>
    </font>
    <font>
      <b val="1"/>
      <color rgb="00BF8F00"/>
      <sz val="10"/>
    </font>
    <font>
      <b val="1"/>
      <color rgb="00A51E4D"/>
      <sz val="10"/>
    </font>
    <font>
      <b val="1"/>
      <color rgb="000563C1"/>
      <sz val="10"/>
      <u val="single"/>
    </font>
    <font>
      <b val="1"/>
      <color rgb="00FFFFFF"/>
      <sz val="9"/>
    </font>
    <font>
      <color rgb="00333333"/>
      <sz val="9"/>
    </font>
    <font>
      <b val="1"/>
      <color rgb="00FFFFFF"/>
      <sz val="11"/>
    </font>
    <font>
      <b val="1"/>
      <color rgb="001F3864"/>
      <sz val="9"/>
    </font>
    <font>
      <b val="1"/>
      <color rgb="001F3864"/>
      <sz val="10"/>
    </font>
  </fonts>
  <fills count="35">
    <fill>
      <patternFill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2" tint="-0.09997863704336681"/>
        <bgColor rgb="FFCCCCFF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404040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FEF4EC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7030A0"/>
      </patternFill>
    </fill>
    <fill>
      <patternFill patternType="solid">
        <fgColor rgb="00E6D9F2"/>
      </patternFill>
    </fill>
    <fill>
      <patternFill patternType="solid">
        <fgColor rgb="00C00000"/>
      </patternFill>
    </fill>
    <fill>
      <patternFill patternType="solid">
        <fgColor rgb="00FBE0E0"/>
      </patternFill>
    </fill>
    <fill>
      <patternFill patternType="solid">
        <fgColor rgb="0000838F"/>
      </patternFill>
    </fill>
    <fill>
      <patternFill patternType="solid">
        <fgColor rgb="00D7F0F2"/>
      </patternFill>
    </fill>
    <fill>
      <patternFill patternType="solid">
        <fgColor rgb="00EFF9FA"/>
      </patternFill>
    </fill>
    <fill>
      <patternFill patternType="solid">
        <fgColor rgb="00BF8F00"/>
      </patternFill>
    </fill>
    <fill>
      <patternFill patternType="solid">
        <fgColor rgb="00A51E4D"/>
      </patternFill>
    </fill>
    <fill>
      <patternFill patternType="solid">
        <fgColor rgb="00F8DCE6"/>
      </patternFill>
    </fill>
    <fill>
      <patternFill patternType="solid">
        <fgColor rgb="00FDF2F6"/>
      </patternFill>
    </fill>
    <fill>
      <patternFill patternType="solid">
        <fgColor rgb="00F4F9FD"/>
      </patternFill>
    </fill>
    <fill>
      <patternFill patternType="solid">
        <fgColor rgb="00F4FAF0"/>
      </patternFill>
    </fill>
    <fill>
      <patternFill patternType="solid">
        <fgColor rgb="00F6F1FB"/>
      </patternFill>
    </fill>
    <fill>
      <patternFill patternType="solid">
        <fgColor rgb="00FEF3F3"/>
      </patternFill>
    </fill>
    <fill>
      <patternFill patternType="solid">
        <fgColor rgb="00595959"/>
      </patternFill>
    </fill>
    <fill>
      <patternFill patternType="solid">
        <fgColor rgb="00808080"/>
      </patternFill>
    </fill>
    <fill>
      <patternFill patternType="solid">
        <fgColor rgb="009E4EA8"/>
      </patternFill>
    </fill>
    <fill>
      <patternFill patternType="solid">
        <fgColor rgb="00F7F7F7"/>
      </patternFill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00D0D0D0"/>
      </left>
      <right style="thin">
        <color rgb="00D0D0D0"/>
      </right>
      <top style="medium">
        <color rgb="00808080"/>
      </top>
      <bottom style="medium">
        <color rgb="0080808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1F4E79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C55A11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548235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7030A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C0000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00838F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BF8F0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A51E4D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medium">
        <color rgb="00808080"/>
      </top>
      <bottom/>
      <diagonal/>
    </border>
    <border>
      <left/>
      <right style="thin">
        <color rgb="00D0D0D0"/>
      </right>
      <top style="medium">
        <color rgb="00808080"/>
      </top>
      <bottom/>
      <diagonal/>
    </border>
    <border>
      <left/>
      <right/>
      <top style="medium">
        <color rgb="00808080"/>
      </top>
      <bottom style="medium">
        <color rgb="00808080"/>
      </bottom>
      <diagonal/>
    </border>
    <border>
      <left/>
      <right style="thin">
        <color rgb="00D0D0D0"/>
      </right>
      <top style="medium">
        <color rgb="00808080"/>
      </top>
      <bottom style="medium">
        <color rgb="00808080"/>
      </bottom>
      <diagonal/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42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pivotButton="0" quotePrefix="0" xfId="0"/>
    <xf numFmtId="0" fontId="1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center" wrapText="1"/>
    </xf>
    <xf numFmtId="164" fontId="5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164" fontId="5" fillId="0" borderId="5" applyAlignment="1" pivotButton="0" quotePrefix="0" xfId="0">
      <alignment horizontal="right" vertical="center" wrapText="1"/>
    </xf>
    <xf numFmtId="164" fontId="5" fillId="0" borderId="5" applyAlignment="1" pivotButton="0" quotePrefix="0" xfId="0">
      <alignment horizontal="right" vertical="center"/>
    </xf>
    <xf numFmtId="3" fontId="5" fillId="0" borderId="5" applyAlignment="1" pivotButton="0" quotePrefix="0" xfId="0">
      <alignment horizontal="right" vertical="center"/>
    </xf>
    <xf numFmtId="9" fontId="5" fillId="0" borderId="5" applyAlignment="1" pivotButton="0" quotePrefix="0" xfId="0">
      <alignment horizontal="right" vertical="center"/>
    </xf>
    <xf numFmtId="165" fontId="6" fillId="2" borderId="5" applyAlignment="1" pivotButton="0" quotePrefix="0" xfId="0">
      <alignment vertical="center"/>
    </xf>
    <xf numFmtId="164" fontId="5" fillId="2" borderId="5" applyAlignment="1" pivotButton="0" quotePrefix="0" xfId="0">
      <alignment horizontal="right" vertical="center"/>
    </xf>
    <xf numFmtId="164" fontId="5" fillId="2" borderId="6" applyAlignment="1" pivotButton="0" quotePrefix="0" xfId="0">
      <alignment horizontal="right" vertical="center"/>
    </xf>
    <xf numFmtId="1" fontId="5" fillId="2" borderId="6" applyAlignment="1" pivotButton="0" quotePrefix="0" xfId="0">
      <alignment horizontal="center" vertical="center"/>
    </xf>
    <xf numFmtId="164" fontId="5" fillId="2" borderId="7" applyAlignment="1" pivotButton="0" quotePrefix="0" xfId="0">
      <alignment horizontal="right" vertical="center"/>
    </xf>
    <xf numFmtId="0" fontId="5" fillId="0" borderId="8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left" vertical="center" wrapText="1"/>
    </xf>
    <xf numFmtId="164" fontId="5" fillId="0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164" fontId="5" fillId="0" borderId="6" applyAlignment="1" pivotButton="0" quotePrefix="0" xfId="0">
      <alignment horizontal="right" vertical="center" wrapText="1"/>
    </xf>
    <xf numFmtId="164" fontId="5" fillId="0" borderId="6" applyAlignment="1" pivotButton="0" quotePrefix="0" xfId="0">
      <alignment horizontal="right" vertical="center"/>
    </xf>
    <xf numFmtId="3" fontId="5" fillId="0" borderId="6" applyAlignment="1" pivotButton="0" quotePrefix="0" xfId="0">
      <alignment horizontal="right" vertical="center"/>
    </xf>
    <xf numFmtId="9" fontId="5" fillId="0" borderId="6" applyAlignment="1" pivotButton="0" quotePrefix="0" xfId="0">
      <alignment horizontal="right" vertical="center"/>
    </xf>
    <xf numFmtId="165" fontId="6" fillId="2" borderId="6" applyAlignment="1" pivotButton="0" quotePrefix="0" xfId="0">
      <alignment vertical="center"/>
    </xf>
    <xf numFmtId="0" fontId="5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left" vertical="center" wrapText="1"/>
    </xf>
    <xf numFmtId="164" fontId="5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164" fontId="5" fillId="0" borderId="10" applyAlignment="1" pivotButton="0" quotePrefix="0" xfId="0">
      <alignment horizontal="right" vertical="center" wrapText="1"/>
    </xf>
    <xf numFmtId="164" fontId="5" fillId="0" borderId="10" applyAlignment="1" pivotButton="0" quotePrefix="0" xfId="0">
      <alignment horizontal="right" vertical="center"/>
    </xf>
    <xf numFmtId="3" fontId="5" fillId="0" borderId="10" applyAlignment="1" pivotButton="0" quotePrefix="0" xfId="0">
      <alignment horizontal="right" vertical="center"/>
    </xf>
    <xf numFmtId="9" fontId="5" fillId="0" borderId="10" applyAlignment="1" pivotButton="0" quotePrefix="0" xfId="0">
      <alignment horizontal="right" vertical="center"/>
    </xf>
    <xf numFmtId="165" fontId="6" fillId="2" borderId="10" applyAlignment="1" pivotButton="0" quotePrefix="0" xfId="0">
      <alignment vertical="center"/>
    </xf>
    <xf numFmtId="0" fontId="0" fillId="0" borderId="11" pivotButton="0" quotePrefix="0" xfId="0"/>
    <xf numFmtId="0" fontId="0" fillId="0" borderId="12" pivotButton="0" quotePrefix="0" xfId="0"/>
    <xf numFmtId="164" fontId="5" fillId="0" borderId="12" applyAlignment="1" pivotButton="0" quotePrefix="0" xfId="0">
      <alignment horizontal="right" vertical="center" wrapText="1"/>
    </xf>
    <xf numFmtId="164" fontId="5" fillId="0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164" fontId="5" fillId="0" borderId="15" applyAlignment="1" pivotButton="0" quotePrefix="0" xfId="0">
      <alignment horizontal="right" vertical="center" wrapText="1"/>
    </xf>
    <xf numFmtId="164" fontId="5" fillId="0" borderId="15" applyAlignment="1" pivotButton="0" quotePrefix="0" xfId="0">
      <alignment horizontal="right" vertical="center"/>
    </xf>
    <xf numFmtId="3" fontId="5" fillId="0" borderId="15" applyAlignment="1" pivotButton="0" quotePrefix="0" xfId="0">
      <alignment horizontal="right" vertical="center"/>
    </xf>
    <xf numFmtId="164" fontId="6" fillId="0" borderId="15" pivotButton="0" quotePrefix="0" xfId="0"/>
    <xf numFmtId="165" fontId="6" fillId="2" borderId="15" applyAlignment="1" pivotButton="0" quotePrefix="0" xfId="0">
      <alignment horizontal="right" vertical="center"/>
    </xf>
    <xf numFmtId="164" fontId="0" fillId="0" borderId="15" pivotButton="0" quotePrefix="0" xfId="0"/>
    <xf numFmtId="0" fontId="0" fillId="0" borderId="16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/>
    </xf>
    <xf numFmtId="164" fontId="0" fillId="2" borderId="0" pivotButton="0" quotePrefix="0" xfId="0"/>
    <xf numFmtId="0" fontId="7" fillId="4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left" vertical="center" indent="1"/>
    </xf>
    <xf numFmtId="0" fontId="9" fillId="6" borderId="0" applyAlignment="1" pivotButton="0" quotePrefix="0" xfId="0">
      <alignment horizontal="left" vertical="center" wrapText="1"/>
    </xf>
    <xf numFmtId="0" fontId="8" fillId="7" borderId="17" applyAlignment="1" pivotButton="0" quotePrefix="0" xfId="0">
      <alignment horizontal="center" vertical="center" wrapText="1"/>
    </xf>
    <xf numFmtId="0" fontId="10" fillId="8" borderId="17" applyAlignment="1" pivotButton="0" quotePrefix="0" xfId="0">
      <alignment horizontal="left" vertical="center" indent="1"/>
    </xf>
    <xf numFmtId="0" fontId="0" fillId="0" borderId="17" pivotButton="0" quotePrefix="0" xfId="0"/>
    <xf numFmtId="0" fontId="11" fillId="9" borderId="18" applyAlignment="1" pivotButton="0" quotePrefix="0" xfId="0">
      <alignment horizontal="left" vertical="center"/>
    </xf>
    <xf numFmtId="3" fontId="11" fillId="9" borderId="18" applyAlignment="1" pivotButton="0" quotePrefix="0" xfId="0">
      <alignment horizontal="center" vertical="center" wrapText="1"/>
    </xf>
    <xf numFmtId="0" fontId="0" fillId="9" borderId="18" pivotButton="0" quotePrefix="0" xfId="0"/>
    <xf numFmtId="0" fontId="11" fillId="9" borderId="18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left" vertical="center"/>
    </xf>
    <xf numFmtId="3" fontId="13" fillId="0" borderId="18" applyAlignment="1" pivotButton="0" quotePrefix="0" xfId="0">
      <alignment horizontal="right" vertical="center"/>
    </xf>
    <xf numFmtId="0" fontId="0" fillId="0" borderId="18" pivotButton="0" quotePrefix="0" xfId="0"/>
    <xf numFmtId="0" fontId="14" fillId="9" borderId="19" applyAlignment="1" pivotButton="0" quotePrefix="0" xfId="0">
      <alignment horizontal="center" vertical="center" wrapText="1"/>
    </xf>
    <xf numFmtId="49" fontId="15" fillId="0" borderId="18" applyAlignment="1" pivotButton="0" quotePrefix="0" xfId="0">
      <alignment horizontal="left" vertical="center" wrapText="1"/>
    </xf>
    <xf numFmtId="166" fontId="13" fillId="0" borderId="18" applyAlignment="1" pivotButton="0" quotePrefix="0" xfId="0">
      <alignment horizontal="right" vertical="center"/>
    </xf>
    <xf numFmtId="166" fontId="11" fillId="9" borderId="19" applyAlignment="1" pivotButton="0" quotePrefix="0" xfId="0">
      <alignment horizontal="right" vertical="center"/>
    </xf>
    <xf numFmtId="49" fontId="13" fillId="0" borderId="18" applyAlignment="1" pivotButton="0" quotePrefix="0" xfId="0">
      <alignment horizontal="left" vertical="center"/>
    </xf>
    <xf numFmtId="3" fontId="11" fillId="9" borderId="19" applyAlignment="1" pivotButton="0" quotePrefix="0" xfId="0">
      <alignment horizontal="right" vertical="center"/>
    </xf>
    <xf numFmtId="4" fontId="13" fillId="0" borderId="18" applyAlignment="1" pivotButton="0" quotePrefix="0" xfId="0">
      <alignment horizontal="right" vertical="center"/>
    </xf>
    <xf numFmtId="4" fontId="11" fillId="9" borderId="19" applyAlignment="1" pivotButton="0" quotePrefix="0" xfId="0">
      <alignment horizontal="right" vertical="center"/>
    </xf>
    <xf numFmtId="9" fontId="13" fillId="0" borderId="18" applyAlignment="1" pivotButton="0" quotePrefix="0" xfId="0">
      <alignment horizontal="right" vertical="center"/>
    </xf>
    <xf numFmtId="49" fontId="16" fillId="0" borderId="18" applyAlignment="1" pivotButton="0" quotePrefix="0" xfId="0">
      <alignment horizontal="left" vertical="center"/>
    </xf>
    <xf numFmtId="0" fontId="0" fillId="10" borderId="0" pivotButton="0" quotePrefix="0" xfId="0"/>
    <xf numFmtId="0" fontId="10" fillId="11" borderId="17" applyAlignment="1" pivotButton="0" quotePrefix="0" xfId="0">
      <alignment horizontal="left" vertical="center" indent="1"/>
    </xf>
    <xf numFmtId="0" fontId="17" fillId="12" borderId="18" applyAlignment="1" pivotButton="0" quotePrefix="0" xfId="0">
      <alignment horizontal="left" vertical="center"/>
    </xf>
    <xf numFmtId="3" fontId="17" fillId="12" borderId="18" applyAlignment="1" pivotButton="0" quotePrefix="0" xfId="0">
      <alignment horizontal="center" vertical="center" wrapText="1"/>
    </xf>
    <xf numFmtId="0" fontId="0" fillId="12" borderId="18" pivotButton="0" quotePrefix="0" xfId="0"/>
    <xf numFmtId="0" fontId="17" fillId="12" borderId="18" applyAlignment="1" pivotButton="0" quotePrefix="0" xfId="0">
      <alignment horizontal="center" vertical="center" wrapText="1"/>
    </xf>
    <xf numFmtId="3" fontId="13" fillId="13" borderId="18" applyAlignment="1" pivotButton="0" quotePrefix="0" xfId="0">
      <alignment horizontal="right" vertical="center"/>
    </xf>
    <xf numFmtId="0" fontId="14" fillId="12" borderId="20" applyAlignment="1" pivotButton="0" quotePrefix="0" xfId="0">
      <alignment horizontal="center" vertical="center" wrapText="1"/>
    </xf>
    <xf numFmtId="49" fontId="15" fillId="13" borderId="18" applyAlignment="1" pivotButton="0" quotePrefix="0" xfId="0">
      <alignment horizontal="left" vertical="center" wrapText="1"/>
    </xf>
    <xf numFmtId="166" fontId="13" fillId="13" borderId="18" applyAlignment="1" pivotButton="0" quotePrefix="0" xfId="0">
      <alignment horizontal="right" vertical="center"/>
    </xf>
    <xf numFmtId="166" fontId="17" fillId="12" borderId="20" applyAlignment="1" pivotButton="0" quotePrefix="0" xfId="0">
      <alignment horizontal="right" vertical="center"/>
    </xf>
    <xf numFmtId="49" fontId="13" fillId="13" borderId="18" applyAlignment="1" pivotButton="0" quotePrefix="0" xfId="0">
      <alignment horizontal="left" vertical="center"/>
    </xf>
    <xf numFmtId="3" fontId="17" fillId="12" borderId="20" applyAlignment="1" pivotButton="0" quotePrefix="0" xfId="0">
      <alignment horizontal="right" vertical="center"/>
    </xf>
    <xf numFmtId="4" fontId="13" fillId="13" borderId="18" applyAlignment="1" pivotButton="0" quotePrefix="0" xfId="0">
      <alignment horizontal="right" vertical="center"/>
    </xf>
    <xf numFmtId="4" fontId="17" fillId="12" borderId="20" applyAlignment="1" pivotButton="0" quotePrefix="0" xfId="0">
      <alignment horizontal="right" vertical="center"/>
    </xf>
    <xf numFmtId="9" fontId="13" fillId="13" borderId="18" applyAlignment="1" pivotButton="0" quotePrefix="0" xfId="0">
      <alignment horizontal="right" vertical="center"/>
    </xf>
    <xf numFmtId="49" fontId="16" fillId="13" borderId="18" applyAlignment="1" pivotButton="0" quotePrefix="0" xfId="0">
      <alignment horizontal="left" vertical="center"/>
    </xf>
    <xf numFmtId="0" fontId="10" fillId="14" borderId="17" applyAlignment="1" pivotButton="0" quotePrefix="0" xfId="0">
      <alignment horizontal="left" vertical="center" indent="1"/>
    </xf>
    <xf numFmtId="0" fontId="18" fillId="15" borderId="18" applyAlignment="1" pivotButton="0" quotePrefix="0" xfId="0">
      <alignment horizontal="left" vertical="center"/>
    </xf>
    <xf numFmtId="3" fontId="18" fillId="15" borderId="18" applyAlignment="1" pivotButton="0" quotePrefix="0" xfId="0">
      <alignment horizontal="center" vertical="center" wrapText="1"/>
    </xf>
    <xf numFmtId="0" fontId="0" fillId="15" borderId="18" pivotButton="0" quotePrefix="0" xfId="0"/>
    <xf numFmtId="0" fontId="18" fillId="15" borderId="18" applyAlignment="1" pivotButton="0" quotePrefix="0" xfId="0">
      <alignment horizontal="center" vertical="center" wrapText="1"/>
    </xf>
    <xf numFmtId="0" fontId="14" fillId="15" borderId="21" applyAlignment="1" pivotButton="0" quotePrefix="0" xfId="0">
      <alignment horizontal="center" vertical="center" wrapText="1"/>
    </xf>
    <xf numFmtId="166" fontId="18" fillId="15" borderId="21" applyAlignment="1" pivotButton="0" quotePrefix="0" xfId="0">
      <alignment horizontal="right" vertical="center"/>
    </xf>
    <xf numFmtId="3" fontId="18" fillId="15" borderId="21" applyAlignment="1" pivotButton="0" quotePrefix="0" xfId="0">
      <alignment horizontal="right" vertical="center"/>
    </xf>
    <xf numFmtId="4" fontId="18" fillId="15" borderId="21" applyAlignment="1" pivotButton="0" quotePrefix="0" xfId="0">
      <alignment horizontal="right" vertical="center"/>
    </xf>
    <xf numFmtId="0" fontId="10" fillId="16" borderId="17" applyAlignment="1" pivotButton="0" quotePrefix="0" xfId="0">
      <alignment horizontal="left" vertical="center" indent="1"/>
    </xf>
    <xf numFmtId="0" fontId="19" fillId="17" borderId="18" applyAlignment="1" pivotButton="0" quotePrefix="0" xfId="0">
      <alignment horizontal="left" vertical="center"/>
    </xf>
    <xf numFmtId="3" fontId="19" fillId="17" borderId="18" applyAlignment="1" pivotButton="0" quotePrefix="0" xfId="0">
      <alignment horizontal="center" vertical="center" wrapText="1"/>
    </xf>
    <xf numFmtId="0" fontId="0" fillId="17" borderId="18" pivotButton="0" quotePrefix="0" xfId="0"/>
    <xf numFmtId="0" fontId="19" fillId="17" borderId="18" applyAlignment="1" pivotButton="0" quotePrefix="0" xfId="0">
      <alignment horizontal="center" vertical="center" wrapText="1"/>
    </xf>
    <xf numFmtId="0" fontId="14" fillId="17" borderId="22" applyAlignment="1" pivotButton="0" quotePrefix="0" xfId="0">
      <alignment horizontal="center" vertical="center" wrapText="1"/>
    </xf>
    <xf numFmtId="166" fontId="19" fillId="17" borderId="22" applyAlignment="1" pivotButton="0" quotePrefix="0" xfId="0">
      <alignment horizontal="right" vertical="center"/>
    </xf>
    <xf numFmtId="3" fontId="19" fillId="17" borderId="22" applyAlignment="1" pivotButton="0" quotePrefix="0" xfId="0">
      <alignment horizontal="right" vertical="center"/>
    </xf>
    <xf numFmtId="4" fontId="19" fillId="17" borderId="22" applyAlignment="1" pivotButton="0" quotePrefix="0" xfId="0">
      <alignment horizontal="right" vertical="center"/>
    </xf>
    <xf numFmtId="0" fontId="10" fillId="18" borderId="17" applyAlignment="1" pivotButton="0" quotePrefix="0" xfId="0">
      <alignment horizontal="left" vertical="center" indent="1"/>
    </xf>
    <xf numFmtId="0" fontId="20" fillId="19" borderId="18" applyAlignment="1" pivotButton="0" quotePrefix="0" xfId="0">
      <alignment horizontal="left" vertical="center"/>
    </xf>
    <xf numFmtId="3" fontId="20" fillId="19" borderId="18" applyAlignment="1" pivotButton="0" quotePrefix="0" xfId="0">
      <alignment horizontal="center" vertical="center" wrapText="1"/>
    </xf>
    <xf numFmtId="0" fontId="0" fillId="19" borderId="18" pivotButton="0" quotePrefix="0" xfId="0"/>
    <xf numFmtId="0" fontId="20" fillId="19" borderId="18" applyAlignment="1" pivotButton="0" quotePrefix="0" xfId="0">
      <alignment horizontal="center" vertical="center" wrapText="1"/>
    </xf>
    <xf numFmtId="0" fontId="14" fillId="19" borderId="23" applyAlignment="1" pivotButton="0" quotePrefix="0" xfId="0">
      <alignment horizontal="center" vertical="center" wrapText="1"/>
    </xf>
    <xf numFmtId="166" fontId="20" fillId="19" borderId="23" applyAlignment="1" pivotButton="0" quotePrefix="0" xfId="0">
      <alignment horizontal="right" vertical="center"/>
    </xf>
    <xf numFmtId="3" fontId="20" fillId="19" borderId="23" applyAlignment="1" pivotButton="0" quotePrefix="0" xfId="0">
      <alignment horizontal="right" vertical="center"/>
    </xf>
    <xf numFmtId="4" fontId="20" fillId="19" borderId="23" applyAlignment="1" pivotButton="0" quotePrefix="0" xfId="0">
      <alignment horizontal="right" vertical="center"/>
    </xf>
    <xf numFmtId="0" fontId="10" fillId="20" borderId="17" applyAlignment="1" pivotButton="0" quotePrefix="0" xfId="0">
      <alignment horizontal="left" vertical="center" indent="1"/>
    </xf>
    <xf numFmtId="0" fontId="21" fillId="21" borderId="18" applyAlignment="1" pivotButton="0" quotePrefix="0" xfId="0">
      <alignment horizontal="left" vertical="center"/>
    </xf>
    <xf numFmtId="3" fontId="21" fillId="21" borderId="18" applyAlignment="1" pivotButton="0" quotePrefix="0" xfId="0">
      <alignment horizontal="center" vertical="center" wrapText="1"/>
    </xf>
    <xf numFmtId="0" fontId="21" fillId="21" borderId="18" applyAlignment="1" pivotButton="0" quotePrefix="0" xfId="0">
      <alignment horizontal="center" vertical="center" wrapText="1"/>
    </xf>
    <xf numFmtId="0" fontId="0" fillId="21" borderId="18" pivotButton="0" quotePrefix="0" xfId="0"/>
    <xf numFmtId="3" fontId="13" fillId="22" borderId="18" applyAlignment="1" pivotButton="0" quotePrefix="0" xfId="0">
      <alignment horizontal="right" vertical="center"/>
    </xf>
    <xf numFmtId="0" fontId="14" fillId="21" borderId="24" applyAlignment="1" pivotButton="0" quotePrefix="0" xfId="0">
      <alignment horizontal="center" vertical="center" wrapText="1"/>
    </xf>
    <xf numFmtId="49" fontId="15" fillId="22" borderId="18" applyAlignment="1" pivotButton="0" quotePrefix="0" xfId="0">
      <alignment horizontal="left" vertical="center" wrapText="1"/>
    </xf>
    <xf numFmtId="166" fontId="13" fillId="22" borderId="18" applyAlignment="1" pivotButton="0" quotePrefix="0" xfId="0">
      <alignment horizontal="right" vertical="center"/>
    </xf>
    <xf numFmtId="166" fontId="21" fillId="21" borderId="24" applyAlignment="1" pivotButton="0" quotePrefix="0" xfId="0">
      <alignment horizontal="right" vertical="center"/>
    </xf>
    <xf numFmtId="49" fontId="13" fillId="22" borderId="18" applyAlignment="1" pivotButton="0" quotePrefix="0" xfId="0">
      <alignment horizontal="left" vertical="center"/>
    </xf>
    <xf numFmtId="3" fontId="21" fillId="21" borderId="24" applyAlignment="1" pivotButton="0" quotePrefix="0" xfId="0">
      <alignment horizontal="right" vertical="center"/>
    </xf>
    <xf numFmtId="4" fontId="13" fillId="22" borderId="18" applyAlignment="1" pivotButton="0" quotePrefix="0" xfId="0">
      <alignment horizontal="right" vertical="center"/>
    </xf>
    <xf numFmtId="4" fontId="21" fillId="21" borderId="24" applyAlignment="1" pivotButton="0" quotePrefix="0" xfId="0">
      <alignment horizontal="right" vertical="center"/>
    </xf>
    <xf numFmtId="9" fontId="13" fillId="22" borderId="18" applyAlignment="1" pivotButton="0" quotePrefix="0" xfId="0">
      <alignment horizontal="right" vertical="center"/>
    </xf>
    <xf numFmtId="49" fontId="16" fillId="22" borderId="18" applyAlignment="1" pivotButton="0" quotePrefix="0" xfId="0">
      <alignment horizontal="left" vertical="center"/>
    </xf>
    <xf numFmtId="0" fontId="10" fillId="23" borderId="17" applyAlignment="1" pivotButton="0" quotePrefix="0" xfId="0">
      <alignment horizontal="left" vertical="center" indent="1"/>
    </xf>
    <xf numFmtId="0" fontId="22" fillId="6" borderId="18" applyAlignment="1" pivotButton="0" quotePrefix="0" xfId="0">
      <alignment horizontal="left" vertical="center"/>
    </xf>
    <xf numFmtId="3" fontId="22" fillId="6" borderId="18" applyAlignment="1" pivotButton="0" quotePrefix="0" xfId="0">
      <alignment horizontal="center" vertical="center" wrapText="1"/>
    </xf>
    <xf numFmtId="0" fontId="0" fillId="6" borderId="18" pivotButton="0" quotePrefix="0" xfId="0"/>
    <xf numFmtId="0" fontId="22" fillId="6" borderId="18" applyAlignment="1" pivotButton="0" quotePrefix="0" xfId="0">
      <alignment horizontal="center" vertical="center" wrapText="1"/>
    </xf>
    <xf numFmtId="0" fontId="14" fillId="6" borderId="25" applyAlignment="1" pivotButton="0" quotePrefix="0" xfId="0">
      <alignment horizontal="center" vertical="center" wrapText="1"/>
    </xf>
    <xf numFmtId="166" fontId="22" fillId="6" borderId="25" applyAlignment="1" pivotButton="0" quotePrefix="0" xfId="0">
      <alignment horizontal="right" vertical="center"/>
    </xf>
    <xf numFmtId="3" fontId="22" fillId="6" borderId="25" applyAlignment="1" pivotButton="0" quotePrefix="0" xfId="0">
      <alignment horizontal="right" vertical="center"/>
    </xf>
    <xf numFmtId="4" fontId="22" fillId="6" borderId="25" applyAlignment="1" pivotButton="0" quotePrefix="0" xfId="0">
      <alignment horizontal="right" vertical="center"/>
    </xf>
    <xf numFmtId="0" fontId="10" fillId="24" borderId="17" applyAlignment="1" pivotButton="0" quotePrefix="0" xfId="0">
      <alignment horizontal="left" vertical="center" indent="1"/>
    </xf>
    <xf numFmtId="0" fontId="23" fillId="25" borderId="18" applyAlignment="1" pivotButton="0" quotePrefix="0" xfId="0">
      <alignment horizontal="left" vertical="center"/>
    </xf>
    <xf numFmtId="3" fontId="23" fillId="25" borderId="18" applyAlignment="1" pivotButton="0" quotePrefix="0" xfId="0">
      <alignment horizontal="center" vertical="center" wrapText="1"/>
    </xf>
    <xf numFmtId="0" fontId="0" fillId="25" borderId="18" pivotButton="0" quotePrefix="0" xfId="0"/>
    <xf numFmtId="0" fontId="23" fillId="25" borderId="18" applyAlignment="1" pivotButton="0" quotePrefix="0" xfId="0">
      <alignment horizontal="center" vertical="center" wrapText="1"/>
    </xf>
    <xf numFmtId="3" fontId="13" fillId="26" borderId="18" applyAlignment="1" pivotButton="0" quotePrefix="0" xfId="0">
      <alignment horizontal="right" vertical="center"/>
    </xf>
    <xf numFmtId="0" fontId="14" fillId="25" borderId="26" applyAlignment="1" pivotButton="0" quotePrefix="0" xfId="0">
      <alignment horizontal="center" vertical="center" wrapText="1"/>
    </xf>
    <xf numFmtId="49" fontId="15" fillId="26" borderId="18" applyAlignment="1" pivotButton="0" quotePrefix="0" xfId="0">
      <alignment horizontal="left" vertical="center" wrapText="1"/>
    </xf>
    <xf numFmtId="166" fontId="13" fillId="26" borderId="18" applyAlignment="1" pivotButton="0" quotePrefix="0" xfId="0">
      <alignment horizontal="right" vertical="center"/>
    </xf>
    <xf numFmtId="166" fontId="23" fillId="25" borderId="26" applyAlignment="1" pivotButton="0" quotePrefix="0" xfId="0">
      <alignment horizontal="right" vertical="center"/>
    </xf>
    <xf numFmtId="49" fontId="13" fillId="26" borderId="18" applyAlignment="1" pivotButton="0" quotePrefix="0" xfId="0">
      <alignment horizontal="left" vertical="center"/>
    </xf>
    <xf numFmtId="3" fontId="23" fillId="25" borderId="26" applyAlignment="1" pivotButton="0" quotePrefix="0" xfId="0">
      <alignment horizontal="right" vertical="center"/>
    </xf>
    <xf numFmtId="4" fontId="13" fillId="26" borderId="18" applyAlignment="1" pivotButton="0" quotePrefix="0" xfId="0">
      <alignment horizontal="right" vertical="center"/>
    </xf>
    <xf numFmtId="4" fontId="23" fillId="25" borderId="26" applyAlignment="1" pivotButton="0" quotePrefix="0" xfId="0">
      <alignment horizontal="right" vertical="center"/>
    </xf>
    <xf numFmtId="9" fontId="13" fillId="26" borderId="18" applyAlignment="1" pivotButton="0" quotePrefix="0" xfId="0">
      <alignment horizontal="right" vertical="center"/>
    </xf>
    <xf numFmtId="49" fontId="16" fillId="26" borderId="18" applyAlignment="1" pivotButton="0" quotePrefix="0" xfId="0">
      <alignment horizontal="left" vertical="center"/>
    </xf>
    <xf numFmtId="3" fontId="13" fillId="27" borderId="18" applyAlignment="1" pivotButton="0" quotePrefix="0" xfId="0">
      <alignment horizontal="right" vertical="center"/>
    </xf>
    <xf numFmtId="49" fontId="15" fillId="27" borderId="18" applyAlignment="1" pivotButton="0" quotePrefix="0" xfId="0">
      <alignment horizontal="left" vertical="center" wrapText="1"/>
    </xf>
    <xf numFmtId="166" fontId="13" fillId="27" borderId="18" applyAlignment="1" pivotButton="0" quotePrefix="0" xfId="0">
      <alignment horizontal="right" vertical="center"/>
    </xf>
    <xf numFmtId="49" fontId="13" fillId="27" borderId="18" applyAlignment="1" pivotButton="0" quotePrefix="0" xfId="0">
      <alignment horizontal="left" vertical="center"/>
    </xf>
    <xf numFmtId="4" fontId="13" fillId="27" borderId="18" applyAlignment="1" pivotButton="0" quotePrefix="0" xfId="0">
      <alignment horizontal="right" vertical="center"/>
    </xf>
    <xf numFmtId="9" fontId="13" fillId="27" borderId="18" applyAlignment="1" pivotButton="0" quotePrefix="0" xfId="0">
      <alignment horizontal="right" vertical="center"/>
    </xf>
    <xf numFmtId="49" fontId="16" fillId="27" borderId="18" applyAlignment="1" pivotButton="0" quotePrefix="0" xfId="0">
      <alignment horizontal="left" vertical="center"/>
    </xf>
    <xf numFmtId="3" fontId="13" fillId="28" borderId="18" applyAlignment="1" pivotButton="0" quotePrefix="0" xfId="0">
      <alignment horizontal="right" vertical="center"/>
    </xf>
    <xf numFmtId="49" fontId="15" fillId="28" borderId="18" applyAlignment="1" pivotButton="0" quotePrefix="0" xfId="0">
      <alignment horizontal="left" vertical="center" wrapText="1"/>
    </xf>
    <xf numFmtId="166" fontId="13" fillId="28" borderId="18" applyAlignment="1" pivotButton="0" quotePrefix="0" xfId="0">
      <alignment horizontal="right" vertical="center"/>
    </xf>
    <xf numFmtId="49" fontId="13" fillId="28" borderId="18" applyAlignment="1" pivotButton="0" quotePrefix="0" xfId="0">
      <alignment horizontal="left" vertical="center"/>
    </xf>
    <xf numFmtId="4" fontId="13" fillId="28" borderId="18" applyAlignment="1" pivotButton="0" quotePrefix="0" xfId="0">
      <alignment horizontal="right" vertical="center"/>
    </xf>
    <xf numFmtId="9" fontId="13" fillId="28" borderId="18" applyAlignment="1" pivotButton="0" quotePrefix="0" xfId="0">
      <alignment horizontal="right" vertical="center"/>
    </xf>
    <xf numFmtId="49" fontId="16" fillId="28" borderId="18" applyAlignment="1" pivotButton="0" quotePrefix="0" xfId="0">
      <alignment horizontal="left" vertical="center"/>
    </xf>
    <xf numFmtId="3" fontId="13" fillId="29" borderId="18" applyAlignment="1" pivotButton="0" quotePrefix="0" xfId="0">
      <alignment horizontal="right" vertical="center"/>
    </xf>
    <xf numFmtId="49" fontId="15" fillId="29" borderId="18" applyAlignment="1" pivotButton="0" quotePrefix="0" xfId="0">
      <alignment horizontal="left" vertical="center" wrapText="1"/>
    </xf>
    <xf numFmtId="166" fontId="13" fillId="29" borderId="18" applyAlignment="1" pivotButton="0" quotePrefix="0" xfId="0">
      <alignment horizontal="right" vertical="center"/>
    </xf>
    <xf numFmtId="49" fontId="13" fillId="29" borderId="18" applyAlignment="1" pivotButton="0" quotePrefix="0" xfId="0">
      <alignment horizontal="left" vertical="center"/>
    </xf>
    <xf numFmtId="4" fontId="13" fillId="29" borderId="18" applyAlignment="1" pivotButton="0" quotePrefix="0" xfId="0">
      <alignment horizontal="right" vertical="center"/>
    </xf>
    <xf numFmtId="9" fontId="13" fillId="29" borderId="18" applyAlignment="1" pivotButton="0" quotePrefix="0" xfId="0">
      <alignment horizontal="right" vertical="center"/>
    </xf>
    <xf numFmtId="49" fontId="16" fillId="29" borderId="18" applyAlignment="1" pivotButton="0" quotePrefix="0" xfId="0">
      <alignment horizontal="left" vertical="center"/>
    </xf>
    <xf numFmtId="3" fontId="13" fillId="30" borderId="18" applyAlignment="1" pivotButton="0" quotePrefix="0" xfId="0">
      <alignment horizontal="right" vertical="center"/>
    </xf>
    <xf numFmtId="49" fontId="15" fillId="30" borderId="18" applyAlignment="1" pivotButton="0" quotePrefix="0" xfId="0">
      <alignment horizontal="left" vertical="center" wrapText="1"/>
    </xf>
    <xf numFmtId="166" fontId="13" fillId="30" borderId="18" applyAlignment="1" pivotButton="0" quotePrefix="0" xfId="0">
      <alignment horizontal="right" vertical="center"/>
    </xf>
    <xf numFmtId="49" fontId="13" fillId="30" borderId="18" applyAlignment="1" pivotButton="0" quotePrefix="0" xfId="0">
      <alignment horizontal="left" vertical="center"/>
    </xf>
    <xf numFmtId="4" fontId="13" fillId="30" borderId="18" applyAlignment="1" pivotButton="0" quotePrefix="0" xfId="0">
      <alignment horizontal="right" vertical="center"/>
    </xf>
    <xf numFmtId="9" fontId="13" fillId="30" borderId="18" applyAlignment="1" pivotButton="0" quotePrefix="0" xfId="0">
      <alignment horizontal="right" vertical="center"/>
    </xf>
    <xf numFmtId="49" fontId="16" fillId="30" borderId="18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 indent="1"/>
    </xf>
    <xf numFmtId="0" fontId="8" fillId="31" borderId="18" applyAlignment="1" pivotButton="0" quotePrefix="0" xfId="0">
      <alignment horizontal="center" vertical="center" wrapText="1"/>
    </xf>
    <xf numFmtId="0" fontId="24" fillId="9" borderId="18" applyAlignment="1" pivotButton="0" quotePrefix="0" xfId="0">
      <alignment horizontal="left" vertical="center"/>
    </xf>
    <xf numFmtId="1" fontId="11" fillId="9" borderId="18" applyAlignment="1" pivotButton="0" quotePrefix="0" xfId="0">
      <alignment horizontal="center" vertical="center" wrapText="1"/>
    </xf>
    <xf numFmtId="3" fontId="11" fillId="9" borderId="18" applyAlignment="1" pivotButton="0" quotePrefix="0" xfId="0">
      <alignment horizontal="right" vertical="center"/>
    </xf>
    <xf numFmtId="0" fontId="24" fillId="13" borderId="18" applyAlignment="1" pivotButton="0" quotePrefix="0" xfId="0">
      <alignment horizontal="left" vertical="center"/>
    </xf>
    <xf numFmtId="1" fontId="17" fillId="13" borderId="18" applyAlignment="1" pivotButton="0" quotePrefix="0" xfId="0">
      <alignment horizontal="center" vertical="center" wrapText="1"/>
    </xf>
    <xf numFmtId="3" fontId="17" fillId="13" borderId="18" applyAlignment="1" pivotButton="0" quotePrefix="0" xfId="0">
      <alignment horizontal="right" vertical="center"/>
    </xf>
    <xf numFmtId="0" fontId="17" fillId="13" borderId="18" applyAlignment="1" pivotButton="0" quotePrefix="0" xfId="0">
      <alignment horizontal="center" vertical="center" wrapText="1"/>
    </xf>
    <xf numFmtId="0" fontId="24" fillId="15" borderId="18" applyAlignment="1" pivotButton="0" quotePrefix="0" xfId="0">
      <alignment horizontal="left" vertical="center"/>
    </xf>
    <xf numFmtId="1" fontId="18" fillId="15" borderId="18" applyAlignment="1" pivotButton="0" quotePrefix="0" xfId="0">
      <alignment horizontal="center" vertical="center" wrapText="1"/>
    </xf>
    <xf numFmtId="3" fontId="18" fillId="15" borderId="18" applyAlignment="1" pivotButton="0" quotePrefix="0" xfId="0">
      <alignment horizontal="right" vertical="center"/>
    </xf>
    <xf numFmtId="0" fontId="24" fillId="29" borderId="18" applyAlignment="1" pivotButton="0" quotePrefix="0" xfId="0">
      <alignment horizontal="left" vertical="center"/>
    </xf>
    <xf numFmtId="1" fontId="19" fillId="29" borderId="18" applyAlignment="1" pivotButton="0" quotePrefix="0" xfId="0">
      <alignment horizontal="center" vertical="center" wrapText="1"/>
    </xf>
    <xf numFmtId="3" fontId="19" fillId="29" borderId="18" applyAlignment="1" pivotButton="0" quotePrefix="0" xfId="0">
      <alignment horizontal="right" vertical="center"/>
    </xf>
    <xf numFmtId="0" fontId="19" fillId="29" borderId="18" applyAlignment="1" pivotButton="0" quotePrefix="0" xfId="0">
      <alignment horizontal="center" vertical="center" wrapText="1"/>
    </xf>
    <xf numFmtId="0" fontId="24" fillId="19" borderId="18" applyAlignment="1" pivotButton="0" quotePrefix="0" xfId="0">
      <alignment horizontal="left" vertical="center"/>
    </xf>
    <xf numFmtId="1" fontId="20" fillId="19" borderId="18" applyAlignment="1" pivotButton="0" quotePrefix="0" xfId="0">
      <alignment horizontal="center" vertical="center" wrapText="1"/>
    </xf>
    <xf numFmtId="3" fontId="20" fillId="19" borderId="18" applyAlignment="1" pivotButton="0" quotePrefix="0" xfId="0">
      <alignment horizontal="right" vertical="center"/>
    </xf>
    <xf numFmtId="0" fontId="24" fillId="22" borderId="18" applyAlignment="1" pivotButton="0" quotePrefix="0" xfId="0">
      <alignment horizontal="left" vertical="center"/>
    </xf>
    <xf numFmtId="1" fontId="21" fillId="22" borderId="18" applyAlignment="1" pivotButton="0" quotePrefix="0" xfId="0">
      <alignment horizontal="center" vertical="center" wrapText="1"/>
    </xf>
    <xf numFmtId="3" fontId="21" fillId="22" borderId="18" applyAlignment="1" pivotButton="0" quotePrefix="0" xfId="0">
      <alignment horizontal="right" vertical="center"/>
    </xf>
    <xf numFmtId="0" fontId="21" fillId="22" borderId="18" applyAlignment="1" pivotButton="0" quotePrefix="0" xfId="0">
      <alignment horizontal="center" vertical="center" wrapText="1"/>
    </xf>
    <xf numFmtId="0" fontId="24" fillId="6" borderId="18" applyAlignment="1" pivotButton="0" quotePrefix="0" xfId="0">
      <alignment horizontal="left" vertical="center"/>
    </xf>
    <xf numFmtId="1" fontId="22" fillId="6" borderId="18" applyAlignment="1" pivotButton="0" quotePrefix="0" xfId="0">
      <alignment horizontal="center" vertical="center" wrapText="1"/>
    </xf>
    <xf numFmtId="3" fontId="22" fillId="6" borderId="18" applyAlignment="1" pivotButton="0" quotePrefix="0" xfId="0">
      <alignment horizontal="right" vertical="center"/>
    </xf>
    <xf numFmtId="0" fontId="24" fillId="26" borderId="18" applyAlignment="1" pivotButton="0" quotePrefix="0" xfId="0">
      <alignment horizontal="left" vertical="center"/>
    </xf>
    <xf numFmtId="1" fontId="23" fillId="26" borderId="18" applyAlignment="1" pivotButton="0" quotePrefix="0" xfId="0">
      <alignment horizontal="center" vertical="center" wrapText="1"/>
    </xf>
    <xf numFmtId="3" fontId="23" fillId="26" borderId="18" applyAlignment="1" pivotButton="0" quotePrefix="0" xfId="0">
      <alignment horizontal="right" vertical="center"/>
    </xf>
    <xf numFmtId="0" fontId="23" fillId="26" borderId="18" applyAlignment="1" pivotButton="0" quotePrefix="0" xfId="0">
      <alignment horizontal="center" vertical="center" wrapText="1"/>
    </xf>
    <xf numFmtId="0" fontId="8" fillId="4" borderId="18" applyAlignment="1" pivotButton="0" quotePrefix="0" xfId="0">
      <alignment horizontal="left" vertical="center"/>
    </xf>
    <xf numFmtId="1" fontId="8" fillId="4" borderId="18" applyAlignment="1" pivotButton="0" quotePrefix="0" xfId="0">
      <alignment horizontal="center" vertical="center" wrapText="1"/>
    </xf>
    <xf numFmtId="3" fontId="8" fillId="4" borderId="18" applyAlignment="1" pivotButton="0" quotePrefix="0" xfId="0">
      <alignment horizontal="right" vertical="center"/>
    </xf>
    <xf numFmtId="0" fontId="8" fillId="4" borderId="18" applyAlignment="1" pivotButton="0" quotePrefix="0" xfId="0">
      <alignment horizontal="center" vertical="center" wrapText="1"/>
    </xf>
    <xf numFmtId="0" fontId="25" fillId="16" borderId="0" applyAlignment="1" pivotButton="0" quotePrefix="0" xfId="0">
      <alignment horizontal="right" vertical="center"/>
    </xf>
    <xf numFmtId="1" fontId="27" fillId="33" borderId="0" applyAlignment="1" pivotButton="0" quotePrefix="0" xfId="0">
      <alignment horizontal="left" vertical="center" indent="1"/>
    </xf>
    <xf numFmtId="3" fontId="27" fillId="33" borderId="0" applyAlignment="1" pivotButton="0" quotePrefix="0" xfId="0">
      <alignment horizontal="left" vertical="center" indent="1"/>
    </xf>
    <xf numFmtId="0" fontId="25" fillId="7" borderId="18" applyAlignment="1" pivotButton="0" quotePrefix="0" xfId="0">
      <alignment horizontal="center" vertical="center" wrapText="1"/>
    </xf>
    <xf numFmtId="0" fontId="25" fillId="8" borderId="18" applyAlignment="1" pivotButton="0" quotePrefix="0" xfId="0">
      <alignment horizontal="center" vertical="center" wrapText="1"/>
    </xf>
    <xf numFmtId="0" fontId="25" fillId="11" borderId="18" applyAlignment="1" pivotButton="0" quotePrefix="0" xfId="0">
      <alignment horizontal="center" vertical="center" wrapText="1"/>
    </xf>
    <xf numFmtId="0" fontId="25" fillId="14" borderId="18" applyAlignment="1" pivotButton="0" quotePrefix="0" xfId="0">
      <alignment horizontal="center" vertical="center" wrapText="1"/>
    </xf>
    <xf numFmtId="0" fontId="25" fillId="16" borderId="18" applyAlignment="1" pivotButton="0" quotePrefix="0" xfId="0">
      <alignment horizontal="center" vertical="center" wrapText="1"/>
    </xf>
    <xf numFmtId="0" fontId="25" fillId="20" borderId="18" applyAlignment="1" pivotButton="0" quotePrefix="0" xfId="0">
      <alignment horizontal="center" vertical="center" wrapText="1"/>
    </xf>
    <xf numFmtId="0" fontId="25" fillId="18" borderId="18" applyAlignment="1" pivotButton="0" quotePrefix="0" xfId="0">
      <alignment horizontal="center" vertical="center" wrapText="1"/>
    </xf>
    <xf numFmtId="0" fontId="25" fillId="23" borderId="18" applyAlignment="1" pivotButton="0" quotePrefix="0" xfId="0">
      <alignment horizontal="center" vertical="center" wrapText="1"/>
    </xf>
    <xf numFmtId="0" fontId="25" fillId="32" borderId="18" applyAlignment="1" pivotButton="0" quotePrefix="0" xfId="0">
      <alignment horizontal="center" vertical="center" wrapText="1"/>
    </xf>
    <xf numFmtId="0" fontId="8" fillId="8" borderId="17" applyAlignment="1" pivotButton="0" quotePrefix="0" xfId="0">
      <alignment horizontal="left" vertical="center" indent="1"/>
    </xf>
    <xf numFmtId="0" fontId="0" fillId="8" borderId="17" pivotButton="0" quotePrefix="0" xfId="0"/>
    <xf numFmtId="0" fontId="25" fillId="8" borderId="17" applyAlignment="1" pivotButton="0" quotePrefix="0" xfId="0">
      <alignment horizontal="left" vertical="center"/>
    </xf>
    <xf numFmtId="166" fontId="8" fillId="8" borderId="17" applyAlignment="1" pivotButton="0" quotePrefix="0" xfId="0">
      <alignment horizontal="right" vertical="center"/>
    </xf>
    <xf numFmtId="3" fontId="8" fillId="8" borderId="17" applyAlignment="1" pivotButton="0" quotePrefix="0" xfId="0">
      <alignment horizontal="right" vertical="center"/>
    </xf>
    <xf numFmtId="4" fontId="8" fillId="8" borderId="17" applyAlignment="1" pivotButton="0" quotePrefix="0" xfId="0">
      <alignment horizontal="right" vertical="center"/>
    </xf>
    <xf numFmtId="49" fontId="26" fillId="9" borderId="18" applyAlignment="1" pivotButton="0" quotePrefix="0" xfId="0">
      <alignment horizontal="left" vertical="center" wrapText="1"/>
    </xf>
    <xf numFmtId="3" fontId="26" fillId="9" borderId="18" applyAlignment="1" pivotButton="0" quotePrefix="0" xfId="0">
      <alignment horizontal="right" vertical="center"/>
    </xf>
    <xf numFmtId="166" fontId="26" fillId="9" borderId="18" applyAlignment="1" pivotButton="0" quotePrefix="0" xfId="0">
      <alignment horizontal="right" vertical="center"/>
    </xf>
    <xf numFmtId="49" fontId="26" fillId="9" borderId="18" applyAlignment="1" pivotButton="0" quotePrefix="0" xfId="0">
      <alignment horizontal="left" vertical="center"/>
    </xf>
    <xf numFmtId="4" fontId="26" fillId="9" borderId="18" applyAlignment="1" pivotButton="0" quotePrefix="0" xfId="0">
      <alignment horizontal="right" vertical="center"/>
    </xf>
    <xf numFmtId="9" fontId="26" fillId="9" borderId="18" applyAlignment="1" pivotButton="0" quotePrefix="0" xfId="0">
      <alignment horizontal="right" vertical="center"/>
    </xf>
    <xf numFmtId="0" fontId="8" fillId="11" borderId="17" applyAlignment="1" pivotButton="0" quotePrefix="0" xfId="0">
      <alignment horizontal="left" vertical="center" indent="1"/>
    </xf>
    <xf numFmtId="0" fontId="0" fillId="11" borderId="17" pivotButton="0" quotePrefix="0" xfId="0"/>
    <xf numFmtId="0" fontId="25" fillId="11" borderId="17" applyAlignment="1" pivotButton="0" quotePrefix="0" xfId="0">
      <alignment horizontal="left" vertical="center"/>
    </xf>
    <xf numFmtId="166" fontId="8" fillId="11" borderId="17" applyAlignment="1" pivotButton="0" quotePrefix="0" xfId="0">
      <alignment horizontal="right" vertical="center"/>
    </xf>
    <xf numFmtId="3" fontId="8" fillId="11" borderId="17" applyAlignment="1" pivotButton="0" quotePrefix="0" xfId="0">
      <alignment horizontal="right" vertical="center"/>
    </xf>
    <xf numFmtId="4" fontId="8" fillId="11" borderId="17" applyAlignment="1" pivotButton="0" quotePrefix="0" xfId="0">
      <alignment horizontal="right" vertical="center"/>
    </xf>
    <xf numFmtId="49" fontId="26" fillId="12" borderId="18" applyAlignment="1" pivotButton="0" quotePrefix="0" xfId="0">
      <alignment horizontal="left" vertical="center" wrapText="1"/>
    </xf>
    <xf numFmtId="3" fontId="26" fillId="12" borderId="18" applyAlignment="1" pivotButton="0" quotePrefix="0" xfId="0">
      <alignment horizontal="right" vertical="center"/>
    </xf>
    <xf numFmtId="166" fontId="26" fillId="12" borderId="18" applyAlignment="1" pivotButton="0" quotePrefix="0" xfId="0">
      <alignment horizontal="right" vertical="center"/>
    </xf>
    <xf numFmtId="49" fontId="26" fillId="12" borderId="18" applyAlignment="1" pivotButton="0" quotePrefix="0" xfId="0">
      <alignment horizontal="left" vertical="center"/>
    </xf>
    <xf numFmtId="4" fontId="26" fillId="12" borderId="18" applyAlignment="1" pivotButton="0" quotePrefix="0" xfId="0">
      <alignment horizontal="right" vertical="center"/>
    </xf>
    <xf numFmtId="9" fontId="26" fillId="12" borderId="18" applyAlignment="1" pivotButton="0" quotePrefix="0" xfId="0">
      <alignment horizontal="right" vertical="center"/>
    </xf>
    <xf numFmtId="49" fontId="26" fillId="13" borderId="18" applyAlignment="1" pivotButton="0" quotePrefix="0" xfId="0">
      <alignment horizontal="left" vertical="center" wrapText="1"/>
    </xf>
    <xf numFmtId="3" fontId="26" fillId="13" borderId="18" applyAlignment="1" pivotButton="0" quotePrefix="0" xfId="0">
      <alignment horizontal="right" vertical="center"/>
    </xf>
    <xf numFmtId="166" fontId="26" fillId="13" borderId="18" applyAlignment="1" pivotButton="0" quotePrefix="0" xfId="0">
      <alignment horizontal="right" vertical="center"/>
    </xf>
    <xf numFmtId="49" fontId="26" fillId="13" borderId="18" applyAlignment="1" pivotButton="0" quotePrefix="0" xfId="0">
      <alignment horizontal="left" vertical="center"/>
    </xf>
    <xf numFmtId="4" fontId="26" fillId="13" borderId="18" applyAlignment="1" pivotButton="0" quotePrefix="0" xfId="0">
      <alignment horizontal="right" vertical="center"/>
    </xf>
    <xf numFmtId="9" fontId="26" fillId="13" borderId="18" applyAlignment="1" pivotButton="0" quotePrefix="0" xfId="0">
      <alignment horizontal="right" vertical="center"/>
    </xf>
    <xf numFmtId="0" fontId="8" fillId="14" borderId="17" applyAlignment="1" pivotButton="0" quotePrefix="0" xfId="0">
      <alignment horizontal="left" vertical="center" indent="1"/>
    </xf>
    <xf numFmtId="0" fontId="0" fillId="14" borderId="17" pivotButton="0" quotePrefix="0" xfId="0"/>
    <xf numFmtId="0" fontId="25" fillId="14" borderId="17" applyAlignment="1" pivotButton="0" quotePrefix="0" xfId="0">
      <alignment horizontal="left" vertical="center"/>
    </xf>
    <xf numFmtId="166" fontId="8" fillId="14" borderId="17" applyAlignment="1" pivotButton="0" quotePrefix="0" xfId="0">
      <alignment horizontal="right" vertical="center"/>
    </xf>
    <xf numFmtId="3" fontId="8" fillId="14" borderId="17" applyAlignment="1" pivotButton="0" quotePrefix="0" xfId="0">
      <alignment horizontal="right" vertical="center"/>
    </xf>
    <xf numFmtId="4" fontId="8" fillId="14" borderId="17" applyAlignment="1" pivotButton="0" quotePrefix="0" xfId="0">
      <alignment horizontal="right" vertical="center"/>
    </xf>
    <xf numFmtId="49" fontId="26" fillId="15" borderId="18" applyAlignment="1" pivotButton="0" quotePrefix="0" xfId="0">
      <alignment horizontal="left" vertical="center" wrapText="1"/>
    </xf>
    <xf numFmtId="3" fontId="26" fillId="15" borderId="18" applyAlignment="1" pivotButton="0" quotePrefix="0" xfId="0">
      <alignment horizontal="right" vertical="center"/>
    </xf>
    <xf numFmtId="166" fontId="26" fillId="15" borderId="18" applyAlignment="1" pivotButton="0" quotePrefix="0" xfId="0">
      <alignment horizontal="right" vertical="center"/>
    </xf>
    <xf numFmtId="49" fontId="26" fillId="15" borderId="18" applyAlignment="1" pivotButton="0" quotePrefix="0" xfId="0">
      <alignment horizontal="left" vertical="center"/>
    </xf>
    <xf numFmtId="4" fontId="26" fillId="15" borderId="18" applyAlignment="1" pivotButton="0" quotePrefix="0" xfId="0">
      <alignment horizontal="right" vertical="center"/>
    </xf>
    <xf numFmtId="9" fontId="26" fillId="15" borderId="18" applyAlignment="1" pivotButton="0" quotePrefix="0" xfId="0">
      <alignment horizontal="right" vertical="center"/>
    </xf>
    <xf numFmtId="0" fontId="8" fillId="16" borderId="17" applyAlignment="1" pivotButton="0" quotePrefix="0" xfId="0">
      <alignment horizontal="left" vertical="center" indent="1"/>
    </xf>
    <xf numFmtId="0" fontId="0" fillId="16" borderId="17" pivotButton="0" quotePrefix="0" xfId="0"/>
    <xf numFmtId="0" fontId="25" fillId="16" borderId="17" applyAlignment="1" pivotButton="0" quotePrefix="0" xfId="0">
      <alignment horizontal="left" vertical="center"/>
    </xf>
    <xf numFmtId="166" fontId="8" fillId="16" borderId="17" applyAlignment="1" pivotButton="0" quotePrefix="0" xfId="0">
      <alignment horizontal="right" vertical="center"/>
    </xf>
    <xf numFmtId="3" fontId="8" fillId="16" borderId="17" applyAlignment="1" pivotButton="0" quotePrefix="0" xfId="0">
      <alignment horizontal="right" vertical="center"/>
    </xf>
    <xf numFmtId="4" fontId="8" fillId="16" borderId="17" applyAlignment="1" pivotButton="0" quotePrefix="0" xfId="0">
      <alignment horizontal="right" vertical="center"/>
    </xf>
    <xf numFmtId="49" fontId="26" fillId="17" borderId="18" applyAlignment="1" pivotButton="0" quotePrefix="0" xfId="0">
      <alignment horizontal="left" vertical="center" wrapText="1"/>
    </xf>
    <xf numFmtId="3" fontId="26" fillId="17" borderId="18" applyAlignment="1" pivotButton="0" quotePrefix="0" xfId="0">
      <alignment horizontal="right" vertical="center"/>
    </xf>
    <xf numFmtId="166" fontId="26" fillId="17" borderId="18" applyAlignment="1" pivotButton="0" quotePrefix="0" xfId="0">
      <alignment horizontal="right" vertical="center"/>
    </xf>
    <xf numFmtId="49" fontId="26" fillId="17" borderId="18" applyAlignment="1" pivotButton="0" quotePrefix="0" xfId="0">
      <alignment horizontal="left" vertical="center"/>
    </xf>
    <xf numFmtId="4" fontId="26" fillId="17" borderId="18" applyAlignment="1" pivotButton="0" quotePrefix="0" xfId="0">
      <alignment horizontal="right" vertical="center"/>
    </xf>
    <xf numFmtId="9" fontId="26" fillId="17" borderId="18" applyAlignment="1" pivotButton="0" quotePrefix="0" xfId="0">
      <alignment horizontal="right" vertical="center"/>
    </xf>
    <xf numFmtId="0" fontId="8" fillId="18" borderId="17" applyAlignment="1" pivotButton="0" quotePrefix="0" xfId="0">
      <alignment horizontal="left" vertical="center" indent="1"/>
    </xf>
    <xf numFmtId="0" fontId="0" fillId="18" borderId="17" pivotButton="0" quotePrefix="0" xfId="0"/>
    <xf numFmtId="0" fontId="25" fillId="18" borderId="17" applyAlignment="1" pivotButton="0" quotePrefix="0" xfId="0">
      <alignment horizontal="left" vertical="center"/>
    </xf>
    <xf numFmtId="166" fontId="8" fillId="18" borderId="17" applyAlignment="1" pivotButton="0" quotePrefix="0" xfId="0">
      <alignment horizontal="right" vertical="center"/>
    </xf>
    <xf numFmtId="3" fontId="8" fillId="18" borderId="17" applyAlignment="1" pivotButton="0" quotePrefix="0" xfId="0">
      <alignment horizontal="right" vertical="center"/>
    </xf>
    <xf numFmtId="4" fontId="8" fillId="18" borderId="17" applyAlignment="1" pivotButton="0" quotePrefix="0" xfId="0">
      <alignment horizontal="right" vertical="center"/>
    </xf>
    <xf numFmtId="49" fontId="26" fillId="19" borderId="18" applyAlignment="1" pivotButton="0" quotePrefix="0" xfId="0">
      <alignment horizontal="left" vertical="center" wrapText="1"/>
    </xf>
    <xf numFmtId="3" fontId="26" fillId="19" borderId="18" applyAlignment="1" pivotButton="0" quotePrefix="0" xfId="0">
      <alignment horizontal="right" vertical="center"/>
    </xf>
    <xf numFmtId="166" fontId="26" fillId="19" borderId="18" applyAlignment="1" pivotButton="0" quotePrefix="0" xfId="0">
      <alignment horizontal="right" vertical="center"/>
    </xf>
    <xf numFmtId="49" fontId="26" fillId="19" borderId="18" applyAlignment="1" pivotButton="0" quotePrefix="0" xfId="0">
      <alignment horizontal="left" vertical="center"/>
    </xf>
    <xf numFmtId="4" fontId="26" fillId="19" borderId="18" applyAlignment="1" pivotButton="0" quotePrefix="0" xfId="0">
      <alignment horizontal="right" vertical="center"/>
    </xf>
    <xf numFmtId="9" fontId="26" fillId="19" borderId="18" applyAlignment="1" pivotButton="0" quotePrefix="0" xfId="0">
      <alignment horizontal="right" vertical="center"/>
    </xf>
    <xf numFmtId="0" fontId="8" fillId="20" borderId="17" applyAlignment="1" pivotButton="0" quotePrefix="0" xfId="0">
      <alignment horizontal="left" vertical="center" indent="1"/>
    </xf>
    <xf numFmtId="0" fontId="0" fillId="20" borderId="17" pivotButton="0" quotePrefix="0" xfId="0"/>
    <xf numFmtId="0" fontId="25" fillId="20" borderId="17" applyAlignment="1" pivotButton="0" quotePrefix="0" xfId="0">
      <alignment horizontal="left" vertical="center"/>
    </xf>
    <xf numFmtId="166" fontId="8" fillId="20" borderId="17" applyAlignment="1" pivotButton="0" quotePrefix="0" xfId="0">
      <alignment horizontal="right" vertical="center"/>
    </xf>
    <xf numFmtId="3" fontId="8" fillId="20" borderId="17" applyAlignment="1" pivotButton="0" quotePrefix="0" xfId="0">
      <alignment horizontal="right" vertical="center"/>
    </xf>
    <xf numFmtId="4" fontId="8" fillId="20" borderId="17" applyAlignment="1" pivotButton="0" quotePrefix="0" xfId="0">
      <alignment horizontal="right" vertical="center"/>
    </xf>
    <xf numFmtId="49" fontId="26" fillId="21" borderId="18" applyAlignment="1" pivotButton="0" quotePrefix="0" xfId="0">
      <alignment horizontal="left" vertical="center" wrapText="1"/>
    </xf>
    <xf numFmtId="3" fontId="26" fillId="21" borderId="18" applyAlignment="1" pivotButton="0" quotePrefix="0" xfId="0">
      <alignment horizontal="right" vertical="center"/>
    </xf>
    <xf numFmtId="166" fontId="26" fillId="21" borderId="18" applyAlignment="1" pivotButton="0" quotePrefix="0" xfId="0">
      <alignment horizontal="right" vertical="center"/>
    </xf>
    <xf numFmtId="49" fontId="26" fillId="21" borderId="18" applyAlignment="1" pivotButton="0" quotePrefix="0" xfId="0">
      <alignment horizontal="left" vertical="center"/>
    </xf>
    <xf numFmtId="4" fontId="26" fillId="21" borderId="18" applyAlignment="1" pivotButton="0" quotePrefix="0" xfId="0">
      <alignment horizontal="right" vertical="center"/>
    </xf>
    <xf numFmtId="9" fontId="26" fillId="21" borderId="18" applyAlignment="1" pivotButton="0" quotePrefix="0" xfId="0">
      <alignment horizontal="right" vertical="center"/>
    </xf>
    <xf numFmtId="49" fontId="26" fillId="22" borderId="18" applyAlignment="1" pivotButton="0" quotePrefix="0" xfId="0">
      <alignment horizontal="left" vertical="center" wrapText="1"/>
    </xf>
    <xf numFmtId="3" fontId="26" fillId="22" borderId="18" applyAlignment="1" pivotButton="0" quotePrefix="0" xfId="0">
      <alignment horizontal="right" vertical="center"/>
    </xf>
    <xf numFmtId="166" fontId="26" fillId="22" borderId="18" applyAlignment="1" pivotButton="0" quotePrefix="0" xfId="0">
      <alignment horizontal="right" vertical="center"/>
    </xf>
    <xf numFmtId="49" fontId="26" fillId="22" borderId="18" applyAlignment="1" pivotButton="0" quotePrefix="0" xfId="0">
      <alignment horizontal="left" vertical="center"/>
    </xf>
    <xf numFmtId="4" fontId="26" fillId="22" borderId="18" applyAlignment="1" pivotButton="0" quotePrefix="0" xfId="0">
      <alignment horizontal="right" vertical="center"/>
    </xf>
    <xf numFmtId="9" fontId="26" fillId="22" borderId="18" applyAlignment="1" pivotButton="0" quotePrefix="0" xfId="0">
      <alignment horizontal="right" vertical="center"/>
    </xf>
    <xf numFmtId="0" fontId="8" fillId="23" borderId="17" applyAlignment="1" pivotButton="0" quotePrefix="0" xfId="0">
      <alignment horizontal="left" vertical="center" indent="1"/>
    </xf>
    <xf numFmtId="0" fontId="0" fillId="23" borderId="17" pivotButton="0" quotePrefix="0" xfId="0"/>
    <xf numFmtId="0" fontId="25" fillId="23" borderId="17" applyAlignment="1" pivotButton="0" quotePrefix="0" xfId="0">
      <alignment horizontal="left" vertical="center"/>
    </xf>
    <xf numFmtId="166" fontId="8" fillId="23" borderId="17" applyAlignment="1" pivotButton="0" quotePrefix="0" xfId="0">
      <alignment horizontal="right" vertical="center"/>
    </xf>
    <xf numFmtId="3" fontId="8" fillId="23" borderId="17" applyAlignment="1" pivotButton="0" quotePrefix="0" xfId="0">
      <alignment horizontal="right" vertical="center"/>
    </xf>
    <xf numFmtId="4" fontId="8" fillId="23" borderId="17" applyAlignment="1" pivotButton="0" quotePrefix="0" xfId="0">
      <alignment horizontal="right" vertical="center"/>
    </xf>
    <xf numFmtId="49" fontId="26" fillId="6" borderId="18" applyAlignment="1" pivotButton="0" quotePrefix="0" xfId="0">
      <alignment horizontal="left" vertical="center" wrapText="1"/>
    </xf>
    <xf numFmtId="3" fontId="26" fillId="6" borderId="18" applyAlignment="1" pivotButton="0" quotePrefix="0" xfId="0">
      <alignment horizontal="right" vertical="center"/>
    </xf>
    <xf numFmtId="166" fontId="26" fillId="6" borderId="18" applyAlignment="1" pivotButton="0" quotePrefix="0" xfId="0">
      <alignment horizontal="right" vertical="center"/>
    </xf>
    <xf numFmtId="49" fontId="26" fillId="6" borderId="18" applyAlignment="1" pivotButton="0" quotePrefix="0" xfId="0">
      <alignment horizontal="left" vertical="center"/>
    </xf>
    <xf numFmtId="4" fontId="26" fillId="6" borderId="18" applyAlignment="1" pivotButton="0" quotePrefix="0" xfId="0">
      <alignment horizontal="right" vertical="center"/>
    </xf>
    <xf numFmtId="9" fontId="26" fillId="6" borderId="18" applyAlignment="1" pivotButton="0" quotePrefix="0" xfId="0">
      <alignment horizontal="right" vertical="center"/>
    </xf>
    <xf numFmtId="0" fontId="8" fillId="24" borderId="17" applyAlignment="1" pivotButton="0" quotePrefix="0" xfId="0">
      <alignment horizontal="left" vertical="center" indent="1"/>
    </xf>
    <xf numFmtId="0" fontId="0" fillId="24" borderId="17" pivotButton="0" quotePrefix="0" xfId="0"/>
    <xf numFmtId="0" fontId="25" fillId="24" borderId="17" applyAlignment="1" pivotButton="0" quotePrefix="0" xfId="0">
      <alignment horizontal="left" vertical="center"/>
    </xf>
    <xf numFmtId="166" fontId="8" fillId="24" borderId="17" applyAlignment="1" pivotButton="0" quotePrefix="0" xfId="0">
      <alignment horizontal="right" vertical="center"/>
    </xf>
    <xf numFmtId="3" fontId="8" fillId="24" borderId="17" applyAlignment="1" pivotButton="0" quotePrefix="0" xfId="0">
      <alignment horizontal="right" vertical="center"/>
    </xf>
    <xf numFmtId="4" fontId="8" fillId="24" borderId="17" applyAlignment="1" pivotButton="0" quotePrefix="0" xfId="0">
      <alignment horizontal="right" vertical="center"/>
    </xf>
    <xf numFmtId="49" fontId="26" fillId="25" borderId="18" applyAlignment="1" pivotButton="0" quotePrefix="0" xfId="0">
      <alignment horizontal="left" vertical="center" wrapText="1"/>
    </xf>
    <xf numFmtId="3" fontId="26" fillId="25" borderId="18" applyAlignment="1" pivotButton="0" quotePrefix="0" xfId="0">
      <alignment horizontal="right" vertical="center"/>
    </xf>
    <xf numFmtId="166" fontId="26" fillId="25" borderId="18" applyAlignment="1" pivotButton="0" quotePrefix="0" xfId="0">
      <alignment horizontal="right" vertical="center"/>
    </xf>
    <xf numFmtId="49" fontId="26" fillId="25" borderId="18" applyAlignment="1" pivotButton="0" quotePrefix="0" xfId="0">
      <alignment horizontal="left" vertical="center"/>
    </xf>
    <xf numFmtId="4" fontId="26" fillId="25" borderId="18" applyAlignment="1" pivotButton="0" quotePrefix="0" xfId="0">
      <alignment horizontal="right" vertical="center"/>
    </xf>
    <xf numFmtId="9" fontId="26" fillId="25" borderId="18" applyAlignment="1" pivotButton="0" quotePrefix="0" xfId="0">
      <alignment horizontal="right" vertical="center"/>
    </xf>
    <xf numFmtId="49" fontId="26" fillId="26" borderId="18" applyAlignment="1" pivotButton="0" quotePrefix="0" xfId="0">
      <alignment horizontal="left" vertical="center" wrapText="1"/>
    </xf>
    <xf numFmtId="3" fontId="26" fillId="26" borderId="18" applyAlignment="1" pivotButton="0" quotePrefix="0" xfId="0">
      <alignment horizontal="right" vertical="center"/>
    </xf>
    <xf numFmtId="166" fontId="26" fillId="26" borderId="18" applyAlignment="1" pivotButton="0" quotePrefix="0" xfId="0">
      <alignment horizontal="right" vertical="center"/>
    </xf>
    <xf numFmtId="49" fontId="26" fillId="26" borderId="18" applyAlignment="1" pivotButton="0" quotePrefix="0" xfId="0">
      <alignment horizontal="left" vertical="center"/>
    </xf>
    <xf numFmtId="4" fontId="26" fillId="26" borderId="18" applyAlignment="1" pivotButton="0" quotePrefix="0" xfId="0">
      <alignment horizontal="right" vertical="center"/>
    </xf>
    <xf numFmtId="9" fontId="26" fillId="26" borderId="18" applyAlignment="1" pivotButton="0" quotePrefix="0" xfId="0">
      <alignment horizontal="right" vertical="center"/>
    </xf>
    <xf numFmtId="49" fontId="26" fillId="27" borderId="18" applyAlignment="1" pivotButton="0" quotePrefix="0" xfId="0">
      <alignment horizontal="left" vertical="center" wrapText="1"/>
    </xf>
    <xf numFmtId="3" fontId="26" fillId="27" borderId="18" applyAlignment="1" pivotButton="0" quotePrefix="0" xfId="0">
      <alignment horizontal="right" vertical="center"/>
    </xf>
    <xf numFmtId="166" fontId="26" fillId="27" borderId="18" applyAlignment="1" pivotButton="0" quotePrefix="0" xfId="0">
      <alignment horizontal="right" vertical="center"/>
    </xf>
    <xf numFmtId="49" fontId="26" fillId="27" borderId="18" applyAlignment="1" pivotButton="0" quotePrefix="0" xfId="0">
      <alignment horizontal="left" vertical="center"/>
    </xf>
    <xf numFmtId="4" fontId="26" fillId="27" borderId="18" applyAlignment="1" pivotButton="0" quotePrefix="0" xfId="0">
      <alignment horizontal="right" vertical="center"/>
    </xf>
    <xf numFmtId="9" fontId="26" fillId="27" borderId="18" applyAlignment="1" pivotButton="0" quotePrefix="0" xfId="0">
      <alignment horizontal="right" vertical="center"/>
    </xf>
    <xf numFmtId="49" fontId="26" fillId="28" borderId="18" applyAlignment="1" pivotButton="0" quotePrefix="0" xfId="0">
      <alignment horizontal="left" vertical="center" wrapText="1"/>
    </xf>
    <xf numFmtId="3" fontId="26" fillId="28" borderId="18" applyAlignment="1" pivotButton="0" quotePrefix="0" xfId="0">
      <alignment horizontal="right" vertical="center"/>
    </xf>
    <xf numFmtId="166" fontId="26" fillId="28" borderId="18" applyAlignment="1" pivotButton="0" quotePrefix="0" xfId="0">
      <alignment horizontal="right" vertical="center"/>
    </xf>
    <xf numFmtId="49" fontId="26" fillId="28" borderId="18" applyAlignment="1" pivotButton="0" quotePrefix="0" xfId="0">
      <alignment horizontal="left" vertical="center"/>
    </xf>
    <xf numFmtId="4" fontId="26" fillId="28" borderId="18" applyAlignment="1" pivotButton="0" quotePrefix="0" xfId="0">
      <alignment horizontal="right" vertical="center"/>
    </xf>
    <xf numFmtId="9" fontId="26" fillId="28" borderId="18" applyAlignment="1" pivotButton="0" quotePrefix="0" xfId="0">
      <alignment horizontal="right" vertical="center"/>
    </xf>
    <xf numFmtId="49" fontId="26" fillId="29" borderId="18" applyAlignment="1" pivotButton="0" quotePrefix="0" xfId="0">
      <alignment horizontal="left" vertical="center" wrapText="1"/>
    </xf>
    <xf numFmtId="3" fontId="26" fillId="29" borderId="18" applyAlignment="1" pivotButton="0" quotePrefix="0" xfId="0">
      <alignment horizontal="right" vertical="center"/>
    </xf>
    <xf numFmtId="166" fontId="26" fillId="29" borderId="18" applyAlignment="1" pivotButton="0" quotePrefix="0" xfId="0">
      <alignment horizontal="right" vertical="center"/>
    </xf>
    <xf numFmtId="49" fontId="26" fillId="29" borderId="18" applyAlignment="1" pivotButton="0" quotePrefix="0" xfId="0">
      <alignment horizontal="left" vertical="center"/>
    </xf>
    <xf numFmtId="4" fontId="26" fillId="29" borderId="18" applyAlignment="1" pivotButton="0" quotePrefix="0" xfId="0">
      <alignment horizontal="right" vertical="center"/>
    </xf>
    <xf numFmtId="9" fontId="26" fillId="29" borderId="18" applyAlignment="1" pivotButton="0" quotePrefix="0" xfId="0">
      <alignment horizontal="right" vertical="center"/>
    </xf>
    <xf numFmtId="49" fontId="26" fillId="30" borderId="18" applyAlignment="1" pivotButton="0" quotePrefix="0" xfId="0">
      <alignment horizontal="left" vertical="center" wrapText="1"/>
    </xf>
    <xf numFmtId="3" fontId="26" fillId="30" borderId="18" applyAlignment="1" pivotButton="0" quotePrefix="0" xfId="0">
      <alignment horizontal="right" vertical="center"/>
    </xf>
    <xf numFmtId="166" fontId="26" fillId="30" borderId="18" applyAlignment="1" pivotButton="0" quotePrefix="0" xfId="0">
      <alignment horizontal="right" vertical="center"/>
    </xf>
    <xf numFmtId="49" fontId="26" fillId="30" borderId="18" applyAlignment="1" pivotButton="0" quotePrefix="0" xfId="0">
      <alignment horizontal="left" vertical="center"/>
    </xf>
    <xf numFmtId="4" fontId="26" fillId="30" borderId="18" applyAlignment="1" pivotButton="0" quotePrefix="0" xfId="0">
      <alignment horizontal="right" vertical="center"/>
    </xf>
    <xf numFmtId="9" fontId="26" fillId="30" borderId="18" applyAlignment="1" pivotButton="0" quotePrefix="0" xfId="0">
      <alignment horizontal="right" vertical="center"/>
    </xf>
    <xf numFmtId="0" fontId="8" fillId="4" borderId="17" applyAlignment="1" pivotButton="0" quotePrefix="0" xfId="0">
      <alignment horizontal="left" vertical="center" indent="1"/>
    </xf>
    <xf numFmtId="0" fontId="8" fillId="4" borderId="17" pivotButton="0" quotePrefix="0" xfId="0"/>
    <xf numFmtId="166" fontId="8" fillId="4" borderId="17" applyAlignment="1" pivotButton="0" quotePrefix="0" xfId="0">
      <alignment horizontal="right" vertical="center"/>
    </xf>
    <xf numFmtId="3" fontId="8" fillId="4" borderId="17" applyAlignment="1" pivotButton="0" quotePrefix="0" xfId="0">
      <alignment horizontal="right" vertical="center"/>
    </xf>
    <xf numFmtId="4" fontId="8" fillId="4" borderId="17" applyAlignment="1" pivotButton="0" quotePrefix="0" xfId="0">
      <alignment horizontal="right" vertical="center"/>
    </xf>
    <xf numFmtId="0" fontId="0" fillId="8" borderId="18" pivotButton="0" quotePrefix="0" xfId="0"/>
    <xf numFmtId="0" fontId="0" fillId="11" borderId="18" pivotButton="0" quotePrefix="0" xfId="0"/>
    <xf numFmtId="0" fontId="0" fillId="14" borderId="18" pivotButton="0" quotePrefix="0" xfId="0"/>
    <xf numFmtId="0" fontId="0" fillId="16" borderId="18" pivotButton="0" quotePrefix="0" xfId="0"/>
    <xf numFmtId="0" fontId="0" fillId="20" borderId="18" pivotButton="0" quotePrefix="0" xfId="0"/>
    <xf numFmtId="0" fontId="0" fillId="18" borderId="18" pivotButton="0" quotePrefix="0" xfId="0"/>
    <xf numFmtId="0" fontId="0" fillId="23" borderId="18" pivotButton="0" quotePrefix="0" xfId="0"/>
    <xf numFmtId="0" fontId="8" fillId="8" borderId="17" applyAlignment="1" pivotButton="0" quotePrefix="0" xfId="0">
      <alignment horizontal="center" vertical="center" wrapText="1"/>
    </xf>
    <xf numFmtId="0" fontId="8" fillId="11" borderId="17" applyAlignment="1" pivotButton="0" quotePrefix="0" xfId="0">
      <alignment horizontal="center" vertical="center" wrapText="1"/>
    </xf>
    <xf numFmtId="0" fontId="8" fillId="14" borderId="17" applyAlignment="1" pivotButton="0" quotePrefix="0" xfId="0">
      <alignment horizontal="center" vertical="center" wrapText="1"/>
    </xf>
    <xf numFmtId="0" fontId="8" fillId="16" borderId="17" applyAlignment="1" pivotButton="0" quotePrefix="0" xfId="0">
      <alignment horizontal="center" vertical="center" wrapText="1"/>
    </xf>
    <xf numFmtId="0" fontId="8" fillId="18" borderId="17" applyAlignment="1" pivotButton="0" quotePrefix="0" xfId="0">
      <alignment horizontal="center" vertical="center" wrapText="1"/>
    </xf>
    <xf numFmtId="0" fontId="8" fillId="20" borderId="17" applyAlignment="1" pivotButton="0" quotePrefix="0" xfId="0">
      <alignment horizontal="center" vertical="center" wrapText="1"/>
    </xf>
    <xf numFmtId="0" fontId="8" fillId="23" borderId="17" applyAlignment="1" pivotButton="0" quotePrefix="0" xfId="0">
      <alignment horizontal="center" vertical="center" wrapText="1"/>
    </xf>
    <xf numFmtId="0" fontId="8" fillId="24" borderId="17" applyAlignment="1" pivotButton="0" quotePrefix="0" xfId="0">
      <alignment horizontal="center" vertical="center" wrapText="1"/>
    </xf>
    <xf numFmtId="0" fontId="25" fillId="7" borderId="0" applyAlignment="1" pivotButton="0" quotePrefix="0" xfId="0">
      <alignment horizontal="left" vertical="center" indent="1"/>
    </xf>
    <xf numFmtId="0" fontId="25" fillId="24" borderId="18" applyAlignment="1" pivotButton="0" quotePrefix="0" xfId="0">
      <alignment horizontal="center" vertical="center" wrapText="1"/>
    </xf>
    <xf numFmtId="0" fontId="0" fillId="24" borderId="18" pivotButton="0" quotePrefix="0" xfId="0"/>
    <xf numFmtId="0" fontId="0" fillId="7" borderId="0" pivotButton="0" quotePrefix="0" xfId="0"/>
    <xf numFmtId="0" fontId="28" fillId="9" borderId="0" applyAlignment="1" pivotButton="0" quotePrefix="0" xfId="0">
      <alignment horizontal="left" vertical="center" indent="1"/>
    </xf>
    <xf numFmtId="3" fontId="28" fillId="9" borderId="18" applyAlignment="1" pivotButton="0" quotePrefix="0" xfId="0">
      <alignment horizontal="center" vertical="center" wrapText="1"/>
    </xf>
    <xf numFmtId="0" fontId="28" fillId="9" borderId="0" applyAlignment="1" pivotButton="0" quotePrefix="0" xfId="0">
      <alignment horizontal="center" vertical="center" wrapText="1"/>
    </xf>
    <xf numFmtId="0" fontId="25" fillId="7" borderId="17" applyAlignment="1" pivotButton="0" quotePrefix="0" xfId="0">
      <alignment horizontal="center" vertical="center" wrapText="1"/>
    </xf>
    <xf numFmtId="0" fontId="8" fillId="8" borderId="18" applyAlignment="1" pivotButton="0" quotePrefix="0" xfId="0">
      <alignment horizontal="left" vertical="center"/>
    </xf>
    <xf numFmtId="3" fontId="13" fillId="34" borderId="18" applyAlignment="1" pivotButton="0" quotePrefix="0" xfId="0">
      <alignment horizontal="right" vertical="center"/>
    </xf>
    <xf numFmtId="49" fontId="15" fillId="34" borderId="18" applyAlignment="1" pivotButton="0" quotePrefix="0" xfId="0">
      <alignment horizontal="left" vertical="center" wrapText="1"/>
    </xf>
    <xf numFmtId="166" fontId="13" fillId="34" borderId="18" applyAlignment="1" pivotButton="0" quotePrefix="0" xfId="0">
      <alignment horizontal="right" vertical="center"/>
    </xf>
    <xf numFmtId="166" fontId="29" fillId="9" borderId="19" applyAlignment="1" pivotButton="0" quotePrefix="0" xfId="0">
      <alignment horizontal="right" vertical="center"/>
    </xf>
    <xf numFmtId="49" fontId="13" fillId="34" borderId="18" applyAlignment="1" pivotButton="0" quotePrefix="0" xfId="0">
      <alignment horizontal="left" vertical="center"/>
    </xf>
    <xf numFmtId="0" fontId="8" fillId="11" borderId="18" applyAlignment="1" pivotButton="0" quotePrefix="0" xfId="0">
      <alignment horizontal="left" vertical="center"/>
    </xf>
    <xf numFmtId="3" fontId="29" fillId="9" borderId="19" applyAlignment="1" pivotButton="0" quotePrefix="0" xfId="0">
      <alignment horizontal="right" vertical="center"/>
    </xf>
    <xf numFmtId="4" fontId="13" fillId="34" borderId="18" applyAlignment="1" pivotButton="0" quotePrefix="0" xfId="0">
      <alignment horizontal="right" vertical="center"/>
    </xf>
    <xf numFmtId="4" fontId="29" fillId="9" borderId="19" applyAlignment="1" pivotButton="0" quotePrefix="0" xfId="0">
      <alignment horizontal="right" vertical="center"/>
    </xf>
    <xf numFmtId="9" fontId="13" fillId="34" borderId="18" applyAlignment="1" pivotButton="0" quotePrefix="0" xfId="0">
      <alignment horizontal="right" vertical="center"/>
    </xf>
    <xf numFmtId="0" fontId="8" fillId="14" borderId="18" applyAlignment="1" pivotButton="0" quotePrefix="0" xfId="0">
      <alignment horizontal="left" vertical="center"/>
    </xf>
    <xf numFmtId="0" fontId="8" fillId="16" borderId="18" applyAlignment="1" pivotButton="0" quotePrefix="0" xfId="0">
      <alignment horizontal="left" vertical="center"/>
    </xf>
    <xf numFmtId="0" fontId="8" fillId="20" borderId="18" applyAlignment="1" pivotButton="0" quotePrefix="0" xfId="0">
      <alignment horizontal="left" vertical="center"/>
    </xf>
    <xf numFmtId="0" fontId="8" fillId="18" borderId="18" applyAlignment="1" pivotButton="0" quotePrefix="0" xfId="0">
      <alignment horizontal="left" vertical="center"/>
    </xf>
    <xf numFmtId="49" fontId="16" fillId="34" borderId="18" applyAlignment="1" pivotButton="0" quotePrefix="0" xfId="0">
      <alignment horizontal="left" vertical="center"/>
    </xf>
    <xf numFmtId="0" fontId="8" fillId="23" borderId="18" applyAlignment="1" pivotButton="0" quotePrefix="0" xfId="0">
      <alignment horizontal="left" vertical="center"/>
    </xf>
  </cellXfs>
  <cellStyles count="1">
    <cellStyle name="Normal" xfId="0" builtinId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006100"/>
      </font>
    </dxf>
    <dxf>
      <fill>
        <patternFill patternType="solid">
          <fgColor rgb="00FFE69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"/>
  <sheetViews>
    <sheetView showGridLines="0" tabSelected="1" zoomScale="85" zoomScaleNormal="85" workbookViewId="0">
      <pane xSplit="7" ySplit="3" topLeftCell="U19" activePane="bottomRight" state="frozen"/>
      <selection pane="topRight" activeCell="T1" sqref="T1"/>
      <selection pane="bottomLeft" activeCell="A4" sqref="A4"/>
      <selection pane="bottomRight" activeCell="X29" sqref="X29"/>
    </sheetView>
  </sheetViews>
  <sheetFormatPr baseColWidth="8" defaultColWidth="8.6640625" defaultRowHeight="14.4"/>
  <cols>
    <col width="29.44140625" customWidth="1" min="2" max="2"/>
    <col width="9.109375" customWidth="1" min="3" max="3"/>
    <col width="9.44140625" customWidth="1" min="4" max="4"/>
    <col width="4.88671875" customWidth="1" min="5" max="5"/>
    <col width="7.33203125" customWidth="1" min="6" max="6"/>
    <col width="25" customWidth="1" min="7" max="7"/>
    <col width="10.6640625" customWidth="1" min="8" max="8"/>
    <col width="9.109375" customWidth="1" min="9" max="9"/>
    <col width="12.109375" customWidth="1" min="10" max="10"/>
    <col width="8.109375" customWidth="1" min="11" max="11"/>
    <col width="6.88671875" customWidth="1" min="12" max="12"/>
    <col width="8.33203125" customWidth="1" min="13" max="13"/>
    <col width="6.6640625" customWidth="1" min="14" max="14"/>
    <col width="9.109375" customWidth="1" min="15" max="15"/>
    <col width="8.33203125" customWidth="1" style="1" min="16" max="16"/>
    <col width="8.109375" customWidth="1" style="1" min="17" max="17"/>
    <col width="8.109375" customWidth="1" min="18" max="18"/>
    <col width="11.5546875" customWidth="1" min="19" max="19"/>
    <col width="9.88671875" customWidth="1" min="20" max="20"/>
    <col width="10" customWidth="1" style="2" min="21" max="21"/>
    <col width="10.109375" customWidth="1" style="2" min="22" max="22"/>
    <col width="10.6640625" customWidth="1" min="23" max="23"/>
    <col width="10.5546875" customWidth="1" min="24" max="24"/>
    <col width="10.109375" customWidth="1" min="25" max="28"/>
    <col width="14.109375" bestFit="1" customWidth="1" min="29" max="29"/>
    <col width="11.5546875" customWidth="1" min="30" max="30"/>
    <col width="13.6640625" customWidth="1" min="31" max="31"/>
    <col width="14.109375" customWidth="1" min="32" max="32"/>
    <col width="10.109375" customWidth="1" min="33" max="33"/>
  </cols>
  <sheetData>
    <row r="1" ht="15.75" customHeight="1">
      <c r="A1" s="3" t="n"/>
      <c r="B1" s="3" t="inlineStr">
        <is>
          <t>MSTC LIMITED - COMBINED BID SHEET (Auctions 21977, 21978, 21979, 21980)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</row>
    <row r="2" ht="14.25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</row>
    <row r="3" ht="57.75" customHeight="1">
      <c r="A3" s="4" t="inlineStr">
        <is>
          <t>Quantity</t>
        </is>
      </c>
      <c r="B3" s="5" t="inlineStr">
        <is>
          <t>Lot Name</t>
        </is>
      </c>
      <c r="C3" s="5" t="inlineStr">
        <is>
          <t>Rate</t>
        </is>
      </c>
      <c r="D3" s="5" t="inlineStr">
        <is>
          <t>Bid Sheet</t>
        </is>
      </c>
      <c r="E3" s="5" t="inlineStr">
        <is>
          <t>Unit</t>
        </is>
      </c>
      <c r="F3" s="5" t="inlineStr">
        <is>
          <t>Lot No.</t>
        </is>
      </c>
      <c r="G3" s="5" t="inlineStr">
        <is>
          <t>Buyer</t>
        </is>
      </c>
      <c r="H3" s="5" t="inlineStr">
        <is>
          <t>Mat. Value</t>
        </is>
      </c>
      <c r="I3" s="5" t="inlineStr">
        <is>
          <t>GST</t>
        </is>
      </c>
      <c r="J3" s="6" t="inlineStr">
        <is>
          <t>Mat. Value + GST</t>
        </is>
      </c>
      <c r="K3" s="5" t="inlineStr">
        <is>
          <t>TCS</t>
        </is>
      </c>
      <c r="L3" s="6" t="inlineStr">
        <is>
          <t>TDS u/s 194(O)</t>
        </is>
      </c>
      <c r="M3" s="6" t="inlineStr">
        <is>
          <t>Service Charge
to MSTC</t>
        </is>
      </c>
      <c r="N3" s="6" t="inlineStr">
        <is>
          <t>TDS u/s 194(H)</t>
        </is>
      </c>
      <c r="O3" s="7" t="inlineStr">
        <is>
          <t>Net Service Charge
(post TDS 194H)</t>
        </is>
      </c>
      <c r="P3" s="6" t="inlineStr">
        <is>
          <t>Service charge to MSTC</t>
        </is>
      </c>
      <c r="Q3" s="6" t="inlineStr">
        <is>
          <t>GST TDS Rate</t>
        </is>
      </c>
      <c r="R3" s="6" t="inlineStr">
        <is>
          <t>GST TDS</t>
        </is>
      </c>
      <c r="S3" s="6" t="inlineStr">
        <is>
          <t>Total Receivables in Cash</t>
        </is>
      </c>
      <c r="T3" s="6" t="inlineStr">
        <is>
          <t>Security Deposit (Expected)</t>
        </is>
      </c>
      <c r="U3" s="6" t="inlineStr">
        <is>
          <t>Security Deposit (Received)</t>
        </is>
      </c>
      <c r="V3" s="6" t="inlineStr">
        <is>
          <t>Date of Receipt</t>
        </is>
      </c>
      <c r="W3" s="8" t="inlineStr">
        <is>
          <t>Final Payment (Expected)</t>
        </is>
      </c>
      <c r="X3" s="6" t="inlineStr">
        <is>
          <t>Final Payment (Received)</t>
        </is>
      </c>
      <c r="Y3" s="6" t="inlineStr">
        <is>
          <t>Date of Receipt</t>
        </is>
      </c>
      <c r="Z3" s="6" t="inlineStr">
        <is>
          <t>LPP Expected</t>
        </is>
      </c>
      <c r="AA3" s="6" t="inlineStr">
        <is>
          <t>LPP Received</t>
        </is>
      </c>
      <c r="AB3" s="6" t="inlineStr">
        <is>
          <t>Date of Recepit of LPP</t>
        </is>
      </c>
      <c r="AC3" s="6" t="inlineStr">
        <is>
          <t>Total Received</t>
        </is>
      </c>
      <c r="AD3" s="6" t="inlineStr">
        <is>
          <t>Outstanding</t>
        </is>
      </c>
      <c r="AE3" s="6" t="inlineStr">
        <is>
          <t xml:space="preserve">Invoice No. </t>
        </is>
      </c>
      <c r="AF3" s="6" t="inlineStr">
        <is>
          <t>SAP Document</t>
        </is>
      </c>
      <c r="AG3" s="9" t="inlineStr">
        <is>
          <t>Doc./Invoice Date</t>
        </is>
      </c>
    </row>
    <row r="4" ht="39" customHeight="1">
      <c r="A4" s="10" t="n">
        <v>669</v>
      </c>
      <c r="B4" s="11" t="inlineStr">
        <is>
          <t>SCRAP COPPER OF T/F WINDING (Oil impregnated paper insulated T/F winding)</t>
        </is>
      </c>
      <c r="C4" s="12" t="n">
        <v>1181</v>
      </c>
      <c r="D4" s="13" t="n">
        <v>21980</v>
      </c>
      <c r="E4" s="13" t="inlineStr">
        <is>
          <t>KG</t>
        </is>
      </c>
      <c r="F4" s="13" t="n">
        <v>1763</v>
      </c>
      <c r="G4" s="11" t="inlineStr">
        <is>
          <t>AL HAMD TRADE CORPORATION</t>
        </is>
      </c>
      <c r="H4" s="14" t="n">
        <v>790089</v>
      </c>
      <c r="I4" s="14">
        <f>ROUND(H4*18%,0)</f>
        <v/>
      </c>
      <c r="J4" s="14">
        <f>+H4+I4</f>
        <v/>
      </c>
      <c r="K4" s="14">
        <f>ROUND((H4+I4)*2%,0)</f>
        <v/>
      </c>
      <c r="L4" s="15">
        <f>H4*0.1%</f>
        <v/>
      </c>
      <c r="M4" s="15">
        <f>H4*2.25%*118%</f>
        <v/>
      </c>
      <c r="N4" s="16">
        <f>H4*2.25%*2%</f>
        <v/>
      </c>
      <c r="O4" s="15">
        <f>M4-N4</f>
        <v/>
      </c>
      <c r="P4" s="15">
        <f>ROUND(O4+L4,0)</f>
        <v/>
      </c>
      <c r="Q4" s="17" t="n">
        <v>0.02</v>
      </c>
      <c r="R4" s="15">
        <f>ROUND(H4*Q4,0)</f>
        <v/>
      </c>
      <c r="S4" s="14">
        <f>ROUND(H4*117.65%-R4,0)</f>
        <v/>
      </c>
      <c r="T4" s="15">
        <f>ROUND(H4*25%,0)</f>
        <v/>
      </c>
      <c r="U4" s="18" t="n">
        <v>197522</v>
      </c>
      <c r="V4" s="15" t="inlineStr">
        <is>
          <t>24.08.2026</t>
        </is>
      </c>
      <c r="W4" s="15">
        <f>ROUND(H4*92.65%-R4,0)</f>
        <v/>
      </c>
      <c r="X4" s="15" t="n">
        <v>716216</v>
      </c>
      <c r="Y4" s="15" t="inlineStr">
        <is>
          <t>18.08.2026</t>
        </is>
      </c>
      <c r="Z4" s="15">
        <f>IF(OR(Y4="",Y4=0),H4*0.0118*CEILING((TODAY()-DATE(2026,8,22))/7,1),IF(DATE(VALUE(RIGHT(Y4,4)),VALUE(MID(Y4,4,2)),VALUE(LEFT(Y4,2)))&lt;=DATE(2026,8,24),0,H4*0.0118*CEILING((DATE(VALUE(RIGHT(Y4,4)),VALUE(MID(Y4,4,2)),VALUE(LEFT(Y4,2)))-DATE(2026,8,22))/7,1)))</f>
        <v/>
      </c>
      <c r="AA4" s="15" t="n"/>
      <c r="AB4" s="15" t="n"/>
      <c r="AC4" s="15">
        <f>U4+X4+AA4</f>
        <v/>
      </c>
      <c r="AD4" s="19">
        <f>S4-AC4</f>
        <v/>
      </c>
      <c r="AE4" s="20" t="inlineStr">
        <is>
          <t>DR2640100029</t>
        </is>
      </c>
      <c r="AF4" s="21" t="n">
        <v>1800003271</v>
      </c>
      <c r="AG4" s="22" t="inlineStr">
        <is>
          <t>24.08.2026</t>
        </is>
      </c>
    </row>
    <row r="5" ht="14.25" customHeight="1">
      <c r="A5" s="23" t="n">
        <v>270</v>
      </c>
      <c r="B5" s="24" t="inlineStr">
        <is>
          <t>Scrap of Empty oil drum</t>
        </is>
      </c>
      <c r="C5" s="25" t="n">
        <v>580</v>
      </c>
      <c r="D5" s="26" t="n">
        <v>21977</v>
      </c>
      <c r="E5" s="26" t="inlineStr">
        <is>
          <t>NO</t>
        </is>
      </c>
      <c r="F5" s="26" t="n">
        <v>1874</v>
      </c>
      <c r="G5" s="24" t="inlineStr">
        <is>
          <t>NATIONAL ENTERPRISES</t>
        </is>
      </c>
      <c r="H5" s="27" t="n">
        <v>156600</v>
      </c>
      <c r="I5" s="27">
        <f>ROUND(H5*18%,0)</f>
        <v/>
      </c>
      <c r="J5" s="27">
        <f>+H5+I5</f>
        <v/>
      </c>
      <c r="K5" s="27">
        <f>ROUND((H5+I5)*2%,0)</f>
        <v/>
      </c>
      <c r="L5" s="28">
        <f>H5*0.1%</f>
        <v/>
      </c>
      <c r="M5" s="28">
        <f>H5*2.25%*118%</f>
        <v/>
      </c>
      <c r="N5" s="29">
        <f>H5*2.25%*2%</f>
        <v/>
      </c>
      <c r="O5" s="28">
        <f>M5-N5</f>
        <v/>
      </c>
      <c r="P5" s="28">
        <f>ROUND(O5+L5,0)</f>
        <v/>
      </c>
      <c r="Q5" s="30" t="n">
        <v>0</v>
      </c>
      <c r="R5" s="28">
        <f>ROUND(H5*Q5,0)</f>
        <v/>
      </c>
      <c r="S5" s="27">
        <f>ROUND(H5*117.65%-R5,0)</f>
        <v/>
      </c>
      <c r="T5" s="28">
        <f>ROUND(H5*25%,0)</f>
        <v/>
      </c>
      <c r="U5" s="31">
        <f>+T5</f>
        <v/>
      </c>
      <c r="V5" s="28" t="inlineStr">
        <is>
          <t>13.08.2026</t>
        </is>
      </c>
      <c r="W5" s="28">
        <f>ROUND(H5*92.65%-R5,0)</f>
        <v/>
      </c>
      <c r="X5" s="28" t="n">
        <v>145090</v>
      </c>
      <c r="Y5" s="28" t="inlineStr">
        <is>
          <t>24.08.2026</t>
        </is>
      </c>
      <c r="Z5" s="28">
        <f>IF(OR(Y5="",Y5=0),H5*0.0118*CEILING((TODAY()-DATE(2026,8,22))/7,1),IF(DATE(VALUE(RIGHT(Y5,4)),VALUE(MID(Y5,4,2)),VALUE(LEFT(Y5,2)))&lt;=DATE(2026,8,24),0,H5*0.0118*CEILING((DATE(VALUE(RIGHT(Y5,4)),VALUE(MID(Y5,4,2)),VALUE(LEFT(Y5,2)))-DATE(2026,8,22))/7,1)))</f>
        <v/>
      </c>
      <c r="AA5" s="28" t="n"/>
      <c r="AB5" s="28" t="n"/>
      <c r="AC5" s="15">
        <f>U5+X5+AA5</f>
        <v/>
      </c>
      <c r="AD5" s="19">
        <f>S5-AC5</f>
        <v/>
      </c>
      <c r="AE5" s="20" t="inlineStr">
        <is>
          <t>DR2640100030</t>
        </is>
      </c>
      <c r="AF5" s="21" t="n">
        <v>1800003302</v>
      </c>
      <c r="AG5" s="22" t="inlineStr">
        <is>
          <t>27.08.2026</t>
        </is>
      </c>
    </row>
    <row r="6" ht="26.25" customHeight="1">
      <c r="A6" s="23" t="n">
        <v>28</v>
      </c>
      <c r="B6" s="24" t="inlineStr">
        <is>
          <t>Scrap of Copper of faulty AC compressor</t>
        </is>
      </c>
      <c r="C6" s="25" t="n">
        <v>1456</v>
      </c>
      <c r="D6" s="26" t="n">
        <v>21977</v>
      </c>
      <c r="E6" s="26" t="inlineStr">
        <is>
          <t>KG</t>
        </is>
      </c>
      <c r="F6" s="26" t="n">
        <v>1875</v>
      </c>
      <c r="G6" s="24" t="inlineStr">
        <is>
          <t>F R KHANS ENTERPRISES</t>
        </is>
      </c>
      <c r="H6" s="27" t="n">
        <v>40768</v>
      </c>
      <c r="I6" s="27">
        <f>ROUND(H6*18%,0)</f>
        <v/>
      </c>
      <c r="J6" s="27">
        <f>+H6+I6</f>
        <v/>
      </c>
      <c r="K6" s="27">
        <f>ROUND((H6+I6)*2%,0)</f>
        <v/>
      </c>
      <c r="L6" s="28">
        <f>H6*0.1%</f>
        <v/>
      </c>
      <c r="M6" s="28">
        <f>H6*2.25%*118%</f>
        <v/>
      </c>
      <c r="N6" s="29">
        <f>H6*2.25%*2%</f>
        <v/>
      </c>
      <c r="O6" s="28">
        <f>M6-N6</f>
        <v/>
      </c>
      <c r="P6" s="28">
        <f>ROUND(O6+L6,0)</f>
        <v/>
      </c>
      <c r="Q6" s="30" t="n">
        <v>0</v>
      </c>
      <c r="R6" s="28">
        <f>ROUND(H6*Q6,0)</f>
        <v/>
      </c>
      <c r="S6" s="27">
        <f>ROUND(H6*117.65%-R6,0)</f>
        <v/>
      </c>
      <c r="T6" s="28">
        <f>ROUND(H6*25%,0)</f>
        <v/>
      </c>
      <c r="U6" s="31" t="n">
        <v>10192</v>
      </c>
      <c r="V6" s="28" t="inlineStr">
        <is>
          <t>11.08.2026</t>
        </is>
      </c>
      <c r="W6" s="28">
        <f>ROUND(H6*92.65%-R6,0)</f>
        <v/>
      </c>
      <c r="X6" s="28">
        <f>+W6+R6</f>
        <v/>
      </c>
      <c r="Y6" s="28" t="inlineStr">
        <is>
          <t>20.08.2026</t>
        </is>
      </c>
      <c r="Z6" s="28">
        <f>IF(OR(Y6="",Y6=0),H6*0.0118*CEILING((TODAY()-DATE(2026,8,22))/7,1),IF(DATE(VALUE(RIGHT(Y6,4)),VALUE(MID(Y6,4,2)),VALUE(LEFT(Y6,2)))&lt;=DATE(2026,8,24),0,H6*0.0118*CEILING((DATE(VALUE(RIGHT(Y6,4)),VALUE(MID(Y6,4,2)),VALUE(LEFT(Y6,2)))-DATE(2026,8,22))/7,1)))</f>
        <v/>
      </c>
      <c r="AA6" s="28" t="n"/>
      <c r="AB6" s="28" t="n"/>
      <c r="AC6" s="15">
        <f>U6+X6+AA6</f>
        <v/>
      </c>
      <c r="AD6" s="19">
        <f>S6-AC6</f>
        <v/>
      </c>
      <c r="AE6" s="20" t="inlineStr">
        <is>
          <t>DR2640100047</t>
        </is>
      </c>
      <c r="AF6" s="21" t="n">
        <v>1800003346</v>
      </c>
      <c r="AG6" s="22" t="inlineStr">
        <is>
          <t>27.08.2026</t>
        </is>
      </c>
    </row>
    <row r="7" ht="39" customHeight="1">
      <c r="A7" s="23" t="n">
        <v>3000</v>
      </c>
      <c r="B7" s="24" t="inlineStr">
        <is>
          <t>Scrap of MS (extracted from equip cage and empty Sf6 gas cylinder)</t>
        </is>
      </c>
      <c r="C7" s="25" t="n">
        <v>66</v>
      </c>
      <c r="D7" s="26" t="n">
        <v>21977</v>
      </c>
      <c r="E7" s="26" t="inlineStr">
        <is>
          <t>KG</t>
        </is>
      </c>
      <c r="F7" s="26" t="n">
        <v>1876</v>
      </c>
      <c r="G7" s="24" t="inlineStr">
        <is>
          <t>F R KHANS ENTERPRISES</t>
        </is>
      </c>
      <c r="H7" s="27" t="n">
        <v>198000</v>
      </c>
      <c r="I7" s="27">
        <f>ROUND(H7*18%,0)</f>
        <v/>
      </c>
      <c r="J7" s="27">
        <f>+H7+I7</f>
        <v/>
      </c>
      <c r="K7" s="27">
        <f>ROUND((H7+I7)*2%,0)</f>
        <v/>
      </c>
      <c r="L7" s="28">
        <f>H7*0.1%</f>
        <v/>
      </c>
      <c r="M7" s="28">
        <f>H7*2.25%*118%</f>
        <v/>
      </c>
      <c r="N7" s="29">
        <f>H7*2.25%*2%</f>
        <v/>
      </c>
      <c r="O7" s="28">
        <f>M7-N7</f>
        <v/>
      </c>
      <c r="P7" s="28">
        <f>ROUND(O7+L7,0)</f>
        <v/>
      </c>
      <c r="Q7" s="30" t="n">
        <v>0</v>
      </c>
      <c r="R7" s="28">
        <f>ROUND(H7*Q7,0)</f>
        <v/>
      </c>
      <c r="S7" s="27">
        <f>ROUND(H7*117.65%-R7,0)</f>
        <v/>
      </c>
      <c r="T7" s="28">
        <f>ROUND(H7*25%,0)</f>
        <v/>
      </c>
      <c r="U7" s="31" t="n">
        <v>49500</v>
      </c>
      <c r="V7" s="28" t="inlineStr">
        <is>
          <t>11.08.2026</t>
        </is>
      </c>
      <c r="W7" s="28">
        <f>ROUND(H7*92.65%-R7,0)</f>
        <v/>
      </c>
      <c r="X7" s="28">
        <f>+W7+R7-1</f>
        <v/>
      </c>
      <c r="Y7" s="28" t="inlineStr">
        <is>
          <t>20.08.2026</t>
        </is>
      </c>
      <c r="Z7" s="28">
        <f>IF(OR(Y7="",Y7=0),H7*0.0118*CEILING((TODAY()-DATE(2026,8,22))/7,1),IF(DATE(VALUE(RIGHT(Y7,4)),VALUE(MID(Y7,4,2)),VALUE(LEFT(Y7,2)))&lt;=DATE(2026,8,24),0,H7*0.0118*CEILING((DATE(VALUE(RIGHT(Y7,4)),VALUE(MID(Y7,4,2)),VALUE(LEFT(Y7,2)))-DATE(2026,8,22))/7,1)))</f>
        <v/>
      </c>
      <c r="AA7" s="28" t="n"/>
      <c r="AB7" s="28" t="n"/>
      <c r="AC7" s="15">
        <f>U7+X7+AA7</f>
        <v/>
      </c>
      <c r="AD7" s="19">
        <f>S7-AC7</f>
        <v/>
      </c>
      <c r="AE7" s="20" t="inlineStr">
        <is>
          <t>DR2640100048</t>
        </is>
      </c>
      <c r="AF7" s="21" t="n">
        <v>1800003347</v>
      </c>
      <c r="AG7" s="22" t="inlineStr">
        <is>
          <t>27.08.2026</t>
        </is>
      </c>
    </row>
    <row r="8" ht="26.25" customHeight="1">
      <c r="A8" s="23" t="n">
        <v>7253</v>
      </c>
      <c r="B8" s="24" t="inlineStr">
        <is>
          <t>SCRAP ACSR CONDUCTORS (Conductor Pieces)</t>
        </is>
      </c>
      <c r="C8" s="25" t="n">
        <v>227</v>
      </c>
      <c r="D8" s="26" t="n">
        <v>21980</v>
      </c>
      <c r="E8" s="26" t="inlineStr">
        <is>
          <t>KG</t>
        </is>
      </c>
      <c r="F8" s="26" t="n">
        <v>1923</v>
      </c>
      <c r="G8" s="24" t="inlineStr">
        <is>
          <t>OMKAR STEELS</t>
        </is>
      </c>
      <c r="H8" s="27" t="n">
        <v>1646431</v>
      </c>
      <c r="I8" s="27">
        <f>ROUND(H8*18%,0)</f>
        <v/>
      </c>
      <c r="J8" s="27">
        <f>+H8+I8</f>
        <v/>
      </c>
      <c r="K8" s="27">
        <f>ROUND((H8+I8)*2%,0)</f>
        <v/>
      </c>
      <c r="L8" s="28">
        <f>H8*0.1%</f>
        <v/>
      </c>
      <c r="M8" s="28">
        <f>H8*2.25%*118%</f>
        <v/>
      </c>
      <c r="N8" s="29">
        <f>H8*2.25%*2%</f>
        <v/>
      </c>
      <c r="O8" s="28">
        <f>M8-N8</f>
        <v/>
      </c>
      <c r="P8" s="28">
        <f>ROUND(O8+L8,0)</f>
        <v/>
      </c>
      <c r="Q8" s="30" t="n">
        <v>0.02</v>
      </c>
      <c r="R8" s="28">
        <f>ROUND(H8*Q8,0)</f>
        <v/>
      </c>
      <c r="S8" s="27">
        <f>ROUND(H8*117.65%-R8,0)</f>
        <v/>
      </c>
      <c r="T8" s="28">
        <f>ROUND(H8*25%,0)</f>
        <v/>
      </c>
      <c r="U8" s="31">
        <f>+T8</f>
        <v/>
      </c>
      <c r="V8" s="28" t="inlineStr">
        <is>
          <t>14.08.2026</t>
        </is>
      </c>
      <c r="W8" s="28">
        <f>ROUND(H8*92.65%-R8,0)</f>
        <v/>
      </c>
      <c r="X8" s="28" t="n">
        <v>1492490</v>
      </c>
      <c r="Y8" s="28" t="inlineStr">
        <is>
          <t>24.08.2026</t>
        </is>
      </c>
      <c r="Z8" s="28">
        <f>IF(OR(Y8="",Y8=0),H8*0.0118*CEILING((TODAY()-DATE(2026,8,22))/7,1),IF(DATE(VALUE(RIGHT(Y8,4)),VALUE(MID(Y8,4,2)),VALUE(LEFT(Y8,2)))&lt;=DATE(2026,8,24),0,H8*0.0118*CEILING((DATE(VALUE(RIGHT(Y8,4)),VALUE(MID(Y8,4,2)),VALUE(LEFT(Y8,2)))-DATE(2026,8,22))/7,1)))</f>
        <v/>
      </c>
      <c r="AA8" s="28" t="n"/>
      <c r="AB8" s="28" t="n"/>
      <c r="AC8" s="15">
        <f>U8+X8+AA8</f>
        <v/>
      </c>
      <c r="AD8" s="19">
        <f>S8-AC8</f>
        <v/>
      </c>
      <c r="AE8" s="20" t="inlineStr">
        <is>
          <t>DR2640100045</t>
        </is>
      </c>
      <c r="AF8" s="21" t="n">
        <v>1800003315</v>
      </c>
      <c r="AG8" s="22" t="inlineStr">
        <is>
          <t>27.08.2026</t>
        </is>
      </c>
    </row>
    <row r="9" ht="14.25" customHeight="1">
      <c r="A9" s="23" t="n">
        <v>1</v>
      </c>
      <c r="B9" s="24" t="inlineStr">
        <is>
          <t>Scrap Power Transformer</t>
        </is>
      </c>
      <c r="C9" s="25" t="n">
        <v>2787314</v>
      </c>
      <c r="D9" s="26" t="n">
        <v>21977</v>
      </c>
      <c r="E9" s="26" t="inlineStr">
        <is>
          <t>NO</t>
        </is>
      </c>
      <c r="F9" s="26" t="n">
        <v>1976</v>
      </c>
      <c r="G9" s="24" t="inlineStr">
        <is>
          <t>SHAR JAHAN TRADERS</t>
        </is>
      </c>
      <c r="H9" s="27" t="n">
        <v>2787314</v>
      </c>
      <c r="I9" s="27">
        <f>ROUND(H9*18%,0)</f>
        <v/>
      </c>
      <c r="J9" s="27">
        <f>+H9+I9</f>
        <v/>
      </c>
      <c r="K9" s="27">
        <f>ROUND((H9+I9)*2%,0)</f>
        <v/>
      </c>
      <c r="L9" s="28">
        <f>H9*0.1%</f>
        <v/>
      </c>
      <c r="M9" s="28">
        <f>H9*2.25%*118%</f>
        <v/>
      </c>
      <c r="N9" s="29">
        <f>H9*2.25%*2%</f>
        <v/>
      </c>
      <c r="O9" s="28">
        <f>M9-N9</f>
        <v/>
      </c>
      <c r="P9" s="28">
        <f>ROUND(O9+L9,0)</f>
        <v/>
      </c>
      <c r="Q9" s="30" t="n">
        <v>0</v>
      </c>
      <c r="R9" s="28">
        <f>ROUND(H9*Q9,0)</f>
        <v/>
      </c>
      <c r="S9" s="27">
        <f>ROUND(H9*117.65%-R9,0)</f>
        <v/>
      </c>
      <c r="T9" s="28">
        <f>ROUND(H9*25%,0)</f>
        <v/>
      </c>
      <c r="U9" s="31">
        <f>+T9</f>
        <v/>
      </c>
      <c r="V9" s="28" t="inlineStr">
        <is>
          <t>13.08.2026</t>
        </is>
      </c>
      <c r="W9" s="28">
        <f>ROUND(H9*92.65%-R9,0)</f>
        <v/>
      </c>
      <c r="X9" s="28" t="n">
        <v>2582447.09429161</v>
      </c>
      <c r="Y9" s="28" t="inlineStr">
        <is>
          <t>13.08.2026</t>
        </is>
      </c>
      <c r="Z9" s="28">
        <f>IF(OR(Y9="",Y9=0),H9*0.0118*CEILING((TODAY()-DATE(2026,8,22))/7,1),IF(DATE(VALUE(RIGHT(Y9,4)),VALUE(MID(Y9,4,2)),VALUE(LEFT(Y9,2)))&lt;=DATE(2026,8,24),0,H9*0.0118*CEILING((DATE(VALUE(RIGHT(Y9,4)),VALUE(MID(Y9,4,2)),VALUE(LEFT(Y9,2)))-DATE(2026,8,22))/7,1)))</f>
        <v/>
      </c>
      <c r="AA9" s="28" t="n"/>
      <c r="AB9" s="28" t="n"/>
      <c r="AC9" s="15">
        <f>U9+X9+AA9</f>
        <v/>
      </c>
      <c r="AD9" s="19">
        <f>S9-AC9</f>
        <v/>
      </c>
      <c r="AE9" s="20" t="inlineStr">
        <is>
          <t>DR2640100023</t>
        </is>
      </c>
      <c r="AF9" s="21" t="n">
        <v>1800003194</v>
      </c>
      <c r="AG9" s="22" t="inlineStr">
        <is>
          <t>17.08.2026</t>
        </is>
      </c>
    </row>
    <row r="10" ht="14.25" customHeight="1">
      <c r="A10" s="23" t="n">
        <v>4</v>
      </c>
      <c r="B10" s="24" t="inlineStr">
        <is>
          <t>Scrap of 132 KV CT</t>
        </is>
      </c>
      <c r="C10" s="25" t="n">
        <v>51511</v>
      </c>
      <c r="D10" s="26" t="n">
        <v>21977</v>
      </c>
      <c r="E10" s="26" t="inlineStr">
        <is>
          <t>NO</t>
        </is>
      </c>
      <c r="F10" s="26" t="n">
        <v>2002</v>
      </c>
      <c r="G10" s="24" t="inlineStr">
        <is>
          <t>NATIONAL ENTERPRISES</t>
        </is>
      </c>
      <c r="H10" s="27" t="n">
        <v>206044</v>
      </c>
      <c r="I10" s="27">
        <f>ROUND(H10*18%,0)</f>
        <v/>
      </c>
      <c r="J10" s="27">
        <f>+H10+I10</f>
        <v/>
      </c>
      <c r="K10" s="27">
        <f>ROUND((H10+I10)*2%,0)</f>
        <v/>
      </c>
      <c r="L10" s="28">
        <f>H10*0.1%</f>
        <v/>
      </c>
      <c r="M10" s="28">
        <f>H10*2.25%*118%</f>
        <v/>
      </c>
      <c r="N10" s="29">
        <f>H10*2.25%*2%</f>
        <v/>
      </c>
      <c r="O10" s="28">
        <f>M10-N10</f>
        <v/>
      </c>
      <c r="P10" s="28">
        <f>ROUND(O10+L10,0)</f>
        <v/>
      </c>
      <c r="Q10" s="30" t="n">
        <v>0</v>
      </c>
      <c r="R10" s="28">
        <f>ROUND(H10*Q10,0)</f>
        <v/>
      </c>
      <c r="S10" s="27">
        <f>ROUND(H10*117.65%-R10,0)</f>
        <v/>
      </c>
      <c r="T10" s="28">
        <f>ROUND(H10*25%,0)</f>
        <v/>
      </c>
      <c r="U10" s="31">
        <f>+T10</f>
        <v/>
      </c>
      <c r="V10" s="28" t="inlineStr">
        <is>
          <t>13.08.2026</t>
        </is>
      </c>
      <c r="W10" s="28">
        <f>ROUND(H10*92.65%-R10,0)</f>
        <v/>
      </c>
      <c r="X10" s="28" t="n">
        <v>190900</v>
      </c>
      <c r="Y10" s="28" t="inlineStr">
        <is>
          <t>24.08.2026</t>
        </is>
      </c>
      <c r="Z10" s="28">
        <f>IF(OR(Y10="",Y10=0),H10*0.0118*CEILING((TODAY()-DATE(2026,8,22))/7,1),IF(DATE(VALUE(RIGHT(Y10,4)),VALUE(MID(Y10,4,2)),VALUE(LEFT(Y10,2)))&lt;=DATE(2026,8,24),0,H10*0.0118*CEILING((DATE(VALUE(RIGHT(Y10,4)),VALUE(MID(Y10,4,2)),VALUE(LEFT(Y10,2)))-DATE(2026,8,22))/7,1)))</f>
        <v/>
      </c>
      <c r="AA10" s="28" t="n"/>
      <c r="AB10" s="28" t="n"/>
      <c r="AC10" s="15">
        <f>U10+X10+AA10</f>
        <v/>
      </c>
      <c r="AD10" s="19">
        <f>S10-AC10</f>
        <v/>
      </c>
      <c r="AE10" s="20" t="inlineStr">
        <is>
          <t>DR2640100031</t>
        </is>
      </c>
      <c r="AF10" s="21" t="n">
        <v>1800003303</v>
      </c>
      <c r="AG10" s="22" t="inlineStr">
        <is>
          <t>27.08.2026</t>
        </is>
      </c>
    </row>
    <row r="11" ht="14.25" customHeight="1">
      <c r="A11" s="23" t="n">
        <v>1</v>
      </c>
      <c r="B11" s="24" t="inlineStr">
        <is>
          <t>Scrap of 145 KV CB</t>
        </is>
      </c>
      <c r="C11" s="25" t="n">
        <v>65007</v>
      </c>
      <c r="D11" s="26" t="n">
        <v>21977</v>
      </c>
      <c r="E11" s="26" t="inlineStr">
        <is>
          <t>NO</t>
        </is>
      </c>
      <c r="F11" s="26" t="n">
        <v>2003</v>
      </c>
      <c r="G11" s="24" t="inlineStr">
        <is>
          <t>NATIONAL ENTERPRISES</t>
        </is>
      </c>
      <c r="H11" s="27" t="n">
        <v>65007</v>
      </c>
      <c r="I11" s="27">
        <f>ROUND(H11*18%,0)</f>
        <v/>
      </c>
      <c r="J11" s="27">
        <f>+H11+I11</f>
        <v/>
      </c>
      <c r="K11" s="27">
        <f>ROUND((H11+I11)*2%,0)</f>
        <v/>
      </c>
      <c r="L11" s="28">
        <f>H11*0.1%</f>
        <v/>
      </c>
      <c r="M11" s="28">
        <f>H11*2.25%*118%</f>
        <v/>
      </c>
      <c r="N11" s="29">
        <f>H11*2.25%*2%</f>
        <v/>
      </c>
      <c r="O11" s="28">
        <f>M11-N11</f>
        <v/>
      </c>
      <c r="P11" s="28">
        <f>ROUND(O11+L11,0)</f>
        <v/>
      </c>
      <c r="Q11" s="30" t="n">
        <v>0</v>
      </c>
      <c r="R11" s="28">
        <f>ROUND(H11*Q11,0)</f>
        <v/>
      </c>
      <c r="S11" s="27">
        <f>ROUND(H11*117.65%-R11,0)</f>
        <v/>
      </c>
      <c r="T11" s="28">
        <f>ROUND(H11*25%,0)</f>
        <v/>
      </c>
      <c r="U11" s="31">
        <f>+T11</f>
        <v/>
      </c>
      <c r="V11" s="28" t="inlineStr">
        <is>
          <t>13.08.2026</t>
        </is>
      </c>
      <c r="W11" s="28">
        <f>ROUND(H11*92.65%-R11,0)</f>
        <v/>
      </c>
      <c r="X11" s="28" t="n">
        <v>60229</v>
      </c>
      <c r="Y11" s="28" t="inlineStr">
        <is>
          <t>24.08.2026</t>
        </is>
      </c>
      <c r="Z11" s="28">
        <f>IF(OR(Y11="",Y11=0),H11*0.0118*CEILING((TODAY()-DATE(2026,8,22))/7,1),IF(DATE(VALUE(RIGHT(Y11,4)),VALUE(MID(Y11,4,2)),VALUE(LEFT(Y11,2)))&lt;=DATE(2026,8,24),0,H11*0.0118*CEILING((DATE(VALUE(RIGHT(Y11,4)),VALUE(MID(Y11,4,2)),VALUE(LEFT(Y11,2)))-DATE(2026,8,22))/7,1)))</f>
        <v/>
      </c>
      <c r="AA11" s="28" t="n"/>
      <c r="AB11" s="28" t="n"/>
      <c r="AC11" s="15">
        <f>U11+X11+AA11</f>
        <v/>
      </c>
      <c r="AD11" s="19">
        <f>S11-AC11</f>
        <v/>
      </c>
      <c r="AE11" s="20" t="inlineStr">
        <is>
          <t>DR2640100032</t>
        </is>
      </c>
      <c r="AF11" s="21" t="n">
        <v>1800003304</v>
      </c>
      <c r="AG11" s="22" t="inlineStr">
        <is>
          <t>27.08.2026</t>
        </is>
      </c>
    </row>
    <row r="12" ht="14.25" customHeight="1">
      <c r="A12" s="23" t="n">
        <v>1</v>
      </c>
      <c r="B12" s="24" t="inlineStr">
        <is>
          <t>Scrap of 220KV CT</t>
        </is>
      </c>
      <c r="C12" s="25" t="n">
        <v>70006</v>
      </c>
      <c r="D12" s="26" t="n">
        <v>21977</v>
      </c>
      <c r="E12" s="26" t="inlineStr">
        <is>
          <t>NO</t>
        </is>
      </c>
      <c r="F12" s="26" t="n">
        <v>2005</v>
      </c>
      <c r="G12" s="24" t="inlineStr">
        <is>
          <t>NATIONAL ENTERPRISES</t>
        </is>
      </c>
      <c r="H12" s="27" t="n">
        <v>70006</v>
      </c>
      <c r="I12" s="27">
        <f>ROUND(H12*18%,0)</f>
        <v/>
      </c>
      <c r="J12" s="27">
        <f>+H12+I12</f>
        <v/>
      </c>
      <c r="K12" s="27">
        <f>ROUND((H12+I12)*2%,0)</f>
        <v/>
      </c>
      <c r="L12" s="28">
        <f>H12*0.1%</f>
        <v/>
      </c>
      <c r="M12" s="28">
        <f>H12*2.25%*118%</f>
        <v/>
      </c>
      <c r="N12" s="29">
        <f>H12*2.25%*2%</f>
        <v/>
      </c>
      <c r="O12" s="28">
        <f>M12-N12</f>
        <v/>
      </c>
      <c r="P12" s="28">
        <f>ROUND(O12+L12,0)</f>
        <v/>
      </c>
      <c r="Q12" s="30" t="n">
        <v>0</v>
      </c>
      <c r="R12" s="28">
        <f>ROUND(H12*Q12,0)</f>
        <v/>
      </c>
      <c r="S12" s="27">
        <f>ROUND(H12*117.65%-R12,0)</f>
        <v/>
      </c>
      <c r="T12" s="28">
        <f>ROUND(H12*25%,0)</f>
        <v/>
      </c>
      <c r="U12" s="31">
        <f>+T12</f>
        <v/>
      </c>
      <c r="V12" s="28" t="inlineStr">
        <is>
          <t>13.08.2026</t>
        </is>
      </c>
      <c r="W12" s="28">
        <f>ROUND(H12*92.65%-R12,0)</f>
        <v/>
      </c>
      <c r="X12" s="28" t="n">
        <v>64859</v>
      </c>
      <c r="Y12" s="28" t="inlineStr">
        <is>
          <t>24.08.2026</t>
        </is>
      </c>
      <c r="Z12" s="28">
        <f>IF(OR(Y12="",Y12=0),H12*0.0118*CEILING((TODAY()-DATE(2026,8,22))/7,1),IF(DATE(VALUE(RIGHT(Y12,4)),VALUE(MID(Y12,4,2)),VALUE(LEFT(Y12,2)))&lt;=DATE(2026,8,24),0,H12*0.0118*CEILING((DATE(VALUE(RIGHT(Y12,4)),VALUE(MID(Y12,4,2)),VALUE(LEFT(Y12,2)))-DATE(2026,8,22))/7,1)))</f>
        <v/>
      </c>
      <c r="AA12" s="28" t="n"/>
      <c r="AB12" s="28" t="n"/>
      <c r="AC12" s="15">
        <f>U12+X12+AA12</f>
        <v/>
      </c>
      <c r="AD12" s="19">
        <f>S12-AC12</f>
        <v/>
      </c>
      <c r="AE12" s="20" t="inlineStr">
        <is>
          <t>DR2640100033</t>
        </is>
      </c>
      <c r="AF12" s="21" t="n">
        <v>1800003305</v>
      </c>
      <c r="AG12" s="22" t="inlineStr">
        <is>
          <t>27.08.2026</t>
        </is>
      </c>
    </row>
    <row r="13" ht="14.25" customHeight="1">
      <c r="A13" s="23" t="n">
        <v>25</v>
      </c>
      <c r="B13" s="24" t="inlineStr">
        <is>
          <t>Scrap of empty oil drums</t>
        </is>
      </c>
      <c r="C13" s="25" t="n">
        <v>700</v>
      </c>
      <c r="D13" s="26" t="n">
        <v>21977</v>
      </c>
      <c r="E13" s="26" t="inlineStr">
        <is>
          <t>NO</t>
        </is>
      </c>
      <c r="F13" s="26" t="n">
        <v>2006</v>
      </c>
      <c r="G13" s="24" t="inlineStr">
        <is>
          <t>STERLING ENTERPRISES</t>
        </is>
      </c>
      <c r="H13" s="27" t="n">
        <v>17500</v>
      </c>
      <c r="I13" s="27">
        <f>ROUND(H13*18%,0)</f>
        <v/>
      </c>
      <c r="J13" s="27">
        <f>+H13+I13</f>
        <v/>
      </c>
      <c r="K13" s="27">
        <f>ROUND((H13+I13)*2%,0)</f>
        <v/>
      </c>
      <c r="L13" s="28">
        <f>H13*0.1%</f>
        <v/>
      </c>
      <c r="M13" s="28">
        <f>H13*2.25%*118%</f>
        <v/>
      </c>
      <c r="N13" s="29">
        <f>H13*2.25%*2%</f>
        <v/>
      </c>
      <c r="O13" s="28">
        <f>M13-N13</f>
        <v/>
      </c>
      <c r="P13" s="28">
        <f>ROUND(O13+L13,0)</f>
        <v/>
      </c>
      <c r="Q13" s="30" t="n">
        <v>0</v>
      </c>
      <c r="R13" s="28">
        <f>ROUND(H13*Q13,0)</f>
        <v/>
      </c>
      <c r="S13" s="27">
        <f>ROUND(H13*117.65%-R13,0)</f>
        <v/>
      </c>
      <c r="T13" s="28">
        <f>ROUND(H13*25%,0)</f>
        <v/>
      </c>
      <c r="U13" s="31" t="n">
        <v>4375</v>
      </c>
      <c r="V13" s="28" t="inlineStr">
        <is>
          <t>11.08.2026</t>
        </is>
      </c>
      <c r="W13" s="28">
        <f>ROUND(H13*92.65%-R13,0)</f>
        <v/>
      </c>
      <c r="X13" s="28" t="n">
        <v>16214</v>
      </c>
      <c r="Y13" s="28" t="inlineStr">
        <is>
          <t>11.08.2026</t>
        </is>
      </c>
      <c r="Z13" s="28">
        <f>IF(OR(Y13="",Y13=0),H13*0.0118*CEILING((TODAY()-DATE(2026,8,22))/7,1),IF(DATE(VALUE(RIGHT(Y13,4)),VALUE(MID(Y13,4,2)),VALUE(LEFT(Y13,2)))&lt;=DATE(2026,8,24),0,H13*0.0118*CEILING((DATE(VALUE(RIGHT(Y13,4)),VALUE(MID(Y13,4,2)),VALUE(LEFT(Y13,2)))-DATE(2026,8,22))/7,1)))</f>
        <v/>
      </c>
      <c r="AA13" s="28" t="n"/>
      <c r="AB13" s="28" t="n"/>
      <c r="AC13" s="15">
        <f>U13+X13+AA13</f>
        <v/>
      </c>
      <c r="AD13" s="19">
        <f>S13-AC13</f>
        <v/>
      </c>
      <c r="AE13" s="20" t="inlineStr">
        <is>
          <t>DR2640100018</t>
        </is>
      </c>
      <c r="AF13" s="21" t="n">
        <v>1800003156</v>
      </c>
      <c r="AG13" s="22" t="inlineStr">
        <is>
          <t>14.08.2026</t>
        </is>
      </c>
    </row>
    <row r="14" ht="14.25" customHeight="1">
      <c r="A14" s="23" t="n">
        <v>1</v>
      </c>
      <c r="B14" s="24" t="inlineStr">
        <is>
          <t>SCRAP POWER TRANSFORMER</t>
        </is>
      </c>
      <c r="C14" s="25" t="n">
        <v>3857116</v>
      </c>
      <c r="D14" s="26" t="n">
        <v>21977</v>
      </c>
      <c r="E14" s="26" t="inlineStr">
        <is>
          <t>NO</t>
        </is>
      </c>
      <c r="F14" s="26" t="n">
        <v>2007</v>
      </c>
      <c r="G14" s="24" t="inlineStr">
        <is>
          <t>SHAR JAHAN TRADERS</t>
        </is>
      </c>
      <c r="H14" s="27" t="n">
        <v>3857116</v>
      </c>
      <c r="I14" s="27">
        <f>ROUND(H14*18%,0)</f>
        <v/>
      </c>
      <c r="J14" s="27">
        <f>+H14+I14</f>
        <v/>
      </c>
      <c r="K14" s="27">
        <f>ROUND((H14+I14)*2%,0)</f>
        <v/>
      </c>
      <c r="L14" s="28">
        <f>H14*0.1%</f>
        <v/>
      </c>
      <c r="M14" s="28">
        <f>H14*2.25%*118%</f>
        <v/>
      </c>
      <c r="N14" s="29">
        <f>H14*2.25%*2%</f>
        <v/>
      </c>
      <c r="O14" s="28">
        <f>M14-N14</f>
        <v/>
      </c>
      <c r="P14" s="28">
        <f>ROUND(O14+L14,0)</f>
        <v/>
      </c>
      <c r="Q14" s="30" t="n">
        <v>0</v>
      </c>
      <c r="R14" s="28">
        <f>ROUND(H14*Q14,0)</f>
        <v/>
      </c>
      <c r="S14" s="27">
        <f>ROUND(H14*117.65%-R14,0)</f>
        <v/>
      </c>
      <c r="T14" s="28">
        <f>ROUND(H14*25%,0)</f>
        <v/>
      </c>
      <c r="U14" s="31">
        <f>+T14</f>
        <v/>
      </c>
      <c r="V14" s="28" t="inlineStr">
        <is>
          <t>13.08.2026</t>
        </is>
      </c>
      <c r="W14" s="28">
        <f>ROUND(H14*92.65%-R14,0)</f>
        <v/>
      </c>
      <c r="X14" s="28" t="n">
        <v>3573618.90570839</v>
      </c>
      <c r="Y14" s="28" t="inlineStr">
        <is>
          <t>13.08.2026</t>
        </is>
      </c>
      <c r="Z14" s="28">
        <f>IF(OR(Y14="",Y14=0),H14*0.0118*CEILING((TODAY()-DATE(2026,8,22))/7,1),IF(DATE(VALUE(RIGHT(Y14,4)),VALUE(MID(Y14,4,2)),VALUE(LEFT(Y14,2)))&lt;=DATE(2026,8,24),0,H14*0.0118*CEILING((DATE(VALUE(RIGHT(Y14,4)),VALUE(MID(Y14,4,2)),VALUE(LEFT(Y14,2)))-DATE(2026,8,22))/7,1)))</f>
        <v/>
      </c>
      <c r="AA14" s="28" t="n"/>
      <c r="AB14" s="28" t="n"/>
      <c r="AC14" s="15">
        <f>U14+X14+AA14</f>
        <v/>
      </c>
      <c r="AD14" s="19">
        <f>S14-AC14</f>
        <v/>
      </c>
      <c r="AE14" s="20" t="inlineStr">
        <is>
          <t>DR2640100024</t>
        </is>
      </c>
      <c r="AF14" s="21" t="n">
        <v>1800003196</v>
      </c>
      <c r="AG14" s="22" t="inlineStr">
        <is>
          <t>17.08.2026</t>
        </is>
      </c>
    </row>
    <row r="15" ht="14.25" customHeight="1">
      <c r="A15" s="23" t="n">
        <v>250</v>
      </c>
      <c r="B15" s="24" t="inlineStr">
        <is>
          <t>Scrap of empty oil Druam</t>
        </is>
      </c>
      <c r="C15" s="25" t="n">
        <v>543</v>
      </c>
      <c r="D15" s="26" t="n">
        <v>21977</v>
      </c>
      <c r="E15" s="26" t="inlineStr">
        <is>
          <t>NO</t>
        </is>
      </c>
      <c r="F15" s="26" t="n">
        <v>2008</v>
      </c>
      <c r="G15" s="24" t="inlineStr">
        <is>
          <t>HIND TRADERS</t>
        </is>
      </c>
      <c r="H15" s="27" t="n">
        <v>135750</v>
      </c>
      <c r="I15" s="27">
        <f>ROUND(H15*18%,0)</f>
        <v/>
      </c>
      <c r="J15" s="27">
        <f>+H15+I15</f>
        <v/>
      </c>
      <c r="K15" s="27">
        <f>ROUND((H15+I15)*2%,0)</f>
        <v/>
      </c>
      <c r="L15" s="28">
        <f>H15*0.1%</f>
        <v/>
      </c>
      <c r="M15" s="28">
        <f>H15*2.25%*118%</f>
        <v/>
      </c>
      <c r="N15" s="29">
        <f>H15*2.25%*2%</f>
        <v/>
      </c>
      <c r="O15" s="28">
        <f>M15-N15</f>
        <v/>
      </c>
      <c r="P15" s="28">
        <f>ROUND(O15+L15,0)</f>
        <v/>
      </c>
      <c r="Q15" s="30" t="n">
        <v>0</v>
      </c>
      <c r="R15" s="28">
        <f>ROUND(H15*Q15,0)</f>
        <v/>
      </c>
      <c r="S15" s="27">
        <f>ROUND(H15*117.65%-R15,0)</f>
        <v/>
      </c>
      <c r="T15" s="28">
        <f>ROUND(H15*25%,0)</f>
        <v/>
      </c>
      <c r="U15" s="31" t="n">
        <v>33938</v>
      </c>
      <c r="V15" s="28" t="inlineStr">
        <is>
          <t>14.08.2026</t>
        </is>
      </c>
      <c r="W15" s="28">
        <f>ROUND(H15*92.65%-R15,0)</f>
        <v/>
      </c>
      <c r="X15" s="28" t="n">
        <v>125772</v>
      </c>
      <c r="Y15" s="28" t="inlineStr">
        <is>
          <t>18.08.2026</t>
        </is>
      </c>
      <c r="Z15" s="28">
        <f>IF(OR(Y15="",Y15=0),H15*0.0118*CEILING((TODAY()-DATE(2026,8,22))/7,1),IF(DATE(VALUE(RIGHT(Y15,4)),VALUE(MID(Y15,4,2)),VALUE(LEFT(Y15,2)))&lt;=DATE(2026,8,24),0,H15*0.0118*CEILING((DATE(VALUE(RIGHT(Y15,4)),VALUE(MID(Y15,4,2)),VALUE(LEFT(Y15,2)))-DATE(2026,8,22))/7,1)))</f>
        <v/>
      </c>
      <c r="AA15" s="28" t="n"/>
      <c r="AB15" s="28" t="n"/>
      <c r="AC15" s="15">
        <f>U15+X15+AA15</f>
        <v/>
      </c>
      <c r="AD15" s="19">
        <f>S15-AC15</f>
        <v/>
      </c>
      <c r="AE15" s="20" t="inlineStr">
        <is>
          <t>DR2640100026</t>
        </is>
      </c>
      <c r="AF15" s="21" t="n">
        <v>1800003247</v>
      </c>
      <c r="AG15" s="22" t="inlineStr">
        <is>
          <t>20.08.2026</t>
        </is>
      </c>
    </row>
    <row r="16" ht="14.25" customHeight="1">
      <c r="A16" s="23" t="n">
        <v>22</v>
      </c>
      <c r="B16" s="24" t="inlineStr">
        <is>
          <t>Scrap of empty oil Barrel</t>
        </is>
      </c>
      <c r="C16" s="25" t="n">
        <v>700</v>
      </c>
      <c r="D16" s="26" t="n">
        <v>21977</v>
      </c>
      <c r="E16" s="26" t="inlineStr">
        <is>
          <t>NO</t>
        </is>
      </c>
      <c r="F16" s="26" t="n">
        <v>2011</v>
      </c>
      <c r="G16" s="24" t="inlineStr">
        <is>
          <t>STERLING ENTERPRISES</t>
        </is>
      </c>
      <c r="H16" s="27" t="n">
        <v>15400</v>
      </c>
      <c r="I16" s="27">
        <f>ROUND(H16*18%,0)</f>
        <v/>
      </c>
      <c r="J16" s="27">
        <f>+H16+I16</f>
        <v/>
      </c>
      <c r="K16" s="27">
        <f>ROUND((H16+I16)*2%,0)</f>
        <v/>
      </c>
      <c r="L16" s="28">
        <f>H16*0.1%</f>
        <v/>
      </c>
      <c r="M16" s="28">
        <f>H16*2.25%*118%</f>
        <v/>
      </c>
      <c r="N16" s="29">
        <f>H16*2.25%*2%</f>
        <v/>
      </c>
      <c r="O16" s="28">
        <f>M16-N16</f>
        <v/>
      </c>
      <c r="P16" s="28">
        <f>ROUND(O16+L16,0)</f>
        <v/>
      </c>
      <c r="Q16" s="30" t="n">
        <v>0</v>
      </c>
      <c r="R16" s="28">
        <f>ROUND(H16*Q16,0)</f>
        <v/>
      </c>
      <c r="S16" s="27">
        <f>ROUND(H16*117.65%-R16,0)</f>
        <v/>
      </c>
      <c r="T16" s="28">
        <f>ROUND(H16*25%,0)</f>
        <v/>
      </c>
      <c r="U16" s="31" t="n">
        <v>3850</v>
      </c>
      <c r="V16" s="28" t="inlineStr">
        <is>
          <t>11.08.2026</t>
        </is>
      </c>
      <c r="W16" s="28">
        <f>ROUND(H16*92.65%-R16,0)</f>
        <v/>
      </c>
      <c r="X16" s="28" t="n">
        <v>14267</v>
      </c>
      <c r="Y16" s="28" t="inlineStr">
        <is>
          <t>11.08.2026</t>
        </is>
      </c>
      <c r="Z16" s="28">
        <f>IF(OR(Y16="",Y16=0),H16*0.0118*CEILING((TODAY()-DATE(2026,8,22))/7,1),IF(DATE(VALUE(RIGHT(Y16,4)),VALUE(MID(Y16,4,2)),VALUE(LEFT(Y16,2)))&lt;=DATE(2026,8,24),0,H16*0.0118*CEILING((DATE(VALUE(RIGHT(Y16,4)),VALUE(MID(Y16,4,2)),VALUE(LEFT(Y16,2)))-DATE(2026,8,22))/7,1)))</f>
        <v/>
      </c>
      <c r="AA16" s="28" t="n"/>
      <c r="AB16" s="28" t="n"/>
      <c r="AC16" s="15">
        <f>U16+X16+AA16</f>
        <v/>
      </c>
      <c r="AD16" s="19">
        <f>S16-AC16</f>
        <v/>
      </c>
      <c r="AE16" s="20" t="inlineStr">
        <is>
          <t>DR2640100019</t>
        </is>
      </c>
      <c r="AF16" s="21" t="n">
        <v>1800003157</v>
      </c>
      <c r="AG16" s="22" t="inlineStr">
        <is>
          <t>14.08.2026</t>
        </is>
      </c>
    </row>
    <row r="17" ht="14.25" customHeight="1">
      <c r="A17" s="23" t="n">
        <v>100</v>
      </c>
      <c r="B17" s="24" t="inlineStr">
        <is>
          <t>Scrap of empty oil Barrels</t>
        </is>
      </c>
      <c r="C17" s="25" t="n">
        <v>710</v>
      </c>
      <c r="D17" s="26" t="n">
        <v>21978</v>
      </c>
      <c r="E17" s="26" t="inlineStr">
        <is>
          <t>NO</t>
        </is>
      </c>
      <c r="F17" s="26" t="n">
        <v>2015</v>
      </c>
      <c r="G17" s="24" t="inlineStr">
        <is>
          <t>STERLING ENTERPRISES</t>
        </is>
      </c>
      <c r="H17" s="27" t="n">
        <v>71000</v>
      </c>
      <c r="I17" s="27">
        <f>ROUND(H17*18%,0)</f>
        <v/>
      </c>
      <c r="J17" s="27">
        <f>+H17+I17</f>
        <v/>
      </c>
      <c r="K17" s="27">
        <f>ROUND((H17+I17)*2%,0)</f>
        <v/>
      </c>
      <c r="L17" s="28">
        <f>H17*0.1%</f>
        <v/>
      </c>
      <c r="M17" s="28">
        <f>H17*2.25%*118%</f>
        <v/>
      </c>
      <c r="N17" s="29">
        <f>H17*2.25%*2%</f>
        <v/>
      </c>
      <c r="O17" s="28">
        <f>M17-N17</f>
        <v/>
      </c>
      <c r="P17" s="28">
        <f>ROUND(O17+L17,0)</f>
        <v/>
      </c>
      <c r="Q17" s="30" t="n">
        <v>0</v>
      </c>
      <c r="R17" s="28">
        <f>ROUND(H17*Q17,0)</f>
        <v/>
      </c>
      <c r="S17" s="27">
        <f>ROUND(H17*117.65%-R17,0)</f>
        <v/>
      </c>
      <c r="T17" s="28">
        <f>ROUND(H17*25%,0)</f>
        <v/>
      </c>
      <c r="U17" s="31" t="n">
        <v>17750</v>
      </c>
      <c r="V17" s="28" t="inlineStr">
        <is>
          <t>11.08.2026</t>
        </is>
      </c>
      <c r="W17" s="28">
        <f>ROUND(H17*92.65%-R17,0)</f>
        <v/>
      </c>
      <c r="X17" s="28">
        <f>+W17</f>
        <v/>
      </c>
      <c r="Y17" s="28" t="inlineStr">
        <is>
          <t>11.08.2026</t>
        </is>
      </c>
      <c r="Z17" s="28">
        <f>IF(OR(Y17="",Y17=0),H17*0.0118*CEILING((TODAY()-DATE(2026,8,22))/7,1),IF(DATE(VALUE(RIGHT(Y17,4)),VALUE(MID(Y17,4,2)),VALUE(LEFT(Y17,2)))&lt;=DATE(2026,8,24),0,H17*0.0118*CEILING((DATE(VALUE(RIGHT(Y17,4)),VALUE(MID(Y17,4,2)),VALUE(LEFT(Y17,2)))-DATE(2026,8,22))/7,1)))</f>
        <v/>
      </c>
      <c r="AA17" s="28" t="n"/>
      <c r="AB17" s="28" t="n"/>
      <c r="AC17" s="15">
        <f>U17+X17+AA17</f>
        <v/>
      </c>
      <c r="AD17" s="19">
        <f>S17-AC17</f>
        <v/>
      </c>
      <c r="AE17" s="20" t="inlineStr">
        <is>
          <t>DR2640100020</t>
        </is>
      </c>
      <c r="AF17" s="21" t="n">
        <v>1800003158</v>
      </c>
      <c r="AG17" s="22" t="inlineStr">
        <is>
          <t>14.08.2026</t>
        </is>
      </c>
    </row>
    <row r="18" ht="14.25" customHeight="1">
      <c r="A18" s="23" t="n">
        <v>1</v>
      </c>
      <c r="B18" s="24" t="inlineStr">
        <is>
          <t>Scrap of 220 KV Circuit Breaker</t>
        </is>
      </c>
      <c r="C18" s="25" t="n">
        <v>220001</v>
      </c>
      <c r="D18" s="26" t="n">
        <v>21978</v>
      </c>
      <c r="E18" s="26" t="inlineStr">
        <is>
          <t>NO</t>
        </is>
      </c>
      <c r="F18" s="26" t="n">
        <v>2018</v>
      </c>
      <c r="G18" s="24" t="inlineStr">
        <is>
          <t>NATIONAL ENTERPRISES</t>
        </is>
      </c>
      <c r="H18" s="27" t="n">
        <v>220001</v>
      </c>
      <c r="I18" s="27">
        <f>ROUND(H18*18%,0)</f>
        <v/>
      </c>
      <c r="J18" s="27">
        <f>+H18+I18</f>
        <v/>
      </c>
      <c r="K18" s="27">
        <f>ROUND((H18+I18)*2%,0)</f>
        <v/>
      </c>
      <c r="L18" s="28">
        <f>H18*0.1%</f>
        <v/>
      </c>
      <c r="M18" s="28">
        <f>H18*2.25%*118%</f>
        <v/>
      </c>
      <c r="N18" s="29">
        <f>H18*2.25%*2%</f>
        <v/>
      </c>
      <c r="O18" s="28">
        <f>M18-N18</f>
        <v/>
      </c>
      <c r="P18" s="28">
        <f>ROUND(O18+L18,0)</f>
        <v/>
      </c>
      <c r="Q18" s="30" t="n">
        <v>0</v>
      </c>
      <c r="R18" s="28">
        <f>ROUND(H18*Q18,0)</f>
        <v/>
      </c>
      <c r="S18" s="27">
        <f>ROUND(H18*117.65%-R18,0)</f>
        <v/>
      </c>
      <c r="T18" s="28">
        <f>ROUND(H18*25%,0)</f>
        <v/>
      </c>
      <c r="U18" s="31">
        <f>+T18</f>
        <v/>
      </c>
      <c r="V18" s="28" t="inlineStr">
        <is>
          <t>13.08.2026</t>
        </is>
      </c>
      <c r="W18" s="28">
        <f>ROUND(H18*92.65%-R18,0)</f>
        <v/>
      </c>
      <c r="X18" s="28" t="n">
        <v>203831</v>
      </c>
      <c r="Y18" s="28" t="inlineStr">
        <is>
          <t>24.08.2026</t>
        </is>
      </c>
      <c r="Z18" s="28">
        <f>IF(OR(Y18="",Y18=0),H18*0.0118*CEILING((TODAY()-DATE(2026,8,22))/7,1),IF(DATE(VALUE(RIGHT(Y18,4)),VALUE(MID(Y18,4,2)),VALUE(LEFT(Y18,2)))&lt;=DATE(2026,8,24),0,H18*0.0118*CEILING((DATE(VALUE(RIGHT(Y18,4)),VALUE(MID(Y18,4,2)),VALUE(LEFT(Y18,2)))-DATE(2026,8,22))/7,1)))</f>
        <v/>
      </c>
      <c r="AA18" s="28" t="n"/>
      <c r="AB18" s="28" t="n"/>
      <c r="AC18" s="15">
        <f>U18+X18+AA18</f>
        <v/>
      </c>
      <c r="AD18" s="19">
        <f>S18-AC18</f>
        <v/>
      </c>
      <c r="AE18" s="20" t="inlineStr">
        <is>
          <t>DR2640100034</t>
        </is>
      </c>
      <c r="AF18" s="21" t="n">
        <v>1800003306</v>
      </c>
      <c r="AG18" s="22" t="inlineStr">
        <is>
          <t>27.08.2026</t>
        </is>
      </c>
    </row>
    <row r="19" ht="14.25" customHeight="1">
      <c r="A19" s="23" t="n">
        <v>1</v>
      </c>
      <c r="B19" s="24" t="inlineStr">
        <is>
          <t>Scrap of 220 KV Circuit Breaker</t>
        </is>
      </c>
      <c r="C19" s="25" t="n">
        <v>210001</v>
      </c>
      <c r="D19" s="26" t="n">
        <v>21978</v>
      </c>
      <c r="E19" s="26" t="inlineStr">
        <is>
          <t>NO</t>
        </is>
      </c>
      <c r="F19" s="26" t="n">
        <v>2019</v>
      </c>
      <c r="G19" s="24" t="inlineStr">
        <is>
          <t>NATIONAL ENTERPRISES</t>
        </is>
      </c>
      <c r="H19" s="27" t="n">
        <v>210001</v>
      </c>
      <c r="I19" s="27">
        <f>ROUND(H19*18%,0)</f>
        <v/>
      </c>
      <c r="J19" s="27">
        <f>+H19+I19</f>
        <v/>
      </c>
      <c r="K19" s="27">
        <f>ROUND((H19+I19)*2%,0)</f>
        <v/>
      </c>
      <c r="L19" s="28">
        <f>H19*0.1%</f>
        <v/>
      </c>
      <c r="M19" s="28">
        <f>H19*2.25%*118%</f>
        <v/>
      </c>
      <c r="N19" s="29">
        <f>H19*2.25%*2%</f>
        <v/>
      </c>
      <c r="O19" s="28">
        <f>M19-N19</f>
        <v/>
      </c>
      <c r="P19" s="28">
        <f>ROUND(O19+L19,0)</f>
        <v/>
      </c>
      <c r="Q19" s="30" t="n">
        <v>0</v>
      </c>
      <c r="R19" s="28">
        <f>ROUND(H19*Q19,0)</f>
        <v/>
      </c>
      <c r="S19" s="27">
        <f>ROUND(H19*117.65%-R19,0)</f>
        <v/>
      </c>
      <c r="T19" s="28">
        <f>ROUND(H19*25%,0)</f>
        <v/>
      </c>
      <c r="U19" s="31">
        <f>+T19</f>
        <v/>
      </c>
      <c r="V19" s="28" t="inlineStr">
        <is>
          <t>13.08.2026</t>
        </is>
      </c>
      <c r="W19" s="28">
        <f>ROUND(H19*92.65%-R19,0)</f>
        <v/>
      </c>
      <c r="X19" s="28" t="n">
        <v>194566</v>
      </c>
      <c r="Y19" s="28" t="inlineStr">
        <is>
          <t>24.08.2026</t>
        </is>
      </c>
      <c r="Z19" s="28">
        <f>IF(OR(Y19="",Y19=0),H19*0.0118*CEILING((TODAY()-DATE(2026,8,22))/7,1),IF(DATE(VALUE(RIGHT(Y19,4)),VALUE(MID(Y19,4,2)),VALUE(LEFT(Y19,2)))&lt;=DATE(2026,8,24),0,H19*0.0118*CEILING((DATE(VALUE(RIGHT(Y19,4)),VALUE(MID(Y19,4,2)),VALUE(LEFT(Y19,2)))-DATE(2026,8,22))/7,1)))</f>
        <v/>
      </c>
      <c r="AA19" s="28" t="n"/>
      <c r="AB19" s="28" t="n"/>
      <c r="AC19" s="15">
        <f>U19+X19+AA19</f>
        <v/>
      </c>
      <c r="AD19" s="19">
        <f>S19-AC19</f>
        <v/>
      </c>
      <c r="AE19" s="20" t="inlineStr">
        <is>
          <t>DR2640100035</t>
        </is>
      </c>
      <c r="AF19" s="21" t="n">
        <v>1800003307</v>
      </c>
      <c r="AG19" s="22" t="inlineStr">
        <is>
          <t>27.08.2026</t>
        </is>
      </c>
    </row>
    <row r="20" ht="26.25" customHeight="1">
      <c r="A20" s="23" t="n">
        <v>3500</v>
      </c>
      <c r="B20" s="24" t="inlineStr">
        <is>
          <t>SCRAP 80MM² AAAC EARTHWIRE</t>
        </is>
      </c>
      <c r="C20" s="25" t="n">
        <v>333</v>
      </c>
      <c r="D20" s="26" t="n">
        <v>21978</v>
      </c>
      <c r="E20" s="26" t="inlineStr">
        <is>
          <t>KG</t>
        </is>
      </c>
      <c r="F20" s="26" t="n">
        <v>2020</v>
      </c>
      <c r="G20" s="24" t="inlineStr">
        <is>
          <t>OMKAR STEELS</t>
        </is>
      </c>
      <c r="H20" s="27" t="n">
        <v>1165500</v>
      </c>
      <c r="I20" s="27">
        <f>ROUND(H20*18%,0)</f>
        <v/>
      </c>
      <c r="J20" s="27">
        <f>+H20+I20</f>
        <v/>
      </c>
      <c r="K20" s="27">
        <f>ROUND((H20+I20)*2%,0)</f>
        <v/>
      </c>
      <c r="L20" s="28">
        <f>H20*0.1%</f>
        <v/>
      </c>
      <c r="M20" s="28">
        <f>H20*2.25%*118%</f>
        <v/>
      </c>
      <c r="N20" s="29">
        <f>H20*2.25%*2%</f>
        <v/>
      </c>
      <c r="O20" s="28">
        <f>M20-N20</f>
        <v/>
      </c>
      <c r="P20" s="28">
        <f>ROUND(O20+L20,0)</f>
        <v/>
      </c>
      <c r="Q20" s="30" t="n">
        <v>0.02</v>
      </c>
      <c r="R20" s="28">
        <f>ROUND(H20*Q20,0)</f>
        <v/>
      </c>
      <c r="S20" s="27">
        <f>ROUND(H20*117.65%-R20,0)</f>
        <v/>
      </c>
      <c r="T20" s="28">
        <f>ROUND(H20*25%,0)</f>
        <v/>
      </c>
      <c r="U20" s="31" t="n">
        <v>291375</v>
      </c>
      <c r="V20" s="28" t="inlineStr">
        <is>
          <t>10.08.2026</t>
        </is>
      </c>
      <c r="W20" s="28">
        <f>ROUND(H20*92.65%-R20,0)</f>
        <v/>
      </c>
      <c r="X20" s="28" t="n">
        <v>1056525</v>
      </c>
      <c r="Y20" s="28" t="inlineStr">
        <is>
          <t>10.08.2026</t>
        </is>
      </c>
      <c r="Z20" s="28">
        <f>IF(OR(Y20="",Y20=0),H20*0.0118*CEILING((TODAY()-DATE(2026,8,22))/7,1),IF(DATE(VALUE(RIGHT(Y20,4)),VALUE(MID(Y20,4,2)),VALUE(LEFT(Y20,2)))&lt;=DATE(2026,8,24),0,H20*0.0118*CEILING((DATE(VALUE(RIGHT(Y20,4)),VALUE(MID(Y20,4,2)),VALUE(LEFT(Y20,2)))-DATE(2026,8,22))/7,1)))</f>
        <v/>
      </c>
      <c r="AA20" s="28" t="n"/>
      <c r="AB20" s="28" t="n"/>
      <c r="AC20" s="15">
        <f>U20+X20+AA20</f>
        <v/>
      </c>
      <c r="AD20" s="19">
        <f>S20-AC20</f>
        <v/>
      </c>
      <c r="AE20" s="20" t="inlineStr">
        <is>
          <t>DR2640100017</t>
        </is>
      </c>
      <c r="AF20" s="21" t="n">
        <v>1800003065</v>
      </c>
      <c r="AG20" s="22" t="inlineStr">
        <is>
          <t>12.08.2026</t>
        </is>
      </c>
    </row>
    <row r="21" ht="39" customHeight="1">
      <c r="A21" s="23" t="n">
        <v>3</v>
      </c>
      <c r="B21" s="24" t="inlineStr">
        <is>
          <t>Scrap of 132 KV CT</t>
        </is>
      </c>
      <c r="C21" s="25" t="n">
        <v>110200</v>
      </c>
      <c r="D21" s="26" t="n">
        <v>21978</v>
      </c>
      <c r="E21" s="26" t="inlineStr">
        <is>
          <t>NO</t>
        </is>
      </c>
      <c r="F21" s="26" t="n">
        <v>2022</v>
      </c>
      <c r="G21" s="24" t="inlineStr">
        <is>
          <t>NATIONAL SCRAP AND BUILDING MATERIAL SUPPLIER</t>
        </is>
      </c>
      <c r="H21" s="27" t="n">
        <v>330600</v>
      </c>
      <c r="I21" s="27">
        <f>ROUND(H21*18%,0)</f>
        <v/>
      </c>
      <c r="J21" s="27">
        <f>+H21+I21</f>
        <v/>
      </c>
      <c r="K21" s="27">
        <f>ROUND((H21+I21)*2%,0)</f>
        <v/>
      </c>
      <c r="L21" s="28">
        <f>H21*0.1%</f>
        <v/>
      </c>
      <c r="M21" s="28">
        <f>H21*2.25%*118%</f>
        <v/>
      </c>
      <c r="N21" s="29">
        <f>H21*2.25%*2%</f>
        <v/>
      </c>
      <c r="O21" s="28">
        <f>M21-N21</f>
        <v/>
      </c>
      <c r="P21" s="28">
        <f>ROUND(O21+L21,0)</f>
        <v/>
      </c>
      <c r="Q21" s="30" t="n">
        <v>0</v>
      </c>
      <c r="R21" s="28">
        <f>ROUND(H21*Q21,0)</f>
        <v/>
      </c>
      <c r="S21" s="27">
        <f>ROUND(H21*117.65%-R21,0)</f>
        <v/>
      </c>
      <c r="T21" s="28">
        <f>ROUND(H21*25%,0)</f>
        <v/>
      </c>
      <c r="U21" s="31">
        <f>+T21</f>
        <v/>
      </c>
      <c r="V21" s="28" t="inlineStr">
        <is>
          <t>14.08.2026</t>
        </is>
      </c>
      <c r="W21" s="28">
        <f>ROUND(H21*92.65%-R21,0)</f>
        <v/>
      </c>
      <c r="X21" s="28" t="n">
        <v>306301</v>
      </c>
      <c r="Y21" s="28" t="inlineStr">
        <is>
          <t>21.08.2026</t>
        </is>
      </c>
      <c r="Z21" s="28">
        <f>IF(OR(Y21="",Y21=0),H21*0.0118*CEILING((TODAY()-DATE(2026,8,22))/7,1),IF(DATE(VALUE(RIGHT(Y21,4)),VALUE(MID(Y21,4,2)),VALUE(LEFT(Y21,2)))&lt;=DATE(2026,8,24),0,H21*0.0118*CEILING((DATE(VALUE(RIGHT(Y21,4)),VALUE(MID(Y21,4,2)),VALUE(LEFT(Y21,2)))-DATE(2026,8,22))/7,1)))</f>
        <v/>
      </c>
      <c r="AA21" s="28" t="n"/>
      <c r="AB21" s="28" t="n"/>
      <c r="AC21" s="15">
        <f>U21+X21+AA21</f>
        <v/>
      </c>
      <c r="AD21" s="19">
        <f>S21-AC21</f>
        <v/>
      </c>
      <c r="AE21" s="20" t="inlineStr">
        <is>
          <t>DR2640100028</t>
        </is>
      </c>
      <c r="AF21" s="21" t="n">
        <v>1800003269</v>
      </c>
      <c r="AG21" s="22" t="inlineStr">
        <is>
          <t>24.08.2026</t>
        </is>
      </c>
    </row>
    <row r="22" ht="14.25" customHeight="1">
      <c r="A22" s="23" t="n">
        <v>3</v>
      </c>
      <c r="B22" s="24" t="inlineStr">
        <is>
          <t>Scrap of 132 KV CT</t>
        </is>
      </c>
      <c r="C22" s="25" t="n">
        <v>83743</v>
      </c>
      <c r="D22" s="26" t="n">
        <v>21978</v>
      </c>
      <c r="E22" s="26" t="inlineStr">
        <is>
          <t>NO</t>
        </is>
      </c>
      <c r="F22" s="26" t="n">
        <v>2023</v>
      </c>
      <c r="G22" s="24" t="inlineStr">
        <is>
          <t>NATIONAL ENTERPRISES</t>
        </is>
      </c>
      <c r="H22" s="27" t="n">
        <v>251229</v>
      </c>
      <c r="I22" s="27">
        <f>ROUND(H22*18%,0)</f>
        <v/>
      </c>
      <c r="J22" s="27">
        <f>+H22+I22</f>
        <v/>
      </c>
      <c r="K22" s="27">
        <f>ROUND((H22+I22)*2%,0)</f>
        <v/>
      </c>
      <c r="L22" s="28">
        <f>H22*0.1%</f>
        <v/>
      </c>
      <c r="M22" s="28">
        <f>H22*2.25%*118%</f>
        <v/>
      </c>
      <c r="N22" s="29">
        <f>H22*2.25%*2%</f>
        <v/>
      </c>
      <c r="O22" s="28">
        <f>M22-N22</f>
        <v/>
      </c>
      <c r="P22" s="28">
        <f>ROUND(O22+L22,0)</f>
        <v/>
      </c>
      <c r="Q22" s="30" t="n">
        <v>0</v>
      </c>
      <c r="R22" s="28">
        <f>ROUND(H22*Q22,0)</f>
        <v/>
      </c>
      <c r="S22" s="27">
        <f>ROUND(H22*117.65%-R22,0)</f>
        <v/>
      </c>
      <c r="T22" s="28">
        <f>ROUND(H22*25%,0)</f>
        <v/>
      </c>
      <c r="U22" s="31">
        <f>+T22</f>
        <v/>
      </c>
      <c r="V22" s="28" t="inlineStr">
        <is>
          <t>13.08.2026</t>
        </is>
      </c>
      <c r="W22" s="28">
        <f>ROUND(H22*92.65%-R22,0)</f>
        <v/>
      </c>
      <c r="X22" s="28" t="n">
        <v>232764</v>
      </c>
      <c r="Y22" s="28" t="inlineStr">
        <is>
          <t>24.08.2026</t>
        </is>
      </c>
      <c r="Z22" s="28">
        <f>IF(OR(Y22="",Y22=0),H22*0.0118*CEILING((TODAY()-DATE(2026,8,22))/7,1),IF(DATE(VALUE(RIGHT(Y22,4)),VALUE(MID(Y22,4,2)),VALUE(LEFT(Y22,2)))&lt;=DATE(2026,8,24),0,H22*0.0118*CEILING((DATE(VALUE(RIGHT(Y22,4)),VALUE(MID(Y22,4,2)),VALUE(LEFT(Y22,2)))-DATE(2026,8,22))/7,1)))</f>
        <v/>
      </c>
      <c r="AA22" s="28" t="n"/>
      <c r="AB22" s="28" t="n"/>
      <c r="AC22" s="15">
        <f>U22+X22+AA22</f>
        <v/>
      </c>
      <c r="AD22" s="19">
        <f>S22-AC22</f>
        <v/>
      </c>
      <c r="AE22" s="20" t="inlineStr">
        <is>
          <t>DR2640100044</t>
        </is>
      </c>
      <c r="AF22" s="21" t="n">
        <v>1800003308</v>
      </c>
      <c r="AG22" s="22" t="inlineStr">
        <is>
          <t>27.08.2026</t>
        </is>
      </c>
    </row>
    <row r="23" ht="14.25" customHeight="1">
      <c r="A23" s="23" t="n">
        <v>90</v>
      </c>
      <c r="B23" s="24" t="inlineStr">
        <is>
          <t>Scrap of empty oil Barrels</t>
        </is>
      </c>
      <c r="C23" s="25" t="n">
        <v>700</v>
      </c>
      <c r="D23" s="26" t="n">
        <v>21978</v>
      </c>
      <c r="E23" s="26" t="inlineStr">
        <is>
          <t>NO</t>
        </is>
      </c>
      <c r="F23" s="26" t="n">
        <v>2025</v>
      </c>
      <c r="G23" s="24" t="inlineStr">
        <is>
          <t>STERLING ENTERPRISES</t>
        </is>
      </c>
      <c r="H23" s="27" t="n">
        <v>63000</v>
      </c>
      <c r="I23" s="27">
        <f>ROUND(H23*18%,0)</f>
        <v/>
      </c>
      <c r="J23" s="27">
        <f>+H23+I23</f>
        <v/>
      </c>
      <c r="K23" s="27">
        <f>ROUND((H23+I23)*2%,0)</f>
        <v/>
      </c>
      <c r="L23" s="28">
        <f>H23*0.1%</f>
        <v/>
      </c>
      <c r="M23" s="28">
        <f>H23*2.25%*118%</f>
        <v/>
      </c>
      <c r="N23" s="29">
        <f>H23*2.25%*2%</f>
        <v/>
      </c>
      <c r="O23" s="28">
        <f>M23-N23</f>
        <v/>
      </c>
      <c r="P23" s="28">
        <f>ROUND(O23+L23,0)</f>
        <v/>
      </c>
      <c r="Q23" s="30" t="n">
        <v>0</v>
      </c>
      <c r="R23" s="28">
        <f>ROUND(H23*Q23,0)</f>
        <v/>
      </c>
      <c r="S23" s="27">
        <f>ROUND(H23*117.65%-R23,0)</f>
        <v/>
      </c>
      <c r="T23" s="28">
        <f>ROUND(H23*25%,0)</f>
        <v/>
      </c>
      <c r="U23" s="31" t="n">
        <v>15750</v>
      </c>
      <c r="V23" s="28" t="inlineStr">
        <is>
          <t>11.08.2026</t>
        </is>
      </c>
      <c r="W23" s="28">
        <f>ROUND(H23*92.65%-R23,0)</f>
        <v/>
      </c>
      <c r="X23" s="28" t="n">
        <v>58418</v>
      </c>
      <c r="Y23" s="28" t="inlineStr">
        <is>
          <t>11.08.2026</t>
        </is>
      </c>
      <c r="Z23" s="28">
        <f>IF(OR(Y23="",Y23=0),H23*0.0118*CEILING((TODAY()-DATE(2026,8,22))/7,1),IF(DATE(VALUE(RIGHT(Y23,4)),VALUE(MID(Y23,4,2)),VALUE(LEFT(Y23,2)))&lt;=DATE(2026,8,24),0,H23*0.0118*CEILING((DATE(VALUE(RIGHT(Y23,4)),VALUE(MID(Y23,4,2)),VALUE(LEFT(Y23,2)))-DATE(2026,8,22))/7,1)))</f>
        <v/>
      </c>
      <c r="AA23" s="28" t="n"/>
      <c r="AB23" s="28" t="n"/>
      <c r="AC23" s="15">
        <f>U23+X23+AA23</f>
        <v/>
      </c>
      <c r="AD23" s="19">
        <f>S23-AC23</f>
        <v/>
      </c>
      <c r="AE23" s="20" t="inlineStr">
        <is>
          <t>DR2640100021</t>
        </is>
      </c>
      <c r="AF23" s="21" t="n">
        <v>1800003160</v>
      </c>
      <c r="AG23" s="22" t="inlineStr">
        <is>
          <t>14.08.2026</t>
        </is>
      </c>
    </row>
    <row r="24" ht="14.25" customHeight="1">
      <c r="A24" s="23" t="n">
        <v>1</v>
      </c>
      <c r="B24" s="24" t="inlineStr">
        <is>
          <t>Scrap of 132 KV CT</t>
        </is>
      </c>
      <c r="C24" s="25" t="n">
        <v>50003</v>
      </c>
      <c r="D24" s="26" t="n">
        <v>21978</v>
      </c>
      <c r="E24" s="26" t="inlineStr">
        <is>
          <t>NO</t>
        </is>
      </c>
      <c r="F24" s="26" t="n">
        <v>2027</v>
      </c>
      <c r="G24" s="24" t="inlineStr">
        <is>
          <t>NATIONAL ENTERPRISES</t>
        </is>
      </c>
      <c r="H24" s="27" t="n">
        <v>50003</v>
      </c>
      <c r="I24" s="27">
        <f>ROUND(H24*18%,0)</f>
        <v/>
      </c>
      <c r="J24" s="27">
        <f>+H24+I24</f>
        <v/>
      </c>
      <c r="K24" s="27">
        <f>ROUND((H24+I24)*2%,0)</f>
        <v/>
      </c>
      <c r="L24" s="28">
        <f>H24*0.1%</f>
        <v/>
      </c>
      <c r="M24" s="28">
        <f>H24*2.25%*118%</f>
        <v/>
      </c>
      <c r="N24" s="29">
        <f>H24*2.25%*2%</f>
        <v/>
      </c>
      <c r="O24" s="28">
        <f>M24-N24</f>
        <v/>
      </c>
      <c r="P24" s="28">
        <f>ROUND(O24+L24,0)</f>
        <v/>
      </c>
      <c r="Q24" s="30" t="n">
        <v>0</v>
      </c>
      <c r="R24" s="28">
        <f>ROUND(H24*Q24,0)</f>
        <v/>
      </c>
      <c r="S24" s="27">
        <f>ROUND(H24*117.65%-R24,0)</f>
        <v/>
      </c>
      <c r="T24" s="28">
        <f>ROUND(H24*25%,0)</f>
        <v/>
      </c>
      <c r="U24" s="31">
        <f>+T24</f>
        <v/>
      </c>
      <c r="V24" s="28" t="inlineStr">
        <is>
          <t>13.08.2026</t>
        </is>
      </c>
      <c r="W24" s="28">
        <f>ROUND(H24*92.65%-R24,0)</f>
        <v/>
      </c>
      <c r="X24" s="28" t="n">
        <v>46328</v>
      </c>
      <c r="Y24" s="28" t="inlineStr">
        <is>
          <t>24.08.2026</t>
        </is>
      </c>
      <c r="Z24" s="28">
        <f>IF(OR(Y24="",Y24=0),H24*0.0118*CEILING((TODAY()-DATE(2026,8,22))/7,1),IF(DATE(VALUE(RIGHT(Y24,4)),VALUE(MID(Y24,4,2)),VALUE(LEFT(Y24,2)))&lt;=DATE(2026,8,24),0,H24*0.0118*CEILING((DATE(VALUE(RIGHT(Y24,4)),VALUE(MID(Y24,4,2)),VALUE(LEFT(Y24,2)))-DATE(2026,8,22))/7,1)))</f>
        <v/>
      </c>
      <c r="AA24" s="28" t="n"/>
      <c r="AB24" s="28" t="n"/>
      <c r="AC24" s="15">
        <f>U24+X24+AA24</f>
        <v/>
      </c>
      <c r="AD24" s="19">
        <f>S24-AC24</f>
        <v/>
      </c>
      <c r="AE24" s="20" t="inlineStr">
        <is>
          <t>DR2640100036</t>
        </is>
      </c>
      <c r="AF24" s="21" t="n">
        <v>1800003309</v>
      </c>
      <c r="AG24" s="22" t="inlineStr">
        <is>
          <t>27.08.2026</t>
        </is>
      </c>
    </row>
    <row r="25" ht="14.25" customHeight="1">
      <c r="A25" s="23" t="n">
        <v>1000</v>
      </c>
      <c r="B25" s="24" t="inlineStr">
        <is>
          <t>Scrap Empty Oil Drum/ Barrel</t>
        </is>
      </c>
      <c r="C25" s="25" t="n">
        <v>517</v>
      </c>
      <c r="D25" s="26" t="n">
        <v>21978</v>
      </c>
      <c r="E25" s="26" t="inlineStr">
        <is>
          <t>NO</t>
        </is>
      </c>
      <c r="F25" s="26" t="n">
        <v>2033</v>
      </c>
      <c r="G25" s="24" t="inlineStr">
        <is>
          <t>WATAN SCRAP TRADERS</t>
        </is>
      </c>
      <c r="H25" s="27" t="n">
        <v>517000</v>
      </c>
      <c r="I25" s="27">
        <f>ROUND(H25*18%,0)</f>
        <v/>
      </c>
      <c r="J25" s="27">
        <f>+H25+I25</f>
        <v/>
      </c>
      <c r="K25" s="27">
        <f>ROUND((H25+I25)*2%,0)</f>
        <v/>
      </c>
      <c r="L25" s="28">
        <f>H25*0.1%</f>
        <v/>
      </c>
      <c r="M25" s="28">
        <f>H25*2.25%*118%</f>
        <v/>
      </c>
      <c r="N25" s="29">
        <f>H25*2.25%*2%</f>
        <v/>
      </c>
      <c r="O25" s="28">
        <f>M25-N25</f>
        <v/>
      </c>
      <c r="P25" s="28">
        <f>ROUND(O25+L25,0)</f>
        <v/>
      </c>
      <c r="Q25" s="30" t="n">
        <v>0</v>
      </c>
      <c r="R25" s="28">
        <f>ROUND(H25*Q25,0)</f>
        <v/>
      </c>
      <c r="S25" s="27">
        <f>ROUND(H25*117.65%-R25,0)</f>
        <v/>
      </c>
      <c r="T25" s="28">
        <f>ROUND(H25*25%,0)</f>
        <v/>
      </c>
      <c r="U25" s="31" t="n">
        <v>129250</v>
      </c>
      <c r="V25" s="28" t="inlineStr">
        <is>
          <t>14.08.2026</t>
        </is>
      </c>
      <c r="W25" s="28">
        <f>ROUND(H25*92.65%-R25,0)</f>
        <v/>
      </c>
      <c r="X25" s="28" t="n">
        <v>479001</v>
      </c>
      <c r="Y25" s="28" t="inlineStr">
        <is>
          <t>21.08.2026</t>
        </is>
      </c>
      <c r="Z25" s="28">
        <f>IF(OR(Y25="",Y25=0),H25*0.0118*CEILING((TODAY()-DATE(2026,8,22))/7,1),IF(DATE(VALUE(RIGHT(Y25,4)),VALUE(MID(Y25,4,2)),VALUE(LEFT(Y25,2)))&lt;=DATE(2026,8,24),0,H25*0.0118*CEILING((DATE(VALUE(RIGHT(Y25,4)),VALUE(MID(Y25,4,2)),VALUE(LEFT(Y25,2)))-DATE(2026,8,22))/7,1)))</f>
        <v/>
      </c>
      <c r="AA25" s="28" t="n"/>
      <c r="AB25" s="28" t="n"/>
      <c r="AC25" s="15">
        <f>U25+X25+AA25</f>
        <v/>
      </c>
      <c r="AD25" s="19">
        <f>S25-AC25</f>
        <v/>
      </c>
      <c r="AE25" s="20" t="inlineStr">
        <is>
          <t>DR2640100042</t>
        </is>
      </c>
      <c r="AF25" s="21" t="n">
        <v>1800003317</v>
      </c>
      <c r="AG25" s="22" t="inlineStr">
        <is>
          <t>27.08.2026</t>
        </is>
      </c>
    </row>
    <row r="26" ht="14.25" customHeight="1">
      <c r="A26" s="23" t="n">
        <v>2</v>
      </c>
      <c r="B26" s="24" t="inlineStr">
        <is>
          <t>Scrap of 132 KV Wave Trap</t>
        </is>
      </c>
      <c r="C26" s="25" t="n">
        <v>14001</v>
      </c>
      <c r="D26" s="26" t="n">
        <v>21978</v>
      </c>
      <c r="E26" s="26" t="inlineStr">
        <is>
          <t>NO</t>
        </is>
      </c>
      <c r="F26" s="26" t="n">
        <v>2035</v>
      </c>
      <c r="G26" s="24" t="inlineStr">
        <is>
          <t>NATIONAL ENTERPRISES</t>
        </is>
      </c>
      <c r="H26" s="27" t="n">
        <v>28002</v>
      </c>
      <c r="I26" s="27">
        <f>ROUND(H26*18%,0)</f>
        <v/>
      </c>
      <c r="J26" s="27">
        <f>+H26+I26</f>
        <v/>
      </c>
      <c r="K26" s="27">
        <f>ROUND((H26+I26)*2%,0)</f>
        <v/>
      </c>
      <c r="L26" s="28">
        <f>H26*0.1%</f>
        <v/>
      </c>
      <c r="M26" s="28">
        <f>H26*2.25%*118%</f>
        <v/>
      </c>
      <c r="N26" s="29">
        <f>H26*2.25%*2%</f>
        <v/>
      </c>
      <c r="O26" s="28">
        <f>M26-N26</f>
        <v/>
      </c>
      <c r="P26" s="28">
        <f>ROUND(O26+L26,0)</f>
        <v/>
      </c>
      <c r="Q26" s="30" t="n">
        <v>0</v>
      </c>
      <c r="R26" s="28">
        <f>ROUND(H26*Q26,0)</f>
        <v/>
      </c>
      <c r="S26" s="27">
        <f>ROUND(H26*117.65%-R26,0)</f>
        <v/>
      </c>
      <c r="T26" s="28">
        <f>ROUND(H26*25%,0)</f>
        <v/>
      </c>
      <c r="U26" s="31">
        <f>+T26</f>
        <v/>
      </c>
      <c r="V26" s="28" t="inlineStr">
        <is>
          <t>13.08.2026</t>
        </is>
      </c>
      <c r="W26" s="28">
        <f>ROUND(H26*92.65%-R26,0)</f>
        <v/>
      </c>
      <c r="X26" s="28" t="n">
        <v>25943</v>
      </c>
      <c r="Y26" s="28" t="inlineStr">
        <is>
          <t>24.08.2026</t>
        </is>
      </c>
      <c r="Z26" s="28">
        <f>IF(OR(Y26="",Y26=0),H26*0.0118*CEILING((TODAY()-DATE(2026,8,22))/7,1),IF(DATE(VALUE(RIGHT(Y26,4)),VALUE(MID(Y26,4,2)),VALUE(LEFT(Y26,2)))&lt;=DATE(2026,8,24),0,H26*0.0118*CEILING((DATE(VALUE(RIGHT(Y26,4)),VALUE(MID(Y26,4,2)),VALUE(LEFT(Y26,2)))-DATE(2026,8,22))/7,1)))</f>
        <v/>
      </c>
      <c r="AA26" s="28" t="n"/>
      <c r="AB26" s="28" t="n"/>
      <c r="AC26" s="15">
        <f>U26+X26+AA26</f>
        <v/>
      </c>
      <c r="AD26" s="19">
        <f>S26-AC26</f>
        <v/>
      </c>
      <c r="AE26" s="20" t="inlineStr">
        <is>
          <t>DR2640100037</t>
        </is>
      </c>
      <c r="AF26" s="21" t="n">
        <v>1800003310</v>
      </c>
      <c r="AG26" s="22" t="inlineStr">
        <is>
          <t>27.08.2026</t>
        </is>
      </c>
    </row>
    <row r="27" ht="26.25" customHeight="1">
      <c r="A27" s="23" t="n">
        <v>8.199999999999999</v>
      </c>
      <c r="B27" s="24" t="inlineStr">
        <is>
          <t>Mix Scrap (Tower angles &amp; 0.2 ACSR Condutor pieces)</t>
        </is>
      </c>
      <c r="C27" s="25" t="n">
        <v>67000</v>
      </c>
      <c r="D27" s="26" t="n">
        <v>21978</v>
      </c>
      <c r="E27" s="26" t="inlineStr">
        <is>
          <t>MT</t>
        </is>
      </c>
      <c r="F27" s="26" t="n">
        <v>2036</v>
      </c>
      <c r="G27" s="24" t="inlineStr">
        <is>
          <t>M I SCRAP TRADERS</t>
        </is>
      </c>
      <c r="H27" s="27" t="n">
        <v>549400</v>
      </c>
      <c r="I27" s="27">
        <f>ROUND(H27*18%,0)</f>
        <v/>
      </c>
      <c r="J27" s="27">
        <f>+H27+I27</f>
        <v/>
      </c>
      <c r="K27" s="27">
        <f>ROUND((H27+I27)*2%,0)</f>
        <v/>
      </c>
      <c r="L27" s="28">
        <f>H27*0.1%</f>
        <v/>
      </c>
      <c r="M27" s="28">
        <f>H27*2.25%*118%</f>
        <v/>
      </c>
      <c r="N27" s="29">
        <f>H27*2.25%*2%</f>
        <v/>
      </c>
      <c r="O27" s="28">
        <f>M27-N27</f>
        <v/>
      </c>
      <c r="P27" s="28">
        <f>ROUND(O27+L27,0)</f>
        <v/>
      </c>
      <c r="Q27" s="30" t="n">
        <v>0.02</v>
      </c>
      <c r="R27" s="28">
        <f>ROUND(H27*Q27,0)</f>
        <v/>
      </c>
      <c r="S27" s="27">
        <f>ROUND(H27*117.65%-R27,0)</f>
        <v/>
      </c>
      <c r="T27" s="28">
        <f>ROUND(H27*25%,0)</f>
        <v/>
      </c>
      <c r="U27" s="31" t="n">
        <v>137350</v>
      </c>
      <c r="V27" s="28" t="inlineStr">
        <is>
          <t>14.08.2026</t>
        </is>
      </c>
      <c r="W27" s="28">
        <f>ROUND(H27*92.65%-R27,0)</f>
        <v/>
      </c>
      <c r="X27" s="28" t="n"/>
      <c r="Y27" s="28" t="n">
        <v>0</v>
      </c>
      <c r="Z27" s="28">
        <f>IF(OR(Y27="",Y27=0),H27*0.0118*CEILING((TODAY()-DATE(2026,8,22))/7,1),IF(DATE(VALUE(RIGHT(Y27,4)),VALUE(MID(Y27,4,2)),VALUE(LEFT(Y27,2)))&lt;=DATE(2026,8,24),0,H27*0.0118*CEILING((DATE(VALUE(RIGHT(Y27,4)),VALUE(MID(Y27,4,2)),VALUE(LEFT(Y27,2)))-DATE(2026,8,22))/7,1)))</f>
        <v/>
      </c>
      <c r="AA27" s="28" t="n"/>
      <c r="AB27" s="28" t="n"/>
      <c r="AC27" s="15">
        <f>U27+X27+AA27</f>
        <v/>
      </c>
      <c r="AD27" s="19">
        <f>S27-AC27</f>
        <v/>
      </c>
      <c r="AE27" s="20" t="n"/>
      <c r="AF27" s="21" t="n"/>
      <c r="AG27" s="22" t="n"/>
    </row>
    <row r="28" ht="14.25" customHeight="1">
      <c r="A28" s="23" t="n">
        <v>50</v>
      </c>
      <c r="B28" s="24" t="inlineStr">
        <is>
          <t>Scrap of empty oil Barrels</t>
        </is>
      </c>
      <c r="C28" s="25" t="n">
        <v>531</v>
      </c>
      <c r="D28" s="26" t="n">
        <v>21978</v>
      </c>
      <c r="E28" s="26" t="inlineStr">
        <is>
          <t>NO</t>
        </is>
      </c>
      <c r="F28" s="26" t="n">
        <v>2037</v>
      </c>
      <c r="G28" s="24" t="inlineStr">
        <is>
          <t>WATAN SCRAP TRADERS</t>
        </is>
      </c>
      <c r="H28" s="27" t="n">
        <v>26550</v>
      </c>
      <c r="I28" s="27">
        <f>ROUND(H28*18%,0)</f>
        <v/>
      </c>
      <c r="J28" s="27">
        <f>+H28+I28</f>
        <v/>
      </c>
      <c r="K28" s="27">
        <f>ROUND((H28+I28)*2%,0)</f>
        <v/>
      </c>
      <c r="L28" s="28">
        <f>H28*0.1%</f>
        <v/>
      </c>
      <c r="M28" s="28">
        <f>H28*2.25%*118%</f>
        <v/>
      </c>
      <c r="N28" s="29">
        <f>H28*2.25%*2%</f>
        <v/>
      </c>
      <c r="O28" s="28">
        <f>M28-N28</f>
        <v/>
      </c>
      <c r="P28" s="28">
        <f>ROUND(O28+L28,0)</f>
        <v/>
      </c>
      <c r="Q28" s="30" t="n">
        <v>0</v>
      </c>
      <c r="R28" s="28">
        <f>ROUND(H28*Q28,0)</f>
        <v/>
      </c>
      <c r="S28" s="27">
        <f>ROUND(H28*117.65%-R28,0)</f>
        <v/>
      </c>
      <c r="T28" s="28">
        <f>ROUND(H28*25%,0)</f>
        <v/>
      </c>
      <c r="U28" s="31" t="n">
        <v>6638</v>
      </c>
      <c r="V28" s="28" t="inlineStr">
        <is>
          <t>14.08.2026</t>
        </is>
      </c>
      <c r="W28" s="28">
        <f>ROUND(H28*92.65%-R28,0)</f>
        <v/>
      </c>
      <c r="X28" s="28" t="n">
        <v>24598</v>
      </c>
      <c r="Y28" s="28" t="inlineStr">
        <is>
          <t>21.08.2026</t>
        </is>
      </c>
      <c r="Z28" s="28">
        <f>IF(OR(Y28="",Y28=0),H28*0.0118*CEILING((TODAY()-DATE(2026,8,22))/7,1),IF(DATE(VALUE(RIGHT(Y28,4)),VALUE(MID(Y28,4,2)),VALUE(LEFT(Y28,2)))&lt;=DATE(2026,8,24),0,H28*0.0118*CEILING((DATE(VALUE(RIGHT(Y28,4)),VALUE(MID(Y28,4,2)),VALUE(LEFT(Y28,2)))-DATE(2026,8,22))/7,1)))</f>
        <v/>
      </c>
      <c r="AA28" s="28" t="n"/>
      <c r="AB28" s="28" t="n"/>
      <c r="AC28" s="15">
        <f>U28+X28+AA28</f>
        <v/>
      </c>
      <c r="AD28" s="19">
        <f>S28-AC28</f>
        <v/>
      </c>
      <c r="AE28" s="20" t="inlineStr">
        <is>
          <t>DR2640100043</t>
        </is>
      </c>
      <c r="AF28" s="21" t="n">
        <v>1800003318</v>
      </c>
      <c r="AG28" s="22" t="inlineStr">
        <is>
          <t>27.08.2026</t>
        </is>
      </c>
    </row>
    <row r="29" ht="14.25" customHeight="1">
      <c r="A29" s="23" t="n">
        <v>3</v>
      </c>
      <c r="B29" s="24" t="inlineStr">
        <is>
          <t>Scrap of 33 KV CT</t>
        </is>
      </c>
      <c r="C29" s="25" t="n">
        <v>90002</v>
      </c>
      <c r="D29" s="26" t="n">
        <v>21978</v>
      </c>
      <c r="E29" s="26" t="inlineStr">
        <is>
          <t>NO</t>
        </is>
      </c>
      <c r="F29" s="26" t="n">
        <v>2040</v>
      </c>
      <c r="G29" s="24" t="inlineStr">
        <is>
          <t>STERLING ENTERPRISES</t>
        </is>
      </c>
      <c r="H29" s="27" t="n">
        <v>270006</v>
      </c>
      <c r="I29" s="27">
        <f>ROUND(H29*18%,0)</f>
        <v/>
      </c>
      <c r="J29" s="27">
        <f>+H29+I29</f>
        <v/>
      </c>
      <c r="K29" s="27">
        <f>ROUND((H29+I29)*2%,0)</f>
        <v/>
      </c>
      <c r="L29" s="28">
        <f>H29*0.1%</f>
        <v/>
      </c>
      <c r="M29" s="28">
        <f>H29*2.25%*118%</f>
        <v/>
      </c>
      <c r="N29" s="29">
        <f>H29*2.25%*2%</f>
        <v/>
      </c>
      <c r="O29" s="28">
        <f>M29-N29</f>
        <v/>
      </c>
      <c r="P29" s="28">
        <f>ROUND(O29+L29,0)</f>
        <v/>
      </c>
      <c r="Q29" s="30" t="n">
        <v>0</v>
      </c>
      <c r="R29" s="28">
        <f>ROUND(H29*Q29,0)</f>
        <v/>
      </c>
      <c r="S29" s="27">
        <f>ROUND(H29*117.65%-R29,0)</f>
        <v/>
      </c>
      <c r="T29" s="28">
        <f>ROUND(H29*25%,0)</f>
        <v/>
      </c>
      <c r="U29" s="31" t="n">
        <v>67502</v>
      </c>
      <c r="V29" s="28" t="inlineStr">
        <is>
          <t>11.08.2026</t>
        </is>
      </c>
      <c r="W29" s="28">
        <f>ROUND(H29*92.65%-R29,0)</f>
        <v/>
      </c>
      <c r="X29" s="28" t="n"/>
      <c r="Y29" s="28" t="n">
        <v>0</v>
      </c>
      <c r="Z29" s="28">
        <f>IF(OR(Y29="",Y29=0),H29*0.0118*CEILING((TODAY()-DATE(2026,8,22))/7,1),IF(DATE(VALUE(RIGHT(Y29,4)),VALUE(MID(Y29,4,2)),VALUE(LEFT(Y29,2)))&lt;=DATE(2026,8,24),0,H29*0.0118*CEILING((DATE(VALUE(RIGHT(Y29,4)),VALUE(MID(Y29,4,2)),VALUE(LEFT(Y29,2)))-DATE(2026,8,22))/7,1)))</f>
        <v/>
      </c>
      <c r="AA29" s="28" t="n"/>
      <c r="AB29" s="28" t="n"/>
      <c r="AC29" s="15">
        <f>U29+X29+AA29</f>
        <v/>
      </c>
      <c r="AD29" s="19">
        <f>S29-AC29</f>
        <v/>
      </c>
      <c r="AE29" s="20" t="n"/>
      <c r="AF29" s="21" t="n"/>
      <c r="AG29" s="22" t="n"/>
    </row>
    <row r="30" ht="14.25" customHeight="1">
      <c r="A30" s="23" t="n">
        <v>5</v>
      </c>
      <c r="B30" s="24" t="inlineStr">
        <is>
          <t>Scrap of 132 KV CT</t>
        </is>
      </c>
      <c r="C30" s="25" t="n">
        <v>80000</v>
      </c>
      <c r="D30" s="26" t="n">
        <v>21979</v>
      </c>
      <c r="E30" s="26" t="inlineStr">
        <is>
          <t>NO</t>
        </is>
      </c>
      <c r="F30" s="26" t="n">
        <v>2043</v>
      </c>
      <c r="G30" s="24" t="inlineStr">
        <is>
          <t>NATIONAL ENTERPRISES</t>
        </is>
      </c>
      <c r="H30" s="27" t="n">
        <v>400000</v>
      </c>
      <c r="I30" s="27">
        <f>ROUND(H30*18%,0)</f>
        <v/>
      </c>
      <c r="J30" s="27">
        <f>+H30+I30</f>
        <v/>
      </c>
      <c r="K30" s="27">
        <f>ROUND((H30+I30)*2%,0)</f>
        <v/>
      </c>
      <c r="L30" s="28">
        <f>H30*0.1%</f>
        <v/>
      </c>
      <c r="M30" s="28">
        <f>H30*2.25%*118%</f>
        <v/>
      </c>
      <c r="N30" s="29">
        <f>H30*2.25%*2%</f>
        <v/>
      </c>
      <c r="O30" s="28">
        <f>M30-N30</f>
        <v/>
      </c>
      <c r="P30" s="28">
        <f>ROUND(O30+L30,0)</f>
        <v/>
      </c>
      <c r="Q30" s="30" t="n">
        <v>0</v>
      </c>
      <c r="R30" s="28">
        <f>ROUND(H30*Q30,0)</f>
        <v/>
      </c>
      <c r="S30" s="27">
        <f>ROUND(H30*117.65%-R30,0)</f>
        <v/>
      </c>
      <c r="T30" s="28">
        <f>ROUND(H30*25%,0)</f>
        <v/>
      </c>
      <c r="U30" s="31">
        <f>+T30</f>
        <v/>
      </c>
      <c r="V30" s="28" t="inlineStr">
        <is>
          <t>13.08.2026</t>
        </is>
      </c>
      <c r="W30" s="28">
        <f>ROUND(H30*92.65%-R30,0)</f>
        <v/>
      </c>
      <c r="X30" s="28" t="n">
        <v>370600</v>
      </c>
      <c r="Y30" s="28" t="inlineStr">
        <is>
          <t>24.08.2026</t>
        </is>
      </c>
      <c r="Z30" s="28">
        <f>IF(OR(Y30="",Y30=0),H30*0.0118*CEILING((TODAY()-DATE(2026,8,22))/7,1),IF(DATE(VALUE(RIGHT(Y30,4)),VALUE(MID(Y30,4,2)),VALUE(LEFT(Y30,2)))&lt;=DATE(2026,8,24),0,H30*0.0118*CEILING((DATE(VALUE(RIGHT(Y30,4)),VALUE(MID(Y30,4,2)),VALUE(LEFT(Y30,2)))-DATE(2026,8,22))/7,1)))</f>
        <v/>
      </c>
      <c r="AA30" s="28" t="n"/>
      <c r="AB30" s="28" t="n"/>
      <c r="AC30" s="15">
        <f>U30+X30+AA30</f>
        <v/>
      </c>
      <c r="AD30" s="19">
        <f>S30-AC30</f>
        <v/>
      </c>
      <c r="AE30" s="20" t="inlineStr">
        <is>
          <t>DR2640100038</t>
        </is>
      </c>
      <c r="AF30" s="21" t="n">
        <v>1800003311</v>
      </c>
      <c r="AG30" s="22" t="inlineStr">
        <is>
          <t>27.08.2026</t>
        </is>
      </c>
    </row>
    <row r="31" ht="14.25" customHeight="1">
      <c r="A31" s="23" t="n">
        <v>670</v>
      </c>
      <c r="B31" s="24" t="inlineStr">
        <is>
          <t>Scrap of AAAC Earth wire</t>
        </is>
      </c>
      <c r="C31" s="25" t="n">
        <v>309</v>
      </c>
      <c r="D31" s="26" t="n">
        <v>21979</v>
      </c>
      <c r="E31" s="26" t="inlineStr">
        <is>
          <t>KG</t>
        </is>
      </c>
      <c r="F31" s="26" t="n">
        <v>2046</v>
      </c>
      <c r="G31" s="24" t="inlineStr">
        <is>
          <t>SAHARA ENTERPRISES</t>
        </is>
      </c>
      <c r="H31" s="27" t="n">
        <v>207030</v>
      </c>
      <c r="I31" s="27">
        <f>ROUND(H31*18%,0)</f>
        <v/>
      </c>
      <c r="J31" s="27">
        <f>+H31+I31</f>
        <v/>
      </c>
      <c r="K31" s="27">
        <f>ROUND((H31+I31)*2%,0)</f>
        <v/>
      </c>
      <c r="L31" s="28">
        <f>H31*0.1%</f>
        <v/>
      </c>
      <c r="M31" s="28">
        <f>H31*2.25%*118%</f>
        <v/>
      </c>
      <c r="N31" s="29">
        <f>H31*2.25%*2%</f>
        <v/>
      </c>
      <c r="O31" s="28">
        <f>M31-N31</f>
        <v/>
      </c>
      <c r="P31" s="28">
        <f>ROUND(O31+L31,0)</f>
        <v/>
      </c>
      <c r="Q31" s="30" t="n">
        <v>0</v>
      </c>
      <c r="R31" s="28">
        <f>ROUND(H31*Q31,0)</f>
        <v/>
      </c>
      <c r="S31" s="27">
        <f>ROUND(H31*117.65%-R31,0)</f>
        <v/>
      </c>
      <c r="T31" s="28">
        <f>ROUND(H31*25%,0)</f>
        <v/>
      </c>
      <c r="U31" s="31" t="n">
        <v>51758</v>
      </c>
      <c r="V31" s="28" t="inlineStr">
        <is>
          <t>11.08.2026</t>
        </is>
      </c>
      <c r="W31" s="28">
        <f>ROUND(H31*92.65%-R31,0)</f>
        <v/>
      </c>
      <c r="X31" s="28" t="n">
        <v>191812</v>
      </c>
      <c r="Y31" s="28" t="inlineStr">
        <is>
          <t>21.08.2026</t>
        </is>
      </c>
      <c r="Z31" s="28">
        <f>IF(OR(Y31="",Y31=0),H31*0.0118*CEILING((TODAY()-DATE(2026,8,22))/7,1),IF(DATE(VALUE(RIGHT(Y31,4)),VALUE(MID(Y31,4,2)),VALUE(LEFT(Y31,2)))&lt;=DATE(2026,8,24),0,H31*0.0118*CEILING((DATE(VALUE(RIGHT(Y31,4)),VALUE(MID(Y31,4,2)),VALUE(LEFT(Y31,2)))-DATE(2026,8,22))/7,1)))</f>
        <v/>
      </c>
      <c r="AA31" s="28" t="n"/>
      <c r="AB31" s="28" t="n"/>
      <c r="AC31" s="15">
        <f>U31+X31+AA31</f>
        <v/>
      </c>
      <c r="AD31" s="19">
        <f>S31-AC31</f>
        <v/>
      </c>
      <c r="AE31" s="20" t="inlineStr">
        <is>
          <t>DR2640100041</t>
        </is>
      </c>
      <c r="AF31" s="21" t="n">
        <v>1800003316</v>
      </c>
      <c r="AG31" s="22" t="inlineStr">
        <is>
          <t>27.08.2026</t>
        </is>
      </c>
    </row>
    <row r="32" ht="14.25" customHeight="1">
      <c r="A32" s="23" t="n">
        <v>2</v>
      </c>
      <c r="B32" s="24" t="inlineStr">
        <is>
          <t>Scrap of 220 KV CT</t>
        </is>
      </c>
      <c r="C32" s="25" t="n">
        <v>80006</v>
      </c>
      <c r="D32" s="26" t="n">
        <v>21979</v>
      </c>
      <c r="E32" s="26" t="inlineStr">
        <is>
          <t>NO</t>
        </is>
      </c>
      <c r="F32" s="26" t="n">
        <v>2055</v>
      </c>
      <c r="G32" s="24" t="inlineStr">
        <is>
          <t>NATIONAL ENTERPRISES</t>
        </is>
      </c>
      <c r="H32" s="27" t="n">
        <v>160012</v>
      </c>
      <c r="I32" s="27">
        <f>ROUND(H32*18%,0)</f>
        <v/>
      </c>
      <c r="J32" s="27">
        <f>+H32+I32</f>
        <v/>
      </c>
      <c r="K32" s="27">
        <f>ROUND((H32+I32)*2%,0)</f>
        <v/>
      </c>
      <c r="L32" s="28">
        <f>H32*0.1%</f>
        <v/>
      </c>
      <c r="M32" s="28">
        <f>H32*2.25%*118%</f>
        <v/>
      </c>
      <c r="N32" s="29">
        <f>H32*2.25%*2%</f>
        <v/>
      </c>
      <c r="O32" s="28">
        <f>M32-N32</f>
        <v/>
      </c>
      <c r="P32" s="28">
        <f>ROUND(O32+L32,0)</f>
        <v/>
      </c>
      <c r="Q32" s="30" t="n">
        <v>0</v>
      </c>
      <c r="R32" s="28">
        <f>ROUND(H32*Q32,0)</f>
        <v/>
      </c>
      <c r="S32" s="27">
        <f>ROUND(H32*117.65%-R32,0)</f>
        <v/>
      </c>
      <c r="T32" s="28">
        <f>ROUND(H32*25%,0)</f>
        <v/>
      </c>
      <c r="U32" s="31">
        <f>+T32</f>
        <v/>
      </c>
      <c r="V32" s="28" t="inlineStr">
        <is>
          <t>13.08.2026</t>
        </is>
      </c>
      <c r="W32" s="28">
        <f>ROUND(H32*92.65%-R32,0)</f>
        <v/>
      </c>
      <c r="X32" s="28" t="n">
        <v>148251</v>
      </c>
      <c r="Y32" s="28" t="inlineStr">
        <is>
          <t>24.08.2026</t>
        </is>
      </c>
      <c r="Z32" s="28">
        <f>IF(OR(Y32="",Y32=0),H32*0.0118*CEILING((TODAY()-DATE(2026,8,22))/7,1),IF(DATE(VALUE(RIGHT(Y32,4)),VALUE(MID(Y32,4,2)),VALUE(LEFT(Y32,2)))&lt;=DATE(2026,8,24),0,H32*0.0118*CEILING((DATE(VALUE(RIGHT(Y32,4)),VALUE(MID(Y32,4,2)),VALUE(LEFT(Y32,2)))-DATE(2026,8,22))/7,1)))</f>
        <v/>
      </c>
      <c r="AA32" s="28" t="n"/>
      <c r="AB32" s="28" t="n"/>
      <c r="AC32" s="15">
        <f>U32+X32+AA32</f>
        <v/>
      </c>
      <c r="AD32" s="19">
        <f>S32-AC32</f>
        <v/>
      </c>
      <c r="AE32" s="20" t="inlineStr">
        <is>
          <t>DR2640100039</t>
        </is>
      </c>
      <c r="AF32" s="21" t="n">
        <v>1800003312</v>
      </c>
      <c r="AG32" s="22" t="inlineStr">
        <is>
          <t>27.08.2026</t>
        </is>
      </c>
    </row>
    <row r="33" ht="14.25" customHeight="1">
      <c r="A33" s="23" t="n">
        <v>1</v>
      </c>
      <c r="B33" s="24" t="inlineStr">
        <is>
          <t>Scrap of 33 KV GCB</t>
        </is>
      </c>
      <c r="C33" s="25" t="n">
        <v>29502</v>
      </c>
      <c r="D33" s="26" t="n">
        <v>21979</v>
      </c>
      <c r="E33" s="26" t="inlineStr">
        <is>
          <t>NO</t>
        </is>
      </c>
      <c r="F33" s="26" t="n">
        <v>2059</v>
      </c>
      <c r="G33" s="24" t="inlineStr">
        <is>
          <t>NATIONAL ENTERPRISES</t>
        </is>
      </c>
      <c r="H33" s="27" t="n">
        <v>29502</v>
      </c>
      <c r="I33" s="27">
        <f>ROUND(H33*18%,0)</f>
        <v/>
      </c>
      <c r="J33" s="27">
        <f>+H33+I33</f>
        <v/>
      </c>
      <c r="K33" s="27">
        <f>ROUND((H33+I33)*2%,0)</f>
        <v/>
      </c>
      <c r="L33" s="28">
        <f>H33*0.1%</f>
        <v/>
      </c>
      <c r="M33" s="28">
        <f>H33*2.25%*118%</f>
        <v/>
      </c>
      <c r="N33" s="29">
        <f>H33*2.25%*2%</f>
        <v/>
      </c>
      <c r="O33" s="28">
        <f>M33-N33</f>
        <v/>
      </c>
      <c r="P33" s="28">
        <f>ROUND(O33+L33,0)</f>
        <v/>
      </c>
      <c r="Q33" s="30" t="n">
        <v>0</v>
      </c>
      <c r="R33" s="28">
        <f>ROUND(H33*Q33,0)</f>
        <v/>
      </c>
      <c r="S33" s="27">
        <f>ROUND(H33*117.65%-R33,0)</f>
        <v/>
      </c>
      <c r="T33" s="28">
        <f>ROUND(H33*25%,0)</f>
        <v/>
      </c>
      <c r="U33" s="31">
        <f>+T33</f>
        <v/>
      </c>
      <c r="V33" s="28" t="inlineStr">
        <is>
          <t>13.08.2026</t>
        </is>
      </c>
      <c r="W33" s="28">
        <f>ROUND(H33*92.65%-R33,0)</f>
        <v/>
      </c>
      <c r="X33" s="28" t="n">
        <v>27332</v>
      </c>
      <c r="Y33" s="28" t="inlineStr">
        <is>
          <t>24.08.2026</t>
        </is>
      </c>
      <c r="Z33" s="28">
        <f>IF(OR(Y33="",Y33=0),H33*0.0118*CEILING((TODAY()-DATE(2026,8,22))/7,1),IF(DATE(VALUE(RIGHT(Y33,4)),VALUE(MID(Y33,4,2)),VALUE(LEFT(Y33,2)))&lt;=DATE(2026,8,24),0,H33*0.0118*CEILING((DATE(VALUE(RIGHT(Y33,4)),VALUE(MID(Y33,4,2)),VALUE(LEFT(Y33,2)))-DATE(2026,8,22))/7,1)))</f>
        <v/>
      </c>
      <c r="AA33" s="28" t="n"/>
      <c r="AB33" s="28" t="n"/>
      <c r="AC33" s="15">
        <f>U33+X33+AA33</f>
        <v/>
      </c>
      <c r="AD33" s="19">
        <f>S33-AC33</f>
        <v/>
      </c>
      <c r="AE33" s="20" t="inlineStr">
        <is>
          <t>DR2640100046</t>
        </is>
      </c>
      <c r="AF33" s="21" t="n">
        <v>1800003313</v>
      </c>
      <c r="AG33" s="22" t="inlineStr">
        <is>
          <t>27.08.2026</t>
        </is>
      </c>
    </row>
    <row r="34" ht="14.25" customHeight="1">
      <c r="A34" s="23" t="n">
        <v>30</v>
      </c>
      <c r="B34" s="24" t="inlineStr">
        <is>
          <t>Scrap of Empty oil Barrels</t>
        </is>
      </c>
      <c r="C34" s="25" t="n">
        <v>702</v>
      </c>
      <c r="D34" s="26" t="n">
        <v>21979</v>
      </c>
      <c r="E34" s="26" t="inlineStr">
        <is>
          <t>NO</t>
        </is>
      </c>
      <c r="F34" s="26" t="n">
        <v>2062</v>
      </c>
      <c r="G34" s="24" t="inlineStr">
        <is>
          <t>STERLING ENTERPRISES</t>
        </is>
      </c>
      <c r="H34" s="27" t="n">
        <v>21060</v>
      </c>
      <c r="I34" s="27">
        <f>ROUND(H34*18%,0)</f>
        <v/>
      </c>
      <c r="J34" s="27">
        <f>+H34+I34</f>
        <v/>
      </c>
      <c r="K34" s="27">
        <f>ROUND((H34+I34)*2%,0)</f>
        <v/>
      </c>
      <c r="L34" s="28">
        <f>H34*0.1%</f>
        <v/>
      </c>
      <c r="M34" s="28">
        <f>H34*2.25%*118%</f>
        <v/>
      </c>
      <c r="N34" s="29">
        <f>H34*2.25%*2%</f>
        <v/>
      </c>
      <c r="O34" s="28">
        <f>M34-N34</f>
        <v/>
      </c>
      <c r="P34" s="28">
        <f>ROUND(O34+L34,0)</f>
        <v/>
      </c>
      <c r="Q34" s="30" t="n">
        <v>0</v>
      </c>
      <c r="R34" s="28">
        <f>ROUND(H34*Q34,0)</f>
        <v/>
      </c>
      <c r="S34" s="27">
        <f>ROUND(H34*117.65%-R34,0)</f>
        <v/>
      </c>
      <c r="T34" s="28">
        <f>ROUND(H34*25%,0)</f>
        <v/>
      </c>
      <c r="U34" s="31" t="n">
        <v>5265</v>
      </c>
      <c r="V34" s="28" t="inlineStr">
        <is>
          <t>11.08.2026</t>
        </is>
      </c>
      <c r="W34" s="28">
        <f>ROUND(H34*92.65%-R34,0)</f>
        <v/>
      </c>
      <c r="X34" s="28" t="n">
        <v>19512</v>
      </c>
      <c r="Y34" s="28" t="inlineStr">
        <is>
          <t>11.08.2026</t>
        </is>
      </c>
      <c r="Z34" s="28">
        <f>IF(OR(Y34="",Y34=0),H34*0.0118*CEILING((TODAY()-DATE(2026,8,22))/7,1),IF(DATE(VALUE(RIGHT(Y34,4)),VALUE(MID(Y34,4,2)),VALUE(LEFT(Y34,2)))&lt;=DATE(2026,8,24),0,H34*0.0118*CEILING((DATE(VALUE(RIGHT(Y34,4)),VALUE(MID(Y34,4,2)),VALUE(LEFT(Y34,2)))-DATE(2026,8,22))/7,1)))</f>
        <v/>
      </c>
      <c r="AA34" s="28" t="n"/>
      <c r="AB34" s="28" t="n"/>
      <c r="AC34" s="15">
        <f>U34+X34+AA34</f>
        <v/>
      </c>
      <c r="AD34" s="19">
        <f>S34-AC34</f>
        <v/>
      </c>
      <c r="AE34" s="20" t="inlineStr">
        <is>
          <t>DR2640100022</t>
        </is>
      </c>
      <c r="AF34" s="21" t="n">
        <v>1800003161</v>
      </c>
      <c r="AG34" s="22" t="inlineStr">
        <is>
          <t>14.08.2026</t>
        </is>
      </c>
    </row>
    <row r="35" ht="14.25" customHeight="1">
      <c r="A35" s="23" t="n">
        <v>150</v>
      </c>
      <c r="B35" s="24" t="inlineStr">
        <is>
          <t>Scrap of empty oil drums</t>
        </is>
      </c>
      <c r="C35" s="25" t="n">
        <v>571</v>
      </c>
      <c r="D35" s="26" t="n">
        <v>21980</v>
      </c>
      <c r="E35" s="26" t="inlineStr">
        <is>
          <t>NO</t>
        </is>
      </c>
      <c r="F35" s="26" t="n">
        <v>2067</v>
      </c>
      <c r="G35" s="24" t="inlineStr">
        <is>
          <t>WATAN SCRAP TRADERS</t>
        </is>
      </c>
      <c r="H35" s="27" t="n">
        <v>85650</v>
      </c>
      <c r="I35" s="27">
        <f>ROUND(H35*18%,0)</f>
        <v/>
      </c>
      <c r="J35" s="27">
        <f>+H35+I35</f>
        <v/>
      </c>
      <c r="K35" s="27">
        <f>ROUND((H35+I35)*2%,0)</f>
        <v/>
      </c>
      <c r="L35" s="28">
        <f>H35*0.1%</f>
        <v/>
      </c>
      <c r="M35" s="28">
        <f>H35*2.25%*118%</f>
        <v/>
      </c>
      <c r="N35" s="29">
        <f>H35*2.25%*2%</f>
        <v/>
      </c>
      <c r="O35" s="28">
        <f>M35-N35</f>
        <v/>
      </c>
      <c r="P35" s="28">
        <f>ROUND(O35+L35,0)</f>
        <v/>
      </c>
      <c r="Q35" s="30" t="n">
        <v>0</v>
      </c>
      <c r="R35" s="28">
        <f>ROUND(H35*Q35,0)</f>
        <v/>
      </c>
      <c r="S35" s="27">
        <f>ROUND(H35*117.65%-R35,0)</f>
        <v/>
      </c>
      <c r="T35" s="28">
        <f>ROUND(H35*25%,0)</f>
        <v/>
      </c>
      <c r="U35" s="31" t="n">
        <v>21413</v>
      </c>
      <c r="V35" s="28" t="inlineStr">
        <is>
          <t>14.08.2026</t>
        </is>
      </c>
      <c r="W35" s="28">
        <f>ROUND(H35*92.65%-R35,0)</f>
        <v/>
      </c>
      <c r="X35" s="28" t="n">
        <v>79354</v>
      </c>
      <c r="Y35" s="28" t="inlineStr">
        <is>
          <t>20.08.2026</t>
        </is>
      </c>
      <c r="Z35" s="28">
        <f>IF(OR(Y35="",Y35=0),H35*0.0118*CEILING((TODAY()-DATE(2026,8,22))/7,1),IF(DATE(VALUE(RIGHT(Y35,4)),VALUE(MID(Y35,4,2)),VALUE(LEFT(Y35,2)))&lt;=DATE(2026,8,24),0,H35*0.0118*CEILING((DATE(VALUE(RIGHT(Y35,4)),VALUE(MID(Y35,4,2)),VALUE(LEFT(Y35,2)))-DATE(2026,8,22))/7,1)))</f>
        <v/>
      </c>
      <c r="AA35" s="28" t="n"/>
      <c r="AB35" s="28" t="n"/>
      <c r="AC35" s="15">
        <f>U35+X35+AA35</f>
        <v/>
      </c>
      <c r="AD35" s="19">
        <f>S35-AC35</f>
        <v/>
      </c>
      <c r="AE35" s="20" t="inlineStr">
        <is>
          <t>DR2640100027</t>
        </is>
      </c>
      <c r="AF35" s="21" t="n">
        <v>1800003248</v>
      </c>
      <c r="AG35" s="22" t="inlineStr">
        <is>
          <t>20.08.2026</t>
        </is>
      </c>
    </row>
    <row r="36" ht="14.25" customHeight="1">
      <c r="A36" s="23" t="n">
        <v>1</v>
      </c>
      <c r="B36" s="24" t="inlineStr">
        <is>
          <t>Scrap of 33 KV CB</t>
        </is>
      </c>
      <c r="C36" s="25" t="n">
        <v>54000</v>
      </c>
      <c r="D36" s="26" t="n">
        <v>21980</v>
      </c>
      <c r="E36" s="26" t="inlineStr">
        <is>
          <t>NO</t>
        </is>
      </c>
      <c r="F36" s="26" t="n">
        <v>2069</v>
      </c>
      <c r="G36" s="24" t="inlineStr">
        <is>
          <t>STERLING ENTERPRISES</t>
        </is>
      </c>
      <c r="H36" s="27" t="n">
        <v>54000</v>
      </c>
      <c r="I36" s="27">
        <f>ROUND(H36*18%,0)</f>
        <v/>
      </c>
      <c r="J36" s="27">
        <f>+H36+I36</f>
        <v/>
      </c>
      <c r="K36" s="27">
        <f>ROUND((H36+I36)*2%,0)</f>
        <v/>
      </c>
      <c r="L36" s="28">
        <f>H36*0.1%</f>
        <v/>
      </c>
      <c r="M36" s="28">
        <f>H36*2.25%*118%</f>
        <v/>
      </c>
      <c r="N36" s="29">
        <f>H36*2.25%*2%</f>
        <v/>
      </c>
      <c r="O36" s="28">
        <f>M36-N36</f>
        <v/>
      </c>
      <c r="P36" s="28">
        <f>ROUND(O36+L36,0)</f>
        <v/>
      </c>
      <c r="Q36" s="30" t="n">
        <v>0</v>
      </c>
      <c r="R36" s="28">
        <f>ROUND(H36*Q36,0)</f>
        <v/>
      </c>
      <c r="S36" s="27">
        <f>ROUND(H36*117.65%-R36,0)</f>
        <v/>
      </c>
      <c r="T36" s="28">
        <f>ROUND(H36*25%,0)</f>
        <v/>
      </c>
      <c r="U36" s="31" t="n">
        <v>13500</v>
      </c>
      <c r="V36" s="28" t="inlineStr">
        <is>
          <t>11.08.2026</t>
        </is>
      </c>
      <c r="W36" s="28">
        <f>ROUND(H36*92.65%-R36,0)</f>
        <v/>
      </c>
      <c r="X36" s="28" t="n"/>
      <c r="Y36" s="28" t="n">
        <v>0</v>
      </c>
      <c r="Z36" s="28">
        <f>IF(OR(Y36="",Y36=0),H36*0.0118*CEILING((TODAY()-DATE(2026,8,22))/7,1),IF(DATE(VALUE(RIGHT(Y36,4)),VALUE(MID(Y36,4,2)),VALUE(LEFT(Y36,2)))&lt;=DATE(2026,8,24),0,H36*0.0118*CEILING((DATE(VALUE(RIGHT(Y36,4)),VALUE(MID(Y36,4,2)),VALUE(LEFT(Y36,2)))-DATE(2026,8,22))/7,1)))</f>
        <v/>
      </c>
      <c r="AA36" s="28" t="n"/>
      <c r="AB36" s="28" t="n"/>
      <c r="AC36" s="15">
        <f>U36+X36+AA36</f>
        <v/>
      </c>
      <c r="AD36" s="19">
        <f>S36-AC36</f>
        <v/>
      </c>
      <c r="AE36" s="20" t="n"/>
      <c r="AF36" s="21" t="n"/>
      <c r="AG36" s="22" t="n"/>
    </row>
    <row r="37" ht="14.25" customHeight="1">
      <c r="A37" s="23" t="n">
        <v>3</v>
      </c>
      <c r="B37" s="24" t="inlineStr">
        <is>
          <t>Scrap of 66 KV Isolater</t>
        </is>
      </c>
      <c r="C37" s="25" t="n">
        <v>25001</v>
      </c>
      <c r="D37" s="26" t="n">
        <v>21980</v>
      </c>
      <c r="E37" s="26" t="inlineStr">
        <is>
          <t>NO</t>
        </is>
      </c>
      <c r="F37" s="26" t="n">
        <v>2071</v>
      </c>
      <c r="G37" s="24" t="inlineStr">
        <is>
          <t>NATIONAL ENTERPRISES</t>
        </is>
      </c>
      <c r="H37" s="27" t="n">
        <v>75003</v>
      </c>
      <c r="I37" s="27">
        <f>ROUND(H37*18%,0)</f>
        <v/>
      </c>
      <c r="J37" s="27">
        <f>+H37+I37</f>
        <v/>
      </c>
      <c r="K37" s="27">
        <f>ROUND((H37+I37)*2%,0)</f>
        <v/>
      </c>
      <c r="L37" s="28">
        <f>H37*0.1%</f>
        <v/>
      </c>
      <c r="M37" s="28">
        <f>H37*2.25%*118%</f>
        <v/>
      </c>
      <c r="N37" s="29">
        <f>H37*2.25%*2%</f>
        <v/>
      </c>
      <c r="O37" s="28">
        <f>M37-N37</f>
        <v/>
      </c>
      <c r="P37" s="28">
        <f>ROUND(O37+L37,0)</f>
        <v/>
      </c>
      <c r="Q37" s="30" t="n">
        <v>0</v>
      </c>
      <c r="R37" s="28">
        <f>ROUND(H37*Q37,0)</f>
        <v/>
      </c>
      <c r="S37" s="27">
        <f>ROUND(H37*117.65%-R37,0)</f>
        <v/>
      </c>
      <c r="T37" s="28">
        <f>ROUND(H37*25%,0)</f>
        <v/>
      </c>
      <c r="U37" s="31">
        <f>+T37</f>
        <v/>
      </c>
      <c r="V37" s="28" t="inlineStr">
        <is>
          <t>13.08.2026</t>
        </is>
      </c>
      <c r="W37" s="28">
        <f>ROUND(H37*92.65%-R37,0)</f>
        <v/>
      </c>
      <c r="X37" s="28" t="n">
        <v>69491</v>
      </c>
      <c r="Y37" s="28" t="inlineStr">
        <is>
          <t>24.08.2026</t>
        </is>
      </c>
      <c r="Z37" s="28">
        <f>IF(OR(Y37="",Y37=0),H37*0.0118*CEILING((TODAY()-DATE(2026,8,22))/7,1),IF(DATE(VALUE(RIGHT(Y37,4)),VALUE(MID(Y37,4,2)),VALUE(LEFT(Y37,2)))&lt;=DATE(2026,8,24),0,H37*0.0118*CEILING((DATE(VALUE(RIGHT(Y37,4)),VALUE(MID(Y37,4,2)),VALUE(LEFT(Y37,2)))-DATE(2026,8,22))/7,1)))</f>
        <v/>
      </c>
      <c r="AA37" s="28" t="n"/>
      <c r="AB37" s="28" t="n"/>
      <c r="AC37" s="15">
        <f>U37+X37+AA37</f>
        <v/>
      </c>
      <c r="AD37" s="19">
        <f>S37-AC37</f>
        <v/>
      </c>
      <c r="AE37" s="20" t="inlineStr">
        <is>
          <t>DR2640100040</t>
        </is>
      </c>
      <c r="AF37" s="21" t="n">
        <v>1800003314</v>
      </c>
      <c r="AG37" s="22" t="inlineStr">
        <is>
          <t>27.08.2026</t>
        </is>
      </c>
    </row>
    <row r="38" ht="14.25" customHeight="1">
      <c r="A38" s="23" t="n">
        <v>3</v>
      </c>
      <c r="B38" s="24" t="inlineStr">
        <is>
          <t>Scrap of 132 KV CT</t>
        </is>
      </c>
      <c r="C38" s="25" t="n">
        <v>70001</v>
      </c>
      <c r="D38" s="26" t="n">
        <v>21980</v>
      </c>
      <c r="E38" s="26" t="inlineStr">
        <is>
          <t>NO</t>
        </is>
      </c>
      <c r="F38" s="26" t="n">
        <v>2086</v>
      </c>
      <c r="G38" s="24" t="inlineStr">
        <is>
          <t>KASHYAP TRADING CO</t>
        </is>
      </c>
      <c r="H38" s="27" t="n">
        <v>210003</v>
      </c>
      <c r="I38" s="27">
        <f>ROUND(H38*18%,0)</f>
        <v/>
      </c>
      <c r="J38" s="27">
        <f>+H38+I38</f>
        <v/>
      </c>
      <c r="K38" s="27">
        <f>ROUND((H38+I38)*2%,0)</f>
        <v/>
      </c>
      <c r="L38" s="28">
        <f>H38*0.1%</f>
        <v/>
      </c>
      <c r="M38" s="28">
        <f>H38*2.25%*118%</f>
        <v/>
      </c>
      <c r="N38" s="29">
        <f>H38*2.25%*2%</f>
        <v/>
      </c>
      <c r="O38" s="28">
        <f>M38-N38</f>
        <v/>
      </c>
      <c r="P38" s="28">
        <f>ROUND(O38+L38,0)</f>
        <v/>
      </c>
      <c r="Q38" s="30" t="n">
        <v>0</v>
      </c>
      <c r="R38" s="28">
        <f>ROUND(H38*Q38,0)</f>
        <v/>
      </c>
      <c r="S38" s="27">
        <f>ROUND(H38*117.65%-R38,0)</f>
        <v/>
      </c>
      <c r="T38" s="28">
        <f>ROUND(H38*25%,0)</f>
        <v/>
      </c>
      <c r="U38" s="31" t="n">
        <v>52501</v>
      </c>
      <c r="V38" s="28" t="inlineStr">
        <is>
          <t>17.08.2026</t>
        </is>
      </c>
      <c r="W38" s="28">
        <f>ROUND(H38*92.65%-R38,0)</f>
        <v/>
      </c>
      <c r="X38" s="28" t="n">
        <v>194568</v>
      </c>
      <c r="Y38" s="28" t="inlineStr">
        <is>
          <t>17.08.2026</t>
        </is>
      </c>
      <c r="Z38" s="28">
        <f>IF(OR(Y38="",Y38=0),H38*0.0118*CEILING((TODAY()-DATE(2026,8,22))/7,1),IF(DATE(VALUE(RIGHT(Y38,4)),VALUE(MID(Y38,4,2)),VALUE(LEFT(Y38,2)))&lt;=DATE(2026,8,24),0,H38*0.0118*CEILING((DATE(VALUE(RIGHT(Y38,4)),VALUE(MID(Y38,4,2)),VALUE(LEFT(Y38,2)))-DATE(2026,8,22))/7,1)))</f>
        <v/>
      </c>
      <c r="AA38" s="28" t="n"/>
      <c r="AB38" s="28" t="n"/>
      <c r="AC38" s="15">
        <f>U38+X38+AA38</f>
        <v/>
      </c>
      <c r="AD38" s="19">
        <f>S38-AC38</f>
        <v/>
      </c>
      <c r="AE38" s="20" t="inlineStr">
        <is>
          <t>DR2640100025</t>
        </is>
      </c>
      <c r="AF38" s="21" t="n">
        <v>1800003226</v>
      </c>
      <c r="AG38" s="22" t="inlineStr">
        <is>
          <t>19.08.2026</t>
        </is>
      </c>
    </row>
    <row r="39" ht="14.25" customHeight="1">
      <c r="A39" s="23" t="n">
        <v>2</v>
      </c>
      <c r="B39" s="24" t="inlineStr">
        <is>
          <t>Scrap of 66 kv TBC C &amp; R Panel</t>
        </is>
      </c>
      <c r="C39" s="25" t="n">
        <v>15006</v>
      </c>
      <c r="D39" s="26" t="n">
        <v>21980</v>
      </c>
      <c r="E39" s="26" t="inlineStr">
        <is>
          <t>NO</t>
        </is>
      </c>
      <c r="F39" s="26" t="n">
        <v>2089</v>
      </c>
      <c r="G39" s="24" t="inlineStr">
        <is>
          <t>S M ENTERPRISES</t>
        </is>
      </c>
      <c r="H39" s="27" t="n">
        <v>30012</v>
      </c>
      <c r="I39" s="27">
        <f>ROUND(H39*18%,0)</f>
        <v/>
      </c>
      <c r="J39" s="27">
        <f>+H39+I39</f>
        <v/>
      </c>
      <c r="K39" s="27">
        <f>ROUND((H39+I39)*2%,0)</f>
        <v/>
      </c>
      <c r="L39" s="28">
        <f>H39*0.1%</f>
        <v/>
      </c>
      <c r="M39" s="28">
        <f>H39*2.25%*118%</f>
        <v/>
      </c>
      <c r="N39" s="29">
        <f>H39*2.25%*2%</f>
        <v/>
      </c>
      <c r="O39" s="28">
        <f>M39-N39</f>
        <v/>
      </c>
      <c r="P39" s="28">
        <f>ROUND(O39+L39,0)</f>
        <v/>
      </c>
      <c r="Q39" s="30" t="n">
        <v>0</v>
      </c>
      <c r="R39" s="28">
        <f>ROUND(H39*Q39,0)</f>
        <v/>
      </c>
      <c r="S39" s="27">
        <f>ROUND(H39*117.65%-R39,0)</f>
        <v/>
      </c>
      <c r="T39" s="28">
        <f>ROUND(H39*25%,0)</f>
        <v/>
      </c>
      <c r="U39" s="31" t="n">
        <v>7503</v>
      </c>
      <c r="V39" s="28" t="inlineStr">
        <is>
          <t>14.08.2026</t>
        </is>
      </c>
      <c r="W39" s="28">
        <f>ROUND(H39*92.65%-R39,0)</f>
        <v/>
      </c>
      <c r="X39" s="28" t="n">
        <v>27806</v>
      </c>
      <c r="Y39" s="28" t="inlineStr">
        <is>
          <t>01.09.2026</t>
        </is>
      </c>
      <c r="Z39" s="28">
        <f>IF(OR(Y39="",Y39=0),H39*0.0118*CEILING((TODAY()-DATE(2026,8,22))/7,1),IF(DATE(VALUE(RIGHT(Y39,4)),VALUE(MID(Y39,4,2)),VALUE(LEFT(Y39,2)))&lt;=DATE(2026,8,24),0,H39*0.0118*CEILING((DATE(VALUE(RIGHT(Y39,4)),VALUE(MID(Y39,4,2)),VALUE(LEFT(Y39,2)))-DATE(2026,8,22))/7,1)))</f>
        <v/>
      </c>
      <c r="AA39" s="28" t="n">
        <v>708</v>
      </c>
      <c r="AB39" s="28" t="inlineStr">
        <is>
          <t>01.09.2026</t>
        </is>
      </c>
      <c r="AC39" s="15">
        <f>U39+X39+AA39</f>
        <v/>
      </c>
      <c r="AD39" s="19">
        <f>S39-AC39</f>
        <v/>
      </c>
      <c r="AE39" s="20" t="n"/>
      <c r="AF39" s="21" t="n"/>
      <c r="AG39" s="22" t="n"/>
    </row>
    <row r="40" ht="15" customHeight="1">
      <c r="A40" s="32" t="n">
        <v>3</v>
      </c>
      <c r="B40" s="33" t="inlineStr">
        <is>
          <t>Scrap of 132 KV CT</t>
        </is>
      </c>
      <c r="C40" s="34" t="n">
        <v>40003</v>
      </c>
      <c r="D40" s="35" t="n">
        <v>21980</v>
      </c>
      <c r="E40" s="35" t="inlineStr">
        <is>
          <t>NO</t>
        </is>
      </c>
      <c r="F40" s="35" t="n">
        <v>2091</v>
      </c>
      <c r="G40" s="33" t="inlineStr">
        <is>
          <t>S M ENTERPRISES</t>
        </is>
      </c>
      <c r="H40" s="36" t="n">
        <v>120009</v>
      </c>
      <c r="I40" s="36">
        <f>ROUND(H40*18%,0)</f>
        <v/>
      </c>
      <c r="J40" s="36">
        <f>+H40+I40</f>
        <v/>
      </c>
      <c r="K40" s="36">
        <f>ROUND((H40+I40)*2%,0)</f>
        <v/>
      </c>
      <c r="L40" s="37">
        <f>H40*0.1%</f>
        <v/>
      </c>
      <c r="M40" s="37">
        <f>H40*2.25%*118%</f>
        <v/>
      </c>
      <c r="N40" s="38">
        <f>H40*2.25%*2%</f>
        <v/>
      </c>
      <c r="O40" s="37">
        <f>M40-N40</f>
        <v/>
      </c>
      <c r="P40" s="37">
        <f>ROUND(O40+L40,0)</f>
        <v/>
      </c>
      <c r="Q40" s="39" t="n">
        <v>0</v>
      </c>
      <c r="R40" s="37">
        <f>ROUND(H40*Q40,0)</f>
        <v/>
      </c>
      <c r="S40" s="36">
        <f>ROUND(H40*117.65%-R40,0)</f>
        <v/>
      </c>
      <c r="T40" s="37">
        <f>ROUND(H40*25%,0)</f>
        <v/>
      </c>
      <c r="U40" s="40" t="n">
        <v>30002</v>
      </c>
      <c r="V40" s="37" t="inlineStr">
        <is>
          <t>14.08.2026</t>
        </is>
      </c>
      <c r="W40" s="37">
        <f>ROUND(H40*92.65%-R40,0)</f>
        <v/>
      </c>
      <c r="X40" s="37" t="n">
        <v>111189</v>
      </c>
      <c r="Y40" s="37" t="inlineStr">
        <is>
          <t>01.09.2026</t>
        </is>
      </c>
      <c r="Z40" s="37">
        <f>IF(OR(Y40="",Y40=0),H40*0.0118*CEILING((TODAY()-DATE(2026,8,22))/7,1),IF(DATE(VALUE(RIGHT(Y40,4)),VALUE(MID(Y40,4,2)),VALUE(LEFT(Y40,2)))&lt;=DATE(2026,8,24),0,H40*0.0118*CEILING((DATE(VALUE(RIGHT(Y40,4)),VALUE(MID(Y40,4,2)),VALUE(LEFT(Y40,2)))-DATE(2026,8,22))/7,1)))</f>
        <v/>
      </c>
      <c r="AA40" s="37" t="n">
        <v>2832</v>
      </c>
      <c r="AB40" s="37" t="inlineStr">
        <is>
          <t>01.09.2026</t>
        </is>
      </c>
      <c r="AC40" s="15">
        <f>U40+X40+AA40</f>
        <v/>
      </c>
      <c r="AD40" s="19">
        <f>S40-AC40</f>
        <v/>
      </c>
      <c r="AE40" s="20" t="n"/>
      <c r="AF40" s="21" t="n"/>
      <c r="AG40" s="22" t="n"/>
    </row>
    <row r="41" ht="14.25" customHeight="1">
      <c r="A41" s="41" t="n"/>
      <c r="B41" s="42" t="n"/>
      <c r="C41" s="42" t="n"/>
      <c r="D41" s="42" t="n"/>
      <c r="E41" s="42" t="n"/>
      <c r="F41" s="42" t="n"/>
      <c r="G41" s="42" t="n"/>
      <c r="H41" s="43">
        <f>SUM(H4:H40)</f>
        <v/>
      </c>
      <c r="I41" s="43">
        <f>SUM(I4:I40)</f>
        <v/>
      </c>
      <c r="J41" s="43">
        <f>SUM(J4:J40)</f>
        <v/>
      </c>
      <c r="K41" s="43">
        <f>SUM(K4:K40)</f>
        <v/>
      </c>
      <c r="L41" s="43">
        <f>SUM(L4:L40)</f>
        <v/>
      </c>
      <c r="M41" s="43">
        <f>SUM(M4:M40)</f>
        <v/>
      </c>
      <c r="N41" s="43">
        <f>SUM(N4:N40)</f>
        <v/>
      </c>
      <c r="O41" s="43">
        <f>SUM(O4:O40)</f>
        <v/>
      </c>
      <c r="P41" s="43">
        <f>SUM(P4:P40)</f>
        <v/>
      </c>
      <c r="Q41" s="44" t="n"/>
      <c r="R41" s="44">
        <f>SUM(R4:R40)</f>
        <v/>
      </c>
      <c r="S41" s="43">
        <f>SUM(S4:S40)</f>
        <v/>
      </c>
      <c r="T41" s="43">
        <f>SUM(T4:T40)</f>
        <v/>
      </c>
      <c r="U41" s="43">
        <f>SUM(U4:U40)</f>
        <v/>
      </c>
      <c r="V41" s="44" t="n"/>
      <c r="W41" s="43">
        <f>SUM(W4:W40)</f>
        <v/>
      </c>
      <c r="X41" s="43">
        <f>SUM(X4:X40)</f>
        <v/>
      </c>
      <c r="Y41" s="44" t="n"/>
      <c r="Z41" s="44">
        <f>SUM(Z4:Z40)</f>
        <v/>
      </c>
      <c r="AA41" s="44">
        <f>SUM(AA4:AA40)</f>
        <v/>
      </c>
      <c r="AB41" s="44" t="n"/>
      <c r="AC41" s="44">
        <f>SUM(AC4:AC40)</f>
        <v/>
      </c>
      <c r="AD41" s="43">
        <f>SUM(AD4:AD40)</f>
        <v/>
      </c>
      <c r="AE41" s="42" t="n"/>
      <c r="AF41" s="42" t="n"/>
      <c r="AG41" s="45" t="n"/>
    </row>
    <row r="42" ht="15" customHeight="1">
      <c r="A42" s="46" t="n"/>
      <c r="B42" s="47" t="n"/>
      <c r="C42" s="47" t="n"/>
      <c r="D42" s="47" t="n"/>
      <c r="E42" s="47" t="n"/>
      <c r="F42" s="47" t="n"/>
      <c r="G42" s="47" t="n"/>
      <c r="H42" s="48">
        <f>+H41</f>
        <v/>
      </c>
      <c r="I42" s="48">
        <f>ROUND(H42*18%,0)</f>
        <v/>
      </c>
      <c r="J42" s="48">
        <f>+H42+I42</f>
        <v/>
      </c>
      <c r="K42" s="48">
        <f>ROUND((H42+I42)*2%,0)</f>
        <v/>
      </c>
      <c r="L42" s="49">
        <f>ROUND(H42*0.1%,0)</f>
        <v/>
      </c>
      <c r="M42" s="49">
        <f>ROUND(H42*2.25%*118%,0)</f>
        <v/>
      </c>
      <c r="N42" s="50">
        <f>ROUND(H42*2.25%*2%,0)</f>
        <v/>
      </c>
      <c r="O42" s="49">
        <f>ROUND(M42-N42,0)</f>
        <v/>
      </c>
      <c r="P42" s="49">
        <f>ROUND(O42+L42,0)</f>
        <v/>
      </c>
      <c r="Q42" s="49" t="n"/>
      <c r="R42" s="49">
        <f>+R41</f>
        <v/>
      </c>
      <c r="S42" s="48">
        <f>H42*117.65%-R42</f>
        <v/>
      </c>
      <c r="T42" s="51" t="n"/>
      <c r="U42" s="51">
        <f>+T41-U41</f>
        <v/>
      </c>
      <c r="V42" s="52" t="n"/>
      <c r="W42" s="53" t="n"/>
      <c r="X42" s="53">
        <f>+W41-X41</f>
        <v/>
      </c>
      <c r="Y42" s="52" t="n"/>
      <c r="Z42" s="52" t="n"/>
      <c r="AA42" s="52" t="n"/>
      <c r="AB42" s="52" t="n"/>
      <c r="AC42" s="52" t="n"/>
      <c r="AD42" s="52" t="n"/>
      <c r="AE42" s="47" t="n"/>
      <c r="AF42" s="47" t="n"/>
      <c r="AG42" s="54" t="n"/>
    </row>
    <row r="43" ht="14.25" customHeight="1">
      <c r="I43" s="55" t="n"/>
      <c r="J43" s="55" t="n"/>
      <c r="U43" s="56" t="inlineStr">
        <is>
          <t>Bal SD O/s</t>
        </is>
      </c>
      <c r="X43" s="57" t="inlineStr">
        <is>
          <t>Bal FP O/s</t>
        </is>
      </c>
    </row>
    <row r="44" ht="14.25" customHeight="1">
      <c r="U44" s="58" t="n"/>
    </row>
    <row r="45"/>
    <row r="46" ht="14.25" customHeight="1">
      <c r="K46" s="55" t="n"/>
    </row>
  </sheetData>
  <autoFilter ref="A3:AG43">
    <sortState ref="A4:AG43">
      <sortCondition ref="A4:A43"/>
    </sortState>
  </autoFilter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00ED7D31"/>
    <outlinePr summaryBelow="0" summaryRight="1"/>
    <pageSetUpPr fitToPage="1"/>
  </sheetPr>
  <dimension ref="A1:O58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Row="2" outlineLevelCol="1"/>
  <cols>
    <col width="34" customWidth="1" min="1" max="1"/>
    <col outlineLevel="1" width="15.5" customWidth="1" min="2" max="2"/>
    <col outlineLevel="1" width="15.5" customWidth="1" min="3" max="3"/>
    <col outlineLevel="1" width="15.5" customWidth="1" min="4" max="4"/>
    <col outlineLevel="1" width="15.5" customWidth="1" min="5" max="5"/>
    <col outlineLevel="1" width="15.5" customWidth="1" min="6" max="6"/>
    <col outlineLevel="1" width="15.5" customWidth="1" min="7" max="7"/>
    <col outlineLevel="1" width="15.5" customWidth="1" min="8" max="8"/>
    <col outlineLevel="1" width="15.5" customWidth="1" min="9" max="9"/>
    <col outlineLevel="1" width="15.5" customWidth="1" min="10" max="10"/>
    <col outlineLevel="1" width="15.5" customWidth="1" min="11" max="11"/>
    <col outlineLevel="1" width="15.5" customWidth="1" min="12" max="12"/>
    <col outlineLevel="1" width="15.5" customWidth="1" min="13" max="13"/>
    <col outlineLevel="1" width="15.5" customWidth="1" min="14" max="14"/>
    <col width="17" customWidth="1" min="15" max="15"/>
  </cols>
  <sheetData>
    <row r="1" ht="30" customHeight="1">
      <c r="A1" s="59" t="inlineStr">
        <is>
          <t>MSTC LIMITED  •  BUYER × LOT COLLAPSIBLE VIEW   (fields ↓ rows  |  lots → columns)</t>
        </is>
      </c>
    </row>
    <row r="2" ht="18" customHeight="1">
      <c r="A2" s="60" t="inlineStr">
        <is>
          <t>Auctions 21977 • 21978 • 21979 • 21980   —   every figure below is a live link to 'Final Calculation Sheet'</t>
        </is>
      </c>
    </row>
    <row r="3" ht="32" customHeight="1">
      <c r="A3" s="61" t="inlineStr">
        <is>
          <t>HOW TO USE  ▶  the − / + buttons in the grey margin on the LEFT fold a whole buyer (outer level) or a single section such as FINANCIALS (inner level)   •   the − / + above column O folds all lot columns away and keeps only the buyer totals   •   the 1 2 3 buttons at the top left expand everything again   •   a colour coded buyer index with totals and jump links sits at the bottom of this sheet</t>
        </is>
      </c>
    </row>
    <row r="4" ht="6" customHeight="1"/>
    <row r="5" ht="26" customHeight="1">
      <c r="A5" s="62" t="inlineStr">
        <is>
          <t>FIELD  ▸  BUYER  |  LOT →</t>
        </is>
      </c>
      <c r="B5" s="62" t="inlineStr">
        <is>
          <t>LOT 1</t>
        </is>
      </c>
      <c r="C5" s="62" t="inlineStr">
        <is>
          <t>LOT 2</t>
        </is>
      </c>
      <c r="D5" s="62" t="inlineStr">
        <is>
          <t>LOT 3</t>
        </is>
      </c>
      <c r="E5" s="62" t="inlineStr">
        <is>
          <t>LOT 4</t>
        </is>
      </c>
      <c r="F5" s="62" t="inlineStr">
        <is>
          <t>LOT 5</t>
        </is>
      </c>
      <c r="G5" s="62" t="inlineStr">
        <is>
          <t>LOT 6</t>
        </is>
      </c>
      <c r="H5" s="62" t="inlineStr">
        <is>
          <t>LOT 7</t>
        </is>
      </c>
      <c r="I5" s="62" t="inlineStr">
        <is>
          <t>LOT 8</t>
        </is>
      </c>
      <c r="J5" s="62" t="inlineStr">
        <is>
          <t>LOT 9</t>
        </is>
      </c>
      <c r="K5" s="62" t="inlineStr">
        <is>
          <t>LOT 10</t>
        </is>
      </c>
      <c r="L5" s="62" t="inlineStr">
        <is>
          <t>LOT 11</t>
        </is>
      </c>
      <c r="M5" s="62" t="inlineStr">
        <is>
          <t>LOT 12</t>
        </is>
      </c>
      <c r="N5" s="62" t="inlineStr">
        <is>
          <t>LOT 13</t>
        </is>
      </c>
      <c r="O5" s="62" t="inlineStr">
        <is>
          <t>BUYER TOTAL</t>
        </is>
      </c>
    </row>
    <row r="6" ht="24" customHeight="1">
      <c r="A6" s="63">
        <f>"▼  AL HAMD TRADE CORPORATION   •   "&amp;COUNTIF('Final Calculation Sheet'!$G$4:$G$1000,"AL HAMD TRADE CORPORATION")&amp;" LOT(S)   •   MAT. VALUE ₹"&amp;TEXT(SUMIF('Final Calculation Sheet'!$G$4:$G$1000,"AL HAMD TRADE CORPORATION",'Final Calculation Sheet'!$H$4:$H$1000),"#,##0")&amp;"   •   RECEIVED ₹"&amp;TEXT(SUMIF('Final Calculation Sheet'!$G$4:$G$1000,"AL HAMD TRADE CORPORATION",'Final Calculation Sheet'!$AC$4:$AC$1000),"#,##0")&amp;"   •   OUTSTANDING ₹"&amp;TEXT(SUMIF('Final Calculation Sheet'!$G$4:$G$1000,"AL HAMD TRADE CORPORATION",'Final Calculation Sheet'!$AD$4:$AD$1000),"#,##0")</f>
        <v/>
      </c>
      <c r="B6" s="64" t="n"/>
      <c r="C6" s="64" t="n"/>
      <c r="D6" s="64" t="n"/>
      <c r="E6" s="64" t="n"/>
      <c r="F6" s="64" t="n"/>
      <c r="G6" s="64" t="n"/>
      <c r="H6" s="64" t="n"/>
      <c r="I6" s="64" t="n"/>
      <c r="J6" s="64" t="n"/>
      <c r="K6" s="64" t="n"/>
      <c r="L6" s="64" t="n"/>
      <c r="M6" s="64" t="n"/>
      <c r="N6" s="64" t="n"/>
      <c r="O6" s="64" t="n"/>
    </row>
    <row r="7" outlineLevel="1" ht="18" customHeight="1">
      <c r="A7" s="65" t="inlineStr">
        <is>
          <t xml:space="preserve">   Lot No. →</t>
        </is>
      </c>
      <c r="B7" s="66">
        <f>IF('Final Calculation Sheet'!$F$4="","",'Final Calculation Sheet'!$F$4)</f>
        <v/>
      </c>
      <c r="C7" s="67" t="n"/>
      <c r="D7" s="67" t="n"/>
      <c r="E7" s="67" t="n"/>
      <c r="F7" s="67" t="n"/>
      <c r="G7" s="67" t="n"/>
      <c r="H7" s="67" t="n"/>
      <c r="I7" s="67" t="n"/>
      <c r="J7" s="67" t="n"/>
      <c r="K7" s="67" t="n"/>
      <c r="L7" s="67" t="n"/>
      <c r="M7" s="67" t="n"/>
      <c r="N7" s="67" t="n"/>
      <c r="O7" s="68" t="inlineStr">
        <is>
          <t>TOTAL</t>
        </is>
      </c>
    </row>
    <row r="8" outlineLevel="1" ht="16" customHeight="1">
      <c r="A8" s="65" t="inlineStr">
        <is>
          <t xml:space="preserve">  ▸ LOT INFORMATION</t>
        </is>
      </c>
      <c r="B8" s="67" t="n"/>
      <c r="C8" s="67" t="n"/>
      <c r="D8" s="67" t="n"/>
      <c r="E8" s="67" t="n"/>
      <c r="F8" s="67" t="n"/>
      <c r="G8" s="67" t="n"/>
      <c r="H8" s="67" t="n"/>
      <c r="I8" s="67" t="n"/>
      <c r="J8" s="67" t="n"/>
      <c r="K8" s="67" t="n"/>
      <c r="L8" s="67" t="n"/>
      <c r="M8" s="67" t="n"/>
      <c r="N8" s="67" t="n"/>
      <c r="O8" s="67" t="n"/>
    </row>
    <row r="9" outlineLevel="2" ht="15" customHeight="1">
      <c r="A9" s="69" t="inlineStr">
        <is>
          <t xml:space="preserve">      Lot No.</t>
        </is>
      </c>
      <c r="B9" s="70">
        <f>IF('Final Calculation Sheet'!$F$4="","",'Final Calculation Sheet'!$F$4)</f>
        <v/>
      </c>
      <c r="C9" s="71" t="n"/>
      <c r="D9" s="71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  <c r="N9" s="71" t="n"/>
      <c r="O9" s="72" t="inlineStr">
        <is>
          <t>–</t>
        </is>
      </c>
    </row>
    <row r="10" outlineLevel="2" ht="60" customHeight="1">
      <c r="A10" s="69" t="inlineStr">
        <is>
          <t xml:space="preserve">      Lot Name</t>
        </is>
      </c>
      <c r="B10" s="73">
        <f>IF('Final Calculation Sheet'!$B$4="","",'Final Calculation Sheet'!$B$4)</f>
        <v/>
      </c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  <c r="N10" s="71" t="n"/>
      <c r="O10" s="72" t="inlineStr">
        <is>
          <t>–</t>
        </is>
      </c>
    </row>
    <row r="11" outlineLevel="2" ht="15" customHeight="1">
      <c r="A11" s="69" t="inlineStr">
        <is>
          <t xml:space="preserve">      Bid Sheet / Auction</t>
        </is>
      </c>
      <c r="B11" s="70">
        <f>IF('Final Calculation Sheet'!$D$4="","",'Final Calculation Sheet'!$D$4)</f>
        <v/>
      </c>
      <c r="C11" s="71" t="n"/>
      <c r="D11" s="71" t="n"/>
      <c r="E11" s="71" t="n"/>
      <c r="F11" s="71" t="n"/>
      <c r="G11" s="71" t="n"/>
      <c r="H11" s="71" t="n"/>
      <c r="I11" s="71" t="n"/>
      <c r="J11" s="71" t="n"/>
      <c r="K11" s="71" t="n"/>
      <c r="L11" s="71" t="n"/>
      <c r="M11" s="71" t="n"/>
      <c r="N11" s="71" t="n"/>
      <c r="O11" s="72" t="inlineStr">
        <is>
          <t>–</t>
        </is>
      </c>
    </row>
    <row r="12" outlineLevel="2" ht="15" customHeight="1">
      <c r="A12" s="69" t="inlineStr">
        <is>
          <t xml:space="preserve">      Quantity</t>
        </is>
      </c>
      <c r="B12" s="74">
        <f>IF('Final Calculation Sheet'!$A$4="","",'Final Calculation Sheet'!$A$4)</f>
        <v/>
      </c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71" t="n"/>
      <c r="M12" s="71" t="n"/>
      <c r="N12" s="71" t="n"/>
      <c r="O12" s="75">
        <f>SUM(B12:N12)</f>
        <v/>
      </c>
    </row>
    <row r="13" outlineLevel="2" ht="15" customHeight="1">
      <c r="A13" s="69" t="inlineStr">
        <is>
          <t xml:space="preserve">      Unit</t>
        </is>
      </c>
      <c r="B13" s="76">
        <f>IF('Final Calculation Sheet'!$E$4="","",'Final Calculation Sheet'!$E$4)</f>
        <v/>
      </c>
      <c r="C13" s="71" t="n"/>
      <c r="D13" s="71" t="n"/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  <c r="N13" s="71" t="n"/>
      <c r="O13" s="72" t="inlineStr">
        <is>
          <t>–</t>
        </is>
      </c>
    </row>
    <row r="14" outlineLevel="2" ht="15" customHeight="1">
      <c r="A14" s="69" t="inlineStr">
        <is>
          <t xml:space="preserve">      Rate (₹)</t>
        </is>
      </c>
      <c r="B14" s="70">
        <f>IF('Final Calculation Sheet'!$C$4="","",'Final Calculation Sheet'!$C$4)</f>
        <v/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L14" s="71" t="n"/>
      <c r="M14" s="71" t="n"/>
      <c r="N14" s="71" t="n"/>
      <c r="O14" s="72" t="inlineStr">
        <is>
          <t>–</t>
        </is>
      </c>
    </row>
    <row r="15" outlineLevel="1" ht="16" customHeight="1">
      <c r="A15" s="65" t="inlineStr">
        <is>
          <t xml:space="preserve">  ▸ FINANCIALS</t>
        </is>
      </c>
      <c r="B15" s="67" t="n"/>
      <c r="C15" s="67" t="n"/>
      <c r="D15" s="67" t="n"/>
      <c r="E15" s="67" t="n"/>
      <c r="F15" s="67" t="n"/>
      <c r="G15" s="67" t="n"/>
      <c r="H15" s="67" t="n"/>
      <c r="I15" s="67" t="n"/>
      <c r="J15" s="67" t="n"/>
      <c r="K15" s="67" t="n"/>
      <c r="L15" s="67" t="n"/>
      <c r="M15" s="67" t="n"/>
      <c r="N15" s="67" t="n"/>
      <c r="O15" s="67" t="n"/>
    </row>
    <row r="16" outlineLevel="2" ht="15" customHeight="1">
      <c r="A16" s="69" t="inlineStr">
        <is>
          <t xml:space="preserve">      Mat. Value (₹)</t>
        </is>
      </c>
      <c r="B16" s="70">
        <f>IF('Final Calculation Sheet'!$H$4="","",'Final Calculation Sheet'!$H$4)</f>
        <v/>
      </c>
      <c r="C16" s="71" t="n"/>
      <c r="D16" s="71" t="n"/>
      <c r="E16" s="71" t="n"/>
      <c r="F16" s="71" t="n"/>
      <c r="G16" s="71" t="n"/>
      <c r="H16" s="71" t="n"/>
      <c r="I16" s="71" t="n"/>
      <c r="J16" s="71" t="n"/>
      <c r="K16" s="71" t="n"/>
      <c r="L16" s="71" t="n"/>
      <c r="M16" s="71" t="n"/>
      <c r="N16" s="71" t="n"/>
      <c r="O16" s="77">
        <f>SUM(B16:N16)</f>
        <v/>
      </c>
    </row>
    <row r="17" outlineLevel="2" ht="15" customHeight="1">
      <c r="A17" s="69" t="inlineStr">
        <is>
          <t xml:space="preserve">      GST @ 18% (₹)</t>
        </is>
      </c>
      <c r="B17" s="70">
        <f>IF('Final Calculation Sheet'!$I$4="","",'Final Calculation Sheet'!$I$4)</f>
        <v/>
      </c>
      <c r="C17" s="71" t="n"/>
      <c r="D17" s="71" t="n"/>
      <c r="E17" s="71" t="n"/>
      <c r="F17" s="71" t="n"/>
      <c r="G17" s="71" t="n"/>
      <c r="H17" s="71" t="n"/>
      <c r="I17" s="71" t="n"/>
      <c r="J17" s="71" t="n"/>
      <c r="K17" s="71" t="n"/>
      <c r="L17" s="71" t="n"/>
      <c r="M17" s="71" t="n"/>
      <c r="N17" s="71" t="n"/>
      <c r="O17" s="77">
        <f>SUM(B17:N17)</f>
        <v/>
      </c>
    </row>
    <row r="18" outlineLevel="2" ht="15" customHeight="1">
      <c r="A18" s="69" t="inlineStr">
        <is>
          <t xml:space="preserve">      Mat. Value + GST (₹)</t>
        </is>
      </c>
      <c r="B18" s="70">
        <f>IF('Final Calculation Sheet'!$J$4="","",'Final Calculation Sheet'!$J$4)</f>
        <v/>
      </c>
      <c r="C18" s="71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  <c r="N18" s="71" t="n"/>
      <c r="O18" s="77">
        <f>SUM(B18:N18)</f>
        <v/>
      </c>
    </row>
    <row r="19" outlineLevel="2" ht="15" customHeight="1">
      <c r="A19" s="69" t="inlineStr">
        <is>
          <t xml:space="preserve">      TCS @ 2% (₹)</t>
        </is>
      </c>
      <c r="B19" s="70">
        <f>IF('Final Calculation Sheet'!$K$4="","",'Final Calculation Sheet'!$K$4)</f>
        <v/>
      </c>
      <c r="C19" s="71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  <c r="N19" s="71" t="n"/>
      <c r="O19" s="77">
        <f>SUM(B19:N19)</f>
        <v/>
      </c>
    </row>
    <row r="20" outlineLevel="2" ht="15" customHeight="1">
      <c r="A20" s="69" t="inlineStr">
        <is>
          <t xml:space="preserve">      TDS u/s 194(O) (₹)</t>
        </is>
      </c>
      <c r="B20" s="78">
        <f>IF('Final Calculation Sheet'!$L$4="","",'Final Calculation Sheet'!$L$4)</f>
        <v/>
      </c>
      <c r="C20" s="71" t="n"/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  <c r="N20" s="71" t="n"/>
      <c r="O20" s="79">
        <f>SUM(B20:N20)</f>
        <v/>
      </c>
    </row>
    <row r="21" outlineLevel="2" ht="15" customHeight="1">
      <c r="A21" s="69" t="inlineStr">
        <is>
          <t xml:space="preserve">      Service Charge gross (₹)</t>
        </is>
      </c>
      <c r="B21" s="78">
        <f>IF('Final Calculation Sheet'!$M$4="","",'Final Calculation Sheet'!$M$4)</f>
        <v/>
      </c>
      <c r="C21" s="71" t="n"/>
      <c r="D21" s="71" t="n"/>
      <c r="E21" s="71" t="n"/>
      <c r="F21" s="71" t="n"/>
      <c r="G21" s="71" t="n"/>
      <c r="H21" s="71" t="n"/>
      <c r="I21" s="71" t="n"/>
      <c r="J21" s="71" t="n"/>
      <c r="K21" s="71" t="n"/>
      <c r="L21" s="71" t="n"/>
      <c r="M21" s="71" t="n"/>
      <c r="N21" s="71" t="n"/>
      <c r="O21" s="79">
        <f>SUM(B21:N21)</f>
        <v/>
      </c>
    </row>
    <row r="22" outlineLevel="2" ht="15" customHeight="1">
      <c r="A22" s="69" t="inlineStr">
        <is>
          <t xml:space="preserve">      TDS u/s 194(H) (₹)</t>
        </is>
      </c>
      <c r="B22" s="78">
        <f>IF('Final Calculation Sheet'!$N$4="","",'Final Calculation Sheet'!$N$4)</f>
        <v/>
      </c>
      <c r="C22" s="71" t="n"/>
      <c r="D22" s="71" t="n"/>
      <c r="E22" s="71" t="n"/>
      <c r="F22" s="71" t="n"/>
      <c r="G22" s="71" t="n"/>
      <c r="H22" s="71" t="n"/>
      <c r="I22" s="71" t="n"/>
      <c r="J22" s="71" t="n"/>
      <c r="K22" s="71" t="n"/>
      <c r="L22" s="71" t="n"/>
      <c r="M22" s="71" t="n"/>
      <c r="N22" s="71" t="n"/>
      <c r="O22" s="79">
        <f>SUM(B22:N22)</f>
        <v/>
      </c>
    </row>
    <row r="23" outlineLevel="2" ht="15" customHeight="1">
      <c r="A23" s="69" t="inlineStr">
        <is>
          <t xml:space="preserve">      Net Service Charge (₹)</t>
        </is>
      </c>
      <c r="B23" s="78">
        <f>IF('Final Calculation Sheet'!$O$4="","",'Final Calculation Sheet'!$O$4)</f>
        <v/>
      </c>
      <c r="C23" s="71" t="n"/>
      <c r="D23" s="71" t="n"/>
      <c r="E23" s="71" t="n"/>
      <c r="F23" s="71" t="n"/>
      <c r="G23" s="71" t="n"/>
      <c r="H23" s="71" t="n"/>
      <c r="I23" s="71" t="n"/>
      <c r="J23" s="71" t="n"/>
      <c r="K23" s="71" t="n"/>
      <c r="L23" s="71" t="n"/>
      <c r="M23" s="71" t="n"/>
      <c r="N23" s="71" t="n"/>
      <c r="O23" s="79">
        <f>SUM(B23:N23)</f>
        <v/>
      </c>
    </row>
    <row r="24" outlineLevel="2" ht="15" customHeight="1">
      <c r="A24" s="69" t="inlineStr">
        <is>
          <t xml:space="preserve">      Svc Charge to MSTC (₹)</t>
        </is>
      </c>
      <c r="B24" s="70">
        <f>IF('Final Calculation Sheet'!$P$4="","",'Final Calculation Sheet'!$P$4)</f>
        <v/>
      </c>
      <c r="C24" s="71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71" t="n"/>
      <c r="M24" s="71" t="n"/>
      <c r="N24" s="71" t="n"/>
      <c r="O24" s="77">
        <f>SUM(B24:N24)</f>
        <v/>
      </c>
    </row>
    <row r="25" outlineLevel="2" ht="15" customHeight="1">
      <c r="A25" s="69" t="inlineStr">
        <is>
          <t xml:space="preserve">      GST TDS Rate</t>
        </is>
      </c>
      <c r="B25" s="80">
        <f>IF('Final Calculation Sheet'!$Q$4="","",'Final Calculation Sheet'!$Q$4)</f>
        <v/>
      </c>
      <c r="C25" s="71" t="n"/>
      <c r="D25" s="71" t="n"/>
      <c r="E25" s="71" t="n"/>
      <c r="F25" s="71" t="n"/>
      <c r="G25" s="71" t="n"/>
      <c r="H25" s="71" t="n"/>
      <c r="I25" s="71" t="n"/>
      <c r="J25" s="71" t="n"/>
      <c r="K25" s="71" t="n"/>
      <c r="L25" s="71" t="n"/>
      <c r="M25" s="71" t="n"/>
      <c r="N25" s="71" t="n"/>
      <c r="O25" s="72" t="inlineStr">
        <is>
          <t>–</t>
        </is>
      </c>
    </row>
    <row r="26" outlineLevel="2" ht="15" customHeight="1">
      <c r="A26" s="69" t="inlineStr">
        <is>
          <t xml:space="preserve">      GST TDS (₹)</t>
        </is>
      </c>
      <c r="B26" s="70">
        <f>IF('Final Calculation Sheet'!$R$4="","",'Final Calculation Sheet'!$R$4)</f>
        <v/>
      </c>
      <c r="C26" s="71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7">
        <f>SUM(B26:N26)</f>
        <v/>
      </c>
    </row>
    <row r="27" outlineLevel="2" ht="15" customHeight="1">
      <c r="A27" s="69" t="inlineStr">
        <is>
          <t xml:space="preserve">      Total Receivables (₹)</t>
        </is>
      </c>
      <c r="B27" s="70">
        <f>IF('Final Calculation Sheet'!$S$4="","",'Final Calculation Sheet'!$S$4)</f>
        <v/>
      </c>
      <c r="C27" s="71" t="n"/>
      <c r="D27" s="71" t="n"/>
      <c r="E27" s="71" t="n"/>
      <c r="F27" s="71" t="n"/>
      <c r="G27" s="71" t="n"/>
      <c r="H27" s="71" t="n"/>
      <c r="I27" s="71" t="n"/>
      <c r="J27" s="71" t="n"/>
      <c r="K27" s="71" t="n"/>
      <c r="L27" s="71" t="n"/>
      <c r="M27" s="71" t="n"/>
      <c r="N27" s="71" t="n"/>
      <c r="O27" s="77">
        <f>SUM(B27:N27)</f>
        <v/>
      </c>
    </row>
    <row r="28" outlineLevel="1" ht="16" customHeight="1">
      <c r="A28" s="65" t="inlineStr">
        <is>
          <t xml:space="preserve">  ▸ SECURITY DEPOSIT</t>
        </is>
      </c>
      <c r="B28" s="67" t="n"/>
      <c r="C28" s="67" t="n"/>
      <c r="D28" s="67" t="n"/>
      <c r="E28" s="67" t="n"/>
      <c r="F28" s="67" t="n"/>
      <c r="G28" s="67" t="n"/>
      <c r="H28" s="67" t="n"/>
      <c r="I28" s="67" t="n"/>
      <c r="J28" s="67" t="n"/>
      <c r="K28" s="67" t="n"/>
      <c r="L28" s="67" t="n"/>
      <c r="M28" s="67" t="n"/>
      <c r="N28" s="67" t="n"/>
      <c r="O28" s="67" t="n"/>
    </row>
    <row r="29" outlineLevel="2" ht="15" customHeight="1">
      <c r="A29" s="69" t="inlineStr">
        <is>
          <t xml:space="preserve">      SD Expected (₹)</t>
        </is>
      </c>
      <c r="B29" s="70">
        <f>IF('Final Calculation Sheet'!$T$4="","",'Final Calculation Sheet'!$T$4)</f>
        <v/>
      </c>
      <c r="C29" s="71" t="n"/>
      <c r="D29" s="71" t="n"/>
      <c r="E29" s="71" t="n"/>
      <c r="F29" s="71" t="n"/>
      <c r="G29" s="71" t="n"/>
      <c r="H29" s="71" t="n"/>
      <c r="I29" s="71" t="n"/>
      <c r="J29" s="71" t="n"/>
      <c r="K29" s="71" t="n"/>
      <c r="L29" s="71" t="n"/>
      <c r="M29" s="71" t="n"/>
      <c r="N29" s="71" t="n"/>
      <c r="O29" s="77">
        <f>SUM(B29:N29)</f>
        <v/>
      </c>
    </row>
    <row r="30" outlineLevel="2" ht="15" customHeight="1">
      <c r="A30" s="69" t="inlineStr">
        <is>
          <t xml:space="preserve">      SD Received (₹)</t>
        </is>
      </c>
      <c r="B30" s="70">
        <f>IF('Final Calculation Sheet'!$U$4="","",'Final Calculation Sheet'!$U$4)</f>
        <v/>
      </c>
      <c r="C30" s="71" t="n"/>
      <c r="D30" s="71" t="n"/>
      <c r="E30" s="71" t="n"/>
      <c r="F30" s="71" t="n"/>
      <c r="G30" s="71" t="n"/>
      <c r="H30" s="71" t="n"/>
      <c r="I30" s="71" t="n"/>
      <c r="J30" s="71" t="n"/>
      <c r="K30" s="71" t="n"/>
      <c r="L30" s="71" t="n"/>
      <c r="M30" s="71" t="n"/>
      <c r="N30" s="71" t="n"/>
      <c r="O30" s="77">
        <f>SUM(B30:N30)</f>
        <v/>
      </c>
    </row>
    <row r="31" outlineLevel="2" ht="15" customHeight="1">
      <c r="A31" s="69" t="inlineStr">
        <is>
          <t xml:space="preserve">      SD Receipt Date</t>
        </is>
      </c>
      <c r="B31" s="76">
        <f>IF('Final Calculation Sheet'!$V$4="","",'Final Calculation Sheet'!$V$4)</f>
        <v/>
      </c>
      <c r="C31" s="71" t="n"/>
      <c r="D31" s="71" t="n"/>
      <c r="E31" s="71" t="n"/>
      <c r="F31" s="71" t="n"/>
      <c r="G31" s="71" t="n"/>
      <c r="H31" s="71" t="n"/>
      <c r="I31" s="71" t="n"/>
      <c r="J31" s="71" t="n"/>
      <c r="K31" s="71" t="n"/>
      <c r="L31" s="71" t="n"/>
      <c r="M31" s="71" t="n"/>
      <c r="N31" s="71" t="n"/>
      <c r="O31" s="72" t="inlineStr">
        <is>
          <t>–</t>
        </is>
      </c>
    </row>
    <row r="32" outlineLevel="1" ht="16" customHeight="1">
      <c r="A32" s="65" t="inlineStr">
        <is>
          <t xml:space="preserve">  ▸ FINAL PAYMENT</t>
        </is>
      </c>
      <c r="B32" s="67" t="n"/>
      <c r="C32" s="67" t="n"/>
      <c r="D32" s="67" t="n"/>
      <c r="E32" s="67" t="n"/>
      <c r="F32" s="67" t="n"/>
      <c r="G32" s="67" t="n"/>
      <c r="H32" s="67" t="n"/>
      <c r="I32" s="67" t="n"/>
      <c r="J32" s="67" t="n"/>
      <c r="K32" s="67" t="n"/>
      <c r="L32" s="67" t="n"/>
      <c r="M32" s="67" t="n"/>
      <c r="N32" s="67" t="n"/>
      <c r="O32" s="67" t="n"/>
    </row>
    <row r="33" outlineLevel="2" ht="15" customHeight="1">
      <c r="A33" s="69" t="inlineStr">
        <is>
          <t xml:space="preserve">      FP Expected (₹)</t>
        </is>
      </c>
      <c r="B33" s="70">
        <f>IF('Final Calculation Sheet'!$W$4="","",'Final Calculation Sheet'!$W$4)</f>
        <v/>
      </c>
      <c r="C33" s="71" t="n"/>
      <c r="D33" s="71" t="n"/>
      <c r="E33" s="71" t="n"/>
      <c r="F33" s="71" t="n"/>
      <c r="G33" s="71" t="n"/>
      <c r="H33" s="71" t="n"/>
      <c r="I33" s="71" t="n"/>
      <c r="J33" s="71" t="n"/>
      <c r="K33" s="71" t="n"/>
      <c r="L33" s="71" t="n"/>
      <c r="M33" s="71" t="n"/>
      <c r="N33" s="71" t="n"/>
      <c r="O33" s="77">
        <f>SUM(B33:N33)</f>
        <v/>
      </c>
    </row>
    <row r="34" outlineLevel="2" ht="15" customHeight="1">
      <c r="A34" s="69" t="inlineStr">
        <is>
          <t xml:space="preserve">      FP Received (₹)</t>
        </is>
      </c>
      <c r="B34" s="70">
        <f>IF('Final Calculation Sheet'!$X$4="","",'Final Calculation Sheet'!$X$4)</f>
        <v/>
      </c>
      <c r="C34" s="71" t="n"/>
      <c r="D34" s="71" t="n"/>
      <c r="E34" s="71" t="n"/>
      <c r="F34" s="71" t="n"/>
      <c r="G34" s="71" t="n"/>
      <c r="H34" s="71" t="n"/>
      <c r="I34" s="71" t="n"/>
      <c r="J34" s="71" t="n"/>
      <c r="K34" s="71" t="n"/>
      <c r="L34" s="71" t="n"/>
      <c r="M34" s="71" t="n"/>
      <c r="N34" s="71" t="n"/>
      <c r="O34" s="77">
        <f>SUM(B34:N34)</f>
        <v/>
      </c>
    </row>
    <row r="35" outlineLevel="2" ht="15" customHeight="1">
      <c r="A35" s="69" t="inlineStr">
        <is>
          <t xml:space="preserve">      FP Receipt Date</t>
        </is>
      </c>
      <c r="B35" s="76">
        <f>IF('Final Calculation Sheet'!$Y$4="","",'Final Calculation Sheet'!$Y$4)</f>
        <v/>
      </c>
      <c r="C35" s="71" t="n"/>
      <c r="D35" s="71" t="n"/>
      <c r="E35" s="71" t="n"/>
      <c r="F35" s="71" t="n"/>
      <c r="G35" s="71" t="n"/>
      <c r="H35" s="71" t="n"/>
      <c r="I35" s="71" t="n"/>
      <c r="J35" s="71" t="n"/>
      <c r="K35" s="71" t="n"/>
      <c r="L35" s="71" t="n"/>
      <c r="M35" s="71" t="n"/>
      <c r="N35" s="71" t="n"/>
      <c r="O35" s="72" t="inlineStr">
        <is>
          <t>–</t>
        </is>
      </c>
    </row>
    <row r="36" outlineLevel="1" ht="16" customHeight="1">
      <c r="A36" s="65" t="inlineStr">
        <is>
          <t xml:space="preserve">  ▸ LPP</t>
        </is>
      </c>
      <c r="B36" s="67" t="n"/>
      <c r="C36" s="67" t="n"/>
      <c r="D36" s="67" t="n"/>
      <c r="E36" s="67" t="n"/>
      <c r="F36" s="67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7" t="n"/>
    </row>
    <row r="37" outlineLevel="2" ht="15" customHeight="1">
      <c r="A37" s="69" t="inlineStr">
        <is>
          <t xml:space="preserve">      LPP Expected (₹)</t>
        </is>
      </c>
      <c r="B37" s="70">
        <f>IF('Final Calculation Sheet'!$Z$4="","",'Final Calculation Sheet'!$Z$4)</f>
        <v/>
      </c>
      <c r="C37" s="71" t="n"/>
      <c r="D37" s="71" t="n"/>
      <c r="E37" s="71" t="n"/>
      <c r="F37" s="71" t="n"/>
      <c r="G37" s="71" t="n"/>
      <c r="H37" s="71" t="n"/>
      <c r="I37" s="71" t="n"/>
      <c r="J37" s="71" t="n"/>
      <c r="K37" s="71" t="n"/>
      <c r="L37" s="71" t="n"/>
      <c r="M37" s="71" t="n"/>
      <c r="N37" s="71" t="n"/>
      <c r="O37" s="77">
        <f>SUM(B37:N37)</f>
        <v/>
      </c>
    </row>
    <row r="38" outlineLevel="2" ht="15" customHeight="1">
      <c r="A38" s="69" t="inlineStr">
        <is>
          <t xml:space="preserve">      LPP Received (₹)</t>
        </is>
      </c>
      <c r="B38" s="70">
        <f>IF('Final Calculation Sheet'!$AA$4="","",'Final Calculation Sheet'!$AA$4)</f>
        <v/>
      </c>
      <c r="C38" s="71" t="n"/>
      <c r="D38" s="71" t="n"/>
      <c r="E38" s="71" t="n"/>
      <c r="F38" s="71" t="n"/>
      <c r="G38" s="71" t="n"/>
      <c r="H38" s="71" t="n"/>
      <c r="I38" s="71" t="n"/>
      <c r="J38" s="71" t="n"/>
      <c r="K38" s="71" t="n"/>
      <c r="L38" s="71" t="n"/>
      <c r="M38" s="71" t="n"/>
      <c r="N38" s="71" t="n"/>
      <c r="O38" s="77">
        <f>SUM(B38:N38)</f>
        <v/>
      </c>
    </row>
    <row r="39" outlineLevel="2" ht="15" customHeight="1">
      <c r="A39" s="69" t="inlineStr">
        <is>
          <t xml:space="preserve">      LPP Receipt Date</t>
        </is>
      </c>
      <c r="B39" s="76">
        <f>IF('Final Calculation Sheet'!$AB$4="","",'Final Calculation Sheet'!$AB$4)</f>
        <v/>
      </c>
      <c r="C39" s="71" t="n"/>
      <c r="D39" s="71" t="n"/>
      <c r="E39" s="71" t="n"/>
      <c r="F39" s="71" t="n"/>
      <c r="G39" s="71" t="n"/>
      <c r="H39" s="71" t="n"/>
      <c r="I39" s="71" t="n"/>
      <c r="J39" s="71" t="n"/>
      <c r="K39" s="71" t="n"/>
      <c r="L39" s="71" t="n"/>
      <c r="M39" s="71" t="n"/>
      <c r="N39" s="71" t="n"/>
      <c r="O39" s="72" t="inlineStr">
        <is>
          <t>–</t>
        </is>
      </c>
    </row>
    <row r="40" outlineLevel="1" ht="16" customHeight="1">
      <c r="A40" s="65" t="inlineStr">
        <is>
          <t xml:space="preserve">  ▸ SUMMARY</t>
        </is>
      </c>
      <c r="B40" s="67" t="n"/>
      <c r="C40" s="67" t="n"/>
      <c r="D40" s="67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7" t="n"/>
    </row>
    <row r="41" outlineLevel="2" ht="15" customHeight="1">
      <c r="A41" s="69" t="inlineStr">
        <is>
          <t xml:space="preserve">      Total Received (₹)</t>
        </is>
      </c>
      <c r="B41" s="70">
        <f>IF('Final Calculation Sheet'!$AC$4="","",'Final Calculation Sheet'!$AC$4)</f>
        <v/>
      </c>
      <c r="C41" s="71" t="n"/>
      <c r="D41" s="71" t="n"/>
      <c r="E41" s="71" t="n"/>
      <c r="F41" s="71" t="n"/>
      <c r="G41" s="71" t="n"/>
      <c r="H41" s="71" t="n"/>
      <c r="I41" s="71" t="n"/>
      <c r="J41" s="71" t="n"/>
      <c r="K41" s="71" t="n"/>
      <c r="L41" s="71" t="n"/>
      <c r="M41" s="71" t="n"/>
      <c r="N41" s="71" t="n"/>
      <c r="O41" s="77">
        <f>SUM(B41:N41)</f>
        <v/>
      </c>
    </row>
    <row r="42" outlineLevel="2" ht="15" customHeight="1">
      <c r="A42" s="69" t="inlineStr">
        <is>
          <t xml:space="preserve">      Outstanding (₹)</t>
        </is>
      </c>
      <c r="B42" s="70">
        <f>IF('Final Calculation Sheet'!$AD$4="","",'Final Calculation Sheet'!$AD$4)</f>
        <v/>
      </c>
      <c r="C42" s="71" t="n"/>
      <c r="D42" s="71" t="n"/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7">
        <f>SUM(B42:N42)</f>
        <v/>
      </c>
    </row>
    <row r="43" outlineLevel="2" ht="15" customHeight="1">
      <c r="A43" s="69" t="inlineStr">
        <is>
          <t xml:space="preserve">      Payment Status</t>
        </is>
      </c>
      <c r="B43" s="81">
        <f>IF('Final Calculation Sheet'!$AD$4="","",IF('Final Calculation Sheet'!$AD$4&lt;=0,"SETTLED","OUTSTANDING"))</f>
        <v/>
      </c>
      <c r="C43" s="71" t="n"/>
      <c r="D43" s="71" t="n"/>
      <c r="E43" s="71" t="n"/>
      <c r="F43" s="71" t="n"/>
      <c r="G43" s="71" t="n"/>
      <c r="H43" s="71" t="n"/>
      <c r="I43" s="71" t="n"/>
      <c r="J43" s="71" t="n"/>
      <c r="K43" s="71" t="n"/>
      <c r="L43" s="71" t="n"/>
      <c r="M43" s="71" t="n"/>
      <c r="N43" s="71" t="n"/>
      <c r="O43" s="72" t="inlineStr">
        <is>
          <t>–</t>
        </is>
      </c>
    </row>
    <row r="44" outlineLevel="1" ht="16" customHeight="1">
      <c r="A44" s="65" t="inlineStr">
        <is>
          <t xml:space="preserve">  ▸ DOCUMENT</t>
        </is>
      </c>
      <c r="B44" s="67" t="n"/>
      <c r="C44" s="67" t="n"/>
      <c r="D44" s="67" t="n"/>
      <c r="E44" s="67" t="n"/>
      <c r="F44" s="67" t="n"/>
      <c r="G44" s="67" t="n"/>
      <c r="H44" s="67" t="n"/>
      <c r="I44" s="67" t="n"/>
      <c r="J44" s="67" t="n"/>
      <c r="K44" s="67" t="n"/>
      <c r="L44" s="67" t="n"/>
      <c r="M44" s="67" t="n"/>
      <c r="N44" s="67" t="n"/>
      <c r="O44" s="67" t="n"/>
    </row>
    <row r="45" outlineLevel="2" ht="15" customHeight="1">
      <c r="A45" s="69" t="inlineStr">
        <is>
          <t xml:space="preserve">      Invoice No.</t>
        </is>
      </c>
      <c r="B45" s="76">
        <f>IF('Final Calculation Sheet'!$AE$4="","",'Final Calculation Sheet'!$AE$4)</f>
        <v/>
      </c>
      <c r="C45" s="71" t="n"/>
      <c r="D45" s="71" t="n"/>
      <c r="E45" s="71" t="n"/>
      <c r="F45" s="71" t="n"/>
      <c r="G45" s="71" t="n"/>
      <c r="H45" s="71" t="n"/>
      <c r="I45" s="71" t="n"/>
      <c r="J45" s="71" t="n"/>
      <c r="K45" s="71" t="n"/>
      <c r="L45" s="71" t="n"/>
      <c r="M45" s="71" t="n"/>
      <c r="N45" s="71" t="n"/>
      <c r="O45" s="72" t="inlineStr">
        <is>
          <t>–</t>
        </is>
      </c>
    </row>
    <row r="46" outlineLevel="2" ht="15" customHeight="1">
      <c r="A46" s="69" t="inlineStr">
        <is>
          <t xml:space="preserve">      SAP Document</t>
        </is>
      </c>
      <c r="B46" s="70">
        <f>IF('Final Calculation Sheet'!$AF$4="","",'Final Calculation Sheet'!$AF$4)</f>
        <v/>
      </c>
      <c r="C46" s="71" t="n"/>
      <c r="D46" s="71" t="n"/>
      <c r="E46" s="71" t="n"/>
      <c r="F46" s="71" t="n"/>
      <c r="G46" s="71" t="n"/>
      <c r="H46" s="71" t="n"/>
      <c r="I46" s="71" t="n"/>
      <c r="J46" s="71" t="n"/>
      <c r="K46" s="71" t="n"/>
      <c r="L46" s="71" t="n"/>
      <c r="M46" s="71" t="n"/>
      <c r="N46" s="71" t="n"/>
      <c r="O46" s="72" t="inlineStr">
        <is>
          <t>–</t>
        </is>
      </c>
    </row>
    <row r="47" outlineLevel="2" ht="15" customHeight="1">
      <c r="A47" s="69" t="inlineStr">
        <is>
          <t xml:space="preserve">      Doc./Invoice Date</t>
        </is>
      </c>
      <c r="B47" s="76">
        <f>IF('Final Calculation Sheet'!$AG$4="","",'Final Calculation Sheet'!$AG$4)</f>
        <v/>
      </c>
      <c r="C47" s="71" t="n"/>
      <c r="D47" s="71" t="n"/>
      <c r="E47" s="71" t="n"/>
      <c r="F47" s="71" t="n"/>
      <c r="G47" s="71" t="n"/>
      <c r="H47" s="71" t="n"/>
      <c r="I47" s="71" t="n"/>
      <c r="J47" s="71" t="n"/>
      <c r="K47" s="71" t="n"/>
      <c r="L47" s="71" t="n"/>
      <c r="M47" s="71" t="n"/>
      <c r="N47" s="71" t="n"/>
      <c r="O47" s="72" t="inlineStr">
        <is>
          <t>–</t>
        </is>
      </c>
    </row>
    <row r="48" ht="7" customHeight="1">
      <c r="A48" s="82" t="n"/>
      <c r="B48" s="82" t="n"/>
      <c r="C48" s="82" t="n"/>
      <c r="D48" s="82" t="n"/>
      <c r="E48" s="82" t="n"/>
      <c r="F48" s="82" t="n"/>
      <c r="G48" s="82" t="n"/>
      <c r="H48" s="82" t="n"/>
      <c r="I48" s="82" t="n"/>
      <c r="J48" s="82" t="n"/>
      <c r="K48" s="82" t="n"/>
      <c r="L48" s="82" t="n"/>
      <c r="M48" s="82" t="n"/>
      <c r="N48" s="82" t="n"/>
      <c r="O48" s="82" t="n"/>
    </row>
    <row r="49" ht="24" customHeight="1">
      <c r="A49" s="83">
        <f>"▼  F R KHANS ENTERPRISES   •   "&amp;COUNTIF('Final Calculation Sheet'!$G$4:$G$1000,"F R KHANS ENTERPRISES")&amp;" LOT(S)   •   MAT. VALUE ₹"&amp;TEXT(SUMIF('Final Calculation Sheet'!$G$4:$G$1000,"F R KHANS ENTERPRISES",'Final Calculation Sheet'!$H$4:$H$1000),"#,##0")&amp;"   •   RECEIVED ₹"&amp;TEXT(SUMIF('Final Calculation Sheet'!$G$4:$G$1000,"F R KHANS ENTERPRISES",'Final Calculation Sheet'!$AC$4:$AC$1000),"#,##0")&amp;"   •   OUTSTANDING ₹"&amp;TEXT(SUMIF('Final Calculation Sheet'!$G$4:$G$1000,"F R KHANS ENTERPRISES",'Final Calculation Sheet'!$AD$4:$AD$1000),"#,##0")</f>
        <v/>
      </c>
      <c r="B49" s="64" t="n"/>
      <c r="C49" s="64" t="n"/>
      <c r="D49" s="64" t="n"/>
      <c r="E49" s="64" t="n"/>
      <c r="F49" s="64" t="n"/>
      <c r="G49" s="64" t="n"/>
      <c r="H49" s="64" t="n"/>
      <c r="I49" s="64" t="n"/>
      <c r="J49" s="64" t="n"/>
      <c r="K49" s="64" t="n"/>
      <c r="L49" s="64" t="n"/>
      <c r="M49" s="64" t="n"/>
      <c r="N49" s="64" t="n"/>
      <c r="O49" s="64" t="n"/>
    </row>
    <row r="50" outlineLevel="1" ht="18" customHeight="1">
      <c r="A50" s="84" t="inlineStr">
        <is>
          <t xml:space="preserve">   Lot No. →</t>
        </is>
      </c>
      <c r="B50" s="85">
        <f>IF('Final Calculation Sheet'!$F$6="","",'Final Calculation Sheet'!$F$6)</f>
        <v/>
      </c>
      <c r="C50" s="85">
        <f>IF('Final Calculation Sheet'!$F$7="","",'Final Calculation Sheet'!$F$7)</f>
        <v/>
      </c>
      <c r="D50" s="86" t="n"/>
      <c r="E50" s="86" t="n"/>
      <c r="F50" s="86" t="n"/>
      <c r="G50" s="86" t="n"/>
      <c r="H50" s="86" t="n"/>
      <c r="I50" s="86" t="n"/>
      <c r="J50" s="86" t="n"/>
      <c r="K50" s="86" t="n"/>
      <c r="L50" s="86" t="n"/>
      <c r="M50" s="86" t="n"/>
      <c r="N50" s="86" t="n"/>
      <c r="O50" s="87" t="inlineStr">
        <is>
          <t>TOTAL</t>
        </is>
      </c>
    </row>
    <row r="51" outlineLevel="1" ht="16" customHeight="1">
      <c r="A51" s="84" t="inlineStr">
        <is>
          <t xml:space="preserve">  ▸ LOT INFORMATION</t>
        </is>
      </c>
      <c r="B51" s="86" t="n"/>
      <c r="C51" s="86" t="n"/>
      <c r="D51" s="86" t="n"/>
      <c r="E51" s="86" t="n"/>
      <c r="F51" s="86" t="n"/>
      <c r="G51" s="86" t="n"/>
      <c r="H51" s="86" t="n"/>
      <c r="I51" s="86" t="n"/>
      <c r="J51" s="86" t="n"/>
      <c r="K51" s="86" t="n"/>
      <c r="L51" s="86" t="n"/>
      <c r="M51" s="86" t="n"/>
      <c r="N51" s="86" t="n"/>
      <c r="O51" s="86" t="n"/>
    </row>
    <row r="52" outlineLevel="2" ht="15" customHeight="1">
      <c r="A52" s="69" t="inlineStr">
        <is>
          <t xml:space="preserve">      Lot No.</t>
        </is>
      </c>
      <c r="B52" s="70">
        <f>IF('Final Calculation Sheet'!$F$6="","",'Final Calculation Sheet'!$F$6)</f>
        <v/>
      </c>
      <c r="C52" s="88">
        <f>IF('Final Calculation Sheet'!$F$7="","",'Final Calculation Sheet'!$F$7)</f>
        <v/>
      </c>
      <c r="D52" s="71" t="n"/>
      <c r="E52" s="71" t="n"/>
      <c r="F52" s="71" t="n"/>
      <c r="G52" s="71" t="n"/>
      <c r="H52" s="71" t="n"/>
      <c r="I52" s="71" t="n"/>
      <c r="J52" s="71" t="n"/>
      <c r="K52" s="71" t="n"/>
      <c r="L52" s="71" t="n"/>
      <c r="M52" s="71" t="n"/>
      <c r="N52" s="71" t="n"/>
      <c r="O52" s="89" t="inlineStr">
        <is>
          <t>–</t>
        </is>
      </c>
    </row>
    <row r="53" outlineLevel="2" ht="60" customHeight="1">
      <c r="A53" s="69" t="inlineStr">
        <is>
          <t xml:space="preserve">      Lot Name</t>
        </is>
      </c>
      <c r="B53" s="73">
        <f>IF('Final Calculation Sheet'!$B$6="","",'Final Calculation Sheet'!$B$6)</f>
        <v/>
      </c>
      <c r="C53" s="90">
        <f>IF('Final Calculation Sheet'!$B$7="","",'Final Calculation Sheet'!$B$7)</f>
        <v/>
      </c>
      <c r="D53" s="71" t="n"/>
      <c r="E53" s="71" t="n"/>
      <c r="F53" s="71" t="n"/>
      <c r="G53" s="71" t="n"/>
      <c r="H53" s="71" t="n"/>
      <c r="I53" s="71" t="n"/>
      <c r="J53" s="71" t="n"/>
      <c r="K53" s="71" t="n"/>
      <c r="L53" s="71" t="n"/>
      <c r="M53" s="71" t="n"/>
      <c r="N53" s="71" t="n"/>
      <c r="O53" s="89" t="inlineStr">
        <is>
          <t>–</t>
        </is>
      </c>
    </row>
    <row r="54" outlineLevel="2" ht="15" customHeight="1">
      <c r="A54" s="69" t="inlineStr">
        <is>
          <t xml:space="preserve">      Bid Sheet / Auction</t>
        </is>
      </c>
      <c r="B54" s="70">
        <f>IF('Final Calculation Sheet'!$D$6="","",'Final Calculation Sheet'!$D$6)</f>
        <v/>
      </c>
      <c r="C54" s="88">
        <f>IF('Final Calculation Sheet'!$D$7="","",'Final Calculation Sheet'!$D$7)</f>
        <v/>
      </c>
      <c r="D54" s="71" t="n"/>
      <c r="E54" s="71" t="n"/>
      <c r="F54" s="71" t="n"/>
      <c r="G54" s="71" t="n"/>
      <c r="H54" s="71" t="n"/>
      <c r="I54" s="71" t="n"/>
      <c r="J54" s="71" t="n"/>
      <c r="K54" s="71" t="n"/>
      <c r="L54" s="71" t="n"/>
      <c r="M54" s="71" t="n"/>
      <c r="N54" s="71" t="n"/>
      <c r="O54" s="89" t="inlineStr">
        <is>
          <t>–</t>
        </is>
      </c>
    </row>
    <row r="55" outlineLevel="2" ht="15" customHeight="1">
      <c r="A55" s="69" t="inlineStr">
        <is>
          <t xml:space="preserve">      Quantity</t>
        </is>
      </c>
      <c r="B55" s="74">
        <f>IF('Final Calculation Sheet'!$A$6="","",'Final Calculation Sheet'!$A$6)</f>
        <v/>
      </c>
      <c r="C55" s="91">
        <f>IF('Final Calculation Sheet'!$A$7="","",'Final Calculation Sheet'!$A$7)</f>
        <v/>
      </c>
      <c r="D55" s="71" t="n"/>
      <c r="E55" s="71" t="n"/>
      <c r="F55" s="71" t="n"/>
      <c r="G55" s="71" t="n"/>
      <c r="H55" s="71" t="n"/>
      <c r="I55" s="71" t="n"/>
      <c r="J55" s="71" t="n"/>
      <c r="K55" s="71" t="n"/>
      <c r="L55" s="71" t="n"/>
      <c r="M55" s="71" t="n"/>
      <c r="N55" s="71" t="n"/>
      <c r="O55" s="92">
        <f>SUM(B55:N55)</f>
        <v/>
      </c>
    </row>
    <row r="56" outlineLevel="2" ht="15" customHeight="1">
      <c r="A56" s="69" t="inlineStr">
        <is>
          <t xml:space="preserve">      Unit</t>
        </is>
      </c>
      <c r="B56" s="76">
        <f>IF('Final Calculation Sheet'!$E$6="","",'Final Calculation Sheet'!$E$6)</f>
        <v/>
      </c>
      <c r="C56" s="93">
        <f>IF('Final Calculation Sheet'!$E$7="","",'Final Calculation Sheet'!$E$7)</f>
        <v/>
      </c>
      <c r="D56" s="71" t="n"/>
      <c r="E56" s="71" t="n"/>
      <c r="F56" s="71" t="n"/>
      <c r="G56" s="71" t="n"/>
      <c r="H56" s="71" t="n"/>
      <c r="I56" s="71" t="n"/>
      <c r="J56" s="71" t="n"/>
      <c r="K56" s="71" t="n"/>
      <c r="L56" s="71" t="n"/>
      <c r="M56" s="71" t="n"/>
      <c r="N56" s="71" t="n"/>
      <c r="O56" s="89" t="inlineStr">
        <is>
          <t>–</t>
        </is>
      </c>
    </row>
    <row r="57" outlineLevel="2" ht="15" customHeight="1">
      <c r="A57" s="69" t="inlineStr">
        <is>
          <t xml:space="preserve">      Rate (₹)</t>
        </is>
      </c>
      <c r="B57" s="70">
        <f>IF('Final Calculation Sheet'!$C$6="","",'Final Calculation Sheet'!$C$6)</f>
        <v/>
      </c>
      <c r="C57" s="88">
        <f>IF('Final Calculation Sheet'!$C$7="","",'Final Calculation Sheet'!$C$7)</f>
        <v/>
      </c>
      <c r="D57" s="71" t="n"/>
      <c r="E57" s="71" t="n"/>
      <c r="F57" s="71" t="n"/>
      <c r="G57" s="71" t="n"/>
      <c r="H57" s="71" t="n"/>
      <c r="I57" s="71" t="n"/>
      <c r="J57" s="71" t="n"/>
      <c r="K57" s="71" t="n"/>
      <c r="L57" s="71" t="n"/>
      <c r="M57" s="71" t="n"/>
      <c r="N57" s="71" t="n"/>
      <c r="O57" s="89" t="inlineStr">
        <is>
          <t>–</t>
        </is>
      </c>
    </row>
    <row r="58" outlineLevel="1" ht="16" customHeight="1">
      <c r="A58" s="84" t="inlineStr">
        <is>
          <t xml:space="preserve">  ▸ FINANCIALS</t>
        </is>
      </c>
      <c r="B58" s="86" t="n"/>
      <c r="C58" s="86" t="n"/>
      <c r="D58" s="86" t="n"/>
      <c r="E58" s="86" t="n"/>
      <c r="F58" s="86" t="n"/>
      <c r="G58" s="86" t="n"/>
      <c r="H58" s="86" t="n"/>
      <c r="I58" s="86" t="n"/>
      <c r="J58" s="86" t="n"/>
      <c r="K58" s="86" t="n"/>
      <c r="L58" s="86" t="n"/>
      <c r="M58" s="86" t="n"/>
      <c r="N58" s="86" t="n"/>
      <c r="O58" s="86" t="n"/>
    </row>
    <row r="59" outlineLevel="2" ht="15" customHeight="1">
      <c r="A59" s="69" t="inlineStr">
        <is>
          <t xml:space="preserve">      Mat. Value (₹)</t>
        </is>
      </c>
      <c r="B59" s="70">
        <f>IF('Final Calculation Sheet'!$H$6="","",'Final Calculation Sheet'!$H$6)</f>
        <v/>
      </c>
      <c r="C59" s="88">
        <f>IF('Final Calculation Sheet'!$H$7="","",'Final Calculation Sheet'!$H$7)</f>
        <v/>
      </c>
      <c r="D59" s="71" t="n"/>
      <c r="E59" s="71" t="n"/>
      <c r="F59" s="71" t="n"/>
      <c r="G59" s="71" t="n"/>
      <c r="H59" s="71" t="n"/>
      <c r="I59" s="71" t="n"/>
      <c r="J59" s="71" t="n"/>
      <c r="K59" s="71" t="n"/>
      <c r="L59" s="71" t="n"/>
      <c r="M59" s="71" t="n"/>
      <c r="N59" s="71" t="n"/>
      <c r="O59" s="94">
        <f>SUM(B59:N59)</f>
        <v/>
      </c>
    </row>
    <row r="60" outlineLevel="2" ht="15" customHeight="1">
      <c r="A60" s="69" t="inlineStr">
        <is>
          <t xml:space="preserve">      GST @ 18% (₹)</t>
        </is>
      </c>
      <c r="B60" s="70">
        <f>IF('Final Calculation Sheet'!$I$6="","",'Final Calculation Sheet'!$I$6)</f>
        <v/>
      </c>
      <c r="C60" s="88">
        <f>IF('Final Calculation Sheet'!$I$7="","",'Final Calculation Sheet'!$I$7)</f>
        <v/>
      </c>
      <c r="D60" s="71" t="n"/>
      <c r="E60" s="71" t="n"/>
      <c r="F60" s="71" t="n"/>
      <c r="G60" s="71" t="n"/>
      <c r="H60" s="71" t="n"/>
      <c r="I60" s="71" t="n"/>
      <c r="J60" s="71" t="n"/>
      <c r="K60" s="71" t="n"/>
      <c r="L60" s="71" t="n"/>
      <c r="M60" s="71" t="n"/>
      <c r="N60" s="71" t="n"/>
      <c r="O60" s="94">
        <f>SUM(B60:N60)</f>
        <v/>
      </c>
    </row>
    <row r="61" outlineLevel="2" ht="15" customHeight="1">
      <c r="A61" s="69" t="inlineStr">
        <is>
          <t xml:space="preserve">      Mat. Value + GST (₹)</t>
        </is>
      </c>
      <c r="B61" s="70">
        <f>IF('Final Calculation Sheet'!$J$6="","",'Final Calculation Sheet'!$J$6)</f>
        <v/>
      </c>
      <c r="C61" s="88">
        <f>IF('Final Calculation Sheet'!$J$7="","",'Final Calculation Sheet'!$J$7)</f>
        <v/>
      </c>
      <c r="D61" s="71" t="n"/>
      <c r="E61" s="71" t="n"/>
      <c r="F61" s="71" t="n"/>
      <c r="G61" s="71" t="n"/>
      <c r="H61" s="71" t="n"/>
      <c r="I61" s="71" t="n"/>
      <c r="J61" s="71" t="n"/>
      <c r="K61" s="71" t="n"/>
      <c r="L61" s="71" t="n"/>
      <c r="M61" s="71" t="n"/>
      <c r="N61" s="71" t="n"/>
      <c r="O61" s="94">
        <f>SUM(B61:N61)</f>
        <v/>
      </c>
    </row>
    <row r="62" outlineLevel="2" ht="15" customHeight="1">
      <c r="A62" s="69" t="inlineStr">
        <is>
          <t xml:space="preserve">      TCS @ 2% (₹)</t>
        </is>
      </c>
      <c r="B62" s="70">
        <f>IF('Final Calculation Sheet'!$K$6="","",'Final Calculation Sheet'!$K$6)</f>
        <v/>
      </c>
      <c r="C62" s="88">
        <f>IF('Final Calculation Sheet'!$K$7="","",'Final Calculation Sheet'!$K$7)</f>
        <v/>
      </c>
      <c r="D62" s="71" t="n"/>
      <c r="E62" s="71" t="n"/>
      <c r="F62" s="71" t="n"/>
      <c r="G62" s="71" t="n"/>
      <c r="H62" s="71" t="n"/>
      <c r="I62" s="71" t="n"/>
      <c r="J62" s="71" t="n"/>
      <c r="K62" s="71" t="n"/>
      <c r="L62" s="71" t="n"/>
      <c r="M62" s="71" t="n"/>
      <c r="N62" s="71" t="n"/>
      <c r="O62" s="94">
        <f>SUM(B62:N62)</f>
        <v/>
      </c>
    </row>
    <row r="63" outlineLevel="2" ht="15" customHeight="1">
      <c r="A63" s="69" t="inlineStr">
        <is>
          <t xml:space="preserve">      TDS u/s 194(O) (₹)</t>
        </is>
      </c>
      <c r="B63" s="78">
        <f>IF('Final Calculation Sheet'!$L$6="","",'Final Calculation Sheet'!$L$6)</f>
        <v/>
      </c>
      <c r="C63" s="95">
        <f>IF('Final Calculation Sheet'!$L$7="","",'Final Calculation Sheet'!$L$7)</f>
        <v/>
      </c>
      <c r="D63" s="71" t="n"/>
      <c r="E63" s="71" t="n"/>
      <c r="F63" s="71" t="n"/>
      <c r="G63" s="71" t="n"/>
      <c r="H63" s="71" t="n"/>
      <c r="I63" s="71" t="n"/>
      <c r="J63" s="71" t="n"/>
      <c r="K63" s="71" t="n"/>
      <c r="L63" s="71" t="n"/>
      <c r="M63" s="71" t="n"/>
      <c r="N63" s="71" t="n"/>
      <c r="O63" s="96">
        <f>SUM(B63:N63)</f>
        <v/>
      </c>
    </row>
    <row r="64" outlineLevel="2" ht="15" customHeight="1">
      <c r="A64" s="69" t="inlineStr">
        <is>
          <t xml:space="preserve">      Service Charge gross (₹)</t>
        </is>
      </c>
      <c r="B64" s="78">
        <f>IF('Final Calculation Sheet'!$M$6="","",'Final Calculation Sheet'!$M$6)</f>
        <v/>
      </c>
      <c r="C64" s="95">
        <f>IF('Final Calculation Sheet'!$M$7="","",'Final Calculation Sheet'!$M$7)</f>
        <v/>
      </c>
      <c r="D64" s="71" t="n"/>
      <c r="E64" s="71" t="n"/>
      <c r="F64" s="71" t="n"/>
      <c r="G64" s="71" t="n"/>
      <c r="H64" s="71" t="n"/>
      <c r="I64" s="71" t="n"/>
      <c r="J64" s="71" t="n"/>
      <c r="K64" s="71" t="n"/>
      <c r="L64" s="71" t="n"/>
      <c r="M64" s="71" t="n"/>
      <c r="N64" s="71" t="n"/>
      <c r="O64" s="96">
        <f>SUM(B64:N64)</f>
        <v/>
      </c>
    </row>
    <row r="65" outlineLevel="2" ht="15" customHeight="1">
      <c r="A65" s="69" t="inlineStr">
        <is>
          <t xml:space="preserve">      TDS u/s 194(H) (₹)</t>
        </is>
      </c>
      <c r="B65" s="78">
        <f>IF('Final Calculation Sheet'!$N$6="","",'Final Calculation Sheet'!$N$6)</f>
        <v/>
      </c>
      <c r="C65" s="95">
        <f>IF('Final Calculation Sheet'!$N$7="","",'Final Calculation Sheet'!$N$7)</f>
        <v/>
      </c>
      <c r="D65" s="71" t="n"/>
      <c r="E65" s="71" t="n"/>
      <c r="F65" s="71" t="n"/>
      <c r="G65" s="71" t="n"/>
      <c r="H65" s="71" t="n"/>
      <c r="I65" s="71" t="n"/>
      <c r="J65" s="71" t="n"/>
      <c r="K65" s="71" t="n"/>
      <c r="L65" s="71" t="n"/>
      <c r="M65" s="71" t="n"/>
      <c r="N65" s="71" t="n"/>
      <c r="O65" s="96">
        <f>SUM(B65:N65)</f>
        <v/>
      </c>
    </row>
    <row r="66" outlineLevel="2" ht="15" customHeight="1">
      <c r="A66" s="69" t="inlineStr">
        <is>
          <t xml:space="preserve">      Net Service Charge (₹)</t>
        </is>
      </c>
      <c r="B66" s="78">
        <f>IF('Final Calculation Sheet'!$O$6="","",'Final Calculation Sheet'!$O$6)</f>
        <v/>
      </c>
      <c r="C66" s="95">
        <f>IF('Final Calculation Sheet'!$O$7="","",'Final Calculation Sheet'!$O$7)</f>
        <v/>
      </c>
      <c r="D66" s="71" t="n"/>
      <c r="E66" s="71" t="n"/>
      <c r="F66" s="71" t="n"/>
      <c r="G66" s="71" t="n"/>
      <c r="H66" s="71" t="n"/>
      <c r="I66" s="71" t="n"/>
      <c r="J66" s="71" t="n"/>
      <c r="K66" s="71" t="n"/>
      <c r="L66" s="71" t="n"/>
      <c r="M66" s="71" t="n"/>
      <c r="N66" s="71" t="n"/>
      <c r="O66" s="96">
        <f>SUM(B66:N66)</f>
        <v/>
      </c>
    </row>
    <row r="67" outlineLevel="2" ht="15" customHeight="1">
      <c r="A67" s="69" t="inlineStr">
        <is>
          <t xml:space="preserve">      Svc Charge to MSTC (₹)</t>
        </is>
      </c>
      <c r="B67" s="70">
        <f>IF('Final Calculation Sheet'!$P$6="","",'Final Calculation Sheet'!$P$6)</f>
        <v/>
      </c>
      <c r="C67" s="88">
        <f>IF('Final Calculation Sheet'!$P$7="","",'Final Calculation Sheet'!$P$7)</f>
        <v/>
      </c>
      <c r="D67" s="71" t="n"/>
      <c r="E67" s="71" t="n"/>
      <c r="F67" s="71" t="n"/>
      <c r="G67" s="71" t="n"/>
      <c r="H67" s="71" t="n"/>
      <c r="I67" s="71" t="n"/>
      <c r="J67" s="71" t="n"/>
      <c r="K67" s="71" t="n"/>
      <c r="L67" s="71" t="n"/>
      <c r="M67" s="71" t="n"/>
      <c r="N67" s="71" t="n"/>
      <c r="O67" s="94">
        <f>SUM(B67:N67)</f>
        <v/>
      </c>
    </row>
    <row r="68" outlineLevel="2" ht="15" customHeight="1">
      <c r="A68" s="69" t="inlineStr">
        <is>
          <t xml:space="preserve">      GST TDS Rate</t>
        </is>
      </c>
      <c r="B68" s="80">
        <f>IF('Final Calculation Sheet'!$Q$6="","",'Final Calculation Sheet'!$Q$6)</f>
        <v/>
      </c>
      <c r="C68" s="97">
        <f>IF('Final Calculation Sheet'!$Q$7="","",'Final Calculation Sheet'!$Q$7)</f>
        <v/>
      </c>
      <c r="D68" s="71" t="n"/>
      <c r="E68" s="71" t="n"/>
      <c r="F68" s="71" t="n"/>
      <c r="G68" s="71" t="n"/>
      <c r="H68" s="71" t="n"/>
      <c r="I68" s="71" t="n"/>
      <c r="J68" s="71" t="n"/>
      <c r="K68" s="71" t="n"/>
      <c r="L68" s="71" t="n"/>
      <c r="M68" s="71" t="n"/>
      <c r="N68" s="71" t="n"/>
      <c r="O68" s="89" t="inlineStr">
        <is>
          <t>–</t>
        </is>
      </c>
    </row>
    <row r="69" outlineLevel="2" ht="15" customHeight="1">
      <c r="A69" s="69" t="inlineStr">
        <is>
          <t xml:space="preserve">      GST TDS (₹)</t>
        </is>
      </c>
      <c r="B69" s="70">
        <f>IF('Final Calculation Sheet'!$R$6="","",'Final Calculation Sheet'!$R$6)</f>
        <v/>
      </c>
      <c r="C69" s="88">
        <f>IF('Final Calculation Sheet'!$R$7="","",'Final Calculation Sheet'!$R$7)</f>
        <v/>
      </c>
      <c r="D69" s="71" t="n"/>
      <c r="E69" s="71" t="n"/>
      <c r="F69" s="71" t="n"/>
      <c r="G69" s="71" t="n"/>
      <c r="H69" s="71" t="n"/>
      <c r="I69" s="71" t="n"/>
      <c r="J69" s="71" t="n"/>
      <c r="K69" s="71" t="n"/>
      <c r="L69" s="71" t="n"/>
      <c r="M69" s="71" t="n"/>
      <c r="N69" s="71" t="n"/>
      <c r="O69" s="94">
        <f>SUM(B69:N69)</f>
        <v/>
      </c>
    </row>
    <row r="70" outlineLevel="2" ht="15" customHeight="1">
      <c r="A70" s="69" t="inlineStr">
        <is>
          <t xml:space="preserve">      Total Receivables (₹)</t>
        </is>
      </c>
      <c r="B70" s="70">
        <f>IF('Final Calculation Sheet'!$S$6="","",'Final Calculation Sheet'!$S$6)</f>
        <v/>
      </c>
      <c r="C70" s="88">
        <f>IF('Final Calculation Sheet'!$S$7="","",'Final Calculation Sheet'!$S$7)</f>
        <v/>
      </c>
      <c r="D70" s="71" t="n"/>
      <c r="E70" s="71" t="n"/>
      <c r="F70" s="71" t="n"/>
      <c r="G70" s="71" t="n"/>
      <c r="H70" s="71" t="n"/>
      <c r="I70" s="71" t="n"/>
      <c r="J70" s="71" t="n"/>
      <c r="K70" s="71" t="n"/>
      <c r="L70" s="71" t="n"/>
      <c r="M70" s="71" t="n"/>
      <c r="N70" s="71" t="n"/>
      <c r="O70" s="94">
        <f>SUM(B70:N70)</f>
        <v/>
      </c>
    </row>
    <row r="71" outlineLevel="1" ht="16" customHeight="1">
      <c r="A71" s="84" t="inlineStr">
        <is>
          <t xml:space="preserve">  ▸ SECURITY DEPOSIT</t>
        </is>
      </c>
      <c r="B71" s="86" t="n"/>
      <c r="C71" s="86" t="n"/>
      <c r="D71" s="86" t="n"/>
      <c r="E71" s="86" t="n"/>
      <c r="F71" s="86" t="n"/>
      <c r="G71" s="86" t="n"/>
      <c r="H71" s="86" t="n"/>
      <c r="I71" s="86" t="n"/>
      <c r="J71" s="86" t="n"/>
      <c r="K71" s="86" t="n"/>
      <c r="L71" s="86" t="n"/>
      <c r="M71" s="86" t="n"/>
      <c r="N71" s="86" t="n"/>
      <c r="O71" s="86" t="n"/>
    </row>
    <row r="72" outlineLevel="2" ht="15" customHeight="1">
      <c r="A72" s="69" t="inlineStr">
        <is>
          <t xml:space="preserve">      SD Expected (₹)</t>
        </is>
      </c>
      <c r="B72" s="70">
        <f>IF('Final Calculation Sheet'!$T$6="","",'Final Calculation Sheet'!$T$6)</f>
        <v/>
      </c>
      <c r="C72" s="88">
        <f>IF('Final Calculation Sheet'!$T$7="","",'Final Calculation Sheet'!$T$7)</f>
        <v/>
      </c>
      <c r="D72" s="71" t="n"/>
      <c r="E72" s="71" t="n"/>
      <c r="F72" s="71" t="n"/>
      <c r="G72" s="71" t="n"/>
      <c r="H72" s="71" t="n"/>
      <c r="I72" s="71" t="n"/>
      <c r="J72" s="71" t="n"/>
      <c r="K72" s="71" t="n"/>
      <c r="L72" s="71" t="n"/>
      <c r="M72" s="71" t="n"/>
      <c r="N72" s="71" t="n"/>
      <c r="O72" s="94">
        <f>SUM(B72:N72)</f>
        <v/>
      </c>
    </row>
    <row r="73" outlineLevel="2" ht="15" customHeight="1">
      <c r="A73" s="69" t="inlineStr">
        <is>
          <t xml:space="preserve">      SD Received (₹)</t>
        </is>
      </c>
      <c r="B73" s="70">
        <f>IF('Final Calculation Sheet'!$U$6="","",'Final Calculation Sheet'!$U$6)</f>
        <v/>
      </c>
      <c r="C73" s="88">
        <f>IF('Final Calculation Sheet'!$U$7="","",'Final Calculation Sheet'!$U$7)</f>
        <v/>
      </c>
      <c r="D73" s="71" t="n"/>
      <c r="E73" s="71" t="n"/>
      <c r="F73" s="71" t="n"/>
      <c r="G73" s="71" t="n"/>
      <c r="H73" s="71" t="n"/>
      <c r="I73" s="71" t="n"/>
      <c r="J73" s="71" t="n"/>
      <c r="K73" s="71" t="n"/>
      <c r="L73" s="71" t="n"/>
      <c r="M73" s="71" t="n"/>
      <c r="N73" s="71" t="n"/>
      <c r="O73" s="94">
        <f>SUM(B73:N73)</f>
        <v/>
      </c>
    </row>
    <row r="74" outlineLevel="2" ht="15" customHeight="1">
      <c r="A74" s="69" t="inlineStr">
        <is>
          <t xml:space="preserve">      SD Receipt Date</t>
        </is>
      </c>
      <c r="B74" s="76">
        <f>IF('Final Calculation Sheet'!$V$6="","",'Final Calculation Sheet'!$V$6)</f>
        <v/>
      </c>
      <c r="C74" s="93">
        <f>IF('Final Calculation Sheet'!$V$7="","",'Final Calculation Sheet'!$V$7)</f>
        <v/>
      </c>
      <c r="D74" s="71" t="n"/>
      <c r="E74" s="71" t="n"/>
      <c r="F74" s="71" t="n"/>
      <c r="G74" s="71" t="n"/>
      <c r="H74" s="71" t="n"/>
      <c r="I74" s="71" t="n"/>
      <c r="J74" s="71" t="n"/>
      <c r="K74" s="71" t="n"/>
      <c r="L74" s="71" t="n"/>
      <c r="M74" s="71" t="n"/>
      <c r="N74" s="71" t="n"/>
      <c r="O74" s="89" t="inlineStr">
        <is>
          <t>–</t>
        </is>
      </c>
    </row>
    <row r="75" outlineLevel="1" ht="16" customHeight="1">
      <c r="A75" s="84" t="inlineStr">
        <is>
          <t xml:space="preserve">  ▸ FINAL PAYMENT</t>
        </is>
      </c>
      <c r="B75" s="86" t="n"/>
      <c r="C75" s="86" t="n"/>
      <c r="D75" s="86" t="n"/>
      <c r="E75" s="86" t="n"/>
      <c r="F75" s="86" t="n"/>
      <c r="G75" s="86" t="n"/>
      <c r="H75" s="86" t="n"/>
      <c r="I75" s="86" t="n"/>
      <c r="J75" s="86" t="n"/>
      <c r="K75" s="86" t="n"/>
      <c r="L75" s="86" t="n"/>
      <c r="M75" s="86" t="n"/>
      <c r="N75" s="86" t="n"/>
      <c r="O75" s="86" t="n"/>
    </row>
    <row r="76" outlineLevel="2" ht="15" customHeight="1">
      <c r="A76" s="69" t="inlineStr">
        <is>
          <t xml:space="preserve">      FP Expected (₹)</t>
        </is>
      </c>
      <c r="B76" s="70">
        <f>IF('Final Calculation Sheet'!$W$6="","",'Final Calculation Sheet'!$W$6)</f>
        <v/>
      </c>
      <c r="C76" s="88">
        <f>IF('Final Calculation Sheet'!$W$7="","",'Final Calculation Sheet'!$W$7)</f>
        <v/>
      </c>
      <c r="D76" s="71" t="n"/>
      <c r="E76" s="71" t="n"/>
      <c r="F76" s="71" t="n"/>
      <c r="G76" s="71" t="n"/>
      <c r="H76" s="71" t="n"/>
      <c r="I76" s="71" t="n"/>
      <c r="J76" s="71" t="n"/>
      <c r="K76" s="71" t="n"/>
      <c r="L76" s="71" t="n"/>
      <c r="M76" s="71" t="n"/>
      <c r="N76" s="71" t="n"/>
      <c r="O76" s="94">
        <f>SUM(B76:N76)</f>
        <v/>
      </c>
    </row>
    <row r="77" outlineLevel="2" ht="15" customHeight="1">
      <c r="A77" s="69" t="inlineStr">
        <is>
          <t xml:space="preserve">      FP Received (₹)</t>
        </is>
      </c>
      <c r="B77" s="70">
        <f>IF('Final Calculation Sheet'!$X$6="","",'Final Calculation Sheet'!$X$6)</f>
        <v/>
      </c>
      <c r="C77" s="88">
        <f>IF('Final Calculation Sheet'!$X$7="","",'Final Calculation Sheet'!$X$7)</f>
        <v/>
      </c>
      <c r="D77" s="71" t="n"/>
      <c r="E77" s="71" t="n"/>
      <c r="F77" s="71" t="n"/>
      <c r="G77" s="71" t="n"/>
      <c r="H77" s="71" t="n"/>
      <c r="I77" s="71" t="n"/>
      <c r="J77" s="71" t="n"/>
      <c r="K77" s="71" t="n"/>
      <c r="L77" s="71" t="n"/>
      <c r="M77" s="71" t="n"/>
      <c r="N77" s="71" t="n"/>
      <c r="O77" s="94">
        <f>SUM(B77:N77)</f>
        <v/>
      </c>
    </row>
    <row r="78" outlineLevel="2" ht="15" customHeight="1">
      <c r="A78" s="69" t="inlineStr">
        <is>
          <t xml:space="preserve">      FP Receipt Date</t>
        </is>
      </c>
      <c r="B78" s="76">
        <f>IF('Final Calculation Sheet'!$Y$6="","",'Final Calculation Sheet'!$Y$6)</f>
        <v/>
      </c>
      <c r="C78" s="93">
        <f>IF('Final Calculation Sheet'!$Y$7="","",'Final Calculation Sheet'!$Y$7)</f>
        <v/>
      </c>
      <c r="D78" s="71" t="n"/>
      <c r="E78" s="71" t="n"/>
      <c r="F78" s="71" t="n"/>
      <c r="G78" s="71" t="n"/>
      <c r="H78" s="71" t="n"/>
      <c r="I78" s="71" t="n"/>
      <c r="J78" s="71" t="n"/>
      <c r="K78" s="71" t="n"/>
      <c r="L78" s="71" t="n"/>
      <c r="M78" s="71" t="n"/>
      <c r="N78" s="71" t="n"/>
      <c r="O78" s="89" t="inlineStr">
        <is>
          <t>–</t>
        </is>
      </c>
    </row>
    <row r="79" outlineLevel="1" ht="16" customHeight="1">
      <c r="A79" s="84" t="inlineStr">
        <is>
          <t xml:space="preserve">  ▸ LPP</t>
        </is>
      </c>
      <c r="B79" s="86" t="n"/>
      <c r="C79" s="86" t="n"/>
      <c r="D79" s="86" t="n"/>
      <c r="E79" s="86" t="n"/>
      <c r="F79" s="86" t="n"/>
      <c r="G79" s="86" t="n"/>
      <c r="H79" s="86" t="n"/>
      <c r="I79" s="86" t="n"/>
      <c r="J79" s="86" t="n"/>
      <c r="K79" s="86" t="n"/>
      <c r="L79" s="86" t="n"/>
      <c r="M79" s="86" t="n"/>
      <c r="N79" s="86" t="n"/>
      <c r="O79" s="86" t="n"/>
    </row>
    <row r="80" outlineLevel="2" ht="15" customHeight="1">
      <c r="A80" s="69" t="inlineStr">
        <is>
          <t xml:space="preserve">      LPP Expected (₹)</t>
        </is>
      </c>
      <c r="B80" s="70">
        <f>IF('Final Calculation Sheet'!$Z$6="","",'Final Calculation Sheet'!$Z$6)</f>
        <v/>
      </c>
      <c r="C80" s="88">
        <f>IF('Final Calculation Sheet'!$Z$7="","",'Final Calculation Sheet'!$Z$7)</f>
        <v/>
      </c>
      <c r="D80" s="71" t="n"/>
      <c r="E80" s="71" t="n"/>
      <c r="F80" s="71" t="n"/>
      <c r="G80" s="71" t="n"/>
      <c r="H80" s="71" t="n"/>
      <c r="I80" s="71" t="n"/>
      <c r="J80" s="71" t="n"/>
      <c r="K80" s="71" t="n"/>
      <c r="L80" s="71" t="n"/>
      <c r="M80" s="71" t="n"/>
      <c r="N80" s="71" t="n"/>
      <c r="O80" s="94">
        <f>SUM(B80:N80)</f>
        <v/>
      </c>
    </row>
    <row r="81" outlineLevel="2" ht="15" customHeight="1">
      <c r="A81" s="69" t="inlineStr">
        <is>
          <t xml:space="preserve">      LPP Received (₹)</t>
        </is>
      </c>
      <c r="B81" s="70">
        <f>IF('Final Calculation Sheet'!$AA$6="","",'Final Calculation Sheet'!$AA$6)</f>
        <v/>
      </c>
      <c r="C81" s="88">
        <f>IF('Final Calculation Sheet'!$AA$7="","",'Final Calculation Sheet'!$AA$7)</f>
        <v/>
      </c>
      <c r="D81" s="71" t="n"/>
      <c r="E81" s="71" t="n"/>
      <c r="F81" s="71" t="n"/>
      <c r="G81" s="71" t="n"/>
      <c r="H81" s="71" t="n"/>
      <c r="I81" s="71" t="n"/>
      <c r="J81" s="71" t="n"/>
      <c r="K81" s="71" t="n"/>
      <c r="L81" s="71" t="n"/>
      <c r="M81" s="71" t="n"/>
      <c r="N81" s="71" t="n"/>
      <c r="O81" s="94">
        <f>SUM(B81:N81)</f>
        <v/>
      </c>
    </row>
    <row r="82" outlineLevel="2" ht="15" customHeight="1">
      <c r="A82" s="69" t="inlineStr">
        <is>
          <t xml:space="preserve">      LPP Receipt Date</t>
        </is>
      </c>
      <c r="B82" s="76">
        <f>IF('Final Calculation Sheet'!$AB$6="","",'Final Calculation Sheet'!$AB$6)</f>
        <v/>
      </c>
      <c r="C82" s="93">
        <f>IF('Final Calculation Sheet'!$AB$7="","",'Final Calculation Sheet'!$AB$7)</f>
        <v/>
      </c>
      <c r="D82" s="71" t="n"/>
      <c r="E82" s="71" t="n"/>
      <c r="F82" s="71" t="n"/>
      <c r="G82" s="71" t="n"/>
      <c r="H82" s="71" t="n"/>
      <c r="I82" s="71" t="n"/>
      <c r="J82" s="71" t="n"/>
      <c r="K82" s="71" t="n"/>
      <c r="L82" s="71" t="n"/>
      <c r="M82" s="71" t="n"/>
      <c r="N82" s="71" t="n"/>
      <c r="O82" s="89" t="inlineStr">
        <is>
          <t>–</t>
        </is>
      </c>
    </row>
    <row r="83" outlineLevel="1" ht="16" customHeight="1">
      <c r="A83" s="84" t="inlineStr">
        <is>
          <t xml:space="preserve">  ▸ SUMMARY</t>
        </is>
      </c>
      <c r="B83" s="86" t="n"/>
      <c r="C83" s="86" t="n"/>
      <c r="D83" s="86" t="n"/>
      <c r="E83" s="86" t="n"/>
      <c r="F83" s="86" t="n"/>
      <c r="G83" s="86" t="n"/>
      <c r="H83" s="86" t="n"/>
      <c r="I83" s="86" t="n"/>
      <c r="J83" s="86" t="n"/>
      <c r="K83" s="86" t="n"/>
      <c r="L83" s="86" t="n"/>
      <c r="M83" s="86" t="n"/>
      <c r="N83" s="86" t="n"/>
      <c r="O83" s="86" t="n"/>
    </row>
    <row r="84" outlineLevel="2" ht="15" customHeight="1">
      <c r="A84" s="69" t="inlineStr">
        <is>
          <t xml:space="preserve">      Total Received (₹)</t>
        </is>
      </c>
      <c r="B84" s="70">
        <f>IF('Final Calculation Sheet'!$AC$6="","",'Final Calculation Sheet'!$AC$6)</f>
        <v/>
      </c>
      <c r="C84" s="88">
        <f>IF('Final Calculation Sheet'!$AC$7="","",'Final Calculation Sheet'!$AC$7)</f>
        <v/>
      </c>
      <c r="D84" s="71" t="n"/>
      <c r="E84" s="71" t="n"/>
      <c r="F84" s="71" t="n"/>
      <c r="G84" s="71" t="n"/>
      <c r="H84" s="71" t="n"/>
      <c r="I84" s="71" t="n"/>
      <c r="J84" s="71" t="n"/>
      <c r="K84" s="71" t="n"/>
      <c r="L84" s="71" t="n"/>
      <c r="M84" s="71" t="n"/>
      <c r="N84" s="71" t="n"/>
      <c r="O84" s="94">
        <f>SUM(B84:N84)</f>
        <v/>
      </c>
    </row>
    <row r="85" outlineLevel="2" ht="15" customHeight="1">
      <c r="A85" s="69" t="inlineStr">
        <is>
          <t xml:space="preserve">      Outstanding (₹)</t>
        </is>
      </c>
      <c r="B85" s="70">
        <f>IF('Final Calculation Sheet'!$AD$6="","",'Final Calculation Sheet'!$AD$6)</f>
        <v/>
      </c>
      <c r="C85" s="88">
        <f>IF('Final Calculation Sheet'!$AD$7="","",'Final Calculation Sheet'!$AD$7)</f>
        <v/>
      </c>
      <c r="D85" s="71" t="n"/>
      <c r="E85" s="71" t="n"/>
      <c r="F85" s="71" t="n"/>
      <c r="G85" s="71" t="n"/>
      <c r="H85" s="71" t="n"/>
      <c r="I85" s="71" t="n"/>
      <c r="J85" s="71" t="n"/>
      <c r="K85" s="71" t="n"/>
      <c r="L85" s="71" t="n"/>
      <c r="M85" s="71" t="n"/>
      <c r="N85" s="71" t="n"/>
      <c r="O85" s="94">
        <f>SUM(B85:N85)</f>
        <v/>
      </c>
    </row>
    <row r="86" outlineLevel="2" ht="15" customHeight="1">
      <c r="A86" s="69" t="inlineStr">
        <is>
          <t xml:space="preserve">      Payment Status</t>
        </is>
      </c>
      <c r="B86" s="81">
        <f>IF('Final Calculation Sheet'!$AD$6="","",IF('Final Calculation Sheet'!$AD$6&lt;=0,"SETTLED","OUTSTANDING"))</f>
        <v/>
      </c>
      <c r="C86" s="98">
        <f>IF('Final Calculation Sheet'!$AD$7="","",IF('Final Calculation Sheet'!$AD$7&lt;=0,"SETTLED","OUTSTANDING"))</f>
        <v/>
      </c>
      <c r="D86" s="71" t="n"/>
      <c r="E86" s="71" t="n"/>
      <c r="F86" s="71" t="n"/>
      <c r="G86" s="71" t="n"/>
      <c r="H86" s="71" t="n"/>
      <c r="I86" s="71" t="n"/>
      <c r="J86" s="71" t="n"/>
      <c r="K86" s="71" t="n"/>
      <c r="L86" s="71" t="n"/>
      <c r="M86" s="71" t="n"/>
      <c r="N86" s="71" t="n"/>
      <c r="O86" s="89" t="inlineStr">
        <is>
          <t>–</t>
        </is>
      </c>
    </row>
    <row r="87" outlineLevel="1" ht="16" customHeight="1">
      <c r="A87" s="84" t="inlineStr">
        <is>
          <t xml:space="preserve">  ▸ DOCUMENT</t>
        </is>
      </c>
      <c r="B87" s="86" t="n"/>
      <c r="C87" s="86" t="n"/>
      <c r="D87" s="86" t="n"/>
      <c r="E87" s="86" t="n"/>
      <c r="F87" s="86" t="n"/>
      <c r="G87" s="86" t="n"/>
      <c r="H87" s="86" t="n"/>
      <c r="I87" s="86" t="n"/>
      <c r="J87" s="86" t="n"/>
      <c r="K87" s="86" t="n"/>
      <c r="L87" s="86" t="n"/>
      <c r="M87" s="86" t="n"/>
      <c r="N87" s="86" t="n"/>
      <c r="O87" s="86" t="n"/>
    </row>
    <row r="88" outlineLevel="2" ht="15" customHeight="1">
      <c r="A88" s="69" t="inlineStr">
        <is>
          <t xml:space="preserve">      Invoice No.</t>
        </is>
      </c>
      <c r="B88" s="76">
        <f>IF('Final Calculation Sheet'!$AE$6="","",'Final Calculation Sheet'!$AE$6)</f>
        <v/>
      </c>
      <c r="C88" s="93">
        <f>IF('Final Calculation Sheet'!$AE$7="","",'Final Calculation Sheet'!$AE$7)</f>
        <v/>
      </c>
      <c r="D88" s="71" t="n"/>
      <c r="E88" s="71" t="n"/>
      <c r="F88" s="71" t="n"/>
      <c r="G88" s="71" t="n"/>
      <c r="H88" s="71" t="n"/>
      <c r="I88" s="71" t="n"/>
      <c r="J88" s="71" t="n"/>
      <c r="K88" s="71" t="n"/>
      <c r="L88" s="71" t="n"/>
      <c r="M88" s="71" t="n"/>
      <c r="N88" s="71" t="n"/>
      <c r="O88" s="89" t="inlineStr">
        <is>
          <t>–</t>
        </is>
      </c>
    </row>
    <row r="89" outlineLevel="2" ht="15" customHeight="1">
      <c r="A89" s="69" t="inlineStr">
        <is>
          <t xml:space="preserve">      SAP Document</t>
        </is>
      </c>
      <c r="B89" s="70">
        <f>IF('Final Calculation Sheet'!$AF$6="","",'Final Calculation Sheet'!$AF$6)</f>
        <v/>
      </c>
      <c r="C89" s="88">
        <f>IF('Final Calculation Sheet'!$AF$7="","",'Final Calculation Sheet'!$AF$7)</f>
        <v/>
      </c>
      <c r="D89" s="71" t="n"/>
      <c r="E89" s="71" t="n"/>
      <c r="F89" s="71" t="n"/>
      <c r="G89" s="71" t="n"/>
      <c r="H89" s="71" t="n"/>
      <c r="I89" s="71" t="n"/>
      <c r="J89" s="71" t="n"/>
      <c r="K89" s="71" t="n"/>
      <c r="L89" s="71" t="n"/>
      <c r="M89" s="71" t="n"/>
      <c r="N89" s="71" t="n"/>
      <c r="O89" s="89" t="inlineStr">
        <is>
          <t>–</t>
        </is>
      </c>
    </row>
    <row r="90" outlineLevel="2" ht="15" customHeight="1">
      <c r="A90" s="69" t="inlineStr">
        <is>
          <t xml:space="preserve">      Doc./Invoice Date</t>
        </is>
      </c>
      <c r="B90" s="76">
        <f>IF('Final Calculation Sheet'!$AG$6="","",'Final Calculation Sheet'!$AG$6)</f>
        <v/>
      </c>
      <c r="C90" s="93">
        <f>IF('Final Calculation Sheet'!$AG$7="","",'Final Calculation Sheet'!$AG$7)</f>
        <v/>
      </c>
      <c r="D90" s="71" t="n"/>
      <c r="E90" s="71" t="n"/>
      <c r="F90" s="71" t="n"/>
      <c r="G90" s="71" t="n"/>
      <c r="H90" s="71" t="n"/>
      <c r="I90" s="71" t="n"/>
      <c r="J90" s="71" t="n"/>
      <c r="K90" s="71" t="n"/>
      <c r="L90" s="71" t="n"/>
      <c r="M90" s="71" t="n"/>
      <c r="N90" s="71" t="n"/>
      <c r="O90" s="89" t="inlineStr">
        <is>
          <t>–</t>
        </is>
      </c>
    </row>
    <row r="91" ht="7" customHeight="1">
      <c r="A91" s="82" t="n"/>
      <c r="B91" s="82" t="n"/>
      <c r="C91" s="82" t="n"/>
      <c r="D91" s="82" t="n"/>
      <c r="E91" s="82" t="n"/>
      <c r="F91" s="82" t="n"/>
      <c r="G91" s="82" t="n"/>
      <c r="H91" s="82" t="n"/>
      <c r="I91" s="82" t="n"/>
      <c r="J91" s="82" t="n"/>
      <c r="K91" s="82" t="n"/>
      <c r="L91" s="82" t="n"/>
      <c r="M91" s="82" t="n"/>
      <c r="N91" s="82" t="n"/>
      <c r="O91" s="82" t="n"/>
    </row>
    <row r="92" ht="24" customHeight="1">
      <c r="A92" s="99">
        <f>"▼  HIND TRADERS   •   "&amp;COUNTIF('Final Calculation Sheet'!$G$4:$G$1000,"HIND TRADERS")&amp;" LOT(S)   •   MAT. VALUE ₹"&amp;TEXT(SUMIF('Final Calculation Sheet'!$G$4:$G$1000,"HIND TRADERS",'Final Calculation Sheet'!$H$4:$H$1000),"#,##0")&amp;"   •   RECEIVED ₹"&amp;TEXT(SUMIF('Final Calculation Sheet'!$G$4:$G$1000,"HIND TRADERS",'Final Calculation Sheet'!$AC$4:$AC$1000),"#,##0")&amp;"   •   OUTSTANDING ₹"&amp;TEXT(SUMIF('Final Calculation Sheet'!$G$4:$G$1000,"HIND TRADERS",'Final Calculation Sheet'!$AD$4:$AD$1000),"#,##0")</f>
        <v/>
      </c>
      <c r="B92" s="64" t="n"/>
      <c r="C92" s="64" t="n"/>
      <c r="D92" s="64" t="n"/>
      <c r="E92" s="64" t="n"/>
      <c r="F92" s="64" t="n"/>
      <c r="G92" s="64" t="n"/>
      <c r="H92" s="64" t="n"/>
      <c r="I92" s="64" t="n"/>
      <c r="J92" s="64" t="n"/>
      <c r="K92" s="64" t="n"/>
      <c r="L92" s="64" t="n"/>
      <c r="M92" s="64" t="n"/>
      <c r="N92" s="64" t="n"/>
      <c r="O92" s="64" t="n"/>
    </row>
    <row r="93" outlineLevel="1" ht="18" customHeight="1">
      <c r="A93" s="100" t="inlineStr">
        <is>
          <t xml:space="preserve">   Lot No. →</t>
        </is>
      </c>
      <c r="B93" s="101">
        <f>IF('Final Calculation Sheet'!$F$15="","",'Final Calculation Sheet'!$F$15)</f>
        <v/>
      </c>
      <c r="C93" s="102" t="n"/>
      <c r="D93" s="102" t="n"/>
      <c r="E93" s="102" t="n"/>
      <c r="F93" s="102" t="n"/>
      <c r="G93" s="102" t="n"/>
      <c r="H93" s="102" t="n"/>
      <c r="I93" s="102" t="n"/>
      <c r="J93" s="102" t="n"/>
      <c r="K93" s="102" t="n"/>
      <c r="L93" s="102" t="n"/>
      <c r="M93" s="102" t="n"/>
      <c r="N93" s="102" t="n"/>
      <c r="O93" s="103" t="inlineStr">
        <is>
          <t>TOTAL</t>
        </is>
      </c>
    </row>
    <row r="94" outlineLevel="1" ht="16" customHeight="1">
      <c r="A94" s="100" t="inlineStr">
        <is>
          <t xml:space="preserve">  ▸ LOT INFORMATION</t>
        </is>
      </c>
      <c r="B94" s="102" t="n"/>
      <c r="C94" s="102" t="n"/>
      <c r="D94" s="102" t="n"/>
      <c r="E94" s="102" t="n"/>
      <c r="F94" s="102" t="n"/>
      <c r="G94" s="102" t="n"/>
      <c r="H94" s="102" t="n"/>
      <c r="I94" s="102" t="n"/>
      <c r="J94" s="102" t="n"/>
      <c r="K94" s="102" t="n"/>
      <c r="L94" s="102" t="n"/>
      <c r="M94" s="102" t="n"/>
      <c r="N94" s="102" t="n"/>
      <c r="O94" s="102" t="n"/>
    </row>
    <row r="95" outlineLevel="2" ht="15" customHeight="1">
      <c r="A95" s="69" t="inlineStr">
        <is>
          <t xml:space="preserve">      Lot No.</t>
        </is>
      </c>
      <c r="B95" s="70">
        <f>IF('Final Calculation Sheet'!$F$15="","",'Final Calculation Sheet'!$F$15)</f>
        <v/>
      </c>
      <c r="C95" s="71" t="n"/>
      <c r="D95" s="71" t="n"/>
      <c r="E95" s="71" t="n"/>
      <c r="F95" s="71" t="n"/>
      <c r="G95" s="71" t="n"/>
      <c r="H95" s="71" t="n"/>
      <c r="I95" s="71" t="n"/>
      <c r="J95" s="71" t="n"/>
      <c r="K95" s="71" t="n"/>
      <c r="L95" s="71" t="n"/>
      <c r="M95" s="71" t="n"/>
      <c r="N95" s="71" t="n"/>
      <c r="O95" s="104" t="inlineStr">
        <is>
          <t>–</t>
        </is>
      </c>
    </row>
    <row r="96" outlineLevel="2" ht="60" customHeight="1">
      <c r="A96" s="69" t="inlineStr">
        <is>
          <t xml:space="preserve">      Lot Name</t>
        </is>
      </c>
      <c r="B96" s="73">
        <f>IF('Final Calculation Sheet'!$B$15="","",'Final Calculation Sheet'!$B$15)</f>
        <v/>
      </c>
      <c r="C96" s="71" t="n"/>
      <c r="D96" s="71" t="n"/>
      <c r="E96" s="71" t="n"/>
      <c r="F96" s="71" t="n"/>
      <c r="G96" s="71" t="n"/>
      <c r="H96" s="71" t="n"/>
      <c r="I96" s="71" t="n"/>
      <c r="J96" s="71" t="n"/>
      <c r="K96" s="71" t="n"/>
      <c r="L96" s="71" t="n"/>
      <c r="M96" s="71" t="n"/>
      <c r="N96" s="71" t="n"/>
      <c r="O96" s="104" t="inlineStr">
        <is>
          <t>–</t>
        </is>
      </c>
    </row>
    <row r="97" outlineLevel="2" ht="15" customHeight="1">
      <c r="A97" s="69" t="inlineStr">
        <is>
          <t xml:space="preserve">      Bid Sheet / Auction</t>
        </is>
      </c>
      <c r="B97" s="70">
        <f>IF('Final Calculation Sheet'!$D$15="","",'Final Calculation Sheet'!$D$15)</f>
        <v/>
      </c>
      <c r="C97" s="71" t="n"/>
      <c r="D97" s="71" t="n"/>
      <c r="E97" s="71" t="n"/>
      <c r="F97" s="71" t="n"/>
      <c r="G97" s="71" t="n"/>
      <c r="H97" s="71" t="n"/>
      <c r="I97" s="71" t="n"/>
      <c r="J97" s="71" t="n"/>
      <c r="K97" s="71" t="n"/>
      <c r="L97" s="71" t="n"/>
      <c r="M97" s="71" t="n"/>
      <c r="N97" s="71" t="n"/>
      <c r="O97" s="104" t="inlineStr">
        <is>
          <t>–</t>
        </is>
      </c>
    </row>
    <row r="98" outlineLevel="2" ht="15" customHeight="1">
      <c r="A98" s="69" t="inlineStr">
        <is>
          <t xml:space="preserve">      Quantity</t>
        </is>
      </c>
      <c r="B98" s="74">
        <f>IF('Final Calculation Sheet'!$A$15="","",'Final Calculation Sheet'!$A$15)</f>
        <v/>
      </c>
      <c r="C98" s="71" t="n"/>
      <c r="D98" s="71" t="n"/>
      <c r="E98" s="71" t="n"/>
      <c r="F98" s="71" t="n"/>
      <c r="G98" s="71" t="n"/>
      <c r="H98" s="71" t="n"/>
      <c r="I98" s="71" t="n"/>
      <c r="J98" s="71" t="n"/>
      <c r="K98" s="71" t="n"/>
      <c r="L98" s="71" t="n"/>
      <c r="M98" s="71" t="n"/>
      <c r="N98" s="71" t="n"/>
      <c r="O98" s="105">
        <f>SUM(B98:N98)</f>
        <v/>
      </c>
    </row>
    <row r="99" outlineLevel="2" ht="15" customHeight="1">
      <c r="A99" s="69" t="inlineStr">
        <is>
          <t xml:space="preserve">      Unit</t>
        </is>
      </c>
      <c r="B99" s="76">
        <f>IF('Final Calculation Sheet'!$E$15="","",'Final Calculation Sheet'!$E$15)</f>
        <v/>
      </c>
      <c r="C99" s="71" t="n"/>
      <c r="D99" s="71" t="n"/>
      <c r="E99" s="71" t="n"/>
      <c r="F99" s="71" t="n"/>
      <c r="G99" s="71" t="n"/>
      <c r="H99" s="71" t="n"/>
      <c r="I99" s="71" t="n"/>
      <c r="J99" s="71" t="n"/>
      <c r="K99" s="71" t="n"/>
      <c r="L99" s="71" t="n"/>
      <c r="M99" s="71" t="n"/>
      <c r="N99" s="71" t="n"/>
      <c r="O99" s="104" t="inlineStr">
        <is>
          <t>–</t>
        </is>
      </c>
    </row>
    <row r="100" outlineLevel="2" ht="15" customHeight="1">
      <c r="A100" s="69" t="inlineStr">
        <is>
          <t xml:space="preserve">      Rate (₹)</t>
        </is>
      </c>
      <c r="B100" s="70">
        <f>IF('Final Calculation Sheet'!$C$15="","",'Final Calculation Sheet'!$C$15)</f>
        <v/>
      </c>
      <c r="C100" s="71" t="n"/>
      <c r="D100" s="71" t="n"/>
      <c r="E100" s="71" t="n"/>
      <c r="F100" s="71" t="n"/>
      <c r="G100" s="71" t="n"/>
      <c r="H100" s="71" t="n"/>
      <c r="I100" s="71" t="n"/>
      <c r="J100" s="71" t="n"/>
      <c r="K100" s="71" t="n"/>
      <c r="L100" s="71" t="n"/>
      <c r="M100" s="71" t="n"/>
      <c r="N100" s="71" t="n"/>
      <c r="O100" s="104" t="inlineStr">
        <is>
          <t>–</t>
        </is>
      </c>
    </row>
    <row r="101" outlineLevel="1" ht="16" customHeight="1">
      <c r="A101" s="100" t="inlineStr">
        <is>
          <t xml:space="preserve">  ▸ FINANCIALS</t>
        </is>
      </c>
      <c r="B101" s="102" t="n"/>
      <c r="C101" s="102" t="n"/>
      <c r="D101" s="102" t="n"/>
      <c r="E101" s="102" t="n"/>
      <c r="F101" s="102" t="n"/>
      <c r="G101" s="102" t="n"/>
      <c r="H101" s="102" t="n"/>
      <c r="I101" s="102" t="n"/>
      <c r="J101" s="102" t="n"/>
      <c r="K101" s="102" t="n"/>
      <c r="L101" s="102" t="n"/>
      <c r="M101" s="102" t="n"/>
      <c r="N101" s="102" t="n"/>
      <c r="O101" s="102" t="n"/>
    </row>
    <row r="102" outlineLevel="2" ht="15" customHeight="1">
      <c r="A102" s="69" t="inlineStr">
        <is>
          <t xml:space="preserve">      Mat. Value (₹)</t>
        </is>
      </c>
      <c r="B102" s="70">
        <f>IF('Final Calculation Sheet'!$H$15="","",'Final Calculation Sheet'!$H$15)</f>
        <v/>
      </c>
      <c r="C102" s="71" t="n"/>
      <c r="D102" s="71" t="n"/>
      <c r="E102" s="71" t="n"/>
      <c r="F102" s="71" t="n"/>
      <c r="G102" s="71" t="n"/>
      <c r="H102" s="71" t="n"/>
      <c r="I102" s="71" t="n"/>
      <c r="J102" s="71" t="n"/>
      <c r="K102" s="71" t="n"/>
      <c r="L102" s="71" t="n"/>
      <c r="M102" s="71" t="n"/>
      <c r="N102" s="71" t="n"/>
      <c r="O102" s="106">
        <f>SUM(B102:N102)</f>
        <v/>
      </c>
    </row>
    <row r="103" outlineLevel="2" ht="15" customHeight="1">
      <c r="A103" s="69" t="inlineStr">
        <is>
          <t xml:space="preserve">      GST @ 18% (₹)</t>
        </is>
      </c>
      <c r="B103" s="70">
        <f>IF('Final Calculation Sheet'!$I$15="","",'Final Calculation Sheet'!$I$15)</f>
        <v/>
      </c>
      <c r="C103" s="71" t="n"/>
      <c r="D103" s="71" t="n"/>
      <c r="E103" s="71" t="n"/>
      <c r="F103" s="71" t="n"/>
      <c r="G103" s="71" t="n"/>
      <c r="H103" s="71" t="n"/>
      <c r="I103" s="71" t="n"/>
      <c r="J103" s="71" t="n"/>
      <c r="K103" s="71" t="n"/>
      <c r="L103" s="71" t="n"/>
      <c r="M103" s="71" t="n"/>
      <c r="N103" s="71" t="n"/>
      <c r="O103" s="106">
        <f>SUM(B103:N103)</f>
        <v/>
      </c>
    </row>
    <row r="104" outlineLevel="2" ht="15" customHeight="1">
      <c r="A104" s="69" t="inlineStr">
        <is>
          <t xml:space="preserve">      Mat. Value + GST (₹)</t>
        </is>
      </c>
      <c r="B104" s="70">
        <f>IF('Final Calculation Sheet'!$J$15="","",'Final Calculation Sheet'!$J$15)</f>
        <v/>
      </c>
      <c r="C104" s="71" t="n"/>
      <c r="D104" s="71" t="n"/>
      <c r="E104" s="71" t="n"/>
      <c r="F104" s="71" t="n"/>
      <c r="G104" s="71" t="n"/>
      <c r="H104" s="71" t="n"/>
      <c r="I104" s="71" t="n"/>
      <c r="J104" s="71" t="n"/>
      <c r="K104" s="71" t="n"/>
      <c r="L104" s="71" t="n"/>
      <c r="M104" s="71" t="n"/>
      <c r="N104" s="71" t="n"/>
      <c r="O104" s="106">
        <f>SUM(B104:N104)</f>
        <v/>
      </c>
    </row>
    <row r="105" outlineLevel="2" ht="15" customHeight="1">
      <c r="A105" s="69" t="inlineStr">
        <is>
          <t xml:space="preserve">      TCS @ 2% (₹)</t>
        </is>
      </c>
      <c r="B105" s="70">
        <f>IF('Final Calculation Sheet'!$K$15="","",'Final Calculation Sheet'!$K$15)</f>
        <v/>
      </c>
      <c r="C105" s="71" t="n"/>
      <c r="D105" s="71" t="n"/>
      <c r="E105" s="71" t="n"/>
      <c r="F105" s="71" t="n"/>
      <c r="G105" s="71" t="n"/>
      <c r="H105" s="71" t="n"/>
      <c r="I105" s="71" t="n"/>
      <c r="J105" s="71" t="n"/>
      <c r="K105" s="71" t="n"/>
      <c r="L105" s="71" t="n"/>
      <c r="M105" s="71" t="n"/>
      <c r="N105" s="71" t="n"/>
      <c r="O105" s="106">
        <f>SUM(B105:N105)</f>
        <v/>
      </c>
    </row>
    <row r="106" outlineLevel="2" ht="15" customHeight="1">
      <c r="A106" s="69" t="inlineStr">
        <is>
          <t xml:space="preserve">      TDS u/s 194(O) (₹)</t>
        </is>
      </c>
      <c r="B106" s="78">
        <f>IF('Final Calculation Sheet'!$L$15="","",'Final Calculation Sheet'!$L$15)</f>
        <v/>
      </c>
      <c r="C106" s="71" t="n"/>
      <c r="D106" s="71" t="n"/>
      <c r="E106" s="71" t="n"/>
      <c r="F106" s="71" t="n"/>
      <c r="G106" s="71" t="n"/>
      <c r="H106" s="71" t="n"/>
      <c r="I106" s="71" t="n"/>
      <c r="J106" s="71" t="n"/>
      <c r="K106" s="71" t="n"/>
      <c r="L106" s="71" t="n"/>
      <c r="M106" s="71" t="n"/>
      <c r="N106" s="71" t="n"/>
      <c r="O106" s="107">
        <f>SUM(B106:N106)</f>
        <v/>
      </c>
    </row>
    <row r="107" outlineLevel="2" ht="15" customHeight="1">
      <c r="A107" s="69" t="inlineStr">
        <is>
          <t xml:space="preserve">      Service Charge gross (₹)</t>
        </is>
      </c>
      <c r="B107" s="78">
        <f>IF('Final Calculation Sheet'!$M$15="","",'Final Calculation Sheet'!$M$15)</f>
        <v/>
      </c>
      <c r="C107" s="71" t="n"/>
      <c r="D107" s="71" t="n"/>
      <c r="E107" s="71" t="n"/>
      <c r="F107" s="71" t="n"/>
      <c r="G107" s="71" t="n"/>
      <c r="H107" s="71" t="n"/>
      <c r="I107" s="71" t="n"/>
      <c r="J107" s="71" t="n"/>
      <c r="K107" s="71" t="n"/>
      <c r="L107" s="71" t="n"/>
      <c r="M107" s="71" t="n"/>
      <c r="N107" s="71" t="n"/>
      <c r="O107" s="107">
        <f>SUM(B107:N107)</f>
        <v/>
      </c>
    </row>
    <row r="108" outlineLevel="2" ht="15" customHeight="1">
      <c r="A108" s="69" t="inlineStr">
        <is>
          <t xml:space="preserve">      TDS u/s 194(H) (₹)</t>
        </is>
      </c>
      <c r="B108" s="78">
        <f>IF('Final Calculation Sheet'!$N$15="","",'Final Calculation Sheet'!$N$15)</f>
        <v/>
      </c>
      <c r="C108" s="71" t="n"/>
      <c r="D108" s="71" t="n"/>
      <c r="E108" s="71" t="n"/>
      <c r="F108" s="71" t="n"/>
      <c r="G108" s="71" t="n"/>
      <c r="H108" s="71" t="n"/>
      <c r="I108" s="71" t="n"/>
      <c r="J108" s="71" t="n"/>
      <c r="K108" s="71" t="n"/>
      <c r="L108" s="71" t="n"/>
      <c r="M108" s="71" t="n"/>
      <c r="N108" s="71" t="n"/>
      <c r="O108" s="107">
        <f>SUM(B108:N108)</f>
        <v/>
      </c>
    </row>
    <row r="109" outlineLevel="2" ht="15" customHeight="1">
      <c r="A109" s="69" t="inlineStr">
        <is>
          <t xml:space="preserve">      Net Service Charge (₹)</t>
        </is>
      </c>
      <c r="B109" s="78">
        <f>IF('Final Calculation Sheet'!$O$15="","",'Final Calculation Sheet'!$O$15)</f>
        <v/>
      </c>
      <c r="C109" s="71" t="n"/>
      <c r="D109" s="71" t="n"/>
      <c r="E109" s="71" t="n"/>
      <c r="F109" s="71" t="n"/>
      <c r="G109" s="71" t="n"/>
      <c r="H109" s="71" t="n"/>
      <c r="I109" s="71" t="n"/>
      <c r="J109" s="71" t="n"/>
      <c r="K109" s="71" t="n"/>
      <c r="L109" s="71" t="n"/>
      <c r="M109" s="71" t="n"/>
      <c r="N109" s="71" t="n"/>
      <c r="O109" s="107">
        <f>SUM(B109:N109)</f>
        <v/>
      </c>
    </row>
    <row r="110" outlineLevel="2" ht="15" customHeight="1">
      <c r="A110" s="69" t="inlineStr">
        <is>
          <t xml:space="preserve">      Svc Charge to MSTC (₹)</t>
        </is>
      </c>
      <c r="B110" s="70">
        <f>IF('Final Calculation Sheet'!$P$15="","",'Final Calculation Sheet'!$P$15)</f>
        <v/>
      </c>
      <c r="C110" s="71" t="n"/>
      <c r="D110" s="71" t="n"/>
      <c r="E110" s="71" t="n"/>
      <c r="F110" s="71" t="n"/>
      <c r="G110" s="71" t="n"/>
      <c r="H110" s="71" t="n"/>
      <c r="I110" s="71" t="n"/>
      <c r="J110" s="71" t="n"/>
      <c r="K110" s="71" t="n"/>
      <c r="L110" s="71" t="n"/>
      <c r="M110" s="71" t="n"/>
      <c r="N110" s="71" t="n"/>
      <c r="O110" s="106">
        <f>SUM(B110:N110)</f>
        <v/>
      </c>
    </row>
    <row r="111" outlineLevel="2" ht="15" customHeight="1">
      <c r="A111" s="69" t="inlineStr">
        <is>
          <t xml:space="preserve">      GST TDS Rate</t>
        </is>
      </c>
      <c r="B111" s="80">
        <f>IF('Final Calculation Sheet'!$Q$15="","",'Final Calculation Sheet'!$Q$15)</f>
        <v/>
      </c>
      <c r="C111" s="71" t="n"/>
      <c r="D111" s="71" t="n"/>
      <c r="E111" s="71" t="n"/>
      <c r="F111" s="71" t="n"/>
      <c r="G111" s="71" t="n"/>
      <c r="H111" s="71" t="n"/>
      <c r="I111" s="71" t="n"/>
      <c r="J111" s="71" t="n"/>
      <c r="K111" s="71" t="n"/>
      <c r="L111" s="71" t="n"/>
      <c r="M111" s="71" t="n"/>
      <c r="N111" s="71" t="n"/>
      <c r="O111" s="104" t="inlineStr">
        <is>
          <t>–</t>
        </is>
      </c>
    </row>
    <row r="112" outlineLevel="2" ht="15" customHeight="1">
      <c r="A112" s="69" t="inlineStr">
        <is>
          <t xml:space="preserve">      GST TDS (₹)</t>
        </is>
      </c>
      <c r="B112" s="70">
        <f>IF('Final Calculation Sheet'!$R$15="","",'Final Calculation Sheet'!$R$15)</f>
        <v/>
      </c>
      <c r="C112" s="71" t="n"/>
      <c r="D112" s="71" t="n"/>
      <c r="E112" s="71" t="n"/>
      <c r="F112" s="71" t="n"/>
      <c r="G112" s="71" t="n"/>
      <c r="H112" s="71" t="n"/>
      <c r="I112" s="71" t="n"/>
      <c r="J112" s="71" t="n"/>
      <c r="K112" s="71" t="n"/>
      <c r="L112" s="71" t="n"/>
      <c r="M112" s="71" t="n"/>
      <c r="N112" s="71" t="n"/>
      <c r="O112" s="106">
        <f>SUM(B112:N112)</f>
        <v/>
      </c>
    </row>
    <row r="113" outlineLevel="2" ht="15" customHeight="1">
      <c r="A113" s="69" t="inlineStr">
        <is>
          <t xml:space="preserve">      Total Receivables (₹)</t>
        </is>
      </c>
      <c r="B113" s="70">
        <f>IF('Final Calculation Sheet'!$S$15="","",'Final Calculation Sheet'!$S$15)</f>
        <v/>
      </c>
      <c r="C113" s="71" t="n"/>
      <c r="D113" s="71" t="n"/>
      <c r="E113" s="71" t="n"/>
      <c r="F113" s="71" t="n"/>
      <c r="G113" s="71" t="n"/>
      <c r="H113" s="71" t="n"/>
      <c r="I113" s="71" t="n"/>
      <c r="J113" s="71" t="n"/>
      <c r="K113" s="71" t="n"/>
      <c r="L113" s="71" t="n"/>
      <c r="M113" s="71" t="n"/>
      <c r="N113" s="71" t="n"/>
      <c r="O113" s="106">
        <f>SUM(B113:N113)</f>
        <v/>
      </c>
    </row>
    <row r="114" outlineLevel="1" ht="16" customHeight="1">
      <c r="A114" s="100" t="inlineStr">
        <is>
          <t xml:space="preserve">  ▸ SECURITY DEPOSIT</t>
        </is>
      </c>
      <c r="B114" s="102" t="n"/>
      <c r="C114" s="102" t="n"/>
      <c r="D114" s="102" t="n"/>
      <c r="E114" s="102" t="n"/>
      <c r="F114" s="102" t="n"/>
      <c r="G114" s="102" t="n"/>
      <c r="H114" s="102" t="n"/>
      <c r="I114" s="102" t="n"/>
      <c r="J114" s="102" t="n"/>
      <c r="K114" s="102" t="n"/>
      <c r="L114" s="102" t="n"/>
      <c r="M114" s="102" t="n"/>
      <c r="N114" s="102" t="n"/>
      <c r="O114" s="102" t="n"/>
    </row>
    <row r="115" outlineLevel="2" ht="15" customHeight="1">
      <c r="A115" s="69" t="inlineStr">
        <is>
          <t xml:space="preserve">      SD Expected (₹)</t>
        </is>
      </c>
      <c r="B115" s="70">
        <f>IF('Final Calculation Sheet'!$T$15="","",'Final Calculation Sheet'!$T$15)</f>
        <v/>
      </c>
      <c r="C115" s="71" t="n"/>
      <c r="D115" s="71" t="n"/>
      <c r="E115" s="71" t="n"/>
      <c r="F115" s="71" t="n"/>
      <c r="G115" s="71" t="n"/>
      <c r="H115" s="71" t="n"/>
      <c r="I115" s="71" t="n"/>
      <c r="J115" s="71" t="n"/>
      <c r="K115" s="71" t="n"/>
      <c r="L115" s="71" t="n"/>
      <c r="M115" s="71" t="n"/>
      <c r="N115" s="71" t="n"/>
      <c r="O115" s="106">
        <f>SUM(B115:N115)</f>
        <v/>
      </c>
    </row>
    <row r="116" outlineLevel="2" ht="15" customHeight="1">
      <c r="A116" s="69" t="inlineStr">
        <is>
          <t xml:space="preserve">      SD Received (₹)</t>
        </is>
      </c>
      <c r="B116" s="70">
        <f>IF('Final Calculation Sheet'!$U$15="","",'Final Calculation Sheet'!$U$15)</f>
        <v/>
      </c>
      <c r="C116" s="71" t="n"/>
      <c r="D116" s="71" t="n"/>
      <c r="E116" s="71" t="n"/>
      <c r="F116" s="71" t="n"/>
      <c r="G116" s="71" t="n"/>
      <c r="H116" s="71" t="n"/>
      <c r="I116" s="71" t="n"/>
      <c r="J116" s="71" t="n"/>
      <c r="K116" s="71" t="n"/>
      <c r="L116" s="71" t="n"/>
      <c r="M116" s="71" t="n"/>
      <c r="N116" s="71" t="n"/>
      <c r="O116" s="106">
        <f>SUM(B116:N116)</f>
        <v/>
      </c>
    </row>
    <row r="117" outlineLevel="2" ht="15" customHeight="1">
      <c r="A117" s="69" t="inlineStr">
        <is>
          <t xml:space="preserve">      SD Receipt Date</t>
        </is>
      </c>
      <c r="B117" s="76">
        <f>IF('Final Calculation Sheet'!$V$15="","",'Final Calculation Sheet'!$V$15)</f>
        <v/>
      </c>
      <c r="C117" s="71" t="n"/>
      <c r="D117" s="71" t="n"/>
      <c r="E117" s="71" t="n"/>
      <c r="F117" s="71" t="n"/>
      <c r="G117" s="71" t="n"/>
      <c r="H117" s="71" t="n"/>
      <c r="I117" s="71" t="n"/>
      <c r="J117" s="71" t="n"/>
      <c r="K117" s="71" t="n"/>
      <c r="L117" s="71" t="n"/>
      <c r="M117" s="71" t="n"/>
      <c r="N117" s="71" t="n"/>
      <c r="O117" s="104" t="inlineStr">
        <is>
          <t>–</t>
        </is>
      </c>
    </row>
    <row r="118" outlineLevel="1" ht="16" customHeight="1">
      <c r="A118" s="100" t="inlineStr">
        <is>
          <t xml:space="preserve">  ▸ FINAL PAYMENT</t>
        </is>
      </c>
      <c r="B118" s="102" t="n"/>
      <c r="C118" s="102" t="n"/>
      <c r="D118" s="102" t="n"/>
      <c r="E118" s="102" t="n"/>
      <c r="F118" s="102" t="n"/>
      <c r="G118" s="102" t="n"/>
      <c r="H118" s="102" t="n"/>
      <c r="I118" s="102" t="n"/>
      <c r="J118" s="102" t="n"/>
      <c r="K118" s="102" t="n"/>
      <c r="L118" s="102" t="n"/>
      <c r="M118" s="102" t="n"/>
      <c r="N118" s="102" t="n"/>
      <c r="O118" s="102" t="n"/>
    </row>
    <row r="119" outlineLevel="2" ht="15" customHeight="1">
      <c r="A119" s="69" t="inlineStr">
        <is>
          <t xml:space="preserve">      FP Expected (₹)</t>
        </is>
      </c>
      <c r="B119" s="70">
        <f>IF('Final Calculation Sheet'!$W$15="","",'Final Calculation Sheet'!$W$15)</f>
        <v/>
      </c>
      <c r="C119" s="71" t="n"/>
      <c r="D119" s="71" t="n"/>
      <c r="E119" s="71" t="n"/>
      <c r="F119" s="71" t="n"/>
      <c r="G119" s="71" t="n"/>
      <c r="H119" s="71" t="n"/>
      <c r="I119" s="71" t="n"/>
      <c r="J119" s="71" t="n"/>
      <c r="K119" s="71" t="n"/>
      <c r="L119" s="71" t="n"/>
      <c r="M119" s="71" t="n"/>
      <c r="N119" s="71" t="n"/>
      <c r="O119" s="106">
        <f>SUM(B119:N119)</f>
        <v/>
      </c>
    </row>
    <row r="120" outlineLevel="2" ht="15" customHeight="1">
      <c r="A120" s="69" t="inlineStr">
        <is>
          <t xml:space="preserve">      FP Received (₹)</t>
        </is>
      </c>
      <c r="B120" s="70">
        <f>IF('Final Calculation Sheet'!$X$15="","",'Final Calculation Sheet'!$X$15)</f>
        <v/>
      </c>
      <c r="C120" s="71" t="n"/>
      <c r="D120" s="71" t="n"/>
      <c r="E120" s="71" t="n"/>
      <c r="F120" s="71" t="n"/>
      <c r="G120" s="71" t="n"/>
      <c r="H120" s="71" t="n"/>
      <c r="I120" s="71" t="n"/>
      <c r="J120" s="71" t="n"/>
      <c r="K120" s="71" t="n"/>
      <c r="L120" s="71" t="n"/>
      <c r="M120" s="71" t="n"/>
      <c r="N120" s="71" t="n"/>
      <c r="O120" s="106">
        <f>SUM(B120:N120)</f>
        <v/>
      </c>
    </row>
    <row r="121" outlineLevel="2" ht="15" customHeight="1">
      <c r="A121" s="69" t="inlineStr">
        <is>
          <t xml:space="preserve">      FP Receipt Date</t>
        </is>
      </c>
      <c r="B121" s="76">
        <f>IF('Final Calculation Sheet'!$Y$15="","",'Final Calculation Sheet'!$Y$15)</f>
        <v/>
      </c>
      <c r="C121" s="71" t="n"/>
      <c r="D121" s="71" t="n"/>
      <c r="E121" s="71" t="n"/>
      <c r="F121" s="71" t="n"/>
      <c r="G121" s="71" t="n"/>
      <c r="H121" s="71" t="n"/>
      <c r="I121" s="71" t="n"/>
      <c r="J121" s="71" t="n"/>
      <c r="K121" s="71" t="n"/>
      <c r="L121" s="71" t="n"/>
      <c r="M121" s="71" t="n"/>
      <c r="N121" s="71" t="n"/>
      <c r="O121" s="104" t="inlineStr">
        <is>
          <t>–</t>
        </is>
      </c>
    </row>
    <row r="122" outlineLevel="1" ht="16" customHeight="1">
      <c r="A122" s="100" t="inlineStr">
        <is>
          <t xml:space="preserve">  ▸ LPP</t>
        </is>
      </c>
      <c r="B122" s="102" t="n"/>
      <c r="C122" s="102" t="n"/>
      <c r="D122" s="102" t="n"/>
      <c r="E122" s="102" t="n"/>
      <c r="F122" s="102" t="n"/>
      <c r="G122" s="102" t="n"/>
      <c r="H122" s="102" t="n"/>
      <c r="I122" s="102" t="n"/>
      <c r="J122" s="102" t="n"/>
      <c r="K122" s="102" t="n"/>
      <c r="L122" s="102" t="n"/>
      <c r="M122" s="102" t="n"/>
      <c r="N122" s="102" t="n"/>
      <c r="O122" s="102" t="n"/>
    </row>
    <row r="123" outlineLevel="2" ht="15" customHeight="1">
      <c r="A123" s="69" t="inlineStr">
        <is>
          <t xml:space="preserve">      LPP Expected (₹)</t>
        </is>
      </c>
      <c r="B123" s="70">
        <f>IF('Final Calculation Sheet'!$Z$15="","",'Final Calculation Sheet'!$Z$15)</f>
        <v/>
      </c>
      <c r="C123" s="71" t="n"/>
      <c r="D123" s="71" t="n"/>
      <c r="E123" s="71" t="n"/>
      <c r="F123" s="71" t="n"/>
      <c r="G123" s="71" t="n"/>
      <c r="H123" s="71" t="n"/>
      <c r="I123" s="71" t="n"/>
      <c r="J123" s="71" t="n"/>
      <c r="K123" s="71" t="n"/>
      <c r="L123" s="71" t="n"/>
      <c r="M123" s="71" t="n"/>
      <c r="N123" s="71" t="n"/>
      <c r="O123" s="106">
        <f>SUM(B123:N123)</f>
        <v/>
      </c>
    </row>
    <row r="124" outlineLevel="2" ht="15" customHeight="1">
      <c r="A124" s="69" t="inlineStr">
        <is>
          <t xml:space="preserve">      LPP Received (₹)</t>
        </is>
      </c>
      <c r="B124" s="70">
        <f>IF('Final Calculation Sheet'!$AA$15="","",'Final Calculation Sheet'!$AA$15)</f>
        <v/>
      </c>
      <c r="C124" s="71" t="n"/>
      <c r="D124" s="71" t="n"/>
      <c r="E124" s="71" t="n"/>
      <c r="F124" s="71" t="n"/>
      <c r="G124" s="71" t="n"/>
      <c r="H124" s="71" t="n"/>
      <c r="I124" s="71" t="n"/>
      <c r="J124" s="71" t="n"/>
      <c r="K124" s="71" t="n"/>
      <c r="L124" s="71" t="n"/>
      <c r="M124" s="71" t="n"/>
      <c r="N124" s="71" t="n"/>
      <c r="O124" s="106">
        <f>SUM(B124:N124)</f>
        <v/>
      </c>
    </row>
    <row r="125" outlineLevel="2" ht="15" customHeight="1">
      <c r="A125" s="69" t="inlineStr">
        <is>
          <t xml:space="preserve">      LPP Receipt Date</t>
        </is>
      </c>
      <c r="B125" s="76">
        <f>IF('Final Calculation Sheet'!$AB$15="","",'Final Calculation Sheet'!$AB$15)</f>
        <v/>
      </c>
      <c r="C125" s="71" t="n"/>
      <c r="D125" s="71" t="n"/>
      <c r="E125" s="71" t="n"/>
      <c r="F125" s="71" t="n"/>
      <c r="G125" s="71" t="n"/>
      <c r="H125" s="71" t="n"/>
      <c r="I125" s="71" t="n"/>
      <c r="J125" s="71" t="n"/>
      <c r="K125" s="71" t="n"/>
      <c r="L125" s="71" t="n"/>
      <c r="M125" s="71" t="n"/>
      <c r="N125" s="71" t="n"/>
      <c r="O125" s="104" t="inlineStr">
        <is>
          <t>–</t>
        </is>
      </c>
    </row>
    <row r="126" outlineLevel="1" ht="16" customHeight="1">
      <c r="A126" s="100" t="inlineStr">
        <is>
          <t xml:space="preserve">  ▸ SUMMARY</t>
        </is>
      </c>
      <c r="B126" s="102" t="n"/>
      <c r="C126" s="102" t="n"/>
      <c r="D126" s="102" t="n"/>
      <c r="E126" s="102" t="n"/>
      <c r="F126" s="102" t="n"/>
      <c r="G126" s="102" t="n"/>
      <c r="H126" s="102" t="n"/>
      <c r="I126" s="102" t="n"/>
      <c r="J126" s="102" t="n"/>
      <c r="K126" s="102" t="n"/>
      <c r="L126" s="102" t="n"/>
      <c r="M126" s="102" t="n"/>
      <c r="N126" s="102" t="n"/>
      <c r="O126" s="102" t="n"/>
    </row>
    <row r="127" outlineLevel="2" ht="15" customHeight="1">
      <c r="A127" s="69" t="inlineStr">
        <is>
          <t xml:space="preserve">      Total Received (₹)</t>
        </is>
      </c>
      <c r="B127" s="70">
        <f>IF('Final Calculation Sheet'!$AC$15="","",'Final Calculation Sheet'!$AC$15)</f>
        <v/>
      </c>
      <c r="C127" s="71" t="n"/>
      <c r="D127" s="71" t="n"/>
      <c r="E127" s="71" t="n"/>
      <c r="F127" s="71" t="n"/>
      <c r="G127" s="71" t="n"/>
      <c r="H127" s="71" t="n"/>
      <c r="I127" s="71" t="n"/>
      <c r="J127" s="71" t="n"/>
      <c r="K127" s="71" t="n"/>
      <c r="L127" s="71" t="n"/>
      <c r="M127" s="71" t="n"/>
      <c r="N127" s="71" t="n"/>
      <c r="O127" s="106">
        <f>SUM(B127:N127)</f>
        <v/>
      </c>
    </row>
    <row r="128" outlineLevel="2" ht="15" customHeight="1">
      <c r="A128" s="69" t="inlineStr">
        <is>
          <t xml:space="preserve">      Outstanding (₹)</t>
        </is>
      </c>
      <c r="B128" s="70">
        <f>IF('Final Calculation Sheet'!$AD$15="","",'Final Calculation Sheet'!$AD$15)</f>
        <v/>
      </c>
      <c r="C128" s="71" t="n"/>
      <c r="D128" s="71" t="n"/>
      <c r="E128" s="71" t="n"/>
      <c r="F128" s="71" t="n"/>
      <c r="G128" s="71" t="n"/>
      <c r="H128" s="71" t="n"/>
      <c r="I128" s="71" t="n"/>
      <c r="J128" s="71" t="n"/>
      <c r="K128" s="71" t="n"/>
      <c r="L128" s="71" t="n"/>
      <c r="M128" s="71" t="n"/>
      <c r="N128" s="71" t="n"/>
      <c r="O128" s="106">
        <f>SUM(B128:N128)</f>
        <v/>
      </c>
    </row>
    <row r="129" outlineLevel="2" ht="15" customHeight="1">
      <c r="A129" s="69" t="inlineStr">
        <is>
          <t xml:space="preserve">      Payment Status</t>
        </is>
      </c>
      <c r="B129" s="81">
        <f>IF('Final Calculation Sheet'!$AD$15="","",IF('Final Calculation Sheet'!$AD$15&lt;=0,"SETTLED","OUTSTANDING"))</f>
        <v/>
      </c>
      <c r="C129" s="71" t="n"/>
      <c r="D129" s="71" t="n"/>
      <c r="E129" s="71" t="n"/>
      <c r="F129" s="71" t="n"/>
      <c r="G129" s="71" t="n"/>
      <c r="H129" s="71" t="n"/>
      <c r="I129" s="71" t="n"/>
      <c r="J129" s="71" t="n"/>
      <c r="K129" s="71" t="n"/>
      <c r="L129" s="71" t="n"/>
      <c r="M129" s="71" t="n"/>
      <c r="N129" s="71" t="n"/>
      <c r="O129" s="104" t="inlineStr">
        <is>
          <t>–</t>
        </is>
      </c>
    </row>
    <row r="130" outlineLevel="1" ht="16" customHeight="1">
      <c r="A130" s="100" t="inlineStr">
        <is>
          <t xml:space="preserve">  ▸ DOCUMENT</t>
        </is>
      </c>
      <c r="B130" s="102" t="n"/>
      <c r="C130" s="102" t="n"/>
      <c r="D130" s="102" t="n"/>
      <c r="E130" s="102" t="n"/>
      <c r="F130" s="102" t="n"/>
      <c r="G130" s="102" t="n"/>
      <c r="H130" s="102" t="n"/>
      <c r="I130" s="102" t="n"/>
      <c r="J130" s="102" t="n"/>
      <c r="K130" s="102" t="n"/>
      <c r="L130" s="102" t="n"/>
      <c r="M130" s="102" t="n"/>
      <c r="N130" s="102" t="n"/>
      <c r="O130" s="102" t="n"/>
    </row>
    <row r="131" outlineLevel="2" ht="15" customHeight="1">
      <c r="A131" s="69" t="inlineStr">
        <is>
          <t xml:space="preserve">      Invoice No.</t>
        </is>
      </c>
      <c r="B131" s="76">
        <f>IF('Final Calculation Sheet'!$AE$15="","",'Final Calculation Sheet'!$AE$15)</f>
        <v/>
      </c>
      <c r="C131" s="71" t="n"/>
      <c r="D131" s="71" t="n"/>
      <c r="E131" s="71" t="n"/>
      <c r="F131" s="71" t="n"/>
      <c r="G131" s="71" t="n"/>
      <c r="H131" s="71" t="n"/>
      <c r="I131" s="71" t="n"/>
      <c r="J131" s="71" t="n"/>
      <c r="K131" s="71" t="n"/>
      <c r="L131" s="71" t="n"/>
      <c r="M131" s="71" t="n"/>
      <c r="N131" s="71" t="n"/>
      <c r="O131" s="104" t="inlineStr">
        <is>
          <t>–</t>
        </is>
      </c>
    </row>
    <row r="132" outlineLevel="2" ht="15" customHeight="1">
      <c r="A132" s="69" t="inlineStr">
        <is>
          <t xml:space="preserve">      SAP Document</t>
        </is>
      </c>
      <c r="B132" s="70">
        <f>IF('Final Calculation Sheet'!$AF$15="","",'Final Calculation Sheet'!$AF$15)</f>
        <v/>
      </c>
      <c r="C132" s="71" t="n"/>
      <c r="D132" s="71" t="n"/>
      <c r="E132" s="71" t="n"/>
      <c r="F132" s="71" t="n"/>
      <c r="G132" s="71" t="n"/>
      <c r="H132" s="71" t="n"/>
      <c r="I132" s="71" t="n"/>
      <c r="J132" s="71" t="n"/>
      <c r="K132" s="71" t="n"/>
      <c r="L132" s="71" t="n"/>
      <c r="M132" s="71" t="n"/>
      <c r="N132" s="71" t="n"/>
      <c r="O132" s="104" t="inlineStr">
        <is>
          <t>–</t>
        </is>
      </c>
    </row>
    <row r="133" outlineLevel="2" ht="15" customHeight="1">
      <c r="A133" s="69" t="inlineStr">
        <is>
          <t xml:space="preserve">      Doc./Invoice Date</t>
        </is>
      </c>
      <c r="B133" s="76">
        <f>IF('Final Calculation Sheet'!$AG$15="","",'Final Calculation Sheet'!$AG$15)</f>
        <v/>
      </c>
      <c r="C133" s="71" t="n"/>
      <c r="D133" s="71" t="n"/>
      <c r="E133" s="71" t="n"/>
      <c r="F133" s="71" t="n"/>
      <c r="G133" s="71" t="n"/>
      <c r="H133" s="71" t="n"/>
      <c r="I133" s="71" t="n"/>
      <c r="J133" s="71" t="n"/>
      <c r="K133" s="71" t="n"/>
      <c r="L133" s="71" t="n"/>
      <c r="M133" s="71" t="n"/>
      <c r="N133" s="71" t="n"/>
      <c r="O133" s="104" t="inlineStr">
        <is>
          <t>–</t>
        </is>
      </c>
    </row>
    <row r="134" ht="7" customHeight="1">
      <c r="A134" s="82" t="n"/>
      <c r="B134" s="82" t="n"/>
      <c r="C134" s="82" t="n"/>
      <c r="D134" s="82" t="n"/>
      <c r="E134" s="82" t="n"/>
      <c r="F134" s="82" t="n"/>
      <c r="G134" s="82" t="n"/>
      <c r="H134" s="82" t="n"/>
      <c r="I134" s="82" t="n"/>
      <c r="J134" s="82" t="n"/>
      <c r="K134" s="82" t="n"/>
      <c r="L134" s="82" t="n"/>
      <c r="M134" s="82" t="n"/>
      <c r="N134" s="82" t="n"/>
      <c r="O134" s="82" t="n"/>
    </row>
    <row r="135" ht="24" customHeight="1">
      <c r="A135" s="108">
        <f>"▼  KASHYAP TRADING CO   •   "&amp;COUNTIF('Final Calculation Sheet'!$G$4:$G$1000,"KASHYAP TRADING CO")&amp;" LOT(S)   •   MAT. VALUE ₹"&amp;TEXT(SUMIF('Final Calculation Sheet'!$G$4:$G$1000,"KASHYAP TRADING CO",'Final Calculation Sheet'!$H$4:$H$1000),"#,##0")&amp;"   •   RECEIVED ₹"&amp;TEXT(SUMIF('Final Calculation Sheet'!$G$4:$G$1000,"KASHYAP TRADING CO",'Final Calculation Sheet'!$AC$4:$AC$1000),"#,##0")&amp;"   •   OUTSTANDING ₹"&amp;TEXT(SUMIF('Final Calculation Sheet'!$G$4:$G$1000,"KASHYAP TRADING CO",'Final Calculation Sheet'!$AD$4:$AD$1000),"#,##0")</f>
        <v/>
      </c>
      <c r="B135" s="64" t="n"/>
      <c r="C135" s="64" t="n"/>
      <c r="D135" s="64" t="n"/>
      <c r="E135" s="64" t="n"/>
      <c r="F135" s="64" t="n"/>
      <c r="G135" s="64" t="n"/>
      <c r="H135" s="64" t="n"/>
      <c r="I135" s="64" t="n"/>
      <c r="J135" s="64" t="n"/>
      <c r="K135" s="64" t="n"/>
      <c r="L135" s="64" t="n"/>
      <c r="M135" s="64" t="n"/>
      <c r="N135" s="64" t="n"/>
      <c r="O135" s="64" t="n"/>
    </row>
    <row r="136" outlineLevel="1" ht="18" customHeight="1">
      <c r="A136" s="109" t="inlineStr">
        <is>
          <t xml:space="preserve">   Lot No. →</t>
        </is>
      </c>
      <c r="B136" s="110">
        <f>IF('Final Calculation Sheet'!$F$38="","",'Final Calculation Sheet'!$F$38)</f>
        <v/>
      </c>
      <c r="C136" s="111" t="n"/>
      <c r="D136" s="111" t="n"/>
      <c r="E136" s="111" t="n"/>
      <c r="F136" s="111" t="n"/>
      <c r="G136" s="111" t="n"/>
      <c r="H136" s="111" t="n"/>
      <c r="I136" s="111" t="n"/>
      <c r="J136" s="111" t="n"/>
      <c r="K136" s="111" t="n"/>
      <c r="L136" s="111" t="n"/>
      <c r="M136" s="111" t="n"/>
      <c r="N136" s="111" t="n"/>
      <c r="O136" s="112" t="inlineStr">
        <is>
          <t>TOTAL</t>
        </is>
      </c>
    </row>
    <row r="137" outlineLevel="1" ht="16" customHeight="1">
      <c r="A137" s="109" t="inlineStr">
        <is>
          <t xml:space="preserve">  ▸ LOT INFORMATION</t>
        </is>
      </c>
      <c r="B137" s="111" t="n"/>
      <c r="C137" s="111" t="n"/>
      <c r="D137" s="111" t="n"/>
      <c r="E137" s="111" t="n"/>
      <c r="F137" s="111" t="n"/>
      <c r="G137" s="111" t="n"/>
      <c r="H137" s="111" t="n"/>
      <c r="I137" s="111" t="n"/>
      <c r="J137" s="111" t="n"/>
      <c r="K137" s="111" t="n"/>
      <c r="L137" s="111" t="n"/>
      <c r="M137" s="111" t="n"/>
      <c r="N137" s="111" t="n"/>
      <c r="O137" s="111" t="n"/>
    </row>
    <row r="138" outlineLevel="2" ht="15" customHeight="1">
      <c r="A138" s="69" t="inlineStr">
        <is>
          <t xml:space="preserve">      Lot No.</t>
        </is>
      </c>
      <c r="B138" s="70">
        <f>IF('Final Calculation Sheet'!$F$38="","",'Final Calculation Sheet'!$F$38)</f>
        <v/>
      </c>
      <c r="C138" s="71" t="n"/>
      <c r="D138" s="71" t="n"/>
      <c r="E138" s="71" t="n"/>
      <c r="F138" s="71" t="n"/>
      <c r="G138" s="71" t="n"/>
      <c r="H138" s="71" t="n"/>
      <c r="I138" s="71" t="n"/>
      <c r="J138" s="71" t="n"/>
      <c r="K138" s="71" t="n"/>
      <c r="L138" s="71" t="n"/>
      <c r="M138" s="71" t="n"/>
      <c r="N138" s="71" t="n"/>
      <c r="O138" s="113" t="inlineStr">
        <is>
          <t>–</t>
        </is>
      </c>
    </row>
    <row r="139" outlineLevel="2" ht="60" customHeight="1">
      <c r="A139" s="69" t="inlineStr">
        <is>
          <t xml:space="preserve">      Lot Name</t>
        </is>
      </c>
      <c r="B139" s="73">
        <f>IF('Final Calculation Sheet'!$B$38="","",'Final Calculation Sheet'!$B$38)</f>
        <v/>
      </c>
      <c r="C139" s="71" t="n"/>
      <c r="D139" s="71" t="n"/>
      <c r="E139" s="71" t="n"/>
      <c r="F139" s="71" t="n"/>
      <c r="G139" s="71" t="n"/>
      <c r="H139" s="71" t="n"/>
      <c r="I139" s="71" t="n"/>
      <c r="J139" s="71" t="n"/>
      <c r="K139" s="71" t="n"/>
      <c r="L139" s="71" t="n"/>
      <c r="M139" s="71" t="n"/>
      <c r="N139" s="71" t="n"/>
      <c r="O139" s="113" t="inlineStr">
        <is>
          <t>–</t>
        </is>
      </c>
    </row>
    <row r="140" outlineLevel="2" ht="15" customHeight="1">
      <c r="A140" s="69" t="inlineStr">
        <is>
          <t xml:space="preserve">      Bid Sheet / Auction</t>
        </is>
      </c>
      <c r="B140" s="70">
        <f>IF('Final Calculation Sheet'!$D$38="","",'Final Calculation Sheet'!$D$38)</f>
        <v/>
      </c>
      <c r="C140" s="71" t="n"/>
      <c r="D140" s="71" t="n"/>
      <c r="E140" s="71" t="n"/>
      <c r="F140" s="71" t="n"/>
      <c r="G140" s="71" t="n"/>
      <c r="H140" s="71" t="n"/>
      <c r="I140" s="71" t="n"/>
      <c r="J140" s="71" t="n"/>
      <c r="K140" s="71" t="n"/>
      <c r="L140" s="71" t="n"/>
      <c r="M140" s="71" t="n"/>
      <c r="N140" s="71" t="n"/>
      <c r="O140" s="113" t="inlineStr">
        <is>
          <t>–</t>
        </is>
      </c>
    </row>
    <row r="141" outlineLevel="2" ht="15" customHeight="1">
      <c r="A141" s="69" t="inlineStr">
        <is>
          <t xml:space="preserve">      Quantity</t>
        </is>
      </c>
      <c r="B141" s="74">
        <f>IF('Final Calculation Sheet'!$A$38="","",'Final Calculation Sheet'!$A$38)</f>
        <v/>
      </c>
      <c r="C141" s="71" t="n"/>
      <c r="D141" s="71" t="n"/>
      <c r="E141" s="71" t="n"/>
      <c r="F141" s="71" t="n"/>
      <c r="G141" s="71" t="n"/>
      <c r="H141" s="71" t="n"/>
      <c r="I141" s="71" t="n"/>
      <c r="J141" s="71" t="n"/>
      <c r="K141" s="71" t="n"/>
      <c r="L141" s="71" t="n"/>
      <c r="M141" s="71" t="n"/>
      <c r="N141" s="71" t="n"/>
      <c r="O141" s="114">
        <f>SUM(B141:N141)</f>
        <v/>
      </c>
    </row>
    <row r="142" outlineLevel="2" ht="15" customHeight="1">
      <c r="A142" s="69" t="inlineStr">
        <is>
          <t xml:space="preserve">      Unit</t>
        </is>
      </c>
      <c r="B142" s="76">
        <f>IF('Final Calculation Sheet'!$E$38="","",'Final Calculation Sheet'!$E$38)</f>
        <v/>
      </c>
      <c r="C142" s="71" t="n"/>
      <c r="D142" s="71" t="n"/>
      <c r="E142" s="71" t="n"/>
      <c r="F142" s="71" t="n"/>
      <c r="G142" s="71" t="n"/>
      <c r="H142" s="71" t="n"/>
      <c r="I142" s="71" t="n"/>
      <c r="J142" s="71" t="n"/>
      <c r="K142" s="71" t="n"/>
      <c r="L142" s="71" t="n"/>
      <c r="M142" s="71" t="n"/>
      <c r="N142" s="71" t="n"/>
      <c r="O142" s="113" t="inlineStr">
        <is>
          <t>–</t>
        </is>
      </c>
    </row>
    <row r="143" outlineLevel="2" ht="15" customHeight="1">
      <c r="A143" s="69" t="inlineStr">
        <is>
          <t xml:space="preserve">      Rate (₹)</t>
        </is>
      </c>
      <c r="B143" s="70">
        <f>IF('Final Calculation Sheet'!$C$38="","",'Final Calculation Sheet'!$C$38)</f>
        <v/>
      </c>
      <c r="C143" s="71" t="n"/>
      <c r="D143" s="71" t="n"/>
      <c r="E143" s="71" t="n"/>
      <c r="F143" s="71" t="n"/>
      <c r="G143" s="71" t="n"/>
      <c r="H143" s="71" t="n"/>
      <c r="I143" s="71" t="n"/>
      <c r="J143" s="71" t="n"/>
      <c r="K143" s="71" t="n"/>
      <c r="L143" s="71" t="n"/>
      <c r="M143" s="71" t="n"/>
      <c r="N143" s="71" t="n"/>
      <c r="O143" s="113" t="inlineStr">
        <is>
          <t>–</t>
        </is>
      </c>
    </row>
    <row r="144" outlineLevel="1" ht="16" customHeight="1">
      <c r="A144" s="109" t="inlineStr">
        <is>
          <t xml:space="preserve">  ▸ FINANCIALS</t>
        </is>
      </c>
      <c r="B144" s="111" t="n"/>
      <c r="C144" s="111" t="n"/>
      <c r="D144" s="111" t="n"/>
      <c r="E144" s="111" t="n"/>
      <c r="F144" s="111" t="n"/>
      <c r="G144" s="111" t="n"/>
      <c r="H144" s="111" t="n"/>
      <c r="I144" s="111" t="n"/>
      <c r="J144" s="111" t="n"/>
      <c r="K144" s="111" t="n"/>
      <c r="L144" s="111" t="n"/>
      <c r="M144" s="111" t="n"/>
      <c r="N144" s="111" t="n"/>
      <c r="O144" s="111" t="n"/>
    </row>
    <row r="145" outlineLevel="2" ht="15" customHeight="1">
      <c r="A145" s="69" t="inlineStr">
        <is>
          <t xml:space="preserve">      Mat. Value (₹)</t>
        </is>
      </c>
      <c r="B145" s="70">
        <f>IF('Final Calculation Sheet'!$H$38="","",'Final Calculation Sheet'!$H$38)</f>
        <v/>
      </c>
      <c r="C145" s="71" t="n"/>
      <c r="D145" s="71" t="n"/>
      <c r="E145" s="71" t="n"/>
      <c r="F145" s="71" t="n"/>
      <c r="G145" s="71" t="n"/>
      <c r="H145" s="71" t="n"/>
      <c r="I145" s="71" t="n"/>
      <c r="J145" s="71" t="n"/>
      <c r="K145" s="71" t="n"/>
      <c r="L145" s="71" t="n"/>
      <c r="M145" s="71" t="n"/>
      <c r="N145" s="71" t="n"/>
      <c r="O145" s="115">
        <f>SUM(B145:N145)</f>
        <v/>
      </c>
    </row>
    <row r="146" outlineLevel="2" ht="15" customHeight="1">
      <c r="A146" s="69" t="inlineStr">
        <is>
          <t xml:space="preserve">      GST @ 18% (₹)</t>
        </is>
      </c>
      <c r="B146" s="70">
        <f>IF('Final Calculation Sheet'!$I$38="","",'Final Calculation Sheet'!$I$38)</f>
        <v/>
      </c>
      <c r="C146" s="71" t="n"/>
      <c r="D146" s="71" t="n"/>
      <c r="E146" s="71" t="n"/>
      <c r="F146" s="71" t="n"/>
      <c r="G146" s="71" t="n"/>
      <c r="H146" s="71" t="n"/>
      <c r="I146" s="71" t="n"/>
      <c r="J146" s="71" t="n"/>
      <c r="K146" s="71" t="n"/>
      <c r="L146" s="71" t="n"/>
      <c r="M146" s="71" t="n"/>
      <c r="N146" s="71" t="n"/>
      <c r="O146" s="115">
        <f>SUM(B146:N146)</f>
        <v/>
      </c>
    </row>
    <row r="147" outlineLevel="2" ht="15" customHeight="1">
      <c r="A147" s="69" t="inlineStr">
        <is>
          <t xml:space="preserve">      Mat. Value + GST (₹)</t>
        </is>
      </c>
      <c r="B147" s="70">
        <f>IF('Final Calculation Sheet'!$J$38="","",'Final Calculation Sheet'!$J$38)</f>
        <v/>
      </c>
      <c r="C147" s="71" t="n"/>
      <c r="D147" s="71" t="n"/>
      <c r="E147" s="71" t="n"/>
      <c r="F147" s="71" t="n"/>
      <c r="G147" s="71" t="n"/>
      <c r="H147" s="71" t="n"/>
      <c r="I147" s="71" t="n"/>
      <c r="J147" s="71" t="n"/>
      <c r="K147" s="71" t="n"/>
      <c r="L147" s="71" t="n"/>
      <c r="M147" s="71" t="n"/>
      <c r="N147" s="71" t="n"/>
      <c r="O147" s="115">
        <f>SUM(B147:N147)</f>
        <v/>
      </c>
    </row>
    <row r="148" outlineLevel="2" ht="15" customHeight="1">
      <c r="A148" s="69" t="inlineStr">
        <is>
          <t xml:space="preserve">      TCS @ 2% (₹)</t>
        </is>
      </c>
      <c r="B148" s="70">
        <f>IF('Final Calculation Sheet'!$K$38="","",'Final Calculation Sheet'!$K$38)</f>
        <v/>
      </c>
      <c r="C148" s="71" t="n"/>
      <c r="D148" s="71" t="n"/>
      <c r="E148" s="71" t="n"/>
      <c r="F148" s="71" t="n"/>
      <c r="G148" s="71" t="n"/>
      <c r="H148" s="71" t="n"/>
      <c r="I148" s="71" t="n"/>
      <c r="J148" s="71" t="n"/>
      <c r="K148" s="71" t="n"/>
      <c r="L148" s="71" t="n"/>
      <c r="M148" s="71" t="n"/>
      <c r="N148" s="71" t="n"/>
      <c r="O148" s="115">
        <f>SUM(B148:N148)</f>
        <v/>
      </c>
    </row>
    <row r="149" outlineLevel="2" ht="15" customHeight="1">
      <c r="A149" s="69" t="inlineStr">
        <is>
          <t xml:space="preserve">      TDS u/s 194(O) (₹)</t>
        </is>
      </c>
      <c r="B149" s="78">
        <f>IF('Final Calculation Sheet'!$L$38="","",'Final Calculation Sheet'!$L$38)</f>
        <v/>
      </c>
      <c r="C149" s="71" t="n"/>
      <c r="D149" s="71" t="n"/>
      <c r="E149" s="71" t="n"/>
      <c r="F149" s="71" t="n"/>
      <c r="G149" s="71" t="n"/>
      <c r="H149" s="71" t="n"/>
      <c r="I149" s="71" t="n"/>
      <c r="J149" s="71" t="n"/>
      <c r="K149" s="71" t="n"/>
      <c r="L149" s="71" t="n"/>
      <c r="M149" s="71" t="n"/>
      <c r="N149" s="71" t="n"/>
      <c r="O149" s="116">
        <f>SUM(B149:N149)</f>
        <v/>
      </c>
    </row>
    <row r="150" outlineLevel="2" ht="15" customHeight="1">
      <c r="A150" s="69" t="inlineStr">
        <is>
          <t xml:space="preserve">      Service Charge gross (₹)</t>
        </is>
      </c>
      <c r="B150" s="78">
        <f>IF('Final Calculation Sheet'!$M$38="","",'Final Calculation Sheet'!$M$38)</f>
        <v/>
      </c>
      <c r="C150" s="71" t="n"/>
      <c r="D150" s="71" t="n"/>
      <c r="E150" s="71" t="n"/>
      <c r="F150" s="71" t="n"/>
      <c r="G150" s="71" t="n"/>
      <c r="H150" s="71" t="n"/>
      <c r="I150" s="71" t="n"/>
      <c r="J150" s="71" t="n"/>
      <c r="K150" s="71" t="n"/>
      <c r="L150" s="71" t="n"/>
      <c r="M150" s="71" t="n"/>
      <c r="N150" s="71" t="n"/>
      <c r="O150" s="116">
        <f>SUM(B150:N150)</f>
        <v/>
      </c>
    </row>
    <row r="151" outlineLevel="2" ht="15" customHeight="1">
      <c r="A151" s="69" t="inlineStr">
        <is>
          <t xml:space="preserve">      TDS u/s 194(H) (₹)</t>
        </is>
      </c>
      <c r="B151" s="78">
        <f>IF('Final Calculation Sheet'!$N$38="","",'Final Calculation Sheet'!$N$38)</f>
        <v/>
      </c>
      <c r="C151" s="71" t="n"/>
      <c r="D151" s="71" t="n"/>
      <c r="E151" s="71" t="n"/>
      <c r="F151" s="71" t="n"/>
      <c r="G151" s="71" t="n"/>
      <c r="H151" s="71" t="n"/>
      <c r="I151" s="71" t="n"/>
      <c r="J151" s="71" t="n"/>
      <c r="K151" s="71" t="n"/>
      <c r="L151" s="71" t="n"/>
      <c r="M151" s="71" t="n"/>
      <c r="N151" s="71" t="n"/>
      <c r="O151" s="116">
        <f>SUM(B151:N151)</f>
        <v/>
      </c>
    </row>
    <row r="152" outlineLevel="2" ht="15" customHeight="1">
      <c r="A152" s="69" t="inlineStr">
        <is>
          <t xml:space="preserve">      Net Service Charge (₹)</t>
        </is>
      </c>
      <c r="B152" s="78">
        <f>IF('Final Calculation Sheet'!$O$38="","",'Final Calculation Sheet'!$O$38)</f>
        <v/>
      </c>
      <c r="C152" s="71" t="n"/>
      <c r="D152" s="71" t="n"/>
      <c r="E152" s="71" t="n"/>
      <c r="F152" s="71" t="n"/>
      <c r="G152" s="71" t="n"/>
      <c r="H152" s="71" t="n"/>
      <c r="I152" s="71" t="n"/>
      <c r="J152" s="71" t="n"/>
      <c r="K152" s="71" t="n"/>
      <c r="L152" s="71" t="n"/>
      <c r="M152" s="71" t="n"/>
      <c r="N152" s="71" t="n"/>
      <c r="O152" s="116">
        <f>SUM(B152:N152)</f>
        <v/>
      </c>
    </row>
    <row r="153" outlineLevel="2" ht="15" customHeight="1">
      <c r="A153" s="69" t="inlineStr">
        <is>
          <t xml:space="preserve">      Svc Charge to MSTC (₹)</t>
        </is>
      </c>
      <c r="B153" s="70">
        <f>IF('Final Calculation Sheet'!$P$38="","",'Final Calculation Sheet'!$P$38)</f>
        <v/>
      </c>
      <c r="C153" s="71" t="n"/>
      <c r="D153" s="71" t="n"/>
      <c r="E153" s="71" t="n"/>
      <c r="F153" s="71" t="n"/>
      <c r="G153" s="71" t="n"/>
      <c r="H153" s="71" t="n"/>
      <c r="I153" s="71" t="n"/>
      <c r="J153" s="71" t="n"/>
      <c r="K153" s="71" t="n"/>
      <c r="L153" s="71" t="n"/>
      <c r="M153" s="71" t="n"/>
      <c r="N153" s="71" t="n"/>
      <c r="O153" s="115">
        <f>SUM(B153:N153)</f>
        <v/>
      </c>
    </row>
    <row r="154" outlineLevel="2" ht="15" customHeight="1">
      <c r="A154" s="69" t="inlineStr">
        <is>
          <t xml:space="preserve">      GST TDS Rate</t>
        </is>
      </c>
      <c r="B154" s="80">
        <f>IF('Final Calculation Sheet'!$Q$38="","",'Final Calculation Sheet'!$Q$38)</f>
        <v/>
      </c>
      <c r="C154" s="71" t="n"/>
      <c r="D154" s="71" t="n"/>
      <c r="E154" s="71" t="n"/>
      <c r="F154" s="71" t="n"/>
      <c r="G154" s="71" t="n"/>
      <c r="H154" s="71" t="n"/>
      <c r="I154" s="71" t="n"/>
      <c r="J154" s="71" t="n"/>
      <c r="K154" s="71" t="n"/>
      <c r="L154" s="71" t="n"/>
      <c r="M154" s="71" t="n"/>
      <c r="N154" s="71" t="n"/>
      <c r="O154" s="113" t="inlineStr">
        <is>
          <t>–</t>
        </is>
      </c>
    </row>
    <row r="155" outlineLevel="2" ht="15" customHeight="1">
      <c r="A155" s="69" t="inlineStr">
        <is>
          <t xml:space="preserve">      GST TDS (₹)</t>
        </is>
      </c>
      <c r="B155" s="70">
        <f>IF('Final Calculation Sheet'!$R$38="","",'Final Calculation Sheet'!$R$38)</f>
        <v/>
      </c>
      <c r="C155" s="71" t="n"/>
      <c r="D155" s="71" t="n"/>
      <c r="E155" s="71" t="n"/>
      <c r="F155" s="71" t="n"/>
      <c r="G155" s="71" t="n"/>
      <c r="H155" s="71" t="n"/>
      <c r="I155" s="71" t="n"/>
      <c r="J155" s="71" t="n"/>
      <c r="K155" s="71" t="n"/>
      <c r="L155" s="71" t="n"/>
      <c r="M155" s="71" t="n"/>
      <c r="N155" s="71" t="n"/>
      <c r="O155" s="115">
        <f>SUM(B155:N155)</f>
        <v/>
      </c>
    </row>
    <row r="156" outlineLevel="2" ht="15" customHeight="1">
      <c r="A156" s="69" t="inlineStr">
        <is>
          <t xml:space="preserve">      Total Receivables (₹)</t>
        </is>
      </c>
      <c r="B156" s="70">
        <f>IF('Final Calculation Sheet'!$S$38="","",'Final Calculation Sheet'!$S$38)</f>
        <v/>
      </c>
      <c r="C156" s="71" t="n"/>
      <c r="D156" s="71" t="n"/>
      <c r="E156" s="71" t="n"/>
      <c r="F156" s="71" t="n"/>
      <c r="G156" s="71" t="n"/>
      <c r="H156" s="71" t="n"/>
      <c r="I156" s="71" t="n"/>
      <c r="J156" s="71" t="n"/>
      <c r="K156" s="71" t="n"/>
      <c r="L156" s="71" t="n"/>
      <c r="M156" s="71" t="n"/>
      <c r="N156" s="71" t="n"/>
      <c r="O156" s="115">
        <f>SUM(B156:N156)</f>
        <v/>
      </c>
    </row>
    <row r="157" outlineLevel="1" ht="16" customHeight="1">
      <c r="A157" s="109" t="inlineStr">
        <is>
          <t xml:space="preserve">  ▸ SECURITY DEPOSIT</t>
        </is>
      </c>
      <c r="B157" s="111" t="n"/>
      <c r="C157" s="111" t="n"/>
      <c r="D157" s="111" t="n"/>
      <c r="E157" s="111" t="n"/>
      <c r="F157" s="111" t="n"/>
      <c r="G157" s="111" t="n"/>
      <c r="H157" s="111" t="n"/>
      <c r="I157" s="111" t="n"/>
      <c r="J157" s="111" t="n"/>
      <c r="K157" s="111" t="n"/>
      <c r="L157" s="111" t="n"/>
      <c r="M157" s="111" t="n"/>
      <c r="N157" s="111" t="n"/>
      <c r="O157" s="111" t="n"/>
    </row>
    <row r="158" outlineLevel="2" ht="15" customHeight="1">
      <c r="A158" s="69" t="inlineStr">
        <is>
          <t xml:space="preserve">      SD Expected (₹)</t>
        </is>
      </c>
      <c r="B158" s="70">
        <f>IF('Final Calculation Sheet'!$T$38="","",'Final Calculation Sheet'!$T$38)</f>
        <v/>
      </c>
      <c r="C158" s="71" t="n"/>
      <c r="D158" s="71" t="n"/>
      <c r="E158" s="71" t="n"/>
      <c r="F158" s="71" t="n"/>
      <c r="G158" s="71" t="n"/>
      <c r="H158" s="71" t="n"/>
      <c r="I158" s="71" t="n"/>
      <c r="J158" s="71" t="n"/>
      <c r="K158" s="71" t="n"/>
      <c r="L158" s="71" t="n"/>
      <c r="M158" s="71" t="n"/>
      <c r="N158" s="71" t="n"/>
      <c r="O158" s="115">
        <f>SUM(B158:N158)</f>
        <v/>
      </c>
    </row>
    <row r="159" outlineLevel="2" ht="15" customHeight="1">
      <c r="A159" s="69" t="inlineStr">
        <is>
          <t xml:space="preserve">      SD Received (₹)</t>
        </is>
      </c>
      <c r="B159" s="70">
        <f>IF('Final Calculation Sheet'!$U$38="","",'Final Calculation Sheet'!$U$38)</f>
        <v/>
      </c>
      <c r="C159" s="71" t="n"/>
      <c r="D159" s="71" t="n"/>
      <c r="E159" s="71" t="n"/>
      <c r="F159" s="71" t="n"/>
      <c r="G159" s="71" t="n"/>
      <c r="H159" s="71" t="n"/>
      <c r="I159" s="71" t="n"/>
      <c r="J159" s="71" t="n"/>
      <c r="K159" s="71" t="n"/>
      <c r="L159" s="71" t="n"/>
      <c r="M159" s="71" t="n"/>
      <c r="N159" s="71" t="n"/>
      <c r="O159" s="115">
        <f>SUM(B159:N159)</f>
        <v/>
      </c>
    </row>
    <row r="160" outlineLevel="2" ht="15" customHeight="1">
      <c r="A160" s="69" t="inlineStr">
        <is>
          <t xml:space="preserve">      SD Receipt Date</t>
        </is>
      </c>
      <c r="B160" s="76">
        <f>IF('Final Calculation Sheet'!$V$38="","",'Final Calculation Sheet'!$V$38)</f>
        <v/>
      </c>
      <c r="C160" s="71" t="n"/>
      <c r="D160" s="71" t="n"/>
      <c r="E160" s="71" t="n"/>
      <c r="F160" s="71" t="n"/>
      <c r="G160" s="71" t="n"/>
      <c r="H160" s="71" t="n"/>
      <c r="I160" s="71" t="n"/>
      <c r="J160" s="71" t="n"/>
      <c r="K160" s="71" t="n"/>
      <c r="L160" s="71" t="n"/>
      <c r="M160" s="71" t="n"/>
      <c r="N160" s="71" t="n"/>
      <c r="O160" s="113" t="inlineStr">
        <is>
          <t>–</t>
        </is>
      </c>
    </row>
    <row r="161" outlineLevel="1" ht="16" customHeight="1">
      <c r="A161" s="109" t="inlineStr">
        <is>
          <t xml:space="preserve">  ▸ FINAL PAYMENT</t>
        </is>
      </c>
      <c r="B161" s="111" t="n"/>
      <c r="C161" s="111" t="n"/>
      <c r="D161" s="111" t="n"/>
      <c r="E161" s="111" t="n"/>
      <c r="F161" s="111" t="n"/>
      <c r="G161" s="111" t="n"/>
      <c r="H161" s="111" t="n"/>
      <c r="I161" s="111" t="n"/>
      <c r="J161" s="111" t="n"/>
      <c r="K161" s="111" t="n"/>
      <c r="L161" s="111" t="n"/>
      <c r="M161" s="111" t="n"/>
      <c r="N161" s="111" t="n"/>
      <c r="O161" s="111" t="n"/>
    </row>
    <row r="162" outlineLevel="2" ht="15" customHeight="1">
      <c r="A162" s="69" t="inlineStr">
        <is>
          <t xml:space="preserve">      FP Expected (₹)</t>
        </is>
      </c>
      <c r="B162" s="70">
        <f>IF('Final Calculation Sheet'!$W$38="","",'Final Calculation Sheet'!$W$38)</f>
        <v/>
      </c>
      <c r="C162" s="71" t="n"/>
      <c r="D162" s="71" t="n"/>
      <c r="E162" s="71" t="n"/>
      <c r="F162" s="71" t="n"/>
      <c r="G162" s="71" t="n"/>
      <c r="H162" s="71" t="n"/>
      <c r="I162" s="71" t="n"/>
      <c r="J162" s="71" t="n"/>
      <c r="K162" s="71" t="n"/>
      <c r="L162" s="71" t="n"/>
      <c r="M162" s="71" t="n"/>
      <c r="N162" s="71" t="n"/>
      <c r="O162" s="115">
        <f>SUM(B162:N162)</f>
        <v/>
      </c>
    </row>
    <row r="163" outlineLevel="2" ht="15" customHeight="1">
      <c r="A163" s="69" t="inlineStr">
        <is>
          <t xml:space="preserve">      FP Received (₹)</t>
        </is>
      </c>
      <c r="B163" s="70">
        <f>IF('Final Calculation Sheet'!$X$38="","",'Final Calculation Sheet'!$X$38)</f>
        <v/>
      </c>
      <c r="C163" s="71" t="n"/>
      <c r="D163" s="71" t="n"/>
      <c r="E163" s="71" t="n"/>
      <c r="F163" s="71" t="n"/>
      <c r="G163" s="71" t="n"/>
      <c r="H163" s="71" t="n"/>
      <c r="I163" s="71" t="n"/>
      <c r="J163" s="71" t="n"/>
      <c r="K163" s="71" t="n"/>
      <c r="L163" s="71" t="n"/>
      <c r="M163" s="71" t="n"/>
      <c r="N163" s="71" t="n"/>
      <c r="O163" s="115">
        <f>SUM(B163:N163)</f>
        <v/>
      </c>
    </row>
    <row r="164" outlineLevel="2" ht="15" customHeight="1">
      <c r="A164" s="69" t="inlineStr">
        <is>
          <t xml:space="preserve">      FP Receipt Date</t>
        </is>
      </c>
      <c r="B164" s="76">
        <f>IF('Final Calculation Sheet'!$Y$38="","",'Final Calculation Sheet'!$Y$38)</f>
        <v/>
      </c>
      <c r="C164" s="71" t="n"/>
      <c r="D164" s="71" t="n"/>
      <c r="E164" s="71" t="n"/>
      <c r="F164" s="71" t="n"/>
      <c r="G164" s="71" t="n"/>
      <c r="H164" s="71" t="n"/>
      <c r="I164" s="71" t="n"/>
      <c r="J164" s="71" t="n"/>
      <c r="K164" s="71" t="n"/>
      <c r="L164" s="71" t="n"/>
      <c r="M164" s="71" t="n"/>
      <c r="N164" s="71" t="n"/>
      <c r="O164" s="113" t="inlineStr">
        <is>
          <t>–</t>
        </is>
      </c>
    </row>
    <row r="165" outlineLevel="1" ht="16" customHeight="1">
      <c r="A165" s="109" t="inlineStr">
        <is>
          <t xml:space="preserve">  ▸ LPP</t>
        </is>
      </c>
      <c r="B165" s="111" t="n"/>
      <c r="C165" s="111" t="n"/>
      <c r="D165" s="111" t="n"/>
      <c r="E165" s="111" t="n"/>
      <c r="F165" s="111" t="n"/>
      <c r="G165" s="111" t="n"/>
      <c r="H165" s="111" t="n"/>
      <c r="I165" s="111" t="n"/>
      <c r="J165" s="111" t="n"/>
      <c r="K165" s="111" t="n"/>
      <c r="L165" s="111" t="n"/>
      <c r="M165" s="111" t="n"/>
      <c r="N165" s="111" t="n"/>
      <c r="O165" s="111" t="n"/>
    </row>
    <row r="166" outlineLevel="2" ht="15" customHeight="1">
      <c r="A166" s="69" t="inlineStr">
        <is>
          <t xml:space="preserve">      LPP Expected (₹)</t>
        </is>
      </c>
      <c r="B166" s="70">
        <f>IF('Final Calculation Sheet'!$Z$38="","",'Final Calculation Sheet'!$Z$38)</f>
        <v/>
      </c>
      <c r="C166" s="71" t="n"/>
      <c r="D166" s="71" t="n"/>
      <c r="E166" s="71" t="n"/>
      <c r="F166" s="71" t="n"/>
      <c r="G166" s="71" t="n"/>
      <c r="H166" s="71" t="n"/>
      <c r="I166" s="71" t="n"/>
      <c r="J166" s="71" t="n"/>
      <c r="K166" s="71" t="n"/>
      <c r="L166" s="71" t="n"/>
      <c r="M166" s="71" t="n"/>
      <c r="N166" s="71" t="n"/>
      <c r="O166" s="115">
        <f>SUM(B166:N166)</f>
        <v/>
      </c>
    </row>
    <row r="167" outlineLevel="2" ht="15" customHeight="1">
      <c r="A167" s="69" t="inlineStr">
        <is>
          <t xml:space="preserve">      LPP Received (₹)</t>
        </is>
      </c>
      <c r="B167" s="70">
        <f>IF('Final Calculation Sheet'!$AA$38="","",'Final Calculation Sheet'!$AA$38)</f>
        <v/>
      </c>
      <c r="C167" s="71" t="n"/>
      <c r="D167" s="71" t="n"/>
      <c r="E167" s="71" t="n"/>
      <c r="F167" s="71" t="n"/>
      <c r="G167" s="71" t="n"/>
      <c r="H167" s="71" t="n"/>
      <c r="I167" s="71" t="n"/>
      <c r="J167" s="71" t="n"/>
      <c r="K167" s="71" t="n"/>
      <c r="L167" s="71" t="n"/>
      <c r="M167" s="71" t="n"/>
      <c r="N167" s="71" t="n"/>
      <c r="O167" s="115">
        <f>SUM(B167:N167)</f>
        <v/>
      </c>
    </row>
    <row r="168" outlineLevel="2" ht="15" customHeight="1">
      <c r="A168" s="69" t="inlineStr">
        <is>
          <t xml:space="preserve">      LPP Receipt Date</t>
        </is>
      </c>
      <c r="B168" s="76">
        <f>IF('Final Calculation Sheet'!$AB$38="","",'Final Calculation Sheet'!$AB$38)</f>
        <v/>
      </c>
      <c r="C168" s="71" t="n"/>
      <c r="D168" s="71" t="n"/>
      <c r="E168" s="71" t="n"/>
      <c r="F168" s="71" t="n"/>
      <c r="G168" s="71" t="n"/>
      <c r="H168" s="71" t="n"/>
      <c r="I168" s="71" t="n"/>
      <c r="J168" s="71" t="n"/>
      <c r="K168" s="71" t="n"/>
      <c r="L168" s="71" t="n"/>
      <c r="M168" s="71" t="n"/>
      <c r="N168" s="71" t="n"/>
      <c r="O168" s="113" t="inlineStr">
        <is>
          <t>–</t>
        </is>
      </c>
    </row>
    <row r="169" outlineLevel="1" ht="16" customHeight="1">
      <c r="A169" s="109" t="inlineStr">
        <is>
          <t xml:space="preserve">  ▸ SUMMARY</t>
        </is>
      </c>
      <c r="B169" s="111" t="n"/>
      <c r="C169" s="111" t="n"/>
      <c r="D169" s="111" t="n"/>
      <c r="E169" s="111" t="n"/>
      <c r="F169" s="111" t="n"/>
      <c r="G169" s="111" t="n"/>
      <c r="H169" s="111" t="n"/>
      <c r="I169" s="111" t="n"/>
      <c r="J169" s="111" t="n"/>
      <c r="K169" s="111" t="n"/>
      <c r="L169" s="111" t="n"/>
      <c r="M169" s="111" t="n"/>
      <c r="N169" s="111" t="n"/>
      <c r="O169" s="111" t="n"/>
    </row>
    <row r="170" outlineLevel="2" ht="15" customHeight="1">
      <c r="A170" s="69" t="inlineStr">
        <is>
          <t xml:space="preserve">      Total Received (₹)</t>
        </is>
      </c>
      <c r="B170" s="70">
        <f>IF('Final Calculation Sheet'!$AC$38="","",'Final Calculation Sheet'!$AC$38)</f>
        <v/>
      </c>
      <c r="C170" s="71" t="n"/>
      <c r="D170" s="71" t="n"/>
      <c r="E170" s="71" t="n"/>
      <c r="F170" s="71" t="n"/>
      <c r="G170" s="71" t="n"/>
      <c r="H170" s="71" t="n"/>
      <c r="I170" s="71" t="n"/>
      <c r="J170" s="71" t="n"/>
      <c r="K170" s="71" t="n"/>
      <c r="L170" s="71" t="n"/>
      <c r="M170" s="71" t="n"/>
      <c r="N170" s="71" t="n"/>
      <c r="O170" s="115">
        <f>SUM(B170:N170)</f>
        <v/>
      </c>
    </row>
    <row r="171" outlineLevel="2" ht="15" customHeight="1">
      <c r="A171" s="69" t="inlineStr">
        <is>
          <t xml:space="preserve">      Outstanding (₹)</t>
        </is>
      </c>
      <c r="B171" s="70">
        <f>IF('Final Calculation Sheet'!$AD$38="","",'Final Calculation Sheet'!$AD$38)</f>
        <v/>
      </c>
      <c r="C171" s="71" t="n"/>
      <c r="D171" s="71" t="n"/>
      <c r="E171" s="71" t="n"/>
      <c r="F171" s="71" t="n"/>
      <c r="G171" s="71" t="n"/>
      <c r="H171" s="71" t="n"/>
      <c r="I171" s="71" t="n"/>
      <c r="J171" s="71" t="n"/>
      <c r="K171" s="71" t="n"/>
      <c r="L171" s="71" t="n"/>
      <c r="M171" s="71" t="n"/>
      <c r="N171" s="71" t="n"/>
      <c r="O171" s="115">
        <f>SUM(B171:N171)</f>
        <v/>
      </c>
    </row>
    <row r="172" outlineLevel="2" ht="15" customHeight="1">
      <c r="A172" s="69" t="inlineStr">
        <is>
          <t xml:space="preserve">      Payment Status</t>
        </is>
      </c>
      <c r="B172" s="81">
        <f>IF('Final Calculation Sheet'!$AD$38="","",IF('Final Calculation Sheet'!$AD$38&lt;=0,"SETTLED","OUTSTANDING"))</f>
        <v/>
      </c>
      <c r="C172" s="71" t="n"/>
      <c r="D172" s="71" t="n"/>
      <c r="E172" s="71" t="n"/>
      <c r="F172" s="71" t="n"/>
      <c r="G172" s="71" t="n"/>
      <c r="H172" s="71" t="n"/>
      <c r="I172" s="71" t="n"/>
      <c r="J172" s="71" t="n"/>
      <c r="K172" s="71" t="n"/>
      <c r="L172" s="71" t="n"/>
      <c r="M172" s="71" t="n"/>
      <c r="N172" s="71" t="n"/>
      <c r="O172" s="113" t="inlineStr">
        <is>
          <t>–</t>
        </is>
      </c>
    </row>
    <row r="173" outlineLevel="1" ht="16" customHeight="1">
      <c r="A173" s="109" t="inlineStr">
        <is>
          <t xml:space="preserve">  ▸ DOCUMENT</t>
        </is>
      </c>
      <c r="B173" s="111" t="n"/>
      <c r="C173" s="111" t="n"/>
      <c r="D173" s="111" t="n"/>
      <c r="E173" s="111" t="n"/>
      <c r="F173" s="111" t="n"/>
      <c r="G173" s="111" t="n"/>
      <c r="H173" s="111" t="n"/>
      <c r="I173" s="111" t="n"/>
      <c r="J173" s="111" t="n"/>
      <c r="K173" s="111" t="n"/>
      <c r="L173" s="111" t="n"/>
      <c r="M173" s="111" t="n"/>
      <c r="N173" s="111" t="n"/>
      <c r="O173" s="111" t="n"/>
    </row>
    <row r="174" outlineLevel="2" ht="15" customHeight="1">
      <c r="A174" s="69" t="inlineStr">
        <is>
          <t xml:space="preserve">      Invoice No.</t>
        </is>
      </c>
      <c r="B174" s="76">
        <f>IF('Final Calculation Sheet'!$AE$38="","",'Final Calculation Sheet'!$AE$38)</f>
        <v/>
      </c>
      <c r="C174" s="71" t="n"/>
      <c r="D174" s="71" t="n"/>
      <c r="E174" s="71" t="n"/>
      <c r="F174" s="71" t="n"/>
      <c r="G174" s="71" t="n"/>
      <c r="H174" s="71" t="n"/>
      <c r="I174" s="71" t="n"/>
      <c r="J174" s="71" t="n"/>
      <c r="K174" s="71" t="n"/>
      <c r="L174" s="71" t="n"/>
      <c r="M174" s="71" t="n"/>
      <c r="N174" s="71" t="n"/>
      <c r="O174" s="113" t="inlineStr">
        <is>
          <t>–</t>
        </is>
      </c>
    </row>
    <row r="175" outlineLevel="2" ht="15" customHeight="1">
      <c r="A175" s="69" t="inlineStr">
        <is>
          <t xml:space="preserve">      SAP Document</t>
        </is>
      </c>
      <c r="B175" s="70">
        <f>IF('Final Calculation Sheet'!$AF$38="","",'Final Calculation Sheet'!$AF$38)</f>
        <v/>
      </c>
      <c r="C175" s="71" t="n"/>
      <c r="D175" s="71" t="n"/>
      <c r="E175" s="71" t="n"/>
      <c r="F175" s="71" t="n"/>
      <c r="G175" s="71" t="n"/>
      <c r="H175" s="71" t="n"/>
      <c r="I175" s="71" t="n"/>
      <c r="J175" s="71" t="n"/>
      <c r="K175" s="71" t="n"/>
      <c r="L175" s="71" t="n"/>
      <c r="M175" s="71" t="n"/>
      <c r="N175" s="71" t="n"/>
      <c r="O175" s="113" t="inlineStr">
        <is>
          <t>–</t>
        </is>
      </c>
    </row>
    <row r="176" outlineLevel="2" ht="15" customHeight="1">
      <c r="A176" s="69" t="inlineStr">
        <is>
          <t xml:space="preserve">      Doc./Invoice Date</t>
        </is>
      </c>
      <c r="B176" s="76">
        <f>IF('Final Calculation Sheet'!$AG$38="","",'Final Calculation Sheet'!$AG$38)</f>
        <v/>
      </c>
      <c r="C176" s="71" t="n"/>
      <c r="D176" s="71" t="n"/>
      <c r="E176" s="71" t="n"/>
      <c r="F176" s="71" t="n"/>
      <c r="G176" s="71" t="n"/>
      <c r="H176" s="71" t="n"/>
      <c r="I176" s="71" t="n"/>
      <c r="J176" s="71" t="n"/>
      <c r="K176" s="71" t="n"/>
      <c r="L176" s="71" t="n"/>
      <c r="M176" s="71" t="n"/>
      <c r="N176" s="71" t="n"/>
      <c r="O176" s="113" t="inlineStr">
        <is>
          <t>–</t>
        </is>
      </c>
    </row>
    <row r="177" ht="7" customHeight="1">
      <c r="A177" s="82" t="n"/>
      <c r="B177" s="82" t="n"/>
      <c r="C177" s="82" t="n"/>
      <c r="D177" s="82" t="n"/>
      <c r="E177" s="82" t="n"/>
      <c r="F177" s="82" t="n"/>
      <c r="G177" s="82" t="n"/>
      <c r="H177" s="82" t="n"/>
      <c r="I177" s="82" t="n"/>
      <c r="J177" s="82" t="n"/>
      <c r="K177" s="82" t="n"/>
      <c r="L177" s="82" t="n"/>
      <c r="M177" s="82" t="n"/>
      <c r="N177" s="82" t="n"/>
      <c r="O177" s="82" t="n"/>
    </row>
    <row r="178" ht="24" customHeight="1">
      <c r="A178" s="117">
        <f>"▼  M I SCRAP TRADERS   •   "&amp;COUNTIF('Final Calculation Sheet'!$G$4:$G$1000,"M I SCRAP TRADERS")&amp;" LOT(S)   •   MAT. VALUE ₹"&amp;TEXT(SUMIF('Final Calculation Sheet'!$G$4:$G$1000,"M I SCRAP TRADERS",'Final Calculation Sheet'!$H$4:$H$1000),"#,##0")&amp;"   •   RECEIVED ₹"&amp;TEXT(SUMIF('Final Calculation Sheet'!$G$4:$G$1000,"M I SCRAP TRADERS",'Final Calculation Sheet'!$AC$4:$AC$1000),"#,##0")&amp;"   •   OUTSTANDING ₹"&amp;TEXT(SUMIF('Final Calculation Sheet'!$G$4:$G$1000,"M I SCRAP TRADERS",'Final Calculation Sheet'!$AD$4:$AD$1000),"#,##0")</f>
        <v/>
      </c>
      <c r="B178" s="64" t="n"/>
      <c r="C178" s="64" t="n"/>
      <c r="D178" s="64" t="n"/>
      <c r="E178" s="64" t="n"/>
      <c r="F178" s="64" t="n"/>
      <c r="G178" s="64" t="n"/>
      <c r="H178" s="64" t="n"/>
      <c r="I178" s="64" t="n"/>
      <c r="J178" s="64" t="n"/>
      <c r="K178" s="64" t="n"/>
      <c r="L178" s="64" t="n"/>
      <c r="M178" s="64" t="n"/>
      <c r="N178" s="64" t="n"/>
      <c r="O178" s="64" t="n"/>
    </row>
    <row r="179" outlineLevel="1" ht="18" customHeight="1">
      <c r="A179" s="118" t="inlineStr">
        <is>
          <t xml:space="preserve">   Lot No. →</t>
        </is>
      </c>
      <c r="B179" s="119">
        <f>IF('Final Calculation Sheet'!$F$27="","",'Final Calculation Sheet'!$F$27)</f>
        <v/>
      </c>
      <c r="C179" s="120" t="n"/>
      <c r="D179" s="120" t="n"/>
      <c r="E179" s="120" t="n"/>
      <c r="F179" s="120" t="n"/>
      <c r="G179" s="120" t="n"/>
      <c r="H179" s="120" t="n"/>
      <c r="I179" s="120" t="n"/>
      <c r="J179" s="120" t="n"/>
      <c r="K179" s="120" t="n"/>
      <c r="L179" s="120" t="n"/>
      <c r="M179" s="120" t="n"/>
      <c r="N179" s="120" t="n"/>
      <c r="O179" s="121" t="inlineStr">
        <is>
          <t>TOTAL</t>
        </is>
      </c>
    </row>
    <row r="180" outlineLevel="1" ht="16" customHeight="1">
      <c r="A180" s="118" t="inlineStr">
        <is>
          <t xml:space="preserve">  ▸ LOT INFORMATION</t>
        </is>
      </c>
      <c r="B180" s="120" t="n"/>
      <c r="C180" s="120" t="n"/>
      <c r="D180" s="120" t="n"/>
      <c r="E180" s="120" t="n"/>
      <c r="F180" s="120" t="n"/>
      <c r="G180" s="120" t="n"/>
      <c r="H180" s="120" t="n"/>
      <c r="I180" s="120" t="n"/>
      <c r="J180" s="120" t="n"/>
      <c r="K180" s="120" t="n"/>
      <c r="L180" s="120" t="n"/>
      <c r="M180" s="120" t="n"/>
      <c r="N180" s="120" t="n"/>
      <c r="O180" s="120" t="n"/>
    </row>
    <row r="181" outlineLevel="2" ht="15" customHeight="1">
      <c r="A181" s="69" t="inlineStr">
        <is>
          <t xml:space="preserve">      Lot No.</t>
        </is>
      </c>
      <c r="B181" s="70">
        <f>IF('Final Calculation Sheet'!$F$27="","",'Final Calculation Sheet'!$F$27)</f>
        <v/>
      </c>
      <c r="C181" s="71" t="n"/>
      <c r="D181" s="71" t="n"/>
      <c r="E181" s="71" t="n"/>
      <c r="F181" s="71" t="n"/>
      <c r="G181" s="71" t="n"/>
      <c r="H181" s="71" t="n"/>
      <c r="I181" s="71" t="n"/>
      <c r="J181" s="71" t="n"/>
      <c r="K181" s="71" t="n"/>
      <c r="L181" s="71" t="n"/>
      <c r="M181" s="71" t="n"/>
      <c r="N181" s="71" t="n"/>
      <c r="O181" s="122" t="inlineStr">
        <is>
          <t>–</t>
        </is>
      </c>
    </row>
    <row r="182" outlineLevel="2" ht="60" customHeight="1">
      <c r="A182" s="69" t="inlineStr">
        <is>
          <t xml:space="preserve">      Lot Name</t>
        </is>
      </c>
      <c r="B182" s="73">
        <f>IF('Final Calculation Sheet'!$B$27="","",'Final Calculation Sheet'!$B$27)</f>
        <v/>
      </c>
      <c r="C182" s="71" t="n"/>
      <c r="D182" s="71" t="n"/>
      <c r="E182" s="71" t="n"/>
      <c r="F182" s="71" t="n"/>
      <c r="G182" s="71" t="n"/>
      <c r="H182" s="71" t="n"/>
      <c r="I182" s="71" t="n"/>
      <c r="J182" s="71" t="n"/>
      <c r="K182" s="71" t="n"/>
      <c r="L182" s="71" t="n"/>
      <c r="M182" s="71" t="n"/>
      <c r="N182" s="71" t="n"/>
      <c r="O182" s="122" t="inlineStr">
        <is>
          <t>–</t>
        </is>
      </c>
    </row>
    <row r="183" outlineLevel="2" ht="15" customHeight="1">
      <c r="A183" s="69" t="inlineStr">
        <is>
          <t xml:space="preserve">      Bid Sheet / Auction</t>
        </is>
      </c>
      <c r="B183" s="70">
        <f>IF('Final Calculation Sheet'!$D$27="","",'Final Calculation Sheet'!$D$27)</f>
        <v/>
      </c>
      <c r="C183" s="71" t="n"/>
      <c r="D183" s="71" t="n"/>
      <c r="E183" s="71" t="n"/>
      <c r="F183" s="71" t="n"/>
      <c r="G183" s="71" t="n"/>
      <c r="H183" s="71" t="n"/>
      <c r="I183" s="71" t="n"/>
      <c r="J183" s="71" t="n"/>
      <c r="K183" s="71" t="n"/>
      <c r="L183" s="71" t="n"/>
      <c r="M183" s="71" t="n"/>
      <c r="N183" s="71" t="n"/>
      <c r="O183" s="122" t="inlineStr">
        <is>
          <t>–</t>
        </is>
      </c>
    </row>
    <row r="184" outlineLevel="2" ht="15" customHeight="1">
      <c r="A184" s="69" t="inlineStr">
        <is>
          <t xml:space="preserve">      Quantity</t>
        </is>
      </c>
      <c r="B184" s="74">
        <f>IF('Final Calculation Sheet'!$A$27="","",'Final Calculation Sheet'!$A$27)</f>
        <v/>
      </c>
      <c r="C184" s="71" t="n"/>
      <c r="D184" s="71" t="n"/>
      <c r="E184" s="71" t="n"/>
      <c r="F184" s="71" t="n"/>
      <c r="G184" s="71" t="n"/>
      <c r="H184" s="71" t="n"/>
      <c r="I184" s="71" t="n"/>
      <c r="J184" s="71" t="n"/>
      <c r="K184" s="71" t="n"/>
      <c r="L184" s="71" t="n"/>
      <c r="M184" s="71" t="n"/>
      <c r="N184" s="71" t="n"/>
      <c r="O184" s="123">
        <f>SUM(B184:N184)</f>
        <v/>
      </c>
    </row>
    <row r="185" outlineLevel="2" ht="15" customHeight="1">
      <c r="A185" s="69" t="inlineStr">
        <is>
          <t xml:space="preserve">      Unit</t>
        </is>
      </c>
      <c r="B185" s="76">
        <f>IF('Final Calculation Sheet'!$E$27="","",'Final Calculation Sheet'!$E$27)</f>
        <v/>
      </c>
      <c r="C185" s="71" t="n"/>
      <c r="D185" s="71" t="n"/>
      <c r="E185" s="71" t="n"/>
      <c r="F185" s="71" t="n"/>
      <c r="G185" s="71" t="n"/>
      <c r="H185" s="71" t="n"/>
      <c r="I185" s="71" t="n"/>
      <c r="J185" s="71" t="n"/>
      <c r="K185" s="71" t="n"/>
      <c r="L185" s="71" t="n"/>
      <c r="M185" s="71" t="n"/>
      <c r="N185" s="71" t="n"/>
      <c r="O185" s="122" t="inlineStr">
        <is>
          <t>–</t>
        </is>
      </c>
    </row>
    <row r="186" outlineLevel="2" ht="15" customHeight="1">
      <c r="A186" s="69" t="inlineStr">
        <is>
          <t xml:space="preserve">      Rate (₹)</t>
        </is>
      </c>
      <c r="B186" s="70">
        <f>IF('Final Calculation Sheet'!$C$27="","",'Final Calculation Sheet'!$C$27)</f>
        <v/>
      </c>
      <c r="C186" s="71" t="n"/>
      <c r="D186" s="71" t="n"/>
      <c r="E186" s="71" t="n"/>
      <c r="F186" s="71" t="n"/>
      <c r="G186" s="71" t="n"/>
      <c r="H186" s="71" t="n"/>
      <c r="I186" s="71" t="n"/>
      <c r="J186" s="71" t="n"/>
      <c r="K186" s="71" t="n"/>
      <c r="L186" s="71" t="n"/>
      <c r="M186" s="71" t="n"/>
      <c r="N186" s="71" t="n"/>
      <c r="O186" s="122" t="inlineStr">
        <is>
          <t>–</t>
        </is>
      </c>
    </row>
    <row r="187" outlineLevel="1" ht="16" customHeight="1">
      <c r="A187" s="118" t="inlineStr">
        <is>
          <t xml:space="preserve">  ▸ FINANCIALS</t>
        </is>
      </c>
      <c r="B187" s="120" t="n"/>
      <c r="C187" s="120" t="n"/>
      <c r="D187" s="120" t="n"/>
      <c r="E187" s="120" t="n"/>
      <c r="F187" s="120" t="n"/>
      <c r="G187" s="120" t="n"/>
      <c r="H187" s="120" t="n"/>
      <c r="I187" s="120" t="n"/>
      <c r="J187" s="120" t="n"/>
      <c r="K187" s="120" t="n"/>
      <c r="L187" s="120" t="n"/>
      <c r="M187" s="120" t="n"/>
      <c r="N187" s="120" t="n"/>
      <c r="O187" s="120" t="n"/>
    </row>
    <row r="188" outlineLevel="2" ht="15" customHeight="1">
      <c r="A188" s="69" t="inlineStr">
        <is>
          <t xml:space="preserve">      Mat. Value (₹)</t>
        </is>
      </c>
      <c r="B188" s="70">
        <f>IF('Final Calculation Sheet'!$H$27="","",'Final Calculation Sheet'!$H$27)</f>
        <v/>
      </c>
      <c r="C188" s="71" t="n"/>
      <c r="D188" s="71" t="n"/>
      <c r="E188" s="71" t="n"/>
      <c r="F188" s="71" t="n"/>
      <c r="G188" s="71" t="n"/>
      <c r="H188" s="71" t="n"/>
      <c r="I188" s="71" t="n"/>
      <c r="J188" s="71" t="n"/>
      <c r="K188" s="71" t="n"/>
      <c r="L188" s="71" t="n"/>
      <c r="M188" s="71" t="n"/>
      <c r="N188" s="71" t="n"/>
      <c r="O188" s="124">
        <f>SUM(B188:N188)</f>
        <v/>
      </c>
    </row>
    <row r="189" outlineLevel="2" ht="15" customHeight="1">
      <c r="A189" s="69" t="inlineStr">
        <is>
          <t xml:space="preserve">      GST @ 18% (₹)</t>
        </is>
      </c>
      <c r="B189" s="70">
        <f>IF('Final Calculation Sheet'!$I$27="","",'Final Calculation Sheet'!$I$27)</f>
        <v/>
      </c>
      <c r="C189" s="71" t="n"/>
      <c r="D189" s="71" t="n"/>
      <c r="E189" s="71" t="n"/>
      <c r="F189" s="71" t="n"/>
      <c r="G189" s="71" t="n"/>
      <c r="H189" s="71" t="n"/>
      <c r="I189" s="71" t="n"/>
      <c r="J189" s="71" t="n"/>
      <c r="K189" s="71" t="n"/>
      <c r="L189" s="71" t="n"/>
      <c r="M189" s="71" t="n"/>
      <c r="N189" s="71" t="n"/>
      <c r="O189" s="124">
        <f>SUM(B189:N189)</f>
        <v/>
      </c>
    </row>
    <row r="190" outlineLevel="2" ht="15" customHeight="1">
      <c r="A190" s="69" t="inlineStr">
        <is>
          <t xml:space="preserve">      Mat. Value + GST (₹)</t>
        </is>
      </c>
      <c r="B190" s="70">
        <f>IF('Final Calculation Sheet'!$J$27="","",'Final Calculation Sheet'!$J$27)</f>
        <v/>
      </c>
      <c r="C190" s="71" t="n"/>
      <c r="D190" s="71" t="n"/>
      <c r="E190" s="71" t="n"/>
      <c r="F190" s="71" t="n"/>
      <c r="G190" s="71" t="n"/>
      <c r="H190" s="71" t="n"/>
      <c r="I190" s="71" t="n"/>
      <c r="J190" s="71" t="n"/>
      <c r="K190" s="71" t="n"/>
      <c r="L190" s="71" t="n"/>
      <c r="M190" s="71" t="n"/>
      <c r="N190" s="71" t="n"/>
      <c r="O190" s="124">
        <f>SUM(B190:N190)</f>
        <v/>
      </c>
    </row>
    <row r="191" outlineLevel="2" ht="15" customHeight="1">
      <c r="A191" s="69" t="inlineStr">
        <is>
          <t xml:space="preserve">      TCS @ 2% (₹)</t>
        </is>
      </c>
      <c r="B191" s="70">
        <f>IF('Final Calculation Sheet'!$K$27="","",'Final Calculation Sheet'!$K$27)</f>
        <v/>
      </c>
      <c r="C191" s="71" t="n"/>
      <c r="D191" s="71" t="n"/>
      <c r="E191" s="71" t="n"/>
      <c r="F191" s="71" t="n"/>
      <c r="G191" s="71" t="n"/>
      <c r="H191" s="71" t="n"/>
      <c r="I191" s="71" t="n"/>
      <c r="J191" s="71" t="n"/>
      <c r="K191" s="71" t="n"/>
      <c r="L191" s="71" t="n"/>
      <c r="M191" s="71" t="n"/>
      <c r="N191" s="71" t="n"/>
      <c r="O191" s="124">
        <f>SUM(B191:N191)</f>
        <v/>
      </c>
    </row>
    <row r="192" outlineLevel="2" ht="15" customHeight="1">
      <c r="A192" s="69" t="inlineStr">
        <is>
          <t xml:space="preserve">      TDS u/s 194(O) (₹)</t>
        </is>
      </c>
      <c r="B192" s="78">
        <f>IF('Final Calculation Sheet'!$L$27="","",'Final Calculation Sheet'!$L$27)</f>
        <v/>
      </c>
      <c r="C192" s="71" t="n"/>
      <c r="D192" s="71" t="n"/>
      <c r="E192" s="71" t="n"/>
      <c r="F192" s="71" t="n"/>
      <c r="G192" s="71" t="n"/>
      <c r="H192" s="71" t="n"/>
      <c r="I192" s="71" t="n"/>
      <c r="J192" s="71" t="n"/>
      <c r="K192" s="71" t="n"/>
      <c r="L192" s="71" t="n"/>
      <c r="M192" s="71" t="n"/>
      <c r="N192" s="71" t="n"/>
      <c r="O192" s="125">
        <f>SUM(B192:N192)</f>
        <v/>
      </c>
    </row>
    <row r="193" outlineLevel="2" ht="15" customHeight="1">
      <c r="A193" s="69" t="inlineStr">
        <is>
          <t xml:space="preserve">      Service Charge gross (₹)</t>
        </is>
      </c>
      <c r="B193" s="78">
        <f>IF('Final Calculation Sheet'!$M$27="","",'Final Calculation Sheet'!$M$27)</f>
        <v/>
      </c>
      <c r="C193" s="71" t="n"/>
      <c r="D193" s="71" t="n"/>
      <c r="E193" s="71" t="n"/>
      <c r="F193" s="71" t="n"/>
      <c r="G193" s="71" t="n"/>
      <c r="H193" s="71" t="n"/>
      <c r="I193" s="71" t="n"/>
      <c r="J193" s="71" t="n"/>
      <c r="K193" s="71" t="n"/>
      <c r="L193" s="71" t="n"/>
      <c r="M193" s="71" t="n"/>
      <c r="N193" s="71" t="n"/>
      <c r="O193" s="125">
        <f>SUM(B193:N193)</f>
        <v/>
      </c>
    </row>
    <row r="194" outlineLevel="2" ht="15" customHeight="1">
      <c r="A194" s="69" t="inlineStr">
        <is>
          <t xml:space="preserve">      TDS u/s 194(H) (₹)</t>
        </is>
      </c>
      <c r="B194" s="78">
        <f>IF('Final Calculation Sheet'!$N$27="","",'Final Calculation Sheet'!$N$27)</f>
        <v/>
      </c>
      <c r="C194" s="71" t="n"/>
      <c r="D194" s="71" t="n"/>
      <c r="E194" s="71" t="n"/>
      <c r="F194" s="71" t="n"/>
      <c r="G194" s="71" t="n"/>
      <c r="H194" s="71" t="n"/>
      <c r="I194" s="71" t="n"/>
      <c r="J194" s="71" t="n"/>
      <c r="K194" s="71" t="n"/>
      <c r="L194" s="71" t="n"/>
      <c r="M194" s="71" t="n"/>
      <c r="N194" s="71" t="n"/>
      <c r="O194" s="125">
        <f>SUM(B194:N194)</f>
        <v/>
      </c>
    </row>
    <row r="195" outlineLevel="2" ht="15" customHeight="1">
      <c r="A195" s="69" t="inlineStr">
        <is>
          <t xml:space="preserve">      Net Service Charge (₹)</t>
        </is>
      </c>
      <c r="B195" s="78">
        <f>IF('Final Calculation Sheet'!$O$27="","",'Final Calculation Sheet'!$O$27)</f>
        <v/>
      </c>
      <c r="C195" s="71" t="n"/>
      <c r="D195" s="71" t="n"/>
      <c r="E195" s="71" t="n"/>
      <c r="F195" s="71" t="n"/>
      <c r="G195" s="71" t="n"/>
      <c r="H195" s="71" t="n"/>
      <c r="I195" s="71" t="n"/>
      <c r="J195" s="71" t="n"/>
      <c r="K195" s="71" t="n"/>
      <c r="L195" s="71" t="n"/>
      <c r="M195" s="71" t="n"/>
      <c r="N195" s="71" t="n"/>
      <c r="O195" s="125">
        <f>SUM(B195:N195)</f>
        <v/>
      </c>
    </row>
    <row r="196" outlineLevel="2" ht="15" customHeight="1">
      <c r="A196" s="69" t="inlineStr">
        <is>
          <t xml:space="preserve">      Svc Charge to MSTC (₹)</t>
        </is>
      </c>
      <c r="B196" s="70">
        <f>IF('Final Calculation Sheet'!$P$27="","",'Final Calculation Sheet'!$P$27)</f>
        <v/>
      </c>
      <c r="C196" s="71" t="n"/>
      <c r="D196" s="71" t="n"/>
      <c r="E196" s="71" t="n"/>
      <c r="F196" s="71" t="n"/>
      <c r="G196" s="71" t="n"/>
      <c r="H196" s="71" t="n"/>
      <c r="I196" s="71" t="n"/>
      <c r="J196" s="71" t="n"/>
      <c r="K196" s="71" t="n"/>
      <c r="L196" s="71" t="n"/>
      <c r="M196" s="71" t="n"/>
      <c r="N196" s="71" t="n"/>
      <c r="O196" s="124">
        <f>SUM(B196:N196)</f>
        <v/>
      </c>
    </row>
    <row r="197" outlineLevel="2" ht="15" customHeight="1">
      <c r="A197" s="69" t="inlineStr">
        <is>
          <t xml:space="preserve">      GST TDS Rate</t>
        </is>
      </c>
      <c r="B197" s="80">
        <f>IF('Final Calculation Sheet'!$Q$27="","",'Final Calculation Sheet'!$Q$27)</f>
        <v/>
      </c>
      <c r="C197" s="71" t="n"/>
      <c r="D197" s="71" t="n"/>
      <c r="E197" s="71" t="n"/>
      <c r="F197" s="71" t="n"/>
      <c r="G197" s="71" t="n"/>
      <c r="H197" s="71" t="n"/>
      <c r="I197" s="71" t="n"/>
      <c r="J197" s="71" t="n"/>
      <c r="K197" s="71" t="n"/>
      <c r="L197" s="71" t="n"/>
      <c r="M197" s="71" t="n"/>
      <c r="N197" s="71" t="n"/>
      <c r="O197" s="122" t="inlineStr">
        <is>
          <t>–</t>
        </is>
      </c>
    </row>
    <row r="198" outlineLevel="2" ht="15" customHeight="1">
      <c r="A198" s="69" t="inlineStr">
        <is>
          <t xml:space="preserve">      GST TDS (₹)</t>
        </is>
      </c>
      <c r="B198" s="70">
        <f>IF('Final Calculation Sheet'!$R$27="","",'Final Calculation Sheet'!$R$27)</f>
        <v/>
      </c>
      <c r="C198" s="71" t="n"/>
      <c r="D198" s="71" t="n"/>
      <c r="E198" s="71" t="n"/>
      <c r="F198" s="71" t="n"/>
      <c r="G198" s="71" t="n"/>
      <c r="H198" s="71" t="n"/>
      <c r="I198" s="71" t="n"/>
      <c r="J198" s="71" t="n"/>
      <c r="K198" s="71" t="n"/>
      <c r="L198" s="71" t="n"/>
      <c r="M198" s="71" t="n"/>
      <c r="N198" s="71" t="n"/>
      <c r="O198" s="124">
        <f>SUM(B198:N198)</f>
        <v/>
      </c>
    </row>
    <row r="199" outlineLevel="2" ht="15" customHeight="1">
      <c r="A199" s="69" t="inlineStr">
        <is>
          <t xml:space="preserve">      Total Receivables (₹)</t>
        </is>
      </c>
      <c r="B199" s="70">
        <f>IF('Final Calculation Sheet'!$S$27="","",'Final Calculation Sheet'!$S$27)</f>
        <v/>
      </c>
      <c r="C199" s="71" t="n"/>
      <c r="D199" s="71" t="n"/>
      <c r="E199" s="71" t="n"/>
      <c r="F199" s="71" t="n"/>
      <c r="G199" s="71" t="n"/>
      <c r="H199" s="71" t="n"/>
      <c r="I199" s="71" t="n"/>
      <c r="J199" s="71" t="n"/>
      <c r="K199" s="71" t="n"/>
      <c r="L199" s="71" t="n"/>
      <c r="M199" s="71" t="n"/>
      <c r="N199" s="71" t="n"/>
      <c r="O199" s="124">
        <f>SUM(B199:N199)</f>
        <v/>
      </c>
    </row>
    <row r="200" outlineLevel="1" ht="16" customHeight="1">
      <c r="A200" s="118" t="inlineStr">
        <is>
          <t xml:space="preserve">  ▸ SECURITY DEPOSIT</t>
        </is>
      </c>
      <c r="B200" s="120" t="n"/>
      <c r="C200" s="120" t="n"/>
      <c r="D200" s="120" t="n"/>
      <c r="E200" s="120" t="n"/>
      <c r="F200" s="120" t="n"/>
      <c r="G200" s="120" t="n"/>
      <c r="H200" s="120" t="n"/>
      <c r="I200" s="120" t="n"/>
      <c r="J200" s="120" t="n"/>
      <c r="K200" s="120" t="n"/>
      <c r="L200" s="120" t="n"/>
      <c r="M200" s="120" t="n"/>
      <c r="N200" s="120" t="n"/>
      <c r="O200" s="120" t="n"/>
    </row>
    <row r="201" outlineLevel="2" ht="15" customHeight="1">
      <c r="A201" s="69" t="inlineStr">
        <is>
          <t xml:space="preserve">      SD Expected (₹)</t>
        </is>
      </c>
      <c r="B201" s="70">
        <f>IF('Final Calculation Sheet'!$T$27="","",'Final Calculation Sheet'!$T$27)</f>
        <v/>
      </c>
      <c r="C201" s="71" t="n"/>
      <c r="D201" s="71" t="n"/>
      <c r="E201" s="71" t="n"/>
      <c r="F201" s="71" t="n"/>
      <c r="G201" s="71" t="n"/>
      <c r="H201" s="71" t="n"/>
      <c r="I201" s="71" t="n"/>
      <c r="J201" s="71" t="n"/>
      <c r="K201" s="71" t="n"/>
      <c r="L201" s="71" t="n"/>
      <c r="M201" s="71" t="n"/>
      <c r="N201" s="71" t="n"/>
      <c r="O201" s="124">
        <f>SUM(B201:N201)</f>
        <v/>
      </c>
    </row>
    <row r="202" outlineLevel="2" ht="15" customHeight="1">
      <c r="A202" s="69" t="inlineStr">
        <is>
          <t xml:space="preserve">      SD Received (₹)</t>
        </is>
      </c>
      <c r="B202" s="70">
        <f>IF('Final Calculation Sheet'!$U$27="","",'Final Calculation Sheet'!$U$27)</f>
        <v/>
      </c>
      <c r="C202" s="71" t="n"/>
      <c r="D202" s="71" t="n"/>
      <c r="E202" s="71" t="n"/>
      <c r="F202" s="71" t="n"/>
      <c r="G202" s="71" t="n"/>
      <c r="H202" s="71" t="n"/>
      <c r="I202" s="71" t="n"/>
      <c r="J202" s="71" t="n"/>
      <c r="K202" s="71" t="n"/>
      <c r="L202" s="71" t="n"/>
      <c r="M202" s="71" t="n"/>
      <c r="N202" s="71" t="n"/>
      <c r="O202" s="124">
        <f>SUM(B202:N202)</f>
        <v/>
      </c>
    </row>
    <row r="203" outlineLevel="2" ht="15" customHeight="1">
      <c r="A203" s="69" t="inlineStr">
        <is>
          <t xml:space="preserve">      SD Receipt Date</t>
        </is>
      </c>
      <c r="B203" s="76">
        <f>IF('Final Calculation Sheet'!$V$27="","",'Final Calculation Sheet'!$V$27)</f>
        <v/>
      </c>
      <c r="C203" s="71" t="n"/>
      <c r="D203" s="71" t="n"/>
      <c r="E203" s="71" t="n"/>
      <c r="F203" s="71" t="n"/>
      <c r="G203" s="71" t="n"/>
      <c r="H203" s="71" t="n"/>
      <c r="I203" s="71" t="n"/>
      <c r="J203" s="71" t="n"/>
      <c r="K203" s="71" t="n"/>
      <c r="L203" s="71" t="n"/>
      <c r="M203" s="71" t="n"/>
      <c r="N203" s="71" t="n"/>
      <c r="O203" s="122" t="inlineStr">
        <is>
          <t>–</t>
        </is>
      </c>
    </row>
    <row r="204" outlineLevel="1" ht="16" customHeight="1">
      <c r="A204" s="118" t="inlineStr">
        <is>
          <t xml:space="preserve">  ▸ FINAL PAYMENT</t>
        </is>
      </c>
      <c r="B204" s="120" t="n"/>
      <c r="C204" s="120" t="n"/>
      <c r="D204" s="120" t="n"/>
      <c r="E204" s="120" t="n"/>
      <c r="F204" s="120" t="n"/>
      <c r="G204" s="120" t="n"/>
      <c r="H204" s="120" t="n"/>
      <c r="I204" s="120" t="n"/>
      <c r="J204" s="120" t="n"/>
      <c r="K204" s="120" t="n"/>
      <c r="L204" s="120" t="n"/>
      <c r="M204" s="120" t="n"/>
      <c r="N204" s="120" t="n"/>
      <c r="O204" s="120" t="n"/>
    </row>
    <row r="205" outlineLevel="2" ht="15" customHeight="1">
      <c r="A205" s="69" t="inlineStr">
        <is>
          <t xml:space="preserve">      FP Expected (₹)</t>
        </is>
      </c>
      <c r="B205" s="70">
        <f>IF('Final Calculation Sheet'!$W$27="","",'Final Calculation Sheet'!$W$27)</f>
        <v/>
      </c>
      <c r="C205" s="71" t="n"/>
      <c r="D205" s="71" t="n"/>
      <c r="E205" s="71" t="n"/>
      <c r="F205" s="71" t="n"/>
      <c r="G205" s="71" t="n"/>
      <c r="H205" s="71" t="n"/>
      <c r="I205" s="71" t="n"/>
      <c r="J205" s="71" t="n"/>
      <c r="K205" s="71" t="n"/>
      <c r="L205" s="71" t="n"/>
      <c r="M205" s="71" t="n"/>
      <c r="N205" s="71" t="n"/>
      <c r="O205" s="124">
        <f>SUM(B205:N205)</f>
        <v/>
      </c>
    </row>
    <row r="206" outlineLevel="2" ht="15" customHeight="1">
      <c r="A206" s="69" t="inlineStr">
        <is>
          <t xml:space="preserve">      FP Received (₹)</t>
        </is>
      </c>
      <c r="B206" s="70">
        <f>IF('Final Calculation Sheet'!$X$27="","",'Final Calculation Sheet'!$X$27)</f>
        <v/>
      </c>
      <c r="C206" s="71" t="n"/>
      <c r="D206" s="71" t="n"/>
      <c r="E206" s="71" t="n"/>
      <c r="F206" s="71" t="n"/>
      <c r="G206" s="71" t="n"/>
      <c r="H206" s="71" t="n"/>
      <c r="I206" s="71" t="n"/>
      <c r="J206" s="71" t="n"/>
      <c r="K206" s="71" t="n"/>
      <c r="L206" s="71" t="n"/>
      <c r="M206" s="71" t="n"/>
      <c r="N206" s="71" t="n"/>
      <c r="O206" s="124">
        <f>SUM(B206:N206)</f>
        <v/>
      </c>
    </row>
    <row r="207" outlineLevel="2" ht="15" customHeight="1">
      <c r="A207" s="69" t="inlineStr">
        <is>
          <t xml:space="preserve">      FP Receipt Date</t>
        </is>
      </c>
      <c r="B207" s="76">
        <f>IF('Final Calculation Sheet'!$Y$27="","",'Final Calculation Sheet'!$Y$27)</f>
        <v/>
      </c>
      <c r="C207" s="71" t="n"/>
      <c r="D207" s="71" t="n"/>
      <c r="E207" s="71" t="n"/>
      <c r="F207" s="71" t="n"/>
      <c r="G207" s="71" t="n"/>
      <c r="H207" s="71" t="n"/>
      <c r="I207" s="71" t="n"/>
      <c r="J207" s="71" t="n"/>
      <c r="K207" s="71" t="n"/>
      <c r="L207" s="71" t="n"/>
      <c r="M207" s="71" t="n"/>
      <c r="N207" s="71" t="n"/>
      <c r="O207" s="122" t="inlineStr">
        <is>
          <t>–</t>
        </is>
      </c>
    </row>
    <row r="208" outlineLevel="1" ht="16" customHeight="1">
      <c r="A208" s="118" t="inlineStr">
        <is>
          <t xml:space="preserve">  ▸ LPP</t>
        </is>
      </c>
      <c r="B208" s="120" t="n"/>
      <c r="C208" s="120" t="n"/>
      <c r="D208" s="120" t="n"/>
      <c r="E208" s="120" t="n"/>
      <c r="F208" s="120" t="n"/>
      <c r="G208" s="120" t="n"/>
      <c r="H208" s="120" t="n"/>
      <c r="I208" s="120" t="n"/>
      <c r="J208" s="120" t="n"/>
      <c r="K208" s="120" t="n"/>
      <c r="L208" s="120" t="n"/>
      <c r="M208" s="120" t="n"/>
      <c r="N208" s="120" t="n"/>
      <c r="O208" s="120" t="n"/>
    </row>
    <row r="209" outlineLevel="2" ht="15" customHeight="1">
      <c r="A209" s="69" t="inlineStr">
        <is>
          <t xml:space="preserve">      LPP Expected (₹)</t>
        </is>
      </c>
      <c r="B209" s="70">
        <f>IF('Final Calculation Sheet'!$Z$27="","",'Final Calculation Sheet'!$Z$27)</f>
        <v/>
      </c>
      <c r="C209" s="71" t="n"/>
      <c r="D209" s="71" t="n"/>
      <c r="E209" s="71" t="n"/>
      <c r="F209" s="71" t="n"/>
      <c r="G209" s="71" t="n"/>
      <c r="H209" s="71" t="n"/>
      <c r="I209" s="71" t="n"/>
      <c r="J209" s="71" t="n"/>
      <c r="K209" s="71" t="n"/>
      <c r="L209" s="71" t="n"/>
      <c r="M209" s="71" t="n"/>
      <c r="N209" s="71" t="n"/>
      <c r="O209" s="124">
        <f>SUM(B209:N209)</f>
        <v/>
      </c>
    </row>
    <row r="210" outlineLevel="2" ht="15" customHeight="1">
      <c r="A210" s="69" t="inlineStr">
        <is>
          <t xml:space="preserve">      LPP Received (₹)</t>
        </is>
      </c>
      <c r="B210" s="70">
        <f>IF('Final Calculation Sheet'!$AA$27="","",'Final Calculation Sheet'!$AA$27)</f>
        <v/>
      </c>
      <c r="C210" s="71" t="n"/>
      <c r="D210" s="71" t="n"/>
      <c r="E210" s="71" t="n"/>
      <c r="F210" s="71" t="n"/>
      <c r="G210" s="71" t="n"/>
      <c r="H210" s="71" t="n"/>
      <c r="I210" s="71" t="n"/>
      <c r="J210" s="71" t="n"/>
      <c r="K210" s="71" t="n"/>
      <c r="L210" s="71" t="n"/>
      <c r="M210" s="71" t="n"/>
      <c r="N210" s="71" t="n"/>
      <c r="O210" s="124">
        <f>SUM(B210:N210)</f>
        <v/>
      </c>
    </row>
    <row r="211" outlineLevel="2" ht="15" customHeight="1">
      <c r="A211" s="69" t="inlineStr">
        <is>
          <t xml:space="preserve">      LPP Receipt Date</t>
        </is>
      </c>
      <c r="B211" s="76">
        <f>IF('Final Calculation Sheet'!$AB$27="","",'Final Calculation Sheet'!$AB$27)</f>
        <v/>
      </c>
      <c r="C211" s="71" t="n"/>
      <c r="D211" s="71" t="n"/>
      <c r="E211" s="71" t="n"/>
      <c r="F211" s="71" t="n"/>
      <c r="G211" s="71" t="n"/>
      <c r="H211" s="71" t="n"/>
      <c r="I211" s="71" t="n"/>
      <c r="J211" s="71" t="n"/>
      <c r="K211" s="71" t="n"/>
      <c r="L211" s="71" t="n"/>
      <c r="M211" s="71" t="n"/>
      <c r="N211" s="71" t="n"/>
      <c r="O211" s="122" t="inlineStr">
        <is>
          <t>–</t>
        </is>
      </c>
    </row>
    <row r="212" outlineLevel="1" ht="16" customHeight="1">
      <c r="A212" s="118" t="inlineStr">
        <is>
          <t xml:space="preserve">  ▸ SUMMARY</t>
        </is>
      </c>
      <c r="B212" s="120" t="n"/>
      <c r="C212" s="120" t="n"/>
      <c r="D212" s="120" t="n"/>
      <c r="E212" s="120" t="n"/>
      <c r="F212" s="120" t="n"/>
      <c r="G212" s="120" t="n"/>
      <c r="H212" s="120" t="n"/>
      <c r="I212" s="120" t="n"/>
      <c r="J212" s="120" t="n"/>
      <c r="K212" s="120" t="n"/>
      <c r="L212" s="120" t="n"/>
      <c r="M212" s="120" t="n"/>
      <c r="N212" s="120" t="n"/>
      <c r="O212" s="120" t="n"/>
    </row>
    <row r="213" outlineLevel="2" ht="15" customHeight="1">
      <c r="A213" s="69" t="inlineStr">
        <is>
          <t xml:space="preserve">      Total Received (₹)</t>
        </is>
      </c>
      <c r="B213" s="70">
        <f>IF('Final Calculation Sheet'!$AC$27="","",'Final Calculation Sheet'!$AC$27)</f>
        <v/>
      </c>
      <c r="C213" s="71" t="n"/>
      <c r="D213" s="71" t="n"/>
      <c r="E213" s="71" t="n"/>
      <c r="F213" s="71" t="n"/>
      <c r="G213" s="71" t="n"/>
      <c r="H213" s="71" t="n"/>
      <c r="I213" s="71" t="n"/>
      <c r="J213" s="71" t="n"/>
      <c r="K213" s="71" t="n"/>
      <c r="L213" s="71" t="n"/>
      <c r="M213" s="71" t="n"/>
      <c r="N213" s="71" t="n"/>
      <c r="O213" s="124">
        <f>SUM(B213:N213)</f>
        <v/>
      </c>
    </row>
    <row r="214" outlineLevel="2" ht="15" customHeight="1">
      <c r="A214" s="69" t="inlineStr">
        <is>
          <t xml:space="preserve">      Outstanding (₹)</t>
        </is>
      </c>
      <c r="B214" s="70">
        <f>IF('Final Calculation Sheet'!$AD$27="","",'Final Calculation Sheet'!$AD$27)</f>
        <v/>
      </c>
      <c r="C214" s="71" t="n"/>
      <c r="D214" s="71" t="n"/>
      <c r="E214" s="71" t="n"/>
      <c r="F214" s="71" t="n"/>
      <c r="G214" s="71" t="n"/>
      <c r="H214" s="71" t="n"/>
      <c r="I214" s="71" t="n"/>
      <c r="J214" s="71" t="n"/>
      <c r="K214" s="71" t="n"/>
      <c r="L214" s="71" t="n"/>
      <c r="M214" s="71" t="n"/>
      <c r="N214" s="71" t="n"/>
      <c r="O214" s="124">
        <f>SUM(B214:N214)</f>
        <v/>
      </c>
    </row>
    <row r="215" outlineLevel="2" ht="15" customHeight="1">
      <c r="A215" s="69" t="inlineStr">
        <is>
          <t xml:space="preserve">      Payment Status</t>
        </is>
      </c>
      <c r="B215" s="81">
        <f>IF('Final Calculation Sheet'!$AD$27="","",IF('Final Calculation Sheet'!$AD$27&lt;=0,"SETTLED","OUTSTANDING"))</f>
        <v/>
      </c>
      <c r="C215" s="71" t="n"/>
      <c r="D215" s="71" t="n"/>
      <c r="E215" s="71" t="n"/>
      <c r="F215" s="71" t="n"/>
      <c r="G215" s="71" t="n"/>
      <c r="H215" s="71" t="n"/>
      <c r="I215" s="71" t="n"/>
      <c r="J215" s="71" t="n"/>
      <c r="K215" s="71" t="n"/>
      <c r="L215" s="71" t="n"/>
      <c r="M215" s="71" t="n"/>
      <c r="N215" s="71" t="n"/>
      <c r="O215" s="122" t="inlineStr">
        <is>
          <t>–</t>
        </is>
      </c>
    </row>
    <row r="216" outlineLevel="1" ht="16" customHeight="1">
      <c r="A216" s="118" t="inlineStr">
        <is>
          <t xml:space="preserve">  ▸ DOCUMENT</t>
        </is>
      </c>
      <c r="B216" s="120" t="n"/>
      <c r="C216" s="120" t="n"/>
      <c r="D216" s="120" t="n"/>
      <c r="E216" s="120" t="n"/>
      <c r="F216" s="120" t="n"/>
      <c r="G216" s="120" t="n"/>
      <c r="H216" s="120" t="n"/>
      <c r="I216" s="120" t="n"/>
      <c r="J216" s="120" t="n"/>
      <c r="K216" s="120" t="n"/>
      <c r="L216" s="120" t="n"/>
      <c r="M216" s="120" t="n"/>
      <c r="N216" s="120" t="n"/>
      <c r="O216" s="120" t="n"/>
    </row>
    <row r="217" outlineLevel="2" ht="15" customHeight="1">
      <c r="A217" s="69" t="inlineStr">
        <is>
          <t xml:space="preserve">      Invoice No.</t>
        </is>
      </c>
      <c r="B217" s="76">
        <f>IF('Final Calculation Sheet'!$AE$27="","",'Final Calculation Sheet'!$AE$27)</f>
        <v/>
      </c>
      <c r="C217" s="71" t="n"/>
      <c r="D217" s="71" t="n"/>
      <c r="E217" s="71" t="n"/>
      <c r="F217" s="71" t="n"/>
      <c r="G217" s="71" t="n"/>
      <c r="H217" s="71" t="n"/>
      <c r="I217" s="71" t="n"/>
      <c r="J217" s="71" t="n"/>
      <c r="K217" s="71" t="n"/>
      <c r="L217" s="71" t="n"/>
      <c r="M217" s="71" t="n"/>
      <c r="N217" s="71" t="n"/>
      <c r="O217" s="122" t="inlineStr">
        <is>
          <t>–</t>
        </is>
      </c>
    </row>
    <row r="218" outlineLevel="2" ht="15" customHeight="1">
      <c r="A218" s="69" t="inlineStr">
        <is>
          <t xml:space="preserve">      SAP Document</t>
        </is>
      </c>
      <c r="B218" s="70">
        <f>IF('Final Calculation Sheet'!$AF$27="","",'Final Calculation Sheet'!$AF$27)</f>
        <v/>
      </c>
      <c r="C218" s="71" t="n"/>
      <c r="D218" s="71" t="n"/>
      <c r="E218" s="71" t="n"/>
      <c r="F218" s="71" t="n"/>
      <c r="G218" s="71" t="n"/>
      <c r="H218" s="71" t="n"/>
      <c r="I218" s="71" t="n"/>
      <c r="J218" s="71" t="n"/>
      <c r="K218" s="71" t="n"/>
      <c r="L218" s="71" t="n"/>
      <c r="M218" s="71" t="n"/>
      <c r="N218" s="71" t="n"/>
      <c r="O218" s="122" t="inlineStr">
        <is>
          <t>–</t>
        </is>
      </c>
    </row>
    <row r="219" outlineLevel="2" ht="15" customHeight="1">
      <c r="A219" s="69" t="inlineStr">
        <is>
          <t xml:space="preserve">      Doc./Invoice Date</t>
        </is>
      </c>
      <c r="B219" s="76">
        <f>IF('Final Calculation Sheet'!$AG$27="","",'Final Calculation Sheet'!$AG$27)</f>
        <v/>
      </c>
      <c r="C219" s="71" t="n"/>
      <c r="D219" s="71" t="n"/>
      <c r="E219" s="71" t="n"/>
      <c r="F219" s="71" t="n"/>
      <c r="G219" s="71" t="n"/>
      <c r="H219" s="71" t="n"/>
      <c r="I219" s="71" t="n"/>
      <c r="J219" s="71" t="n"/>
      <c r="K219" s="71" t="n"/>
      <c r="L219" s="71" t="n"/>
      <c r="M219" s="71" t="n"/>
      <c r="N219" s="71" t="n"/>
      <c r="O219" s="122" t="inlineStr">
        <is>
          <t>–</t>
        </is>
      </c>
    </row>
    <row r="220" ht="7" customHeight="1">
      <c r="A220" s="82" t="n"/>
      <c r="B220" s="82" t="n"/>
      <c r="C220" s="82" t="n"/>
      <c r="D220" s="82" t="n"/>
      <c r="E220" s="82" t="n"/>
      <c r="F220" s="82" t="n"/>
      <c r="G220" s="82" t="n"/>
      <c r="H220" s="82" t="n"/>
      <c r="I220" s="82" t="n"/>
      <c r="J220" s="82" t="n"/>
      <c r="K220" s="82" t="n"/>
      <c r="L220" s="82" t="n"/>
      <c r="M220" s="82" t="n"/>
      <c r="N220" s="82" t="n"/>
      <c r="O220" s="82" t="n"/>
    </row>
    <row r="221" ht="24" customHeight="1">
      <c r="A221" s="126">
        <f>"▼  NATIONAL ENTERPRISES   •   "&amp;COUNTIF('Final Calculation Sheet'!$G$4:$G$1000,"NATIONAL ENTERPRISES")&amp;" LOT(S)   •   MAT. VALUE ₹"&amp;TEXT(SUMIF('Final Calculation Sheet'!$G$4:$G$1000,"NATIONAL ENTERPRISES",'Final Calculation Sheet'!$H$4:$H$1000),"#,##0")&amp;"   •   RECEIVED ₹"&amp;TEXT(SUMIF('Final Calculation Sheet'!$G$4:$G$1000,"NATIONAL ENTERPRISES",'Final Calculation Sheet'!$AC$4:$AC$1000),"#,##0")&amp;"   •   OUTSTANDING ₹"&amp;TEXT(SUMIF('Final Calculation Sheet'!$G$4:$G$1000,"NATIONAL ENTERPRISES",'Final Calculation Sheet'!$AD$4:$AD$1000),"#,##0")</f>
        <v/>
      </c>
      <c r="B221" s="64" t="n"/>
      <c r="C221" s="64" t="n"/>
      <c r="D221" s="64" t="n"/>
      <c r="E221" s="64" t="n"/>
      <c r="F221" s="64" t="n"/>
      <c r="G221" s="64" t="n"/>
      <c r="H221" s="64" t="n"/>
      <c r="I221" s="64" t="n"/>
      <c r="J221" s="64" t="n"/>
      <c r="K221" s="64" t="n"/>
      <c r="L221" s="64" t="n"/>
      <c r="M221" s="64" t="n"/>
      <c r="N221" s="64" t="n"/>
      <c r="O221" s="64" t="n"/>
    </row>
    <row r="222" outlineLevel="1" ht="18" customHeight="1">
      <c r="A222" s="127" t="inlineStr">
        <is>
          <t xml:space="preserve">   Lot No. →</t>
        </is>
      </c>
      <c r="B222" s="128">
        <f>IF('Final Calculation Sheet'!$F$5="","",'Final Calculation Sheet'!$F$5)</f>
        <v/>
      </c>
      <c r="C222" s="128">
        <f>IF('Final Calculation Sheet'!$F$10="","",'Final Calculation Sheet'!$F$10)</f>
        <v/>
      </c>
      <c r="D222" s="128">
        <f>IF('Final Calculation Sheet'!$F$11="","",'Final Calculation Sheet'!$F$11)</f>
        <v/>
      </c>
      <c r="E222" s="128">
        <f>IF('Final Calculation Sheet'!$F$12="","",'Final Calculation Sheet'!$F$12)</f>
        <v/>
      </c>
      <c r="F222" s="128">
        <f>IF('Final Calculation Sheet'!$F$18="","",'Final Calculation Sheet'!$F$18)</f>
        <v/>
      </c>
      <c r="G222" s="128">
        <f>IF('Final Calculation Sheet'!$F$19="","",'Final Calculation Sheet'!$F$19)</f>
        <v/>
      </c>
      <c r="H222" s="128">
        <f>IF('Final Calculation Sheet'!$F$22="","",'Final Calculation Sheet'!$F$22)</f>
        <v/>
      </c>
      <c r="I222" s="128">
        <f>IF('Final Calculation Sheet'!$F$24="","",'Final Calculation Sheet'!$F$24)</f>
        <v/>
      </c>
      <c r="J222" s="128">
        <f>IF('Final Calculation Sheet'!$F$26="","",'Final Calculation Sheet'!$F$26)</f>
        <v/>
      </c>
      <c r="K222" s="128">
        <f>IF('Final Calculation Sheet'!$F$30="","",'Final Calculation Sheet'!$F$30)</f>
        <v/>
      </c>
      <c r="L222" s="128">
        <f>IF('Final Calculation Sheet'!$F$32="","",'Final Calculation Sheet'!$F$32)</f>
        <v/>
      </c>
      <c r="M222" s="128">
        <f>IF('Final Calculation Sheet'!$F$33="","",'Final Calculation Sheet'!$F$33)</f>
        <v/>
      </c>
      <c r="N222" s="128">
        <f>IF('Final Calculation Sheet'!$F$37="","",'Final Calculation Sheet'!$F$37)</f>
        <v/>
      </c>
      <c r="O222" s="129" t="inlineStr">
        <is>
          <t>TOTAL</t>
        </is>
      </c>
    </row>
    <row r="223" outlineLevel="1" ht="16" customHeight="1">
      <c r="A223" s="127" t="inlineStr">
        <is>
          <t xml:space="preserve">  ▸ LOT INFORMATION</t>
        </is>
      </c>
      <c r="B223" s="130" t="n"/>
      <c r="C223" s="130" t="n"/>
      <c r="D223" s="130" t="n"/>
      <c r="E223" s="130" t="n"/>
      <c r="F223" s="130" t="n"/>
      <c r="G223" s="130" t="n"/>
      <c r="H223" s="130" t="n"/>
      <c r="I223" s="130" t="n"/>
      <c r="J223" s="130" t="n"/>
      <c r="K223" s="130" t="n"/>
      <c r="L223" s="130" t="n"/>
      <c r="M223" s="130" t="n"/>
      <c r="N223" s="130" t="n"/>
      <c r="O223" s="130" t="n"/>
    </row>
    <row r="224" outlineLevel="2" ht="15" customHeight="1">
      <c r="A224" s="69" t="inlineStr">
        <is>
          <t xml:space="preserve">      Lot No.</t>
        </is>
      </c>
      <c r="B224" s="70">
        <f>IF('Final Calculation Sheet'!$F$5="","",'Final Calculation Sheet'!$F$5)</f>
        <v/>
      </c>
      <c r="C224" s="131">
        <f>IF('Final Calculation Sheet'!$F$10="","",'Final Calculation Sheet'!$F$10)</f>
        <v/>
      </c>
      <c r="D224" s="70">
        <f>IF('Final Calculation Sheet'!$F$11="","",'Final Calculation Sheet'!$F$11)</f>
        <v/>
      </c>
      <c r="E224" s="131">
        <f>IF('Final Calculation Sheet'!$F$12="","",'Final Calculation Sheet'!$F$12)</f>
        <v/>
      </c>
      <c r="F224" s="70">
        <f>IF('Final Calculation Sheet'!$F$18="","",'Final Calculation Sheet'!$F$18)</f>
        <v/>
      </c>
      <c r="G224" s="131">
        <f>IF('Final Calculation Sheet'!$F$19="","",'Final Calculation Sheet'!$F$19)</f>
        <v/>
      </c>
      <c r="H224" s="70">
        <f>IF('Final Calculation Sheet'!$F$22="","",'Final Calculation Sheet'!$F$22)</f>
        <v/>
      </c>
      <c r="I224" s="131">
        <f>IF('Final Calculation Sheet'!$F$24="","",'Final Calculation Sheet'!$F$24)</f>
        <v/>
      </c>
      <c r="J224" s="70">
        <f>IF('Final Calculation Sheet'!$F$26="","",'Final Calculation Sheet'!$F$26)</f>
        <v/>
      </c>
      <c r="K224" s="131">
        <f>IF('Final Calculation Sheet'!$F$30="","",'Final Calculation Sheet'!$F$30)</f>
        <v/>
      </c>
      <c r="L224" s="70">
        <f>IF('Final Calculation Sheet'!$F$32="","",'Final Calculation Sheet'!$F$32)</f>
        <v/>
      </c>
      <c r="M224" s="131">
        <f>IF('Final Calculation Sheet'!$F$33="","",'Final Calculation Sheet'!$F$33)</f>
        <v/>
      </c>
      <c r="N224" s="70">
        <f>IF('Final Calculation Sheet'!$F$37="","",'Final Calculation Sheet'!$F$37)</f>
        <v/>
      </c>
      <c r="O224" s="132" t="inlineStr">
        <is>
          <t>–</t>
        </is>
      </c>
    </row>
    <row r="225" outlineLevel="2" ht="60" customHeight="1">
      <c r="A225" s="69" t="inlineStr">
        <is>
          <t xml:space="preserve">      Lot Name</t>
        </is>
      </c>
      <c r="B225" s="73">
        <f>IF('Final Calculation Sheet'!$B$5="","",'Final Calculation Sheet'!$B$5)</f>
        <v/>
      </c>
      <c r="C225" s="133">
        <f>IF('Final Calculation Sheet'!$B$10="","",'Final Calculation Sheet'!$B$10)</f>
        <v/>
      </c>
      <c r="D225" s="73">
        <f>IF('Final Calculation Sheet'!$B$11="","",'Final Calculation Sheet'!$B$11)</f>
        <v/>
      </c>
      <c r="E225" s="133">
        <f>IF('Final Calculation Sheet'!$B$12="","",'Final Calculation Sheet'!$B$12)</f>
        <v/>
      </c>
      <c r="F225" s="73">
        <f>IF('Final Calculation Sheet'!$B$18="","",'Final Calculation Sheet'!$B$18)</f>
        <v/>
      </c>
      <c r="G225" s="133">
        <f>IF('Final Calculation Sheet'!$B$19="","",'Final Calculation Sheet'!$B$19)</f>
        <v/>
      </c>
      <c r="H225" s="73">
        <f>IF('Final Calculation Sheet'!$B$22="","",'Final Calculation Sheet'!$B$22)</f>
        <v/>
      </c>
      <c r="I225" s="133">
        <f>IF('Final Calculation Sheet'!$B$24="","",'Final Calculation Sheet'!$B$24)</f>
        <v/>
      </c>
      <c r="J225" s="73">
        <f>IF('Final Calculation Sheet'!$B$26="","",'Final Calculation Sheet'!$B$26)</f>
        <v/>
      </c>
      <c r="K225" s="133">
        <f>IF('Final Calculation Sheet'!$B$30="","",'Final Calculation Sheet'!$B$30)</f>
        <v/>
      </c>
      <c r="L225" s="73">
        <f>IF('Final Calculation Sheet'!$B$32="","",'Final Calculation Sheet'!$B$32)</f>
        <v/>
      </c>
      <c r="M225" s="133">
        <f>IF('Final Calculation Sheet'!$B$33="","",'Final Calculation Sheet'!$B$33)</f>
        <v/>
      </c>
      <c r="N225" s="73">
        <f>IF('Final Calculation Sheet'!$B$37="","",'Final Calculation Sheet'!$B$37)</f>
        <v/>
      </c>
      <c r="O225" s="132" t="inlineStr">
        <is>
          <t>–</t>
        </is>
      </c>
    </row>
    <row r="226" outlineLevel="2" ht="15" customHeight="1">
      <c r="A226" s="69" t="inlineStr">
        <is>
          <t xml:space="preserve">      Bid Sheet / Auction</t>
        </is>
      </c>
      <c r="B226" s="70">
        <f>IF('Final Calculation Sheet'!$D$5="","",'Final Calculation Sheet'!$D$5)</f>
        <v/>
      </c>
      <c r="C226" s="131">
        <f>IF('Final Calculation Sheet'!$D$10="","",'Final Calculation Sheet'!$D$10)</f>
        <v/>
      </c>
      <c r="D226" s="70">
        <f>IF('Final Calculation Sheet'!$D$11="","",'Final Calculation Sheet'!$D$11)</f>
        <v/>
      </c>
      <c r="E226" s="131">
        <f>IF('Final Calculation Sheet'!$D$12="","",'Final Calculation Sheet'!$D$12)</f>
        <v/>
      </c>
      <c r="F226" s="70">
        <f>IF('Final Calculation Sheet'!$D$18="","",'Final Calculation Sheet'!$D$18)</f>
        <v/>
      </c>
      <c r="G226" s="131">
        <f>IF('Final Calculation Sheet'!$D$19="","",'Final Calculation Sheet'!$D$19)</f>
        <v/>
      </c>
      <c r="H226" s="70">
        <f>IF('Final Calculation Sheet'!$D$22="","",'Final Calculation Sheet'!$D$22)</f>
        <v/>
      </c>
      <c r="I226" s="131">
        <f>IF('Final Calculation Sheet'!$D$24="","",'Final Calculation Sheet'!$D$24)</f>
        <v/>
      </c>
      <c r="J226" s="70">
        <f>IF('Final Calculation Sheet'!$D$26="","",'Final Calculation Sheet'!$D$26)</f>
        <v/>
      </c>
      <c r="K226" s="131">
        <f>IF('Final Calculation Sheet'!$D$30="","",'Final Calculation Sheet'!$D$30)</f>
        <v/>
      </c>
      <c r="L226" s="70">
        <f>IF('Final Calculation Sheet'!$D$32="","",'Final Calculation Sheet'!$D$32)</f>
        <v/>
      </c>
      <c r="M226" s="131">
        <f>IF('Final Calculation Sheet'!$D$33="","",'Final Calculation Sheet'!$D$33)</f>
        <v/>
      </c>
      <c r="N226" s="70">
        <f>IF('Final Calculation Sheet'!$D$37="","",'Final Calculation Sheet'!$D$37)</f>
        <v/>
      </c>
      <c r="O226" s="132" t="inlineStr">
        <is>
          <t>–</t>
        </is>
      </c>
    </row>
    <row r="227" outlineLevel="2" ht="15" customHeight="1">
      <c r="A227" s="69" t="inlineStr">
        <is>
          <t xml:space="preserve">      Quantity</t>
        </is>
      </c>
      <c r="B227" s="74">
        <f>IF('Final Calculation Sheet'!$A$5="","",'Final Calculation Sheet'!$A$5)</f>
        <v/>
      </c>
      <c r="C227" s="134">
        <f>IF('Final Calculation Sheet'!$A$10="","",'Final Calculation Sheet'!$A$10)</f>
        <v/>
      </c>
      <c r="D227" s="74">
        <f>IF('Final Calculation Sheet'!$A$11="","",'Final Calculation Sheet'!$A$11)</f>
        <v/>
      </c>
      <c r="E227" s="134">
        <f>IF('Final Calculation Sheet'!$A$12="","",'Final Calculation Sheet'!$A$12)</f>
        <v/>
      </c>
      <c r="F227" s="74">
        <f>IF('Final Calculation Sheet'!$A$18="","",'Final Calculation Sheet'!$A$18)</f>
        <v/>
      </c>
      <c r="G227" s="134">
        <f>IF('Final Calculation Sheet'!$A$19="","",'Final Calculation Sheet'!$A$19)</f>
        <v/>
      </c>
      <c r="H227" s="74">
        <f>IF('Final Calculation Sheet'!$A$22="","",'Final Calculation Sheet'!$A$22)</f>
        <v/>
      </c>
      <c r="I227" s="134">
        <f>IF('Final Calculation Sheet'!$A$24="","",'Final Calculation Sheet'!$A$24)</f>
        <v/>
      </c>
      <c r="J227" s="74">
        <f>IF('Final Calculation Sheet'!$A$26="","",'Final Calculation Sheet'!$A$26)</f>
        <v/>
      </c>
      <c r="K227" s="134">
        <f>IF('Final Calculation Sheet'!$A$30="","",'Final Calculation Sheet'!$A$30)</f>
        <v/>
      </c>
      <c r="L227" s="74">
        <f>IF('Final Calculation Sheet'!$A$32="","",'Final Calculation Sheet'!$A$32)</f>
        <v/>
      </c>
      <c r="M227" s="134">
        <f>IF('Final Calculation Sheet'!$A$33="","",'Final Calculation Sheet'!$A$33)</f>
        <v/>
      </c>
      <c r="N227" s="74">
        <f>IF('Final Calculation Sheet'!$A$37="","",'Final Calculation Sheet'!$A$37)</f>
        <v/>
      </c>
      <c r="O227" s="135">
        <f>SUM(B227:N227)</f>
        <v/>
      </c>
    </row>
    <row r="228" outlineLevel="2" ht="15" customHeight="1">
      <c r="A228" s="69" t="inlineStr">
        <is>
          <t xml:space="preserve">      Unit</t>
        </is>
      </c>
      <c r="B228" s="76">
        <f>IF('Final Calculation Sheet'!$E$5="","",'Final Calculation Sheet'!$E$5)</f>
        <v/>
      </c>
      <c r="C228" s="136">
        <f>IF('Final Calculation Sheet'!$E$10="","",'Final Calculation Sheet'!$E$10)</f>
        <v/>
      </c>
      <c r="D228" s="76">
        <f>IF('Final Calculation Sheet'!$E$11="","",'Final Calculation Sheet'!$E$11)</f>
        <v/>
      </c>
      <c r="E228" s="136">
        <f>IF('Final Calculation Sheet'!$E$12="","",'Final Calculation Sheet'!$E$12)</f>
        <v/>
      </c>
      <c r="F228" s="76">
        <f>IF('Final Calculation Sheet'!$E$18="","",'Final Calculation Sheet'!$E$18)</f>
        <v/>
      </c>
      <c r="G228" s="136">
        <f>IF('Final Calculation Sheet'!$E$19="","",'Final Calculation Sheet'!$E$19)</f>
        <v/>
      </c>
      <c r="H228" s="76">
        <f>IF('Final Calculation Sheet'!$E$22="","",'Final Calculation Sheet'!$E$22)</f>
        <v/>
      </c>
      <c r="I228" s="136">
        <f>IF('Final Calculation Sheet'!$E$24="","",'Final Calculation Sheet'!$E$24)</f>
        <v/>
      </c>
      <c r="J228" s="76">
        <f>IF('Final Calculation Sheet'!$E$26="","",'Final Calculation Sheet'!$E$26)</f>
        <v/>
      </c>
      <c r="K228" s="136">
        <f>IF('Final Calculation Sheet'!$E$30="","",'Final Calculation Sheet'!$E$30)</f>
        <v/>
      </c>
      <c r="L228" s="76">
        <f>IF('Final Calculation Sheet'!$E$32="","",'Final Calculation Sheet'!$E$32)</f>
        <v/>
      </c>
      <c r="M228" s="136">
        <f>IF('Final Calculation Sheet'!$E$33="","",'Final Calculation Sheet'!$E$33)</f>
        <v/>
      </c>
      <c r="N228" s="76">
        <f>IF('Final Calculation Sheet'!$E$37="","",'Final Calculation Sheet'!$E$37)</f>
        <v/>
      </c>
      <c r="O228" s="132" t="inlineStr">
        <is>
          <t>–</t>
        </is>
      </c>
    </row>
    <row r="229" outlineLevel="2" ht="15" customHeight="1">
      <c r="A229" s="69" t="inlineStr">
        <is>
          <t xml:space="preserve">      Rate (₹)</t>
        </is>
      </c>
      <c r="B229" s="70">
        <f>IF('Final Calculation Sheet'!$C$5="","",'Final Calculation Sheet'!$C$5)</f>
        <v/>
      </c>
      <c r="C229" s="131">
        <f>IF('Final Calculation Sheet'!$C$10="","",'Final Calculation Sheet'!$C$10)</f>
        <v/>
      </c>
      <c r="D229" s="70">
        <f>IF('Final Calculation Sheet'!$C$11="","",'Final Calculation Sheet'!$C$11)</f>
        <v/>
      </c>
      <c r="E229" s="131">
        <f>IF('Final Calculation Sheet'!$C$12="","",'Final Calculation Sheet'!$C$12)</f>
        <v/>
      </c>
      <c r="F229" s="70">
        <f>IF('Final Calculation Sheet'!$C$18="","",'Final Calculation Sheet'!$C$18)</f>
        <v/>
      </c>
      <c r="G229" s="131">
        <f>IF('Final Calculation Sheet'!$C$19="","",'Final Calculation Sheet'!$C$19)</f>
        <v/>
      </c>
      <c r="H229" s="70">
        <f>IF('Final Calculation Sheet'!$C$22="","",'Final Calculation Sheet'!$C$22)</f>
        <v/>
      </c>
      <c r="I229" s="131">
        <f>IF('Final Calculation Sheet'!$C$24="","",'Final Calculation Sheet'!$C$24)</f>
        <v/>
      </c>
      <c r="J229" s="70">
        <f>IF('Final Calculation Sheet'!$C$26="","",'Final Calculation Sheet'!$C$26)</f>
        <v/>
      </c>
      <c r="K229" s="131">
        <f>IF('Final Calculation Sheet'!$C$30="","",'Final Calculation Sheet'!$C$30)</f>
        <v/>
      </c>
      <c r="L229" s="70">
        <f>IF('Final Calculation Sheet'!$C$32="","",'Final Calculation Sheet'!$C$32)</f>
        <v/>
      </c>
      <c r="M229" s="131">
        <f>IF('Final Calculation Sheet'!$C$33="","",'Final Calculation Sheet'!$C$33)</f>
        <v/>
      </c>
      <c r="N229" s="70">
        <f>IF('Final Calculation Sheet'!$C$37="","",'Final Calculation Sheet'!$C$37)</f>
        <v/>
      </c>
      <c r="O229" s="132" t="inlineStr">
        <is>
          <t>–</t>
        </is>
      </c>
    </row>
    <row r="230" outlineLevel="1" ht="16" customHeight="1">
      <c r="A230" s="127" t="inlineStr">
        <is>
          <t xml:space="preserve">  ▸ FINANCIALS</t>
        </is>
      </c>
      <c r="B230" s="130" t="n"/>
      <c r="C230" s="130" t="n"/>
      <c r="D230" s="130" t="n"/>
      <c r="E230" s="130" t="n"/>
      <c r="F230" s="130" t="n"/>
      <c r="G230" s="130" t="n"/>
      <c r="H230" s="130" t="n"/>
      <c r="I230" s="130" t="n"/>
      <c r="J230" s="130" t="n"/>
      <c r="K230" s="130" t="n"/>
      <c r="L230" s="130" t="n"/>
      <c r="M230" s="130" t="n"/>
      <c r="N230" s="130" t="n"/>
      <c r="O230" s="130" t="n"/>
    </row>
    <row r="231" outlineLevel="2" ht="15" customHeight="1">
      <c r="A231" s="69" t="inlineStr">
        <is>
          <t xml:space="preserve">      Mat. Value (₹)</t>
        </is>
      </c>
      <c r="B231" s="70">
        <f>IF('Final Calculation Sheet'!$H$5="","",'Final Calculation Sheet'!$H$5)</f>
        <v/>
      </c>
      <c r="C231" s="131">
        <f>IF('Final Calculation Sheet'!$H$10="","",'Final Calculation Sheet'!$H$10)</f>
        <v/>
      </c>
      <c r="D231" s="70">
        <f>IF('Final Calculation Sheet'!$H$11="","",'Final Calculation Sheet'!$H$11)</f>
        <v/>
      </c>
      <c r="E231" s="131">
        <f>IF('Final Calculation Sheet'!$H$12="","",'Final Calculation Sheet'!$H$12)</f>
        <v/>
      </c>
      <c r="F231" s="70">
        <f>IF('Final Calculation Sheet'!$H$18="","",'Final Calculation Sheet'!$H$18)</f>
        <v/>
      </c>
      <c r="G231" s="131">
        <f>IF('Final Calculation Sheet'!$H$19="","",'Final Calculation Sheet'!$H$19)</f>
        <v/>
      </c>
      <c r="H231" s="70">
        <f>IF('Final Calculation Sheet'!$H$22="","",'Final Calculation Sheet'!$H$22)</f>
        <v/>
      </c>
      <c r="I231" s="131">
        <f>IF('Final Calculation Sheet'!$H$24="","",'Final Calculation Sheet'!$H$24)</f>
        <v/>
      </c>
      <c r="J231" s="70">
        <f>IF('Final Calculation Sheet'!$H$26="","",'Final Calculation Sheet'!$H$26)</f>
        <v/>
      </c>
      <c r="K231" s="131">
        <f>IF('Final Calculation Sheet'!$H$30="","",'Final Calculation Sheet'!$H$30)</f>
        <v/>
      </c>
      <c r="L231" s="70">
        <f>IF('Final Calculation Sheet'!$H$32="","",'Final Calculation Sheet'!$H$32)</f>
        <v/>
      </c>
      <c r="M231" s="131">
        <f>IF('Final Calculation Sheet'!$H$33="","",'Final Calculation Sheet'!$H$33)</f>
        <v/>
      </c>
      <c r="N231" s="70">
        <f>IF('Final Calculation Sheet'!$H$37="","",'Final Calculation Sheet'!$H$37)</f>
        <v/>
      </c>
      <c r="O231" s="137">
        <f>SUM(B231:N231)</f>
        <v/>
      </c>
    </row>
    <row r="232" outlineLevel="2" ht="15" customHeight="1">
      <c r="A232" s="69" t="inlineStr">
        <is>
          <t xml:space="preserve">      GST @ 18% (₹)</t>
        </is>
      </c>
      <c r="B232" s="70">
        <f>IF('Final Calculation Sheet'!$I$5="","",'Final Calculation Sheet'!$I$5)</f>
        <v/>
      </c>
      <c r="C232" s="131">
        <f>IF('Final Calculation Sheet'!$I$10="","",'Final Calculation Sheet'!$I$10)</f>
        <v/>
      </c>
      <c r="D232" s="70">
        <f>IF('Final Calculation Sheet'!$I$11="","",'Final Calculation Sheet'!$I$11)</f>
        <v/>
      </c>
      <c r="E232" s="131">
        <f>IF('Final Calculation Sheet'!$I$12="","",'Final Calculation Sheet'!$I$12)</f>
        <v/>
      </c>
      <c r="F232" s="70">
        <f>IF('Final Calculation Sheet'!$I$18="","",'Final Calculation Sheet'!$I$18)</f>
        <v/>
      </c>
      <c r="G232" s="131">
        <f>IF('Final Calculation Sheet'!$I$19="","",'Final Calculation Sheet'!$I$19)</f>
        <v/>
      </c>
      <c r="H232" s="70">
        <f>IF('Final Calculation Sheet'!$I$22="","",'Final Calculation Sheet'!$I$22)</f>
        <v/>
      </c>
      <c r="I232" s="131">
        <f>IF('Final Calculation Sheet'!$I$24="","",'Final Calculation Sheet'!$I$24)</f>
        <v/>
      </c>
      <c r="J232" s="70">
        <f>IF('Final Calculation Sheet'!$I$26="","",'Final Calculation Sheet'!$I$26)</f>
        <v/>
      </c>
      <c r="K232" s="131">
        <f>IF('Final Calculation Sheet'!$I$30="","",'Final Calculation Sheet'!$I$30)</f>
        <v/>
      </c>
      <c r="L232" s="70">
        <f>IF('Final Calculation Sheet'!$I$32="","",'Final Calculation Sheet'!$I$32)</f>
        <v/>
      </c>
      <c r="M232" s="131">
        <f>IF('Final Calculation Sheet'!$I$33="","",'Final Calculation Sheet'!$I$33)</f>
        <v/>
      </c>
      <c r="N232" s="70">
        <f>IF('Final Calculation Sheet'!$I$37="","",'Final Calculation Sheet'!$I$37)</f>
        <v/>
      </c>
      <c r="O232" s="137">
        <f>SUM(B232:N232)</f>
        <v/>
      </c>
    </row>
    <row r="233" outlineLevel="2" ht="15" customHeight="1">
      <c r="A233" s="69" t="inlineStr">
        <is>
          <t xml:space="preserve">      Mat. Value + GST (₹)</t>
        </is>
      </c>
      <c r="B233" s="70">
        <f>IF('Final Calculation Sheet'!$J$5="","",'Final Calculation Sheet'!$J$5)</f>
        <v/>
      </c>
      <c r="C233" s="131">
        <f>IF('Final Calculation Sheet'!$J$10="","",'Final Calculation Sheet'!$J$10)</f>
        <v/>
      </c>
      <c r="D233" s="70">
        <f>IF('Final Calculation Sheet'!$J$11="","",'Final Calculation Sheet'!$J$11)</f>
        <v/>
      </c>
      <c r="E233" s="131">
        <f>IF('Final Calculation Sheet'!$J$12="","",'Final Calculation Sheet'!$J$12)</f>
        <v/>
      </c>
      <c r="F233" s="70">
        <f>IF('Final Calculation Sheet'!$J$18="","",'Final Calculation Sheet'!$J$18)</f>
        <v/>
      </c>
      <c r="G233" s="131">
        <f>IF('Final Calculation Sheet'!$J$19="","",'Final Calculation Sheet'!$J$19)</f>
        <v/>
      </c>
      <c r="H233" s="70">
        <f>IF('Final Calculation Sheet'!$J$22="","",'Final Calculation Sheet'!$J$22)</f>
        <v/>
      </c>
      <c r="I233" s="131">
        <f>IF('Final Calculation Sheet'!$J$24="","",'Final Calculation Sheet'!$J$24)</f>
        <v/>
      </c>
      <c r="J233" s="70">
        <f>IF('Final Calculation Sheet'!$J$26="","",'Final Calculation Sheet'!$J$26)</f>
        <v/>
      </c>
      <c r="K233" s="131">
        <f>IF('Final Calculation Sheet'!$J$30="","",'Final Calculation Sheet'!$J$30)</f>
        <v/>
      </c>
      <c r="L233" s="70">
        <f>IF('Final Calculation Sheet'!$J$32="","",'Final Calculation Sheet'!$J$32)</f>
        <v/>
      </c>
      <c r="M233" s="131">
        <f>IF('Final Calculation Sheet'!$J$33="","",'Final Calculation Sheet'!$J$33)</f>
        <v/>
      </c>
      <c r="N233" s="70">
        <f>IF('Final Calculation Sheet'!$J$37="","",'Final Calculation Sheet'!$J$37)</f>
        <v/>
      </c>
      <c r="O233" s="137">
        <f>SUM(B233:N233)</f>
        <v/>
      </c>
    </row>
    <row r="234" outlineLevel="2" ht="15" customHeight="1">
      <c r="A234" s="69" t="inlineStr">
        <is>
          <t xml:space="preserve">      TCS @ 2% (₹)</t>
        </is>
      </c>
      <c r="B234" s="70">
        <f>IF('Final Calculation Sheet'!$K$5="","",'Final Calculation Sheet'!$K$5)</f>
        <v/>
      </c>
      <c r="C234" s="131">
        <f>IF('Final Calculation Sheet'!$K$10="","",'Final Calculation Sheet'!$K$10)</f>
        <v/>
      </c>
      <c r="D234" s="70">
        <f>IF('Final Calculation Sheet'!$K$11="","",'Final Calculation Sheet'!$K$11)</f>
        <v/>
      </c>
      <c r="E234" s="131">
        <f>IF('Final Calculation Sheet'!$K$12="","",'Final Calculation Sheet'!$K$12)</f>
        <v/>
      </c>
      <c r="F234" s="70">
        <f>IF('Final Calculation Sheet'!$K$18="","",'Final Calculation Sheet'!$K$18)</f>
        <v/>
      </c>
      <c r="G234" s="131">
        <f>IF('Final Calculation Sheet'!$K$19="","",'Final Calculation Sheet'!$K$19)</f>
        <v/>
      </c>
      <c r="H234" s="70">
        <f>IF('Final Calculation Sheet'!$K$22="","",'Final Calculation Sheet'!$K$22)</f>
        <v/>
      </c>
      <c r="I234" s="131">
        <f>IF('Final Calculation Sheet'!$K$24="","",'Final Calculation Sheet'!$K$24)</f>
        <v/>
      </c>
      <c r="J234" s="70">
        <f>IF('Final Calculation Sheet'!$K$26="","",'Final Calculation Sheet'!$K$26)</f>
        <v/>
      </c>
      <c r="K234" s="131">
        <f>IF('Final Calculation Sheet'!$K$30="","",'Final Calculation Sheet'!$K$30)</f>
        <v/>
      </c>
      <c r="L234" s="70">
        <f>IF('Final Calculation Sheet'!$K$32="","",'Final Calculation Sheet'!$K$32)</f>
        <v/>
      </c>
      <c r="M234" s="131">
        <f>IF('Final Calculation Sheet'!$K$33="","",'Final Calculation Sheet'!$K$33)</f>
        <v/>
      </c>
      <c r="N234" s="70">
        <f>IF('Final Calculation Sheet'!$K$37="","",'Final Calculation Sheet'!$K$37)</f>
        <v/>
      </c>
      <c r="O234" s="137">
        <f>SUM(B234:N234)</f>
        <v/>
      </c>
    </row>
    <row r="235" outlineLevel="2" ht="15" customHeight="1">
      <c r="A235" s="69" t="inlineStr">
        <is>
          <t xml:space="preserve">      TDS u/s 194(O) (₹)</t>
        </is>
      </c>
      <c r="B235" s="78">
        <f>IF('Final Calculation Sheet'!$L$5="","",'Final Calculation Sheet'!$L$5)</f>
        <v/>
      </c>
      <c r="C235" s="138">
        <f>IF('Final Calculation Sheet'!$L$10="","",'Final Calculation Sheet'!$L$10)</f>
        <v/>
      </c>
      <c r="D235" s="78">
        <f>IF('Final Calculation Sheet'!$L$11="","",'Final Calculation Sheet'!$L$11)</f>
        <v/>
      </c>
      <c r="E235" s="138">
        <f>IF('Final Calculation Sheet'!$L$12="","",'Final Calculation Sheet'!$L$12)</f>
        <v/>
      </c>
      <c r="F235" s="78">
        <f>IF('Final Calculation Sheet'!$L$18="","",'Final Calculation Sheet'!$L$18)</f>
        <v/>
      </c>
      <c r="G235" s="138">
        <f>IF('Final Calculation Sheet'!$L$19="","",'Final Calculation Sheet'!$L$19)</f>
        <v/>
      </c>
      <c r="H235" s="78">
        <f>IF('Final Calculation Sheet'!$L$22="","",'Final Calculation Sheet'!$L$22)</f>
        <v/>
      </c>
      <c r="I235" s="138">
        <f>IF('Final Calculation Sheet'!$L$24="","",'Final Calculation Sheet'!$L$24)</f>
        <v/>
      </c>
      <c r="J235" s="78">
        <f>IF('Final Calculation Sheet'!$L$26="","",'Final Calculation Sheet'!$L$26)</f>
        <v/>
      </c>
      <c r="K235" s="138">
        <f>IF('Final Calculation Sheet'!$L$30="","",'Final Calculation Sheet'!$L$30)</f>
        <v/>
      </c>
      <c r="L235" s="78">
        <f>IF('Final Calculation Sheet'!$L$32="","",'Final Calculation Sheet'!$L$32)</f>
        <v/>
      </c>
      <c r="M235" s="138">
        <f>IF('Final Calculation Sheet'!$L$33="","",'Final Calculation Sheet'!$L$33)</f>
        <v/>
      </c>
      <c r="N235" s="78">
        <f>IF('Final Calculation Sheet'!$L$37="","",'Final Calculation Sheet'!$L$37)</f>
        <v/>
      </c>
      <c r="O235" s="139">
        <f>SUM(B235:N235)</f>
        <v/>
      </c>
    </row>
    <row r="236" outlineLevel="2" ht="15" customHeight="1">
      <c r="A236" s="69" t="inlineStr">
        <is>
          <t xml:space="preserve">      Service Charge gross (₹)</t>
        </is>
      </c>
      <c r="B236" s="78">
        <f>IF('Final Calculation Sheet'!$M$5="","",'Final Calculation Sheet'!$M$5)</f>
        <v/>
      </c>
      <c r="C236" s="138">
        <f>IF('Final Calculation Sheet'!$M$10="","",'Final Calculation Sheet'!$M$10)</f>
        <v/>
      </c>
      <c r="D236" s="78">
        <f>IF('Final Calculation Sheet'!$M$11="","",'Final Calculation Sheet'!$M$11)</f>
        <v/>
      </c>
      <c r="E236" s="138">
        <f>IF('Final Calculation Sheet'!$M$12="","",'Final Calculation Sheet'!$M$12)</f>
        <v/>
      </c>
      <c r="F236" s="78">
        <f>IF('Final Calculation Sheet'!$M$18="","",'Final Calculation Sheet'!$M$18)</f>
        <v/>
      </c>
      <c r="G236" s="138">
        <f>IF('Final Calculation Sheet'!$M$19="","",'Final Calculation Sheet'!$M$19)</f>
        <v/>
      </c>
      <c r="H236" s="78">
        <f>IF('Final Calculation Sheet'!$M$22="","",'Final Calculation Sheet'!$M$22)</f>
        <v/>
      </c>
      <c r="I236" s="138">
        <f>IF('Final Calculation Sheet'!$M$24="","",'Final Calculation Sheet'!$M$24)</f>
        <v/>
      </c>
      <c r="J236" s="78">
        <f>IF('Final Calculation Sheet'!$M$26="","",'Final Calculation Sheet'!$M$26)</f>
        <v/>
      </c>
      <c r="K236" s="138">
        <f>IF('Final Calculation Sheet'!$M$30="","",'Final Calculation Sheet'!$M$30)</f>
        <v/>
      </c>
      <c r="L236" s="78">
        <f>IF('Final Calculation Sheet'!$M$32="","",'Final Calculation Sheet'!$M$32)</f>
        <v/>
      </c>
      <c r="M236" s="138">
        <f>IF('Final Calculation Sheet'!$M$33="","",'Final Calculation Sheet'!$M$33)</f>
        <v/>
      </c>
      <c r="N236" s="78">
        <f>IF('Final Calculation Sheet'!$M$37="","",'Final Calculation Sheet'!$M$37)</f>
        <v/>
      </c>
      <c r="O236" s="139">
        <f>SUM(B236:N236)</f>
        <v/>
      </c>
    </row>
    <row r="237" outlineLevel="2" ht="15" customHeight="1">
      <c r="A237" s="69" t="inlineStr">
        <is>
          <t xml:space="preserve">      TDS u/s 194(H) (₹)</t>
        </is>
      </c>
      <c r="B237" s="78">
        <f>IF('Final Calculation Sheet'!$N$5="","",'Final Calculation Sheet'!$N$5)</f>
        <v/>
      </c>
      <c r="C237" s="138">
        <f>IF('Final Calculation Sheet'!$N$10="","",'Final Calculation Sheet'!$N$10)</f>
        <v/>
      </c>
      <c r="D237" s="78">
        <f>IF('Final Calculation Sheet'!$N$11="","",'Final Calculation Sheet'!$N$11)</f>
        <v/>
      </c>
      <c r="E237" s="138">
        <f>IF('Final Calculation Sheet'!$N$12="","",'Final Calculation Sheet'!$N$12)</f>
        <v/>
      </c>
      <c r="F237" s="78">
        <f>IF('Final Calculation Sheet'!$N$18="","",'Final Calculation Sheet'!$N$18)</f>
        <v/>
      </c>
      <c r="G237" s="138">
        <f>IF('Final Calculation Sheet'!$N$19="","",'Final Calculation Sheet'!$N$19)</f>
        <v/>
      </c>
      <c r="H237" s="78">
        <f>IF('Final Calculation Sheet'!$N$22="","",'Final Calculation Sheet'!$N$22)</f>
        <v/>
      </c>
      <c r="I237" s="138">
        <f>IF('Final Calculation Sheet'!$N$24="","",'Final Calculation Sheet'!$N$24)</f>
        <v/>
      </c>
      <c r="J237" s="78">
        <f>IF('Final Calculation Sheet'!$N$26="","",'Final Calculation Sheet'!$N$26)</f>
        <v/>
      </c>
      <c r="K237" s="138">
        <f>IF('Final Calculation Sheet'!$N$30="","",'Final Calculation Sheet'!$N$30)</f>
        <v/>
      </c>
      <c r="L237" s="78">
        <f>IF('Final Calculation Sheet'!$N$32="","",'Final Calculation Sheet'!$N$32)</f>
        <v/>
      </c>
      <c r="M237" s="138">
        <f>IF('Final Calculation Sheet'!$N$33="","",'Final Calculation Sheet'!$N$33)</f>
        <v/>
      </c>
      <c r="N237" s="78">
        <f>IF('Final Calculation Sheet'!$N$37="","",'Final Calculation Sheet'!$N$37)</f>
        <v/>
      </c>
      <c r="O237" s="139">
        <f>SUM(B237:N237)</f>
        <v/>
      </c>
    </row>
    <row r="238" outlineLevel="2" ht="15" customHeight="1">
      <c r="A238" s="69" t="inlineStr">
        <is>
          <t xml:space="preserve">      Net Service Charge (₹)</t>
        </is>
      </c>
      <c r="B238" s="78">
        <f>IF('Final Calculation Sheet'!$O$5="","",'Final Calculation Sheet'!$O$5)</f>
        <v/>
      </c>
      <c r="C238" s="138">
        <f>IF('Final Calculation Sheet'!$O$10="","",'Final Calculation Sheet'!$O$10)</f>
        <v/>
      </c>
      <c r="D238" s="78">
        <f>IF('Final Calculation Sheet'!$O$11="","",'Final Calculation Sheet'!$O$11)</f>
        <v/>
      </c>
      <c r="E238" s="138">
        <f>IF('Final Calculation Sheet'!$O$12="","",'Final Calculation Sheet'!$O$12)</f>
        <v/>
      </c>
      <c r="F238" s="78">
        <f>IF('Final Calculation Sheet'!$O$18="","",'Final Calculation Sheet'!$O$18)</f>
        <v/>
      </c>
      <c r="G238" s="138">
        <f>IF('Final Calculation Sheet'!$O$19="","",'Final Calculation Sheet'!$O$19)</f>
        <v/>
      </c>
      <c r="H238" s="78">
        <f>IF('Final Calculation Sheet'!$O$22="","",'Final Calculation Sheet'!$O$22)</f>
        <v/>
      </c>
      <c r="I238" s="138">
        <f>IF('Final Calculation Sheet'!$O$24="","",'Final Calculation Sheet'!$O$24)</f>
        <v/>
      </c>
      <c r="J238" s="78">
        <f>IF('Final Calculation Sheet'!$O$26="","",'Final Calculation Sheet'!$O$26)</f>
        <v/>
      </c>
      <c r="K238" s="138">
        <f>IF('Final Calculation Sheet'!$O$30="","",'Final Calculation Sheet'!$O$30)</f>
        <v/>
      </c>
      <c r="L238" s="78">
        <f>IF('Final Calculation Sheet'!$O$32="","",'Final Calculation Sheet'!$O$32)</f>
        <v/>
      </c>
      <c r="M238" s="138">
        <f>IF('Final Calculation Sheet'!$O$33="","",'Final Calculation Sheet'!$O$33)</f>
        <v/>
      </c>
      <c r="N238" s="78">
        <f>IF('Final Calculation Sheet'!$O$37="","",'Final Calculation Sheet'!$O$37)</f>
        <v/>
      </c>
      <c r="O238" s="139">
        <f>SUM(B238:N238)</f>
        <v/>
      </c>
    </row>
    <row r="239" outlineLevel="2" ht="15" customHeight="1">
      <c r="A239" s="69" t="inlineStr">
        <is>
          <t xml:space="preserve">      Svc Charge to MSTC (₹)</t>
        </is>
      </c>
      <c r="B239" s="70">
        <f>IF('Final Calculation Sheet'!$P$5="","",'Final Calculation Sheet'!$P$5)</f>
        <v/>
      </c>
      <c r="C239" s="131">
        <f>IF('Final Calculation Sheet'!$P$10="","",'Final Calculation Sheet'!$P$10)</f>
        <v/>
      </c>
      <c r="D239" s="70">
        <f>IF('Final Calculation Sheet'!$P$11="","",'Final Calculation Sheet'!$P$11)</f>
        <v/>
      </c>
      <c r="E239" s="131">
        <f>IF('Final Calculation Sheet'!$P$12="","",'Final Calculation Sheet'!$P$12)</f>
        <v/>
      </c>
      <c r="F239" s="70">
        <f>IF('Final Calculation Sheet'!$P$18="","",'Final Calculation Sheet'!$P$18)</f>
        <v/>
      </c>
      <c r="G239" s="131">
        <f>IF('Final Calculation Sheet'!$P$19="","",'Final Calculation Sheet'!$P$19)</f>
        <v/>
      </c>
      <c r="H239" s="70">
        <f>IF('Final Calculation Sheet'!$P$22="","",'Final Calculation Sheet'!$P$22)</f>
        <v/>
      </c>
      <c r="I239" s="131">
        <f>IF('Final Calculation Sheet'!$P$24="","",'Final Calculation Sheet'!$P$24)</f>
        <v/>
      </c>
      <c r="J239" s="70">
        <f>IF('Final Calculation Sheet'!$P$26="","",'Final Calculation Sheet'!$P$26)</f>
        <v/>
      </c>
      <c r="K239" s="131">
        <f>IF('Final Calculation Sheet'!$P$30="","",'Final Calculation Sheet'!$P$30)</f>
        <v/>
      </c>
      <c r="L239" s="70">
        <f>IF('Final Calculation Sheet'!$P$32="","",'Final Calculation Sheet'!$P$32)</f>
        <v/>
      </c>
      <c r="M239" s="131">
        <f>IF('Final Calculation Sheet'!$P$33="","",'Final Calculation Sheet'!$P$33)</f>
        <v/>
      </c>
      <c r="N239" s="70">
        <f>IF('Final Calculation Sheet'!$P$37="","",'Final Calculation Sheet'!$P$37)</f>
        <v/>
      </c>
      <c r="O239" s="137">
        <f>SUM(B239:N239)</f>
        <v/>
      </c>
    </row>
    <row r="240" outlineLevel="2" ht="15" customHeight="1">
      <c r="A240" s="69" t="inlineStr">
        <is>
          <t xml:space="preserve">      GST TDS Rate</t>
        </is>
      </c>
      <c r="B240" s="80">
        <f>IF('Final Calculation Sheet'!$Q$5="","",'Final Calculation Sheet'!$Q$5)</f>
        <v/>
      </c>
      <c r="C240" s="140">
        <f>IF('Final Calculation Sheet'!$Q$10="","",'Final Calculation Sheet'!$Q$10)</f>
        <v/>
      </c>
      <c r="D240" s="80">
        <f>IF('Final Calculation Sheet'!$Q$11="","",'Final Calculation Sheet'!$Q$11)</f>
        <v/>
      </c>
      <c r="E240" s="140">
        <f>IF('Final Calculation Sheet'!$Q$12="","",'Final Calculation Sheet'!$Q$12)</f>
        <v/>
      </c>
      <c r="F240" s="80">
        <f>IF('Final Calculation Sheet'!$Q$18="","",'Final Calculation Sheet'!$Q$18)</f>
        <v/>
      </c>
      <c r="G240" s="140">
        <f>IF('Final Calculation Sheet'!$Q$19="","",'Final Calculation Sheet'!$Q$19)</f>
        <v/>
      </c>
      <c r="H240" s="80">
        <f>IF('Final Calculation Sheet'!$Q$22="","",'Final Calculation Sheet'!$Q$22)</f>
        <v/>
      </c>
      <c r="I240" s="140">
        <f>IF('Final Calculation Sheet'!$Q$24="","",'Final Calculation Sheet'!$Q$24)</f>
        <v/>
      </c>
      <c r="J240" s="80">
        <f>IF('Final Calculation Sheet'!$Q$26="","",'Final Calculation Sheet'!$Q$26)</f>
        <v/>
      </c>
      <c r="K240" s="140">
        <f>IF('Final Calculation Sheet'!$Q$30="","",'Final Calculation Sheet'!$Q$30)</f>
        <v/>
      </c>
      <c r="L240" s="80">
        <f>IF('Final Calculation Sheet'!$Q$32="","",'Final Calculation Sheet'!$Q$32)</f>
        <v/>
      </c>
      <c r="M240" s="140">
        <f>IF('Final Calculation Sheet'!$Q$33="","",'Final Calculation Sheet'!$Q$33)</f>
        <v/>
      </c>
      <c r="N240" s="80">
        <f>IF('Final Calculation Sheet'!$Q$37="","",'Final Calculation Sheet'!$Q$37)</f>
        <v/>
      </c>
      <c r="O240" s="132" t="inlineStr">
        <is>
          <t>–</t>
        </is>
      </c>
    </row>
    <row r="241" outlineLevel="2" ht="15" customHeight="1">
      <c r="A241" s="69" t="inlineStr">
        <is>
          <t xml:space="preserve">      GST TDS (₹)</t>
        </is>
      </c>
      <c r="B241" s="70">
        <f>IF('Final Calculation Sheet'!$R$5="","",'Final Calculation Sheet'!$R$5)</f>
        <v/>
      </c>
      <c r="C241" s="131">
        <f>IF('Final Calculation Sheet'!$R$10="","",'Final Calculation Sheet'!$R$10)</f>
        <v/>
      </c>
      <c r="D241" s="70">
        <f>IF('Final Calculation Sheet'!$R$11="","",'Final Calculation Sheet'!$R$11)</f>
        <v/>
      </c>
      <c r="E241" s="131">
        <f>IF('Final Calculation Sheet'!$R$12="","",'Final Calculation Sheet'!$R$12)</f>
        <v/>
      </c>
      <c r="F241" s="70">
        <f>IF('Final Calculation Sheet'!$R$18="","",'Final Calculation Sheet'!$R$18)</f>
        <v/>
      </c>
      <c r="G241" s="131">
        <f>IF('Final Calculation Sheet'!$R$19="","",'Final Calculation Sheet'!$R$19)</f>
        <v/>
      </c>
      <c r="H241" s="70">
        <f>IF('Final Calculation Sheet'!$R$22="","",'Final Calculation Sheet'!$R$22)</f>
        <v/>
      </c>
      <c r="I241" s="131">
        <f>IF('Final Calculation Sheet'!$R$24="","",'Final Calculation Sheet'!$R$24)</f>
        <v/>
      </c>
      <c r="J241" s="70">
        <f>IF('Final Calculation Sheet'!$R$26="","",'Final Calculation Sheet'!$R$26)</f>
        <v/>
      </c>
      <c r="K241" s="131">
        <f>IF('Final Calculation Sheet'!$R$30="","",'Final Calculation Sheet'!$R$30)</f>
        <v/>
      </c>
      <c r="L241" s="70">
        <f>IF('Final Calculation Sheet'!$R$32="","",'Final Calculation Sheet'!$R$32)</f>
        <v/>
      </c>
      <c r="M241" s="131">
        <f>IF('Final Calculation Sheet'!$R$33="","",'Final Calculation Sheet'!$R$33)</f>
        <v/>
      </c>
      <c r="N241" s="70">
        <f>IF('Final Calculation Sheet'!$R$37="","",'Final Calculation Sheet'!$R$37)</f>
        <v/>
      </c>
      <c r="O241" s="137">
        <f>SUM(B241:N241)</f>
        <v/>
      </c>
    </row>
    <row r="242" outlineLevel="2" ht="15" customHeight="1">
      <c r="A242" s="69" t="inlineStr">
        <is>
          <t xml:space="preserve">      Total Receivables (₹)</t>
        </is>
      </c>
      <c r="B242" s="70">
        <f>IF('Final Calculation Sheet'!$S$5="","",'Final Calculation Sheet'!$S$5)</f>
        <v/>
      </c>
      <c r="C242" s="131">
        <f>IF('Final Calculation Sheet'!$S$10="","",'Final Calculation Sheet'!$S$10)</f>
        <v/>
      </c>
      <c r="D242" s="70">
        <f>IF('Final Calculation Sheet'!$S$11="","",'Final Calculation Sheet'!$S$11)</f>
        <v/>
      </c>
      <c r="E242" s="131">
        <f>IF('Final Calculation Sheet'!$S$12="","",'Final Calculation Sheet'!$S$12)</f>
        <v/>
      </c>
      <c r="F242" s="70">
        <f>IF('Final Calculation Sheet'!$S$18="","",'Final Calculation Sheet'!$S$18)</f>
        <v/>
      </c>
      <c r="G242" s="131">
        <f>IF('Final Calculation Sheet'!$S$19="","",'Final Calculation Sheet'!$S$19)</f>
        <v/>
      </c>
      <c r="H242" s="70">
        <f>IF('Final Calculation Sheet'!$S$22="","",'Final Calculation Sheet'!$S$22)</f>
        <v/>
      </c>
      <c r="I242" s="131">
        <f>IF('Final Calculation Sheet'!$S$24="","",'Final Calculation Sheet'!$S$24)</f>
        <v/>
      </c>
      <c r="J242" s="70">
        <f>IF('Final Calculation Sheet'!$S$26="","",'Final Calculation Sheet'!$S$26)</f>
        <v/>
      </c>
      <c r="K242" s="131">
        <f>IF('Final Calculation Sheet'!$S$30="","",'Final Calculation Sheet'!$S$30)</f>
        <v/>
      </c>
      <c r="L242" s="70">
        <f>IF('Final Calculation Sheet'!$S$32="","",'Final Calculation Sheet'!$S$32)</f>
        <v/>
      </c>
      <c r="M242" s="131">
        <f>IF('Final Calculation Sheet'!$S$33="","",'Final Calculation Sheet'!$S$33)</f>
        <v/>
      </c>
      <c r="N242" s="70">
        <f>IF('Final Calculation Sheet'!$S$37="","",'Final Calculation Sheet'!$S$37)</f>
        <v/>
      </c>
      <c r="O242" s="137">
        <f>SUM(B242:N242)</f>
        <v/>
      </c>
    </row>
    <row r="243" outlineLevel="1" ht="16" customHeight="1">
      <c r="A243" s="127" t="inlineStr">
        <is>
          <t xml:space="preserve">  ▸ SECURITY DEPOSIT</t>
        </is>
      </c>
      <c r="B243" s="130" t="n"/>
      <c r="C243" s="130" t="n"/>
      <c r="D243" s="130" t="n"/>
      <c r="E243" s="130" t="n"/>
      <c r="F243" s="130" t="n"/>
      <c r="G243" s="130" t="n"/>
      <c r="H243" s="130" t="n"/>
      <c r="I243" s="130" t="n"/>
      <c r="J243" s="130" t="n"/>
      <c r="K243" s="130" t="n"/>
      <c r="L243" s="130" t="n"/>
      <c r="M243" s="130" t="n"/>
      <c r="N243" s="130" t="n"/>
      <c r="O243" s="130" t="n"/>
    </row>
    <row r="244" outlineLevel="2" ht="15" customHeight="1">
      <c r="A244" s="69" t="inlineStr">
        <is>
          <t xml:space="preserve">      SD Expected (₹)</t>
        </is>
      </c>
      <c r="B244" s="70">
        <f>IF('Final Calculation Sheet'!$T$5="","",'Final Calculation Sheet'!$T$5)</f>
        <v/>
      </c>
      <c r="C244" s="131">
        <f>IF('Final Calculation Sheet'!$T$10="","",'Final Calculation Sheet'!$T$10)</f>
        <v/>
      </c>
      <c r="D244" s="70">
        <f>IF('Final Calculation Sheet'!$T$11="","",'Final Calculation Sheet'!$T$11)</f>
        <v/>
      </c>
      <c r="E244" s="131">
        <f>IF('Final Calculation Sheet'!$T$12="","",'Final Calculation Sheet'!$T$12)</f>
        <v/>
      </c>
      <c r="F244" s="70">
        <f>IF('Final Calculation Sheet'!$T$18="","",'Final Calculation Sheet'!$T$18)</f>
        <v/>
      </c>
      <c r="G244" s="131">
        <f>IF('Final Calculation Sheet'!$T$19="","",'Final Calculation Sheet'!$T$19)</f>
        <v/>
      </c>
      <c r="H244" s="70">
        <f>IF('Final Calculation Sheet'!$T$22="","",'Final Calculation Sheet'!$T$22)</f>
        <v/>
      </c>
      <c r="I244" s="131">
        <f>IF('Final Calculation Sheet'!$T$24="","",'Final Calculation Sheet'!$T$24)</f>
        <v/>
      </c>
      <c r="J244" s="70">
        <f>IF('Final Calculation Sheet'!$T$26="","",'Final Calculation Sheet'!$T$26)</f>
        <v/>
      </c>
      <c r="K244" s="131">
        <f>IF('Final Calculation Sheet'!$T$30="","",'Final Calculation Sheet'!$T$30)</f>
        <v/>
      </c>
      <c r="L244" s="70">
        <f>IF('Final Calculation Sheet'!$T$32="","",'Final Calculation Sheet'!$T$32)</f>
        <v/>
      </c>
      <c r="M244" s="131">
        <f>IF('Final Calculation Sheet'!$T$33="","",'Final Calculation Sheet'!$T$33)</f>
        <v/>
      </c>
      <c r="N244" s="70">
        <f>IF('Final Calculation Sheet'!$T$37="","",'Final Calculation Sheet'!$T$37)</f>
        <v/>
      </c>
      <c r="O244" s="137">
        <f>SUM(B244:N244)</f>
        <v/>
      </c>
    </row>
    <row r="245" outlineLevel="2" ht="15" customHeight="1">
      <c r="A245" s="69" t="inlineStr">
        <is>
          <t xml:space="preserve">      SD Received (₹)</t>
        </is>
      </c>
      <c r="B245" s="70">
        <f>IF('Final Calculation Sheet'!$U$5="","",'Final Calculation Sheet'!$U$5)</f>
        <v/>
      </c>
      <c r="C245" s="131">
        <f>IF('Final Calculation Sheet'!$U$10="","",'Final Calculation Sheet'!$U$10)</f>
        <v/>
      </c>
      <c r="D245" s="70">
        <f>IF('Final Calculation Sheet'!$U$11="","",'Final Calculation Sheet'!$U$11)</f>
        <v/>
      </c>
      <c r="E245" s="131">
        <f>IF('Final Calculation Sheet'!$U$12="","",'Final Calculation Sheet'!$U$12)</f>
        <v/>
      </c>
      <c r="F245" s="70">
        <f>IF('Final Calculation Sheet'!$U$18="","",'Final Calculation Sheet'!$U$18)</f>
        <v/>
      </c>
      <c r="G245" s="131">
        <f>IF('Final Calculation Sheet'!$U$19="","",'Final Calculation Sheet'!$U$19)</f>
        <v/>
      </c>
      <c r="H245" s="70">
        <f>IF('Final Calculation Sheet'!$U$22="","",'Final Calculation Sheet'!$U$22)</f>
        <v/>
      </c>
      <c r="I245" s="131">
        <f>IF('Final Calculation Sheet'!$U$24="","",'Final Calculation Sheet'!$U$24)</f>
        <v/>
      </c>
      <c r="J245" s="70">
        <f>IF('Final Calculation Sheet'!$U$26="","",'Final Calculation Sheet'!$U$26)</f>
        <v/>
      </c>
      <c r="K245" s="131">
        <f>IF('Final Calculation Sheet'!$U$30="","",'Final Calculation Sheet'!$U$30)</f>
        <v/>
      </c>
      <c r="L245" s="70">
        <f>IF('Final Calculation Sheet'!$U$32="","",'Final Calculation Sheet'!$U$32)</f>
        <v/>
      </c>
      <c r="M245" s="131">
        <f>IF('Final Calculation Sheet'!$U$33="","",'Final Calculation Sheet'!$U$33)</f>
        <v/>
      </c>
      <c r="N245" s="70">
        <f>IF('Final Calculation Sheet'!$U$37="","",'Final Calculation Sheet'!$U$37)</f>
        <v/>
      </c>
      <c r="O245" s="137">
        <f>SUM(B245:N245)</f>
        <v/>
      </c>
    </row>
    <row r="246" outlineLevel="2" ht="15" customHeight="1">
      <c r="A246" s="69" t="inlineStr">
        <is>
          <t xml:space="preserve">      SD Receipt Date</t>
        </is>
      </c>
      <c r="B246" s="76">
        <f>IF('Final Calculation Sheet'!$V$5="","",'Final Calculation Sheet'!$V$5)</f>
        <v/>
      </c>
      <c r="C246" s="136">
        <f>IF('Final Calculation Sheet'!$V$10="","",'Final Calculation Sheet'!$V$10)</f>
        <v/>
      </c>
      <c r="D246" s="76">
        <f>IF('Final Calculation Sheet'!$V$11="","",'Final Calculation Sheet'!$V$11)</f>
        <v/>
      </c>
      <c r="E246" s="136">
        <f>IF('Final Calculation Sheet'!$V$12="","",'Final Calculation Sheet'!$V$12)</f>
        <v/>
      </c>
      <c r="F246" s="76">
        <f>IF('Final Calculation Sheet'!$V$18="","",'Final Calculation Sheet'!$V$18)</f>
        <v/>
      </c>
      <c r="G246" s="136">
        <f>IF('Final Calculation Sheet'!$V$19="","",'Final Calculation Sheet'!$V$19)</f>
        <v/>
      </c>
      <c r="H246" s="76">
        <f>IF('Final Calculation Sheet'!$V$22="","",'Final Calculation Sheet'!$V$22)</f>
        <v/>
      </c>
      <c r="I246" s="136">
        <f>IF('Final Calculation Sheet'!$V$24="","",'Final Calculation Sheet'!$V$24)</f>
        <v/>
      </c>
      <c r="J246" s="76">
        <f>IF('Final Calculation Sheet'!$V$26="","",'Final Calculation Sheet'!$V$26)</f>
        <v/>
      </c>
      <c r="K246" s="136">
        <f>IF('Final Calculation Sheet'!$V$30="","",'Final Calculation Sheet'!$V$30)</f>
        <v/>
      </c>
      <c r="L246" s="76">
        <f>IF('Final Calculation Sheet'!$V$32="","",'Final Calculation Sheet'!$V$32)</f>
        <v/>
      </c>
      <c r="M246" s="136">
        <f>IF('Final Calculation Sheet'!$V$33="","",'Final Calculation Sheet'!$V$33)</f>
        <v/>
      </c>
      <c r="N246" s="76">
        <f>IF('Final Calculation Sheet'!$V$37="","",'Final Calculation Sheet'!$V$37)</f>
        <v/>
      </c>
      <c r="O246" s="132" t="inlineStr">
        <is>
          <t>–</t>
        </is>
      </c>
    </row>
    <row r="247" outlineLevel="1" ht="16" customHeight="1">
      <c r="A247" s="127" t="inlineStr">
        <is>
          <t xml:space="preserve">  ▸ FINAL PAYMENT</t>
        </is>
      </c>
      <c r="B247" s="130" t="n"/>
      <c r="C247" s="130" t="n"/>
      <c r="D247" s="130" t="n"/>
      <c r="E247" s="130" t="n"/>
      <c r="F247" s="130" t="n"/>
      <c r="G247" s="130" t="n"/>
      <c r="H247" s="130" t="n"/>
      <c r="I247" s="130" t="n"/>
      <c r="J247" s="130" t="n"/>
      <c r="K247" s="130" t="n"/>
      <c r="L247" s="130" t="n"/>
      <c r="M247" s="130" t="n"/>
      <c r="N247" s="130" t="n"/>
      <c r="O247" s="130" t="n"/>
    </row>
    <row r="248" outlineLevel="2" ht="15" customHeight="1">
      <c r="A248" s="69" t="inlineStr">
        <is>
          <t xml:space="preserve">      FP Expected (₹)</t>
        </is>
      </c>
      <c r="B248" s="70">
        <f>IF('Final Calculation Sheet'!$W$5="","",'Final Calculation Sheet'!$W$5)</f>
        <v/>
      </c>
      <c r="C248" s="131">
        <f>IF('Final Calculation Sheet'!$W$10="","",'Final Calculation Sheet'!$W$10)</f>
        <v/>
      </c>
      <c r="D248" s="70">
        <f>IF('Final Calculation Sheet'!$W$11="","",'Final Calculation Sheet'!$W$11)</f>
        <v/>
      </c>
      <c r="E248" s="131">
        <f>IF('Final Calculation Sheet'!$W$12="","",'Final Calculation Sheet'!$W$12)</f>
        <v/>
      </c>
      <c r="F248" s="70">
        <f>IF('Final Calculation Sheet'!$W$18="","",'Final Calculation Sheet'!$W$18)</f>
        <v/>
      </c>
      <c r="G248" s="131">
        <f>IF('Final Calculation Sheet'!$W$19="","",'Final Calculation Sheet'!$W$19)</f>
        <v/>
      </c>
      <c r="H248" s="70">
        <f>IF('Final Calculation Sheet'!$W$22="","",'Final Calculation Sheet'!$W$22)</f>
        <v/>
      </c>
      <c r="I248" s="131">
        <f>IF('Final Calculation Sheet'!$W$24="","",'Final Calculation Sheet'!$W$24)</f>
        <v/>
      </c>
      <c r="J248" s="70">
        <f>IF('Final Calculation Sheet'!$W$26="","",'Final Calculation Sheet'!$W$26)</f>
        <v/>
      </c>
      <c r="K248" s="131">
        <f>IF('Final Calculation Sheet'!$W$30="","",'Final Calculation Sheet'!$W$30)</f>
        <v/>
      </c>
      <c r="L248" s="70">
        <f>IF('Final Calculation Sheet'!$W$32="","",'Final Calculation Sheet'!$W$32)</f>
        <v/>
      </c>
      <c r="M248" s="131">
        <f>IF('Final Calculation Sheet'!$W$33="","",'Final Calculation Sheet'!$W$33)</f>
        <v/>
      </c>
      <c r="N248" s="70">
        <f>IF('Final Calculation Sheet'!$W$37="","",'Final Calculation Sheet'!$W$37)</f>
        <v/>
      </c>
      <c r="O248" s="137">
        <f>SUM(B248:N248)</f>
        <v/>
      </c>
    </row>
    <row r="249" outlineLevel="2" ht="15" customHeight="1">
      <c r="A249" s="69" t="inlineStr">
        <is>
          <t xml:space="preserve">      FP Received (₹)</t>
        </is>
      </c>
      <c r="B249" s="70">
        <f>IF('Final Calculation Sheet'!$X$5="","",'Final Calculation Sheet'!$X$5)</f>
        <v/>
      </c>
      <c r="C249" s="131">
        <f>IF('Final Calculation Sheet'!$X$10="","",'Final Calculation Sheet'!$X$10)</f>
        <v/>
      </c>
      <c r="D249" s="70">
        <f>IF('Final Calculation Sheet'!$X$11="","",'Final Calculation Sheet'!$X$11)</f>
        <v/>
      </c>
      <c r="E249" s="131">
        <f>IF('Final Calculation Sheet'!$X$12="","",'Final Calculation Sheet'!$X$12)</f>
        <v/>
      </c>
      <c r="F249" s="70">
        <f>IF('Final Calculation Sheet'!$X$18="","",'Final Calculation Sheet'!$X$18)</f>
        <v/>
      </c>
      <c r="G249" s="131">
        <f>IF('Final Calculation Sheet'!$X$19="","",'Final Calculation Sheet'!$X$19)</f>
        <v/>
      </c>
      <c r="H249" s="70">
        <f>IF('Final Calculation Sheet'!$X$22="","",'Final Calculation Sheet'!$X$22)</f>
        <v/>
      </c>
      <c r="I249" s="131">
        <f>IF('Final Calculation Sheet'!$X$24="","",'Final Calculation Sheet'!$X$24)</f>
        <v/>
      </c>
      <c r="J249" s="70">
        <f>IF('Final Calculation Sheet'!$X$26="","",'Final Calculation Sheet'!$X$26)</f>
        <v/>
      </c>
      <c r="K249" s="131">
        <f>IF('Final Calculation Sheet'!$X$30="","",'Final Calculation Sheet'!$X$30)</f>
        <v/>
      </c>
      <c r="L249" s="70">
        <f>IF('Final Calculation Sheet'!$X$32="","",'Final Calculation Sheet'!$X$32)</f>
        <v/>
      </c>
      <c r="M249" s="131">
        <f>IF('Final Calculation Sheet'!$X$33="","",'Final Calculation Sheet'!$X$33)</f>
        <v/>
      </c>
      <c r="N249" s="70">
        <f>IF('Final Calculation Sheet'!$X$37="","",'Final Calculation Sheet'!$X$37)</f>
        <v/>
      </c>
      <c r="O249" s="137">
        <f>SUM(B249:N249)</f>
        <v/>
      </c>
    </row>
    <row r="250" outlineLevel="2" ht="15" customHeight="1">
      <c r="A250" s="69" t="inlineStr">
        <is>
          <t xml:space="preserve">      FP Receipt Date</t>
        </is>
      </c>
      <c r="B250" s="76">
        <f>IF('Final Calculation Sheet'!$Y$5="","",'Final Calculation Sheet'!$Y$5)</f>
        <v/>
      </c>
      <c r="C250" s="136">
        <f>IF('Final Calculation Sheet'!$Y$10="","",'Final Calculation Sheet'!$Y$10)</f>
        <v/>
      </c>
      <c r="D250" s="76">
        <f>IF('Final Calculation Sheet'!$Y$11="","",'Final Calculation Sheet'!$Y$11)</f>
        <v/>
      </c>
      <c r="E250" s="136">
        <f>IF('Final Calculation Sheet'!$Y$12="","",'Final Calculation Sheet'!$Y$12)</f>
        <v/>
      </c>
      <c r="F250" s="76">
        <f>IF('Final Calculation Sheet'!$Y$18="","",'Final Calculation Sheet'!$Y$18)</f>
        <v/>
      </c>
      <c r="G250" s="136">
        <f>IF('Final Calculation Sheet'!$Y$19="","",'Final Calculation Sheet'!$Y$19)</f>
        <v/>
      </c>
      <c r="H250" s="76">
        <f>IF('Final Calculation Sheet'!$Y$22="","",'Final Calculation Sheet'!$Y$22)</f>
        <v/>
      </c>
      <c r="I250" s="136">
        <f>IF('Final Calculation Sheet'!$Y$24="","",'Final Calculation Sheet'!$Y$24)</f>
        <v/>
      </c>
      <c r="J250" s="76">
        <f>IF('Final Calculation Sheet'!$Y$26="","",'Final Calculation Sheet'!$Y$26)</f>
        <v/>
      </c>
      <c r="K250" s="136">
        <f>IF('Final Calculation Sheet'!$Y$30="","",'Final Calculation Sheet'!$Y$30)</f>
        <v/>
      </c>
      <c r="L250" s="76">
        <f>IF('Final Calculation Sheet'!$Y$32="","",'Final Calculation Sheet'!$Y$32)</f>
        <v/>
      </c>
      <c r="M250" s="136">
        <f>IF('Final Calculation Sheet'!$Y$33="","",'Final Calculation Sheet'!$Y$33)</f>
        <v/>
      </c>
      <c r="N250" s="76">
        <f>IF('Final Calculation Sheet'!$Y$37="","",'Final Calculation Sheet'!$Y$37)</f>
        <v/>
      </c>
      <c r="O250" s="132" t="inlineStr">
        <is>
          <t>–</t>
        </is>
      </c>
    </row>
    <row r="251" outlineLevel="1" ht="16" customHeight="1">
      <c r="A251" s="127" t="inlineStr">
        <is>
          <t xml:space="preserve">  ▸ LPP</t>
        </is>
      </c>
      <c r="B251" s="130" t="n"/>
      <c r="C251" s="130" t="n"/>
      <c r="D251" s="130" t="n"/>
      <c r="E251" s="130" t="n"/>
      <c r="F251" s="130" t="n"/>
      <c r="G251" s="130" t="n"/>
      <c r="H251" s="130" t="n"/>
      <c r="I251" s="130" t="n"/>
      <c r="J251" s="130" t="n"/>
      <c r="K251" s="130" t="n"/>
      <c r="L251" s="130" t="n"/>
      <c r="M251" s="130" t="n"/>
      <c r="N251" s="130" t="n"/>
      <c r="O251" s="130" t="n"/>
    </row>
    <row r="252" outlineLevel="2" ht="15" customHeight="1">
      <c r="A252" s="69" t="inlineStr">
        <is>
          <t xml:space="preserve">      LPP Expected (₹)</t>
        </is>
      </c>
      <c r="B252" s="70">
        <f>IF('Final Calculation Sheet'!$Z$5="","",'Final Calculation Sheet'!$Z$5)</f>
        <v/>
      </c>
      <c r="C252" s="131">
        <f>IF('Final Calculation Sheet'!$Z$10="","",'Final Calculation Sheet'!$Z$10)</f>
        <v/>
      </c>
      <c r="D252" s="70">
        <f>IF('Final Calculation Sheet'!$Z$11="","",'Final Calculation Sheet'!$Z$11)</f>
        <v/>
      </c>
      <c r="E252" s="131">
        <f>IF('Final Calculation Sheet'!$Z$12="","",'Final Calculation Sheet'!$Z$12)</f>
        <v/>
      </c>
      <c r="F252" s="70">
        <f>IF('Final Calculation Sheet'!$Z$18="","",'Final Calculation Sheet'!$Z$18)</f>
        <v/>
      </c>
      <c r="G252" s="131">
        <f>IF('Final Calculation Sheet'!$Z$19="","",'Final Calculation Sheet'!$Z$19)</f>
        <v/>
      </c>
      <c r="H252" s="70">
        <f>IF('Final Calculation Sheet'!$Z$22="","",'Final Calculation Sheet'!$Z$22)</f>
        <v/>
      </c>
      <c r="I252" s="131">
        <f>IF('Final Calculation Sheet'!$Z$24="","",'Final Calculation Sheet'!$Z$24)</f>
        <v/>
      </c>
      <c r="J252" s="70">
        <f>IF('Final Calculation Sheet'!$Z$26="","",'Final Calculation Sheet'!$Z$26)</f>
        <v/>
      </c>
      <c r="K252" s="131">
        <f>IF('Final Calculation Sheet'!$Z$30="","",'Final Calculation Sheet'!$Z$30)</f>
        <v/>
      </c>
      <c r="L252" s="70">
        <f>IF('Final Calculation Sheet'!$Z$32="","",'Final Calculation Sheet'!$Z$32)</f>
        <v/>
      </c>
      <c r="M252" s="131">
        <f>IF('Final Calculation Sheet'!$Z$33="","",'Final Calculation Sheet'!$Z$33)</f>
        <v/>
      </c>
      <c r="N252" s="70">
        <f>IF('Final Calculation Sheet'!$Z$37="","",'Final Calculation Sheet'!$Z$37)</f>
        <v/>
      </c>
      <c r="O252" s="137">
        <f>SUM(B252:N252)</f>
        <v/>
      </c>
    </row>
    <row r="253" outlineLevel="2" ht="15" customHeight="1">
      <c r="A253" s="69" t="inlineStr">
        <is>
          <t xml:space="preserve">      LPP Received (₹)</t>
        </is>
      </c>
      <c r="B253" s="70">
        <f>IF('Final Calculation Sheet'!$AA$5="","",'Final Calculation Sheet'!$AA$5)</f>
        <v/>
      </c>
      <c r="C253" s="131">
        <f>IF('Final Calculation Sheet'!$AA$10="","",'Final Calculation Sheet'!$AA$10)</f>
        <v/>
      </c>
      <c r="D253" s="70">
        <f>IF('Final Calculation Sheet'!$AA$11="","",'Final Calculation Sheet'!$AA$11)</f>
        <v/>
      </c>
      <c r="E253" s="131">
        <f>IF('Final Calculation Sheet'!$AA$12="","",'Final Calculation Sheet'!$AA$12)</f>
        <v/>
      </c>
      <c r="F253" s="70">
        <f>IF('Final Calculation Sheet'!$AA$18="","",'Final Calculation Sheet'!$AA$18)</f>
        <v/>
      </c>
      <c r="G253" s="131">
        <f>IF('Final Calculation Sheet'!$AA$19="","",'Final Calculation Sheet'!$AA$19)</f>
        <v/>
      </c>
      <c r="H253" s="70">
        <f>IF('Final Calculation Sheet'!$AA$22="","",'Final Calculation Sheet'!$AA$22)</f>
        <v/>
      </c>
      <c r="I253" s="131">
        <f>IF('Final Calculation Sheet'!$AA$24="","",'Final Calculation Sheet'!$AA$24)</f>
        <v/>
      </c>
      <c r="J253" s="70">
        <f>IF('Final Calculation Sheet'!$AA$26="","",'Final Calculation Sheet'!$AA$26)</f>
        <v/>
      </c>
      <c r="K253" s="131">
        <f>IF('Final Calculation Sheet'!$AA$30="","",'Final Calculation Sheet'!$AA$30)</f>
        <v/>
      </c>
      <c r="L253" s="70">
        <f>IF('Final Calculation Sheet'!$AA$32="","",'Final Calculation Sheet'!$AA$32)</f>
        <v/>
      </c>
      <c r="M253" s="131">
        <f>IF('Final Calculation Sheet'!$AA$33="","",'Final Calculation Sheet'!$AA$33)</f>
        <v/>
      </c>
      <c r="N253" s="70">
        <f>IF('Final Calculation Sheet'!$AA$37="","",'Final Calculation Sheet'!$AA$37)</f>
        <v/>
      </c>
      <c r="O253" s="137">
        <f>SUM(B253:N253)</f>
        <v/>
      </c>
    </row>
    <row r="254" outlineLevel="2" ht="15" customHeight="1">
      <c r="A254" s="69" t="inlineStr">
        <is>
          <t xml:space="preserve">      LPP Receipt Date</t>
        </is>
      </c>
      <c r="B254" s="76">
        <f>IF('Final Calculation Sheet'!$AB$5="","",'Final Calculation Sheet'!$AB$5)</f>
        <v/>
      </c>
      <c r="C254" s="136">
        <f>IF('Final Calculation Sheet'!$AB$10="","",'Final Calculation Sheet'!$AB$10)</f>
        <v/>
      </c>
      <c r="D254" s="76">
        <f>IF('Final Calculation Sheet'!$AB$11="","",'Final Calculation Sheet'!$AB$11)</f>
        <v/>
      </c>
      <c r="E254" s="136">
        <f>IF('Final Calculation Sheet'!$AB$12="","",'Final Calculation Sheet'!$AB$12)</f>
        <v/>
      </c>
      <c r="F254" s="76">
        <f>IF('Final Calculation Sheet'!$AB$18="","",'Final Calculation Sheet'!$AB$18)</f>
        <v/>
      </c>
      <c r="G254" s="136">
        <f>IF('Final Calculation Sheet'!$AB$19="","",'Final Calculation Sheet'!$AB$19)</f>
        <v/>
      </c>
      <c r="H254" s="76">
        <f>IF('Final Calculation Sheet'!$AB$22="","",'Final Calculation Sheet'!$AB$22)</f>
        <v/>
      </c>
      <c r="I254" s="136">
        <f>IF('Final Calculation Sheet'!$AB$24="","",'Final Calculation Sheet'!$AB$24)</f>
        <v/>
      </c>
      <c r="J254" s="76">
        <f>IF('Final Calculation Sheet'!$AB$26="","",'Final Calculation Sheet'!$AB$26)</f>
        <v/>
      </c>
      <c r="K254" s="136">
        <f>IF('Final Calculation Sheet'!$AB$30="","",'Final Calculation Sheet'!$AB$30)</f>
        <v/>
      </c>
      <c r="L254" s="76">
        <f>IF('Final Calculation Sheet'!$AB$32="","",'Final Calculation Sheet'!$AB$32)</f>
        <v/>
      </c>
      <c r="M254" s="136">
        <f>IF('Final Calculation Sheet'!$AB$33="","",'Final Calculation Sheet'!$AB$33)</f>
        <v/>
      </c>
      <c r="N254" s="76">
        <f>IF('Final Calculation Sheet'!$AB$37="","",'Final Calculation Sheet'!$AB$37)</f>
        <v/>
      </c>
      <c r="O254" s="132" t="inlineStr">
        <is>
          <t>–</t>
        </is>
      </c>
    </row>
    <row r="255" outlineLevel="1" ht="16" customHeight="1">
      <c r="A255" s="127" t="inlineStr">
        <is>
          <t xml:space="preserve">  ▸ SUMMARY</t>
        </is>
      </c>
      <c r="B255" s="130" t="n"/>
      <c r="C255" s="130" t="n"/>
      <c r="D255" s="130" t="n"/>
      <c r="E255" s="130" t="n"/>
      <c r="F255" s="130" t="n"/>
      <c r="G255" s="130" t="n"/>
      <c r="H255" s="130" t="n"/>
      <c r="I255" s="130" t="n"/>
      <c r="J255" s="130" t="n"/>
      <c r="K255" s="130" t="n"/>
      <c r="L255" s="130" t="n"/>
      <c r="M255" s="130" t="n"/>
      <c r="N255" s="130" t="n"/>
      <c r="O255" s="130" t="n"/>
    </row>
    <row r="256" outlineLevel="2" ht="15" customHeight="1">
      <c r="A256" s="69" t="inlineStr">
        <is>
          <t xml:space="preserve">      Total Received (₹)</t>
        </is>
      </c>
      <c r="B256" s="70">
        <f>IF('Final Calculation Sheet'!$AC$5="","",'Final Calculation Sheet'!$AC$5)</f>
        <v/>
      </c>
      <c r="C256" s="131">
        <f>IF('Final Calculation Sheet'!$AC$10="","",'Final Calculation Sheet'!$AC$10)</f>
        <v/>
      </c>
      <c r="D256" s="70">
        <f>IF('Final Calculation Sheet'!$AC$11="","",'Final Calculation Sheet'!$AC$11)</f>
        <v/>
      </c>
      <c r="E256" s="131">
        <f>IF('Final Calculation Sheet'!$AC$12="","",'Final Calculation Sheet'!$AC$12)</f>
        <v/>
      </c>
      <c r="F256" s="70">
        <f>IF('Final Calculation Sheet'!$AC$18="","",'Final Calculation Sheet'!$AC$18)</f>
        <v/>
      </c>
      <c r="G256" s="131">
        <f>IF('Final Calculation Sheet'!$AC$19="","",'Final Calculation Sheet'!$AC$19)</f>
        <v/>
      </c>
      <c r="H256" s="70">
        <f>IF('Final Calculation Sheet'!$AC$22="","",'Final Calculation Sheet'!$AC$22)</f>
        <v/>
      </c>
      <c r="I256" s="131">
        <f>IF('Final Calculation Sheet'!$AC$24="","",'Final Calculation Sheet'!$AC$24)</f>
        <v/>
      </c>
      <c r="J256" s="70">
        <f>IF('Final Calculation Sheet'!$AC$26="","",'Final Calculation Sheet'!$AC$26)</f>
        <v/>
      </c>
      <c r="K256" s="131">
        <f>IF('Final Calculation Sheet'!$AC$30="","",'Final Calculation Sheet'!$AC$30)</f>
        <v/>
      </c>
      <c r="L256" s="70">
        <f>IF('Final Calculation Sheet'!$AC$32="","",'Final Calculation Sheet'!$AC$32)</f>
        <v/>
      </c>
      <c r="M256" s="131">
        <f>IF('Final Calculation Sheet'!$AC$33="","",'Final Calculation Sheet'!$AC$33)</f>
        <v/>
      </c>
      <c r="N256" s="70">
        <f>IF('Final Calculation Sheet'!$AC$37="","",'Final Calculation Sheet'!$AC$37)</f>
        <v/>
      </c>
      <c r="O256" s="137">
        <f>SUM(B256:N256)</f>
        <v/>
      </c>
    </row>
    <row r="257" outlineLevel="2" ht="15" customHeight="1">
      <c r="A257" s="69" t="inlineStr">
        <is>
          <t xml:space="preserve">      Outstanding (₹)</t>
        </is>
      </c>
      <c r="B257" s="70">
        <f>IF('Final Calculation Sheet'!$AD$5="","",'Final Calculation Sheet'!$AD$5)</f>
        <v/>
      </c>
      <c r="C257" s="131">
        <f>IF('Final Calculation Sheet'!$AD$10="","",'Final Calculation Sheet'!$AD$10)</f>
        <v/>
      </c>
      <c r="D257" s="70">
        <f>IF('Final Calculation Sheet'!$AD$11="","",'Final Calculation Sheet'!$AD$11)</f>
        <v/>
      </c>
      <c r="E257" s="131">
        <f>IF('Final Calculation Sheet'!$AD$12="","",'Final Calculation Sheet'!$AD$12)</f>
        <v/>
      </c>
      <c r="F257" s="70">
        <f>IF('Final Calculation Sheet'!$AD$18="","",'Final Calculation Sheet'!$AD$18)</f>
        <v/>
      </c>
      <c r="G257" s="131">
        <f>IF('Final Calculation Sheet'!$AD$19="","",'Final Calculation Sheet'!$AD$19)</f>
        <v/>
      </c>
      <c r="H257" s="70">
        <f>IF('Final Calculation Sheet'!$AD$22="","",'Final Calculation Sheet'!$AD$22)</f>
        <v/>
      </c>
      <c r="I257" s="131">
        <f>IF('Final Calculation Sheet'!$AD$24="","",'Final Calculation Sheet'!$AD$24)</f>
        <v/>
      </c>
      <c r="J257" s="70">
        <f>IF('Final Calculation Sheet'!$AD$26="","",'Final Calculation Sheet'!$AD$26)</f>
        <v/>
      </c>
      <c r="K257" s="131">
        <f>IF('Final Calculation Sheet'!$AD$30="","",'Final Calculation Sheet'!$AD$30)</f>
        <v/>
      </c>
      <c r="L257" s="70">
        <f>IF('Final Calculation Sheet'!$AD$32="","",'Final Calculation Sheet'!$AD$32)</f>
        <v/>
      </c>
      <c r="M257" s="131">
        <f>IF('Final Calculation Sheet'!$AD$33="","",'Final Calculation Sheet'!$AD$33)</f>
        <v/>
      </c>
      <c r="N257" s="70">
        <f>IF('Final Calculation Sheet'!$AD$37="","",'Final Calculation Sheet'!$AD$37)</f>
        <v/>
      </c>
      <c r="O257" s="137">
        <f>SUM(B257:N257)</f>
        <v/>
      </c>
    </row>
    <row r="258" outlineLevel="2" ht="15" customHeight="1">
      <c r="A258" s="69" t="inlineStr">
        <is>
          <t xml:space="preserve">      Payment Status</t>
        </is>
      </c>
      <c r="B258" s="81">
        <f>IF('Final Calculation Sheet'!$AD$5="","",IF('Final Calculation Sheet'!$AD$5&lt;=0,"SETTLED","OUTSTANDING"))</f>
        <v/>
      </c>
      <c r="C258" s="141">
        <f>IF('Final Calculation Sheet'!$AD$10="","",IF('Final Calculation Sheet'!$AD$10&lt;=0,"SETTLED","OUTSTANDING"))</f>
        <v/>
      </c>
      <c r="D258" s="81">
        <f>IF('Final Calculation Sheet'!$AD$11="","",IF('Final Calculation Sheet'!$AD$11&lt;=0,"SETTLED","OUTSTANDING"))</f>
        <v/>
      </c>
      <c r="E258" s="141">
        <f>IF('Final Calculation Sheet'!$AD$12="","",IF('Final Calculation Sheet'!$AD$12&lt;=0,"SETTLED","OUTSTANDING"))</f>
        <v/>
      </c>
      <c r="F258" s="81">
        <f>IF('Final Calculation Sheet'!$AD$18="","",IF('Final Calculation Sheet'!$AD$18&lt;=0,"SETTLED","OUTSTANDING"))</f>
        <v/>
      </c>
      <c r="G258" s="141">
        <f>IF('Final Calculation Sheet'!$AD$19="","",IF('Final Calculation Sheet'!$AD$19&lt;=0,"SETTLED","OUTSTANDING"))</f>
        <v/>
      </c>
      <c r="H258" s="81">
        <f>IF('Final Calculation Sheet'!$AD$22="","",IF('Final Calculation Sheet'!$AD$22&lt;=0,"SETTLED","OUTSTANDING"))</f>
        <v/>
      </c>
      <c r="I258" s="141">
        <f>IF('Final Calculation Sheet'!$AD$24="","",IF('Final Calculation Sheet'!$AD$24&lt;=0,"SETTLED","OUTSTANDING"))</f>
        <v/>
      </c>
      <c r="J258" s="81">
        <f>IF('Final Calculation Sheet'!$AD$26="","",IF('Final Calculation Sheet'!$AD$26&lt;=0,"SETTLED","OUTSTANDING"))</f>
        <v/>
      </c>
      <c r="K258" s="141">
        <f>IF('Final Calculation Sheet'!$AD$30="","",IF('Final Calculation Sheet'!$AD$30&lt;=0,"SETTLED","OUTSTANDING"))</f>
        <v/>
      </c>
      <c r="L258" s="81">
        <f>IF('Final Calculation Sheet'!$AD$32="","",IF('Final Calculation Sheet'!$AD$32&lt;=0,"SETTLED","OUTSTANDING"))</f>
        <v/>
      </c>
      <c r="M258" s="141">
        <f>IF('Final Calculation Sheet'!$AD$33="","",IF('Final Calculation Sheet'!$AD$33&lt;=0,"SETTLED","OUTSTANDING"))</f>
        <v/>
      </c>
      <c r="N258" s="81">
        <f>IF('Final Calculation Sheet'!$AD$37="","",IF('Final Calculation Sheet'!$AD$37&lt;=0,"SETTLED","OUTSTANDING"))</f>
        <v/>
      </c>
      <c r="O258" s="132" t="inlineStr">
        <is>
          <t>–</t>
        </is>
      </c>
    </row>
    <row r="259" outlineLevel="1" ht="16" customHeight="1">
      <c r="A259" s="127" t="inlineStr">
        <is>
          <t xml:space="preserve">  ▸ DOCUMENT</t>
        </is>
      </c>
      <c r="B259" s="130" t="n"/>
      <c r="C259" s="130" t="n"/>
      <c r="D259" s="130" t="n"/>
      <c r="E259" s="130" t="n"/>
      <c r="F259" s="130" t="n"/>
      <c r="G259" s="130" t="n"/>
      <c r="H259" s="130" t="n"/>
      <c r="I259" s="130" t="n"/>
      <c r="J259" s="130" t="n"/>
      <c r="K259" s="130" t="n"/>
      <c r="L259" s="130" t="n"/>
      <c r="M259" s="130" t="n"/>
      <c r="N259" s="130" t="n"/>
      <c r="O259" s="130" t="n"/>
    </row>
    <row r="260" outlineLevel="2" ht="15" customHeight="1">
      <c r="A260" s="69" t="inlineStr">
        <is>
          <t xml:space="preserve">      Invoice No.</t>
        </is>
      </c>
      <c r="B260" s="76">
        <f>IF('Final Calculation Sheet'!$AE$5="","",'Final Calculation Sheet'!$AE$5)</f>
        <v/>
      </c>
      <c r="C260" s="136">
        <f>IF('Final Calculation Sheet'!$AE$10="","",'Final Calculation Sheet'!$AE$10)</f>
        <v/>
      </c>
      <c r="D260" s="76">
        <f>IF('Final Calculation Sheet'!$AE$11="","",'Final Calculation Sheet'!$AE$11)</f>
        <v/>
      </c>
      <c r="E260" s="136">
        <f>IF('Final Calculation Sheet'!$AE$12="","",'Final Calculation Sheet'!$AE$12)</f>
        <v/>
      </c>
      <c r="F260" s="76">
        <f>IF('Final Calculation Sheet'!$AE$18="","",'Final Calculation Sheet'!$AE$18)</f>
        <v/>
      </c>
      <c r="G260" s="136">
        <f>IF('Final Calculation Sheet'!$AE$19="","",'Final Calculation Sheet'!$AE$19)</f>
        <v/>
      </c>
      <c r="H260" s="76">
        <f>IF('Final Calculation Sheet'!$AE$22="","",'Final Calculation Sheet'!$AE$22)</f>
        <v/>
      </c>
      <c r="I260" s="136">
        <f>IF('Final Calculation Sheet'!$AE$24="","",'Final Calculation Sheet'!$AE$24)</f>
        <v/>
      </c>
      <c r="J260" s="76">
        <f>IF('Final Calculation Sheet'!$AE$26="","",'Final Calculation Sheet'!$AE$26)</f>
        <v/>
      </c>
      <c r="K260" s="136">
        <f>IF('Final Calculation Sheet'!$AE$30="","",'Final Calculation Sheet'!$AE$30)</f>
        <v/>
      </c>
      <c r="L260" s="76">
        <f>IF('Final Calculation Sheet'!$AE$32="","",'Final Calculation Sheet'!$AE$32)</f>
        <v/>
      </c>
      <c r="M260" s="136">
        <f>IF('Final Calculation Sheet'!$AE$33="","",'Final Calculation Sheet'!$AE$33)</f>
        <v/>
      </c>
      <c r="N260" s="76">
        <f>IF('Final Calculation Sheet'!$AE$37="","",'Final Calculation Sheet'!$AE$37)</f>
        <v/>
      </c>
      <c r="O260" s="132" t="inlineStr">
        <is>
          <t>–</t>
        </is>
      </c>
    </row>
    <row r="261" outlineLevel="2" ht="15" customHeight="1">
      <c r="A261" s="69" t="inlineStr">
        <is>
          <t xml:space="preserve">      SAP Document</t>
        </is>
      </c>
      <c r="B261" s="70">
        <f>IF('Final Calculation Sheet'!$AF$5="","",'Final Calculation Sheet'!$AF$5)</f>
        <v/>
      </c>
      <c r="C261" s="131">
        <f>IF('Final Calculation Sheet'!$AF$10="","",'Final Calculation Sheet'!$AF$10)</f>
        <v/>
      </c>
      <c r="D261" s="70">
        <f>IF('Final Calculation Sheet'!$AF$11="","",'Final Calculation Sheet'!$AF$11)</f>
        <v/>
      </c>
      <c r="E261" s="131">
        <f>IF('Final Calculation Sheet'!$AF$12="","",'Final Calculation Sheet'!$AF$12)</f>
        <v/>
      </c>
      <c r="F261" s="70">
        <f>IF('Final Calculation Sheet'!$AF$18="","",'Final Calculation Sheet'!$AF$18)</f>
        <v/>
      </c>
      <c r="G261" s="131">
        <f>IF('Final Calculation Sheet'!$AF$19="","",'Final Calculation Sheet'!$AF$19)</f>
        <v/>
      </c>
      <c r="H261" s="70">
        <f>IF('Final Calculation Sheet'!$AF$22="","",'Final Calculation Sheet'!$AF$22)</f>
        <v/>
      </c>
      <c r="I261" s="131">
        <f>IF('Final Calculation Sheet'!$AF$24="","",'Final Calculation Sheet'!$AF$24)</f>
        <v/>
      </c>
      <c r="J261" s="70">
        <f>IF('Final Calculation Sheet'!$AF$26="","",'Final Calculation Sheet'!$AF$26)</f>
        <v/>
      </c>
      <c r="K261" s="131">
        <f>IF('Final Calculation Sheet'!$AF$30="","",'Final Calculation Sheet'!$AF$30)</f>
        <v/>
      </c>
      <c r="L261" s="70">
        <f>IF('Final Calculation Sheet'!$AF$32="","",'Final Calculation Sheet'!$AF$32)</f>
        <v/>
      </c>
      <c r="M261" s="131">
        <f>IF('Final Calculation Sheet'!$AF$33="","",'Final Calculation Sheet'!$AF$33)</f>
        <v/>
      </c>
      <c r="N261" s="70">
        <f>IF('Final Calculation Sheet'!$AF$37="","",'Final Calculation Sheet'!$AF$37)</f>
        <v/>
      </c>
      <c r="O261" s="132" t="inlineStr">
        <is>
          <t>–</t>
        </is>
      </c>
    </row>
    <row r="262" outlineLevel="2" ht="15" customHeight="1">
      <c r="A262" s="69" t="inlineStr">
        <is>
          <t xml:space="preserve">      Doc./Invoice Date</t>
        </is>
      </c>
      <c r="B262" s="76">
        <f>IF('Final Calculation Sheet'!$AG$5="","",'Final Calculation Sheet'!$AG$5)</f>
        <v/>
      </c>
      <c r="C262" s="136">
        <f>IF('Final Calculation Sheet'!$AG$10="","",'Final Calculation Sheet'!$AG$10)</f>
        <v/>
      </c>
      <c r="D262" s="76">
        <f>IF('Final Calculation Sheet'!$AG$11="","",'Final Calculation Sheet'!$AG$11)</f>
        <v/>
      </c>
      <c r="E262" s="136">
        <f>IF('Final Calculation Sheet'!$AG$12="","",'Final Calculation Sheet'!$AG$12)</f>
        <v/>
      </c>
      <c r="F262" s="76">
        <f>IF('Final Calculation Sheet'!$AG$18="","",'Final Calculation Sheet'!$AG$18)</f>
        <v/>
      </c>
      <c r="G262" s="136">
        <f>IF('Final Calculation Sheet'!$AG$19="","",'Final Calculation Sheet'!$AG$19)</f>
        <v/>
      </c>
      <c r="H262" s="76">
        <f>IF('Final Calculation Sheet'!$AG$22="","",'Final Calculation Sheet'!$AG$22)</f>
        <v/>
      </c>
      <c r="I262" s="136">
        <f>IF('Final Calculation Sheet'!$AG$24="","",'Final Calculation Sheet'!$AG$24)</f>
        <v/>
      </c>
      <c r="J262" s="76">
        <f>IF('Final Calculation Sheet'!$AG$26="","",'Final Calculation Sheet'!$AG$26)</f>
        <v/>
      </c>
      <c r="K262" s="136">
        <f>IF('Final Calculation Sheet'!$AG$30="","",'Final Calculation Sheet'!$AG$30)</f>
        <v/>
      </c>
      <c r="L262" s="76">
        <f>IF('Final Calculation Sheet'!$AG$32="","",'Final Calculation Sheet'!$AG$32)</f>
        <v/>
      </c>
      <c r="M262" s="136">
        <f>IF('Final Calculation Sheet'!$AG$33="","",'Final Calculation Sheet'!$AG$33)</f>
        <v/>
      </c>
      <c r="N262" s="76">
        <f>IF('Final Calculation Sheet'!$AG$37="","",'Final Calculation Sheet'!$AG$37)</f>
        <v/>
      </c>
      <c r="O262" s="132" t="inlineStr">
        <is>
          <t>–</t>
        </is>
      </c>
    </row>
    <row r="263" ht="7" customHeight="1">
      <c r="A263" s="82" t="n"/>
      <c r="B263" s="82" t="n"/>
      <c r="C263" s="82" t="n"/>
      <c r="D263" s="82" t="n"/>
      <c r="E263" s="82" t="n"/>
      <c r="F263" s="82" t="n"/>
      <c r="G263" s="82" t="n"/>
      <c r="H263" s="82" t="n"/>
      <c r="I263" s="82" t="n"/>
      <c r="J263" s="82" t="n"/>
      <c r="K263" s="82" t="n"/>
      <c r="L263" s="82" t="n"/>
      <c r="M263" s="82" t="n"/>
      <c r="N263" s="82" t="n"/>
      <c r="O263" s="82" t="n"/>
    </row>
    <row r="264" ht="24" customHeight="1">
      <c r="A264" s="142">
        <f>"▼  NATIONAL SCRAP AND BUILDING MATERIAL SUPPLIER   •   "&amp;COUNTIF('Final Calculation Sheet'!$G$4:$G$1000,"NATIONAL SCRAP AND BUILDING MATERIAL SUPPLIER")&amp;" LOT(S)   •   MAT. VALUE ₹"&amp;TEXT(SUMIF('Final Calculation Sheet'!$G$4:$G$1000,"NATIONAL SCRAP AND BUILDING MATERIAL SUPPLIER",'Final Calculation Sheet'!$H$4:$H$1000),"#,##0")&amp;"   •   RECEIVED ₹"&amp;TEXT(SUMIF('Final Calculation Sheet'!$G$4:$G$1000,"NATIONAL SCRAP AND BUILDING MATERIAL SUPPLIER",'Final Calculation Sheet'!$AC$4:$AC$1000),"#,##0")&amp;"   •   OUTSTANDING ₹"&amp;TEXT(SUMIF('Final Calculation Sheet'!$G$4:$G$1000,"NATIONAL SCRAP AND BUILDING MATERIAL SUPPLIER",'Final Calculation Sheet'!$AD$4:$AD$1000),"#,##0")</f>
        <v/>
      </c>
      <c r="B264" s="64" t="n"/>
      <c r="C264" s="64" t="n"/>
      <c r="D264" s="64" t="n"/>
      <c r="E264" s="64" t="n"/>
      <c r="F264" s="64" t="n"/>
      <c r="G264" s="64" t="n"/>
      <c r="H264" s="64" t="n"/>
      <c r="I264" s="64" t="n"/>
      <c r="J264" s="64" t="n"/>
      <c r="K264" s="64" t="n"/>
      <c r="L264" s="64" t="n"/>
      <c r="M264" s="64" t="n"/>
      <c r="N264" s="64" t="n"/>
      <c r="O264" s="64" t="n"/>
    </row>
    <row r="265" outlineLevel="1" ht="18" customHeight="1">
      <c r="A265" s="143" t="inlineStr">
        <is>
          <t xml:space="preserve">   Lot No. →</t>
        </is>
      </c>
      <c r="B265" s="144">
        <f>IF('Final Calculation Sheet'!$F$21="","",'Final Calculation Sheet'!$F$21)</f>
        <v/>
      </c>
      <c r="C265" s="145" t="n"/>
      <c r="D265" s="145" t="n"/>
      <c r="E265" s="145" t="n"/>
      <c r="F265" s="145" t="n"/>
      <c r="G265" s="145" t="n"/>
      <c r="H265" s="145" t="n"/>
      <c r="I265" s="145" t="n"/>
      <c r="J265" s="145" t="n"/>
      <c r="K265" s="145" t="n"/>
      <c r="L265" s="145" t="n"/>
      <c r="M265" s="145" t="n"/>
      <c r="N265" s="145" t="n"/>
      <c r="O265" s="146" t="inlineStr">
        <is>
          <t>TOTAL</t>
        </is>
      </c>
    </row>
    <row r="266" outlineLevel="1" ht="16" customHeight="1">
      <c r="A266" s="143" t="inlineStr">
        <is>
          <t xml:space="preserve">  ▸ LOT INFORMATION</t>
        </is>
      </c>
      <c r="B266" s="145" t="n"/>
      <c r="C266" s="145" t="n"/>
      <c r="D266" s="145" t="n"/>
      <c r="E266" s="145" t="n"/>
      <c r="F266" s="145" t="n"/>
      <c r="G266" s="145" t="n"/>
      <c r="H266" s="145" t="n"/>
      <c r="I266" s="145" t="n"/>
      <c r="J266" s="145" t="n"/>
      <c r="K266" s="145" t="n"/>
      <c r="L266" s="145" t="n"/>
      <c r="M266" s="145" t="n"/>
      <c r="N266" s="145" t="n"/>
      <c r="O266" s="145" t="n"/>
    </row>
    <row r="267" outlineLevel="2" ht="15" customHeight="1">
      <c r="A267" s="69" t="inlineStr">
        <is>
          <t xml:space="preserve">      Lot No.</t>
        </is>
      </c>
      <c r="B267" s="70">
        <f>IF('Final Calculation Sheet'!$F$21="","",'Final Calculation Sheet'!$F$21)</f>
        <v/>
      </c>
      <c r="C267" s="71" t="n"/>
      <c r="D267" s="71" t="n"/>
      <c r="E267" s="71" t="n"/>
      <c r="F267" s="71" t="n"/>
      <c r="G267" s="71" t="n"/>
      <c r="H267" s="71" t="n"/>
      <c r="I267" s="71" t="n"/>
      <c r="J267" s="71" t="n"/>
      <c r="K267" s="71" t="n"/>
      <c r="L267" s="71" t="n"/>
      <c r="M267" s="71" t="n"/>
      <c r="N267" s="71" t="n"/>
      <c r="O267" s="147" t="inlineStr">
        <is>
          <t>–</t>
        </is>
      </c>
    </row>
    <row r="268" outlineLevel="2" ht="60" customHeight="1">
      <c r="A268" s="69" t="inlineStr">
        <is>
          <t xml:space="preserve">      Lot Name</t>
        </is>
      </c>
      <c r="B268" s="73">
        <f>IF('Final Calculation Sheet'!$B$21="","",'Final Calculation Sheet'!$B$21)</f>
        <v/>
      </c>
      <c r="C268" s="71" t="n"/>
      <c r="D268" s="71" t="n"/>
      <c r="E268" s="71" t="n"/>
      <c r="F268" s="71" t="n"/>
      <c r="G268" s="71" t="n"/>
      <c r="H268" s="71" t="n"/>
      <c r="I268" s="71" t="n"/>
      <c r="J268" s="71" t="n"/>
      <c r="K268" s="71" t="n"/>
      <c r="L268" s="71" t="n"/>
      <c r="M268" s="71" t="n"/>
      <c r="N268" s="71" t="n"/>
      <c r="O268" s="147" t="inlineStr">
        <is>
          <t>–</t>
        </is>
      </c>
    </row>
    <row r="269" outlineLevel="2" ht="15" customHeight="1">
      <c r="A269" s="69" t="inlineStr">
        <is>
          <t xml:space="preserve">      Bid Sheet / Auction</t>
        </is>
      </c>
      <c r="B269" s="70">
        <f>IF('Final Calculation Sheet'!$D$21="","",'Final Calculation Sheet'!$D$21)</f>
        <v/>
      </c>
      <c r="C269" s="71" t="n"/>
      <c r="D269" s="71" t="n"/>
      <c r="E269" s="71" t="n"/>
      <c r="F269" s="71" t="n"/>
      <c r="G269" s="71" t="n"/>
      <c r="H269" s="71" t="n"/>
      <c r="I269" s="71" t="n"/>
      <c r="J269" s="71" t="n"/>
      <c r="K269" s="71" t="n"/>
      <c r="L269" s="71" t="n"/>
      <c r="M269" s="71" t="n"/>
      <c r="N269" s="71" t="n"/>
      <c r="O269" s="147" t="inlineStr">
        <is>
          <t>–</t>
        </is>
      </c>
    </row>
    <row r="270" outlineLevel="2" ht="15" customHeight="1">
      <c r="A270" s="69" t="inlineStr">
        <is>
          <t xml:space="preserve">      Quantity</t>
        </is>
      </c>
      <c r="B270" s="74">
        <f>IF('Final Calculation Sheet'!$A$21="","",'Final Calculation Sheet'!$A$21)</f>
        <v/>
      </c>
      <c r="C270" s="71" t="n"/>
      <c r="D270" s="71" t="n"/>
      <c r="E270" s="71" t="n"/>
      <c r="F270" s="71" t="n"/>
      <c r="G270" s="71" t="n"/>
      <c r="H270" s="71" t="n"/>
      <c r="I270" s="71" t="n"/>
      <c r="J270" s="71" t="n"/>
      <c r="K270" s="71" t="n"/>
      <c r="L270" s="71" t="n"/>
      <c r="M270" s="71" t="n"/>
      <c r="N270" s="71" t="n"/>
      <c r="O270" s="148">
        <f>SUM(B270:N270)</f>
        <v/>
      </c>
    </row>
    <row r="271" outlineLevel="2" ht="15" customHeight="1">
      <c r="A271" s="69" t="inlineStr">
        <is>
          <t xml:space="preserve">      Unit</t>
        </is>
      </c>
      <c r="B271" s="76">
        <f>IF('Final Calculation Sheet'!$E$21="","",'Final Calculation Sheet'!$E$21)</f>
        <v/>
      </c>
      <c r="C271" s="71" t="n"/>
      <c r="D271" s="71" t="n"/>
      <c r="E271" s="71" t="n"/>
      <c r="F271" s="71" t="n"/>
      <c r="G271" s="71" t="n"/>
      <c r="H271" s="71" t="n"/>
      <c r="I271" s="71" t="n"/>
      <c r="J271" s="71" t="n"/>
      <c r="K271" s="71" t="n"/>
      <c r="L271" s="71" t="n"/>
      <c r="M271" s="71" t="n"/>
      <c r="N271" s="71" t="n"/>
      <c r="O271" s="147" t="inlineStr">
        <is>
          <t>–</t>
        </is>
      </c>
    </row>
    <row r="272" outlineLevel="2" ht="15" customHeight="1">
      <c r="A272" s="69" t="inlineStr">
        <is>
          <t xml:space="preserve">      Rate (₹)</t>
        </is>
      </c>
      <c r="B272" s="70">
        <f>IF('Final Calculation Sheet'!$C$21="","",'Final Calculation Sheet'!$C$21)</f>
        <v/>
      </c>
      <c r="C272" s="71" t="n"/>
      <c r="D272" s="71" t="n"/>
      <c r="E272" s="71" t="n"/>
      <c r="F272" s="71" t="n"/>
      <c r="G272" s="71" t="n"/>
      <c r="H272" s="71" t="n"/>
      <c r="I272" s="71" t="n"/>
      <c r="J272" s="71" t="n"/>
      <c r="K272" s="71" t="n"/>
      <c r="L272" s="71" t="n"/>
      <c r="M272" s="71" t="n"/>
      <c r="N272" s="71" t="n"/>
      <c r="O272" s="147" t="inlineStr">
        <is>
          <t>–</t>
        </is>
      </c>
    </row>
    <row r="273" outlineLevel="1" ht="16" customHeight="1">
      <c r="A273" s="143" t="inlineStr">
        <is>
          <t xml:space="preserve">  ▸ FINANCIALS</t>
        </is>
      </c>
      <c r="B273" s="145" t="n"/>
      <c r="C273" s="145" t="n"/>
      <c r="D273" s="145" t="n"/>
      <c r="E273" s="145" t="n"/>
      <c r="F273" s="145" t="n"/>
      <c r="G273" s="145" t="n"/>
      <c r="H273" s="145" t="n"/>
      <c r="I273" s="145" t="n"/>
      <c r="J273" s="145" t="n"/>
      <c r="K273" s="145" t="n"/>
      <c r="L273" s="145" t="n"/>
      <c r="M273" s="145" t="n"/>
      <c r="N273" s="145" t="n"/>
      <c r="O273" s="145" t="n"/>
    </row>
    <row r="274" outlineLevel="2" ht="15" customHeight="1">
      <c r="A274" s="69" t="inlineStr">
        <is>
          <t xml:space="preserve">      Mat. Value (₹)</t>
        </is>
      </c>
      <c r="B274" s="70">
        <f>IF('Final Calculation Sheet'!$H$21="","",'Final Calculation Sheet'!$H$21)</f>
        <v/>
      </c>
      <c r="C274" s="71" t="n"/>
      <c r="D274" s="71" t="n"/>
      <c r="E274" s="71" t="n"/>
      <c r="F274" s="71" t="n"/>
      <c r="G274" s="71" t="n"/>
      <c r="H274" s="71" t="n"/>
      <c r="I274" s="71" t="n"/>
      <c r="J274" s="71" t="n"/>
      <c r="K274" s="71" t="n"/>
      <c r="L274" s="71" t="n"/>
      <c r="M274" s="71" t="n"/>
      <c r="N274" s="71" t="n"/>
      <c r="O274" s="149">
        <f>SUM(B274:N274)</f>
        <v/>
      </c>
    </row>
    <row r="275" outlineLevel="2" ht="15" customHeight="1">
      <c r="A275" s="69" t="inlineStr">
        <is>
          <t xml:space="preserve">      GST @ 18% (₹)</t>
        </is>
      </c>
      <c r="B275" s="70">
        <f>IF('Final Calculation Sheet'!$I$21="","",'Final Calculation Sheet'!$I$21)</f>
        <v/>
      </c>
      <c r="C275" s="71" t="n"/>
      <c r="D275" s="71" t="n"/>
      <c r="E275" s="71" t="n"/>
      <c r="F275" s="71" t="n"/>
      <c r="G275" s="71" t="n"/>
      <c r="H275" s="71" t="n"/>
      <c r="I275" s="71" t="n"/>
      <c r="J275" s="71" t="n"/>
      <c r="K275" s="71" t="n"/>
      <c r="L275" s="71" t="n"/>
      <c r="M275" s="71" t="n"/>
      <c r="N275" s="71" t="n"/>
      <c r="O275" s="149">
        <f>SUM(B275:N275)</f>
        <v/>
      </c>
    </row>
    <row r="276" outlineLevel="2" ht="15" customHeight="1">
      <c r="A276" s="69" t="inlineStr">
        <is>
          <t xml:space="preserve">      Mat. Value + GST (₹)</t>
        </is>
      </c>
      <c r="B276" s="70">
        <f>IF('Final Calculation Sheet'!$J$21="","",'Final Calculation Sheet'!$J$21)</f>
        <v/>
      </c>
      <c r="C276" s="71" t="n"/>
      <c r="D276" s="71" t="n"/>
      <c r="E276" s="71" t="n"/>
      <c r="F276" s="71" t="n"/>
      <c r="G276" s="71" t="n"/>
      <c r="H276" s="71" t="n"/>
      <c r="I276" s="71" t="n"/>
      <c r="J276" s="71" t="n"/>
      <c r="K276" s="71" t="n"/>
      <c r="L276" s="71" t="n"/>
      <c r="M276" s="71" t="n"/>
      <c r="N276" s="71" t="n"/>
      <c r="O276" s="149">
        <f>SUM(B276:N276)</f>
        <v/>
      </c>
    </row>
    <row r="277" outlineLevel="2" ht="15" customHeight="1">
      <c r="A277" s="69" t="inlineStr">
        <is>
          <t xml:space="preserve">      TCS @ 2% (₹)</t>
        </is>
      </c>
      <c r="B277" s="70">
        <f>IF('Final Calculation Sheet'!$K$21="","",'Final Calculation Sheet'!$K$21)</f>
        <v/>
      </c>
      <c r="C277" s="71" t="n"/>
      <c r="D277" s="71" t="n"/>
      <c r="E277" s="71" t="n"/>
      <c r="F277" s="71" t="n"/>
      <c r="G277" s="71" t="n"/>
      <c r="H277" s="71" t="n"/>
      <c r="I277" s="71" t="n"/>
      <c r="J277" s="71" t="n"/>
      <c r="K277" s="71" t="n"/>
      <c r="L277" s="71" t="n"/>
      <c r="M277" s="71" t="n"/>
      <c r="N277" s="71" t="n"/>
      <c r="O277" s="149">
        <f>SUM(B277:N277)</f>
        <v/>
      </c>
    </row>
    <row r="278" outlineLevel="2" ht="15" customHeight="1">
      <c r="A278" s="69" t="inlineStr">
        <is>
          <t xml:space="preserve">      TDS u/s 194(O) (₹)</t>
        </is>
      </c>
      <c r="B278" s="78">
        <f>IF('Final Calculation Sheet'!$L$21="","",'Final Calculation Sheet'!$L$21)</f>
        <v/>
      </c>
      <c r="C278" s="71" t="n"/>
      <c r="D278" s="71" t="n"/>
      <c r="E278" s="71" t="n"/>
      <c r="F278" s="71" t="n"/>
      <c r="G278" s="71" t="n"/>
      <c r="H278" s="71" t="n"/>
      <c r="I278" s="71" t="n"/>
      <c r="J278" s="71" t="n"/>
      <c r="K278" s="71" t="n"/>
      <c r="L278" s="71" t="n"/>
      <c r="M278" s="71" t="n"/>
      <c r="N278" s="71" t="n"/>
      <c r="O278" s="150">
        <f>SUM(B278:N278)</f>
        <v/>
      </c>
    </row>
    <row r="279" outlineLevel="2" ht="15" customHeight="1">
      <c r="A279" s="69" t="inlineStr">
        <is>
          <t xml:space="preserve">      Service Charge gross (₹)</t>
        </is>
      </c>
      <c r="B279" s="78">
        <f>IF('Final Calculation Sheet'!$M$21="","",'Final Calculation Sheet'!$M$21)</f>
        <v/>
      </c>
      <c r="C279" s="71" t="n"/>
      <c r="D279" s="71" t="n"/>
      <c r="E279" s="71" t="n"/>
      <c r="F279" s="71" t="n"/>
      <c r="G279" s="71" t="n"/>
      <c r="H279" s="71" t="n"/>
      <c r="I279" s="71" t="n"/>
      <c r="J279" s="71" t="n"/>
      <c r="K279" s="71" t="n"/>
      <c r="L279" s="71" t="n"/>
      <c r="M279" s="71" t="n"/>
      <c r="N279" s="71" t="n"/>
      <c r="O279" s="150">
        <f>SUM(B279:N279)</f>
        <v/>
      </c>
    </row>
    <row r="280" outlineLevel="2" ht="15" customHeight="1">
      <c r="A280" s="69" t="inlineStr">
        <is>
          <t xml:space="preserve">      TDS u/s 194(H) (₹)</t>
        </is>
      </c>
      <c r="B280" s="78">
        <f>IF('Final Calculation Sheet'!$N$21="","",'Final Calculation Sheet'!$N$21)</f>
        <v/>
      </c>
      <c r="C280" s="71" t="n"/>
      <c r="D280" s="71" t="n"/>
      <c r="E280" s="71" t="n"/>
      <c r="F280" s="71" t="n"/>
      <c r="G280" s="71" t="n"/>
      <c r="H280" s="71" t="n"/>
      <c r="I280" s="71" t="n"/>
      <c r="J280" s="71" t="n"/>
      <c r="K280" s="71" t="n"/>
      <c r="L280" s="71" t="n"/>
      <c r="M280" s="71" t="n"/>
      <c r="N280" s="71" t="n"/>
      <c r="O280" s="150">
        <f>SUM(B280:N280)</f>
        <v/>
      </c>
    </row>
    <row r="281" outlineLevel="2" ht="15" customHeight="1">
      <c r="A281" s="69" t="inlineStr">
        <is>
          <t xml:space="preserve">      Net Service Charge (₹)</t>
        </is>
      </c>
      <c r="B281" s="78">
        <f>IF('Final Calculation Sheet'!$O$21="","",'Final Calculation Sheet'!$O$21)</f>
        <v/>
      </c>
      <c r="C281" s="71" t="n"/>
      <c r="D281" s="71" t="n"/>
      <c r="E281" s="71" t="n"/>
      <c r="F281" s="71" t="n"/>
      <c r="G281" s="71" t="n"/>
      <c r="H281" s="71" t="n"/>
      <c r="I281" s="71" t="n"/>
      <c r="J281" s="71" t="n"/>
      <c r="K281" s="71" t="n"/>
      <c r="L281" s="71" t="n"/>
      <c r="M281" s="71" t="n"/>
      <c r="N281" s="71" t="n"/>
      <c r="O281" s="150">
        <f>SUM(B281:N281)</f>
        <v/>
      </c>
    </row>
    <row r="282" outlineLevel="2" ht="15" customHeight="1">
      <c r="A282" s="69" t="inlineStr">
        <is>
          <t xml:space="preserve">      Svc Charge to MSTC (₹)</t>
        </is>
      </c>
      <c r="B282" s="70">
        <f>IF('Final Calculation Sheet'!$P$21="","",'Final Calculation Sheet'!$P$21)</f>
        <v/>
      </c>
      <c r="C282" s="71" t="n"/>
      <c r="D282" s="71" t="n"/>
      <c r="E282" s="71" t="n"/>
      <c r="F282" s="71" t="n"/>
      <c r="G282" s="71" t="n"/>
      <c r="H282" s="71" t="n"/>
      <c r="I282" s="71" t="n"/>
      <c r="J282" s="71" t="n"/>
      <c r="K282" s="71" t="n"/>
      <c r="L282" s="71" t="n"/>
      <c r="M282" s="71" t="n"/>
      <c r="N282" s="71" t="n"/>
      <c r="O282" s="149">
        <f>SUM(B282:N282)</f>
        <v/>
      </c>
    </row>
    <row r="283" outlineLevel="2" ht="15" customHeight="1">
      <c r="A283" s="69" t="inlineStr">
        <is>
          <t xml:space="preserve">      GST TDS Rate</t>
        </is>
      </c>
      <c r="B283" s="80">
        <f>IF('Final Calculation Sheet'!$Q$21="","",'Final Calculation Sheet'!$Q$21)</f>
        <v/>
      </c>
      <c r="C283" s="71" t="n"/>
      <c r="D283" s="71" t="n"/>
      <c r="E283" s="71" t="n"/>
      <c r="F283" s="71" t="n"/>
      <c r="G283" s="71" t="n"/>
      <c r="H283" s="71" t="n"/>
      <c r="I283" s="71" t="n"/>
      <c r="J283" s="71" t="n"/>
      <c r="K283" s="71" t="n"/>
      <c r="L283" s="71" t="n"/>
      <c r="M283" s="71" t="n"/>
      <c r="N283" s="71" t="n"/>
      <c r="O283" s="147" t="inlineStr">
        <is>
          <t>–</t>
        </is>
      </c>
    </row>
    <row r="284" outlineLevel="2" ht="15" customHeight="1">
      <c r="A284" s="69" t="inlineStr">
        <is>
          <t xml:space="preserve">      GST TDS (₹)</t>
        </is>
      </c>
      <c r="B284" s="70">
        <f>IF('Final Calculation Sheet'!$R$21="","",'Final Calculation Sheet'!$R$21)</f>
        <v/>
      </c>
      <c r="C284" s="71" t="n"/>
      <c r="D284" s="71" t="n"/>
      <c r="E284" s="71" t="n"/>
      <c r="F284" s="71" t="n"/>
      <c r="G284" s="71" t="n"/>
      <c r="H284" s="71" t="n"/>
      <c r="I284" s="71" t="n"/>
      <c r="J284" s="71" t="n"/>
      <c r="K284" s="71" t="n"/>
      <c r="L284" s="71" t="n"/>
      <c r="M284" s="71" t="n"/>
      <c r="N284" s="71" t="n"/>
      <c r="O284" s="149">
        <f>SUM(B284:N284)</f>
        <v/>
      </c>
    </row>
    <row r="285" outlineLevel="2" ht="15" customHeight="1">
      <c r="A285" s="69" t="inlineStr">
        <is>
          <t xml:space="preserve">      Total Receivables (₹)</t>
        </is>
      </c>
      <c r="B285" s="70">
        <f>IF('Final Calculation Sheet'!$S$21="","",'Final Calculation Sheet'!$S$21)</f>
        <v/>
      </c>
      <c r="C285" s="71" t="n"/>
      <c r="D285" s="71" t="n"/>
      <c r="E285" s="71" t="n"/>
      <c r="F285" s="71" t="n"/>
      <c r="G285" s="71" t="n"/>
      <c r="H285" s="71" t="n"/>
      <c r="I285" s="71" t="n"/>
      <c r="J285" s="71" t="n"/>
      <c r="K285" s="71" t="n"/>
      <c r="L285" s="71" t="n"/>
      <c r="M285" s="71" t="n"/>
      <c r="N285" s="71" t="n"/>
      <c r="O285" s="149">
        <f>SUM(B285:N285)</f>
        <v/>
      </c>
    </row>
    <row r="286" outlineLevel="1" ht="16" customHeight="1">
      <c r="A286" s="143" t="inlineStr">
        <is>
          <t xml:space="preserve">  ▸ SECURITY DEPOSIT</t>
        </is>
      </c>
      <c r="B286" s="145" t="n"/>
      <c r="C286" s="145" t="n"/>
      <c r="D286" s="145" t="n"/>
      <c r="E286" s="145" t="n"/>
      <c r="F286" s="145" t="n"/>
      <c r="G286" s="145" t="n"/>
      <c r="H286" s="145" t="n"/>
      <c r="I286" s="145" t="n"/>
      <c r="J286" s="145" t="n"/>
      <c r="K286" s="145" t="n"/>
      <c r="L286" s="145" t="n"/>
      <c r="M286" s="145" t="n"/>
      <c r="N286" s="145" t="n"/>
      <c r="O286" s="145" t="n"/>
    </row>
    <row r="287" outlineLevel="2" ht="15" customHeight="1">
      <c r="A287" s="69" t="inlineStr">
        <is>
          <t xml:space="preserve">      SD Expected (₹)</t>
        </is>
      </c>
      <c r="B287" s="70">
        <f>IF('Final Calculation Sheet'!$T$21="","",'Final Calculation Sheet'!$T$21)</f>
        <v/>
      </c>
      <c r="C287" s="71" t="n"/>
      <c r="D287" s="71" t="n"/>
      <c r="E287" s="71" t="n"/>
      <c r="F287" s="71" t="n"/>
      <c r="G287" s="71" t="n"/>
      <c r="H287" s="71" t="n"/>
      <c r="I287" s="71" t="n"/>
      <c r="J287" s="71" t="n"/>
      <c r="K287" s="71" t="n"/>
      <c r="L287" s="71" t="n"/>
      <c r="M287" s="71" t="n"/>
      <c r="N287" s="71" t="n"/>
      <c r="O287" s="149">
        <f>SUM(B287:N287)</f>
        <v/>
      </c>
    </row>
    <row r="288" outlineLevel="2" ht="15" customHeight="1">
      <c r="A288" s="69" t="inlineStr">
        <is>
          <t xml:space="preserve">      SD Received (₹)</t>
        </is>
      </c>
      <c r="B288" s="70">
        <f>IF('Final Calculation Sheet'!$U$21="","",'Final Calculation Sheet'!$U$21)</f>
        <v/>
      </c>
      <c r="C288" s="71" t="n"/>
      <c r="D288" s="71" t="n"/>
      <c r="E288" s="71" t="n"/>
      <c r="F288" s="71" t="n"/>
      <c r="G288" s="71" t="n"/>
      <c r="H288" s="71" t="n"/>
      <c r="I288" s="71" t="n"/>
      <c r="J288" s="71" t="n"/>
      <c r="K288" s="71" t="n"/>
      <c r="L288" s="71" t="n"/>
      <c r="M288" s="71" t="n"/>
      <c r="N288" s="71" t="n"/>
      <c r="O288" s="149">
        <f>SUM(B288:N288)</f>
        <v/>
      </c>
    </row>
    <row r="289" outlineLevel="2" ht="15" customHeight="1">
      <c r="A289" s="69" t="inlineStr">
        <is>
          <t xml:space="preserve">      SD Receipt Date</t>
        </is>
      </c>
      <c r="B289" s="76">
        <f>IF('Final Calculation Sheet'!$V$21="","",'Final Calculation Sheet'!$V$21)</f>
        <v/>
      </c>
      <c r="C289" s="71" t="n"/>
      <c r="D289" s="71" t="n"/>
      <c r="E289" s="71" t="n"/>
      <c r="F289" s="71" t="n"/>
      <c r="G289" s="71" t="n"/>
      <c r="H289" s="71" t="n"/>
      <c r="I289" s="71" t="n"/>
      <c r="J289" s="71" t="n"/>
      <c r="K289" s="71" t="n"/>
      <c r="L289" s="71" t="n"/>
      <c r="M289" s="71" t="n"/>
      <c r="N289" s="71" t="n"/>
      <c r="O289" s="147" t="inlineStr">
        <is>
          <t>–</t>
        </is>
      </c>
    </row>
    <row r="290" outlineLevel="1" ht="16" customHeight="1">
      <c r="A290" s="143" t="inlineStr">
        <is>
          <t xml:space="preserve">  ▸ FINAL PAYMENT</t>
        </is>
      </c>
      <c r="B290" s="145" t="n"/>
      <c r="C290" s="145" t="n"/>
      <c r="D290" s="145" t="n"/>
      <c r="E290" s="145" t="n"/>
      <c r="F290" s="145" t="n"/>
      <c r="G290" s="145" t="n"/>
      <c r="H290" s="145" t="n"/>
      <c r="I290" s="145" t="n"/>
      <c r="J290" s="145" t="n"/>
      <c r="K290" s="145" t="n"/>
      <c r="L290" s="145" t="n"/>
      <c r="M290" s="145" t="n"/>
      <c r="N290" s="145" t="n"/>
      <c r="O290" s="145" t="n"/>
    </row>
    <row r="291" outlineLevel="2" ht="15" customHeight="1">
      <c r="A291" s="69" t="inlineStr">
        <is>
          <t xml:space="preserve">      FP Expected (₹)</t>
        </is>
      </c>
      <c r="B291" s="70">
        <f>IF('Final Calculation Sheet'!$W$21="","",'Final Calculation Sheet'!$W$21)</f>
        <v/>
      </c>
      <c r="C291" s="71" t="n"/>
      <c r="D291" s="71" t="n"/>
      <c r="E291" s="71" t="n"/>
      <c r="F291" s="71" t="n"/>
      <c r="G291" s="71" t="n"/>
      <c r="H291" s="71" t="n"/>
      <c r="I291" s="71" t="n"/>
      <c r="J291" s="71" t="n"/>
      <c r="K291" s="71" t="n"/>
      <c r="L291" s="71" t="n"/>
      <c r="M291" s="71" t="n"/>
      <c r="N291" s="71" t="n"/>
      <c r="O291" s="149">
        <f>SUM(B291:N291)</f>
        <v/>
      </c>
    </row>
    <row r="292" outlineLevel="2" ht="15" customHeight="1">
      <c r="A292" s="69" t="inlineStr">
        <is>
          <t xml:space="preserve">      FP Received (₹)</t>
        </is>
      </c>
      <c r="B292" s="70">
        <f>IF('Final Calculation Sheet'!$X$21="","",'Final Calculation Sheet'!$X$21)</f>
        <v/>
      </c>
      <c r="C292" s="71" t="n"/>
      <c r="D292" s="71" t="n"/>
      <c r="E292" s="71" t="n"/>
      <c r="F292" s="71" t="n"/>
      <c r="G292" s="71" t="n"/>
      <c r="H292" s="71" t="n"/>
      <c r="I292" s="71" t="n"/>
      <c r="J292" s="71" t="n"/>
      <c r="K292" s="71" t="n"/>
      <c r="L292" s="71" t="n"/>
      <c r="M292" s="71" t="n"/>
      <c r="N292" s="71" t="n"/>
      <c r="O292" s="149">
        <f>SUM(B292:N292)</f>
        <v/>
      </c>
    </row>
    <row r="293" outlineLevel="2" ht="15" customHeight="1">
      <c r="A293" s="69" t="inlineStr">
        <is>
          <t xml:space="preserve">      FP Receipt Date</t>
        </is>
      </c>
      <c r="B293" s="76">
        <f>IF('Final Calculation Sheet'!$Y$21="","",'Final Calculation Sheet'!$Y$21)</f>
        <v/>
      </c>
      <c r="C293" s="71" t="n"/>
      <c r="D293" s="71" t="n"/>
      <c r="E293" s="71" t="n"/>
      <c r="F293" s="71" t="n"/>
      <c r="G293" s="71" t="n"/>
      <c r="H293" s="71" t="n"/>
      <c r="I293" s="71" t="n"/>
      <c r="J293" s="71" t="n"/>
      <c r="K293" s="71" t="n"/>
      <c r="L293" s="71" t="n"/>
      <c r="M293" s="71" t="n"/>
      <c r="N293" s="71" t="n"/>
      <c r="O293" s="147" t="inlineStr">
        <is>
          <t>–</t>
        </is>
      </c>
    </row>
    <row r="294" outlineLevel="1" ht="16" customHeight="1">
      <c r="A294" s="143" t="inlineStr">
        <is>
          <t xml:space="preserve">  ▸ LPP</t>
        </is>
      </c>
      <c r="B294" s="145" t="n"/>
      <c r="C294" s="145" t="n"/>
      <c r="D294" s="145" t="n"/>
      <c r="E294" s="145" t="n"/>
      <c r="F294" s="145" t="n"/>
      <c r="G294" s="145" t="n"/>
      <c r="H294" s="145" t="n"/>
      <c r="I294" s="145" t="n"/>
      <c r="J294" s="145" t="n"/>
      <c r="K294" s="145" t="n"/>
      <c r="L294" s="145" t="n"/>
      <c r="M294" s="145" t="n"/>
      <c r="N294" s="145" t="n"/>
      <c r="O294" s="145" t="n"/>
    </row>
    <row r="295" outlineLevel="2" ht="15" customHeight="1">
      <c r="A295" s="69" t="inlineStr">
        <is>
          <t xml:space="preserve">      LPP Expected (₹)</t>
        </is>
      </c>
      <c r="B295" s="70">
        <f>IF('Final Calculation Sheet'!$Z$21="","",'Final Calculation Sheet'!$Z$21)</f>
        <v/>
      </c>
      <c r="C295" s="71" t="n"/>
      <c r="D295" s="71" t="n"/>
      <c r="E295" s="71" t="n"/>
      <c r="F295" s="71" t="n"/>
      <c r="G295" s="71" t="n"/>
      <c r="H295" s="71" t="n"/>
      <c r="I295" s="71" t="n"/>
      <c r="J295" s="71" t="n"/>
      <c r="K295" s="71" t="n"/>
      <c r="L295" s="71" t="n"/>
      <c r="M295" s="71" t="n"/>
      <c r="N295" s="71" t="n"/>
      <c r="O295" s="149">
        <f>SUM(B295:N295)</f>
        <v/>
      </c>
    </row>
    <row r="296" outlineLevel="2" ht="15" customHeight="1">
      <c r="A296" s="69" t="inlineStr">
        <is>
          <t xml:space="preserve">      LPP Received (₹)</t>
        </is>
      </c>
      <c r="B296" s="70">
        <f>IF('Final Calculation Sheet'!$AA$21="","",'Final Calculation Sheet'!$AA$21)</f>
        <v/>
      </c>
      <c r="C296" s="71" t="n"/>
      <c r="D296" s="71" t="n"/>
      <c r="E296" s="71" t="n"/>
      <c r="F296" s="71" t="n"/>
      <c r="G296" s="71" t="n"/>
      <c r="H296" s="71" t="n"/>
      <c r="I296" s="71" t="n"/>
      <c r="J296" s="71" t="n"/>
      <c r="K296" s="71" t="n"/>
      <c r="L296" s="71" t="n"/>
      <c r="M296" s="71" t="n"/>
      <c r="N296" s="71" t="n"/>
      <c r="O296" s="149">
        <f>SUM(B296:N296)</f>
        <v/>
      </c>
    </row>
    <row r="297" outlineLevel="2" ht="15" customHeight="1">
      <c r="A297" s="69" t="inlineStr">
        <is>
          <t xml:space="preserve">      LPP Receipt Date</t>
        </is>
      </c>
      <c r="B297" s="76">
        <f>IF('Final Calculation Sheet'!$AB$21="","",'Final Calculation Sheet'!$AB$21)</f>
        <v/>
      </c>
      <c r="C297" s="71" t="n"/>
      <c r="D297" s="71" t="n"/>
      <c r="E297" s="71" t="n"/>
      <c r="F297" s="71" t="n"/>
      <c r="G297" s="71" t="n"/>
      <c r="H297" s="71" t="n"/>
      <c r="I297" s="71" t="n"/>
      <c r="J297" s="71" t="n"/>
      <c r="K297" s="71" t="n"/>
      <c r="L297" s="71" t="n"/>
      <c r="M297" s="71" t="n"/>
      <c r="N297" s="71" t="n"/>
      <c r="O297" s="147" t="inlineStr">
        <is>
          <t>–</t>
        </is>
      </c>
    </row>
    <row r="298" outlineLevel="1" ht="16" customHeight="1">
      <c r="A298" s="143" t="inlineStr">
        <is>
          <t xml:space="preserve">  ▸ SUMMARY</t>
        </is>
      </c>
      <c r="B298" s="145" t="n"/>
      <c r="C298" s="145" t="n"/>
      <c r="D298" s="145" t="n"/>
      <c r="E298" s="145" t="n"/>
      <c r="F298" s="145" t="n"/>
      <c r="G298" s="145" t="n"/>
      <c r="H298" s="145" t="n"/>
      <c r="I298" s="145" t="n"/>
      <c r="J298" s="145" t="n"/>
      <c r="K298" s="145" t="n"/>
      <c r="L298" s="145" t="n"/>
      <c r="M298" s="145" t="n"/>
      <c r="N298" s="145" t="n"/>
      <c r="O298" s="145" t="n"/>
    </row>
    <row r="299" outlineLevel="2" ht="15" customHeight="1">
      <c r="A299" s="69" t="inlineStr">
        <is>
          <t xml:space="preserve">      Total Received (₹)</t>
        </is>
      </c>
      <c r="B299" s="70">
        <f>IF('Final Calculation Sheet'!$AC$21="","",'Final Calculation Sheet'!$AC$21)</f>
        <v/>
      </c>
      <c r="C299" s="71" t="n"/>
      <c r="D299" s="71" t="n"/>
      <c r="E299" s="71" t="n"/>
      <c r="F299" s="71" t="n"/>
      <c r="G299" s="71" t="n"/>
      <c r="H299" s="71" t="n"/>
      <c r="I299" s="71" t="n"/>
      <c r="J299" s="71" t="n"/>
      <c r="K299" s="71" t="n"/>
      <c r="L299" s="71" t="n"/>
      <c r="M299" s="71" t="n"/>
      <c r="N299" s="71" t="n"/>
      <c r="O299" s="149">
        <f>SUM(B299:N299)</f>
        <v/>
      </c>
    </row>
    <row r="300" outlineLevel="2" ht="15" customHeight="1">
      <c r="A300" s="69" t="inlineStr">
        <is>
          <t xml:space="preserve">      Outstanding (₹)</t>
        </is>
      </c>
      <c r="B300" s="70">
        <f>IF('Final Calculation Sheet'!$AD$21="","",'Final Calculation Sheet'!$AD$21)</f>
        <v/>
      </c>
      <c r="C300" s="71" t="n"/>
      <c r="D300" s="71" t="n"/>
      <c r="E300" s="71" t="n"/>
      <c r="F300" s="71" t="n"/>
      <c r="G300" s="71" t="n"/>
      <c r="H300" s="71" t="n"/>
      <c r="I300" s="71" t="n"/>
      <c r="J300" s="71" t="n"/>
      <c r="K300" s="71" t="n"/>
      <c r="L300" s="71" t="n"/>
      <c r="M300" s="71" t="n"/>
      <c r="N300" s="71" t="n"/>
      <c r="O300" s="149">
        <f>SUM(B300:N300)</f>
        <v/>
      </c>
    </row>
    <row r="301" outlineLevel="2" ht="15" customHeight="1">
      <c r="A301" s="69" t="inlineStr">
        <is>
          <t xml:space="preserve">      Payment Status</t>
        </is>
      </c>
      <c r="B301" s="81">
        <f>IF('Final Calculation Sheet'!$AD$21="","",IF('Final Calculation Sheet'!$AD$21&lt;=0,"SETTLED","OUTSTANDING"))</f>
        <v/>
      </c>
      <c r="C301" s="71" t="n"/>
      <c r="D301" s="71" t="n"/>
      <c r="E301" s="71" t="n"/>
      <c r="F301" s="71" t="n"/>
      <c r="G301" s="71" t="n"/>
      <c r="H301" s="71" t="n"/>
      <c r="I301" s="71" t="n"/>
      <c r="J301" s="71" t="n"/>
      <c r="K301" s="71" t="n"/>
      <c r="L301" s="71" t="n"/>
      <c r="M301" s="71" t="n"/>
      <c r="N301" s="71" t="n"/>
      <c r="O301" s="147" t="inlineStr">
        <is>
          <t>–</t>
        </is>
      </c>
    </row>
    <row r="302" outlineLevel="1" ht="16" customHeight="1">
      <c r="A302" s="143" t="inlineStr">
        <is>
          <t xml:space="preserve">  ▸ DOCUMENT</t>
        </is>
      </c>
      <c r="B302" s="145" t="n"/>
      <c r="C302" s="145" t="n"/>
      <c r="D302" s="145" t="n"/>
      <c r="E302" s="145" t="n"/>
      <c r="F302" s="145" t="n"/>
      <c r="G302" s="145" t="n"/>
      <c r="H302" s="145" t="n"/>
      <c r="I302" s="145" t="n"/>
      <c r="J302" s="145" t="n"/>
      <c r="K302" s="145" t="n"/>
      <c r="L302" s="145" t="n"/>
      <c r="M302" s="145" t="n"/>
      <c r="N302" s="145" t="n"/>
      <c r="O302" s="145" t="n"/>
    </row>
    <row r="303" outlineLevel="2" ht="15" customHeight="1">
      <c r="A303" s="69" t="inlineStr">
        <is>
          <t xml:space="preserve">      Invoice No.</t>
        </is>
      </c>
      <c r="B303" s="76">
        <f>IF('Final Calculation Sheet'!$AE$21="","",'Final Calculation Sheet'!$AE$21)</f>
        <v/>
      </c>
      <c r="C303" s="71" t="n"/>
      <c r="D303" s="71" t="n"/>
      <c r="E303" s="71" t="n"/>
      <c r="F303" s="71" t="n"/>
      <c r="G303" s="71" t="n"/>
      <c r="H303" s="71" t="n"/>
      <c r="I303" s="71" t="n"/>
      <c r="J303" s="71" t="n"/>
      <c r="K303" s="71" t="n"/>
      <c r="L303" s="71" t="n"/>
      <c r="M303" s="71" t="n"/>
      <c r="N303" s="71" t="n"/>
      <c r="O303" s="147" t="inlineStr">
        <is>
          <t>–</t>
        </is>
      </c>
    </row>
    <row r="304" outlineLevel="2" ht="15" customHeight="1">
      <c r="A304" s="69" t="inlineStr">
        <is>
          <t xml:space="preserve">      SAP Document</t>
        </is>
      </c>
      <c r="B304" s="70">
        <f>IF('Final Calculation Sheet'!$AF$21="","",'Final Calculation Sheet'!$AF$21)</f>
        <v/>
      </c>
      <c r="C304" s="71" t="n"/>
      <c r="D304" s="71" t="n"/>
      <c r="E304" s="71" t="n"/>
      <c r="F304" s="71" t="n"/>
      <c r="G304" s="71" t="n"/>
      <c r="H304" s="71" t="n"/>
      <c r="I304" s="71" t="n"/>
      <c r="J304" s="71" t="n"/>
      <c r="K304" s="71" t="n"/>
      <c r="L304" s="71" t="n"/>
      <c r="M304" s="71" t="n"/>
      <c r="N304" s="71" t="n"/>
      <c r="O304" s="147" t="inlineStr">
        <is>
          <t>–</t>
        </is>
      </c>
    </row>
    <row r="305" outlineLevel="2" ht="15" customHeight="1">
      <c r="A305" s="69" t="inlineStr">
        <is>
          <t xml:space="preserve">      Doc./Invoice Date</t>
        </is>
      </c>
      <c r="B305" s="76">
        <f>IF('Final Calculation Sheet'!$AG$21="","",'Final Calculation Sheet'!$AG$21)</f>
        <v/>
      </c>
      <c r="C305" s="71" t="n"/>
      <c r="D305" s="71" t="n"/>
      <c r="E305" s="71" t="n"/>
      <c r="F305" s="71" t="n"/>
      <c r="G305" s="71" t="n"/>
      <c r="H305" s="71" t="n"/>
      <c r="I305" s="71" t="n"/>
      <c r="J305" s="71" t="n"/>
      <c r="K305" s="71" t="n"/>
      <c r="L305" s="71" t="n"/>
      <c r="M305" s="71" t="n"/>
      <c r="N305" s="71" t="n"/>
      <c r="O305" s="147" t="inlineStr">
        <is>
          <t>–</t>
        </is>
      </c>
    </row>
    <row r="306" ht="7" customHeight="1">
      <c r="A306" s="82" t="n"/>
      <c r="B306" s="82" t="n"/>
      <c r="C306" s="82" t="n"/>
      <c r="D306" s="82" t="n"/>
      <c r="E306" s="82" t="n"/>
      <c r="F306" s="82" t="n"/>
      <c r="G306" s="82" t="n"/>
      <c r="H306" s="82" t="n"/>
      <c r="I306" s="82" t="n"/>
      <c r="J306" s="82" t="n"/>
      <c r="K306" s="82" t="n"/>
      <c r="L306" s="82" t="n"/>
      <c r="M306" s="82" t="n"/>
      <c r="N306" s="82" t="n"/>
      <c r="O306" s="82" t="n"/>
    </row>
    <row r="307" ht="24" customHeight="1">
      <c r="A307" s="151">
        <f>"▼  OMKAR STEELS   •   "&amp;COUNTIF('Final Calculation Sheet'!$G$4:$G$1000,"OMKAR STEELS")&amp;" LOT(S)   •   MAT. VALUE ₹"&amp;TEXT(SUMIF('Final Calculation Sheet'!$G$4:$G$1000,"OMKAR STEELS",'Final Calculation Sheet'!$H$4:$H$1000),"#,##0")&amp;"   •   RECEIVED ₹"&amp;TEXT(SUMIF('Final Calculation Sheet'!$G$4:$G$1000,"OMKAR STEELS",'Final Calculation Sheet'!$AC$4:$AC$1000),"#,##0")&amp;"   •   OUTSTANDING ₹"&amp;TEXT(SUMIF('Final Calculation Sheet'!$G$4:$G$1000,"OMKAR STEELS",'Final Calculation Sheet'!$AD$4:$AD$1000),"#,##0")</f>
        <v/>
      </c>
      <c r="B307" s="64" t="n"/>
      <c r="C307" s="64" t="n"/>
      <c r="D307" s="64" t="n"/>
      <c r="E307" s="64" t="n"/>
      <c r="F307" s="64" t="n"/>
      <c r="G307" s="64" t="n"/>
      <c r="H307" s="64" t="n"/>
      <c r="I307" s="64" t="n"/>
      <c r="J307" s="64" t="n"/>
      <c r="K307" s="64" t="n"/>
      <c r="L307" s="64" t="n"/>
      <c r="M307" s="64" t="n"/>
      <c r="N307" s="64" t="n"/>
      <c r="O307" s="64" t="n"/>
    </row>
    <row r="308" outlineLevel="1" ht="18" customHeight="1">
      <c r="A308" s="152" t="inlineStr">
        <is>
          <t xml:space="preserve">   Lot No. →</t>
        </is>
      </c>
      <c r="B308" s="153">
        <f>IF('Final Calculation Sheet'!$F$8="","",'Final Calculation Sheet'!$F$8)</f>
        <v/>
      </c>
      <c r="C308" s="153">
        <f>IF('Final Calculation Sheet'!$F$20="","",'Final Calculation Sheet'!$F$20)</f>
        <v/>
      </c>
      <c r="D308" s="154" t="n"/>
      <c r="E308" s="154" t="n"/>
      <c r="F308" s="154" t="n"/>
      <c r="G308" s="154" t="n"/>
      <c r="H308" s="154" t="n"/>
      <c r="I308" s="154" t="n"/>
      <c r="J308" s="154" t="n"/>
      <c r="K308" s="154" t="n"/>
      <c r="L308" s="154" t="n"/>
      <c r="M308" s="154" t="n"/>
      <c r="N308" s="154" t="n"/>
      <c r="O308" s="155" t="inlineStr">
        <is>
          <t>TOTAL</t>
        </is>
      </c>
    </row>
    <row r="309" outlineLevel="1" ht="16" customHeight="1">
      <c r="A309" s="152" t="inlineStr">
        <is>
          <t xml:space="preserve">  ▸ LOT INFORMATION</t>
        </is>
      </c>
      <c r="B309" s="154" t="n"/>
      <c r="C309" s="154" t="n"/>
      <c r="D309" s="154" t="n"/>
      <c r="E309" s="154" t="n"/>
      <c r="F309" s="154" t="n"/>
      <c r="G309" s="154" t="n"/>
      <c r="H309" s="154" t="n"/>
      <c r="I309" s="154" t="n"/>
      <c r="J309" s="154" t="n"/>
      <c r="K309" s="154" t="n"/>
      <c r="L309" s="154" t="n"/>
      <c r="M309" s="154" t="n"/>
      <c r="N309" s="154" t="n"/>
      <c r="O309" s="154" t="n"/>
    </row>
    <row r="310" outlineLevel="2" ht="15" customHeight="1">
      <c r="A310" s="69" t="inlineStr">
        <is>
          <t xml:space="preserve">      Lot No.</t>
        </is>
      </c>
      <c r="B310" s="70">
        <f>IF('Final Calculation Sheet'!$F$8="","",'Final Calculation Sheet'!$F$8)</f>
        <v/>
      </c>
      <c r="C310" s="156">
        <f>IF('Final Calculation Sheet'!$F$20="","",'Final Calculation Sheet'!$F$20)</f>
        <v/>
      </c>
      <c r="D310" s="71" t="n"/>
      <c r="E310" s="71" t="n"/>
      <c r="F310" s="71" t="n"/>
      <c r="G310" s="71" t="n"/>
      <c r="H310" s="71" t="n"/>
      <c r="I310" s="71" t="n"/>
      <c r="J310" s="71" t="n"/>
      <c r="K310" s="71" t="n"/>
      <c r="L310" s="71" t="n"/>
      <c r="M310" s="71" t="n"/>
      <c r="N310" s="71" t="n"/>
      <c r="O310" s="157" t="inlineStr">
        <is>
          <t>–</t>
        </is>
      </c>
    </row>
    <row r="311" outlineLevel="2" ht="60" customHeight="1">
      <c r="A311" s="69" t="inlineStr">
        <is>
          <t xml:space="preserve">      Lot Name</t>
        </is>
      </c>
      <c r="B311" s="73">
        <f>IF('Final Calculation Sheet'!$B$8="","",'Final Calculation Sheet'!$B$8)</f>
        <v/>
      </c>
      <c r="C311" s="158">
        <f>IF('Final Calculation Sheet'!$B$20="","",'Final Calculation Sheet'!$B$20)</f>
        <v/>
      </c>
      <c r="D311" s="71" t="n"/>
      <c r="E311" s="71" t="n"/>
      <c r="F311" s="71" t="n"/>
      <c r="G311" s="71" t="n"/>
      <c r="H311" s="71" t="n"/>
      <c r="I311" s="71" t="n"/>
      <c r="J311" s="71" t="n"/>
      <c r="K311" s="71" t="n"/>
      <c r="L311" s="71" t="n"/>
      <c r="M311" s="71" t="n"/>
      <c r="N311" s="71" t="n"/>
      <c r="O311" s="157" t="inlineStr">
        <is>
          <t>–</t>
        </is>
      </c>
    </row>
    <row r="312" outlineLevel="2" ht="15" customHeight="1">
      <c r="A312" s="69" t="inlineStr">
        <is>
          <t xml:space="preserve">      Bid Sheet / Auction</t>
        </is>
      </c>
      <c r="B312" s="70">
        <f>IF('Final Calculation Sheet'!$D$8="","",'Final Calculation Sheet'!$D$8)</f>
        <v/>
      </c>
      <c r="C312" s="156">
        <f>IF('Final Calculation Sheet'!$D$20="","",'Final Calculation Sheet'!$D$20)</f>
        <v/>
      </c>
      <c r="D312" s="71" t="n"/>
      <c r="E312" s="71" t="n"/>
      <c r="F312" s="71" t="n"/>
      <c r="G312" s="71" t="n"/>
      <c r="H312" s="71" t="n"/>
      <c r="I312" s="71" t="n"/>
      <c r="J312" s="71" t="n"/>
      <c r="K312" s="71" t="n"/>
      <c r="L312" s="71" t="n"/>
      <c r="M312" s="71" t="n"/>
      <c r="N312" s="71" t="n"/>
      <c r="O312" s="157" t="inlineStr">
        <is>
          <t>–</t>
        </is>
      </c>
    </row>
    <row r="313" outlineLevel="2" ht="15" customHeight="1">
      <c r="A313" s="69" t="inlineStr">
        <is>
          <t xml:space="preserve">      Quantity</t>
        </is>
      </c>
      <c r="B313" s="74">
        <f>IF('Final Calculation Sheet'!$A$8="","",'Final Calculation Sheet'!$A$8)</f>
        <v/>
      </c>
      <c r="C313" s="159">
        <f>IF('Final Calculation Sheet'!$A$20="","",'Final Calculation Sheet'!$A$20)</f>
        <v/>
      </c>
      <c r="D313" s="71" t="n"/>
      <c r="E313" s="71" t="n"/>
      <c r="F313" s="71" t="n"/>
      <c r="G313" s="71" t="n"/>
      <c r="H313" s="71" t="n"/>
      <c r="I313" s="71" t="n"/>
      <c r="J313" s="71" t="n"/>
      <c r="K313" s="71" t="n"/>
      <c r="L313" s="71" t="n"/>
      <c r="M313" s="71" t="n"/>
      <c r="N313" s="71" t="n"/>
      <c r="O313" s="160">
        <f>SUM(B313:N313)</f>
        <v/>
      </c>
    </row>
    <row r="314" outlineLevel="2" ht="15" customHeight="1">
      <c r="A314" s="69" t="inlineStr">
        <is>
          <t xml:space="preserve">      Unit</t>
        </is>
      </c>
      <c r="B314" s="76">
        <f>IF('Final Calculation Sheet'!$E$8="","",'Final Calculation Sheet'!$E$8)</f>
        <v/>
      </c>
      <c r="C314" s="161">
        <f>IF('Final Calculation Sheet'!$E$20="","",'Final Calculation Sheet'!$E$20)</f>
        <v/>
      </c>
      <c r="D314" s="71" t="n"/>
      <c r="E314" s="71" t="n"/>
      <c r="F314" s="71" t="n"/>
      <c r="G314" s="71" t="n"/>
      <c r="H314" s="71" t="n"/>
      <c r="I314" s="71" t="n"/>
      <c r="J314" s="71" t="n"/>
      <c r="K314" s="71" t="n"/>
      <c r="L314" s="71" t="n"/>
      <c r="M314" s="71" t="n"/>
      <c r="N314" s="71" t="n"/>
      <c r="O314" s="157" t="inlineStr">
        <is>
          <t>–</t>
        </is>
      </c>
    </row>
    <row r="315" outlineLevel="2" ht="15" customHeight="1">
      <c r="A315" s="69" t="inlineStr">
        <is>
          <t xml:space="preserve">      Rate (₹)</t>
        </is>
      </c>
      <c r="B315" s="70">
        <f>IF('Final Calculation Sheet'!$C$8="","",'Final Calculation Sheet'!$C$8)</f>
        <v/>
      </c>
      <c r="C315" s="156">
        <f>IF('Final Calculation Sheet'!$C$20="","",'Final Calculation Sheet'!$C$20)</f>
        <v/>
      </c>
      <c r="D315" s="71" t="n"/>
      <c r="E315" s="71" t="n"/>
      <c r="F315" s="71" t="n"/>
      <c r="G315" s="71" t="n"/>
      <c r="H315" s="71" t="n"/>
      <c r="I315" s="71" t="n"/>
      <c r="J315" s="71" t="n"/>
      <c r="K315" s="71" t="n"/>
      <c r="L315" s="71" t="n"/>
      <c r="M315" s="71" t="n"/>
      <c r="N315" s="71" t="n"/>
      <c r="O315" s="157" t="inlineStr">
        <is>
          <t>–</t>
        </is>
      </c>
    </row>
    <row r="316" outlineLevel="1" ht="16" customHeight="1">
      <c r="A316" s="152" t="inlineStr">
        <is>
          <t xml:space="preserve">  ▸ FINANCIALS</t>
        </is>
      </c>
      <c r="B316" s="154" t="n"/>
      <c r="C316" s="154" t="n"/>
      <c r="D316" s="154" t="n"/>
      <c r="E316" s="154" t="n"/>
      <c r="F316" s="154" t="n"/>
      <c r="G316" s="154" t="n"/>
      <c r="H316" s="154" t="n"/>
      <c r="I316" s="154" t="n"/>
      <c r="J316" s="154" t="n"/>
      <c r="K316" s="154" t="n"/>
      <c r="L316" s="154" t="n"/>
      <c r="M316" s="154" t="n"/>
      <c r="N316" s="154" t="n"/>
      <c r="O316" s="154" t="n"/>
    </row>
    <row r="317" outlineLevel="2" ht="15" customHeight="1">
      <c r="A317" s="69" t="inlineStr">
        <is>
          <t xml:space="preserve">      Mat. Value (₹)</t>
        </is>
      </c>
      <c r="B317" s="70">
        <f>IF('Final Calculation Sheet'!$H$8="","",'Final Calculation Sheet'!$H$8)</f>
        <v/>
      </c>
      <c r="C317" s="156">
        <f>IF('Final Calculation Sheet'!$H$20="","",'Final Calculation Sheet'!$H$20)</f>
        <v/>
      </c>
      <c r="D317" s="71" t="n"/>
      <c r="E317" s="71" t="n"/>
      <c r="F317" s="71" t="n"/>
      <c r="G317" s="71" t="n"/>
      <c r="H317" s="71" t="n"/>
      <c r="I317" s="71" t="n"/>
      <c r="J317" s="71" t="n"/>
      <c r="K317" s="71" t="n"/>
      <c r="L317" s="71" t="n"/>
      <c r="M317" s="71" t="n"/>
      <c r="N317" s="71" t="n"/>
      <c r="O317" s="162">
        <f>SUM(B317:N317)</f>
        <v/>
      </c>
    </row>
    <row r="318" outlineLevel="2" ht="15" customHeight="1">
      <c r="A318" s="69" t="inlineStr">
        <is>
          <t xml:space="preserve">      GST @ 18% (₹)</t>
        </is>
      </c>
      <c r="B318" s="70">
        <f>IF('Final Calculation Sheet'!$I$8="","",'Final Calculation Sheet'!$I$8)</f>
        <v/>
      </c>
      <c r="C318" s="156">
        <f>IF('Final Calculation Sheet'!$I$20="","",'Final Calculation Sheet'!$I$20)</f>
        <v/>
      </c>
      <c r="D318" s="71" t="n"/>
      <c r="E318" s="71" t="n"/>
      <c r="F318" s="71" t="n"/>
      <c r="G318" s="71" t="n"/>
      <c r="H318" s="71" t="n"/>
      <c r="I318" s="71" t="n"/>
      <c r="J318" s="71" t="n"/>
      <c r="K318" s="71" t="n"/>
      <c r="L318" s="71" t="n"/>
      <c r="M318" s="71" t="n"/>
      <c r="N318" s="71" t="n"/>
      <c r="O318" s="162">
        <f>SUM(B318:N318)</f>
        <v/>
      </c>
    </row>
    <row r="319" outlineLevel="2" ht="15" customHeight="1">
      <c r="A319" s="69" t="inlineStr">
        <is>
          <t xml:space="preserve">      Mat. Value + GST (₹)</t>
        </is>
      </c>
      <c r="B319" s="70">
        <f>IF('Final Calculation Sheet'!$J$8="","",'Final Calculation Sheet'!$J$8)</f>
        <v/>
      </c>
      <c r="C319" s="156">
        <f>IF('Final Calculation Sheet'!$J$20="","",'Final Calculation Sheet'!$J$20)</f>
        <v/>
      </c>
      <c r="D319" s="71" t="n"/>
      <c r="E319" s="71" t="n"/>
      <c r="F319" s="71" t="n"/>
      <c r="G319" s="71" t="n"/>
      <c r="H319" s="71" t="n"/>
      <c r="I319" s="71" t="n"/>
      <c r="J319" s="71" t="n"/>
      <c r="K319" s="71" t="n"/>
      <c r="L319" s="71" t="n"/>
      <c r="M319" s="71" t="n"/>
      <c r="N319" s="71" t="n"/>
      <c r="O319" s="162">
        <f>SUM(B319:N319)</f>
        <v/>
      </c>
    </row>
    <row r="320" outlineLevel="2" ht="15" customHeight="1">
      <c r="A320" s="69" t="inlineStr">
        <is>
          <t xml:space="preserve">      TCS @ 2% (₹)</t>
        </is>
      </c>
      <c r="B320" s="70">
        <f>IF('Final Calculation Sheet'!$K$8="","",'Final Calculation Sheet'!$K$8)</f>
        <v/>
      </c>
      <c r="C320" s="156">
        <f>IF('Final Calculation Sheet'!$K$20="","",'Final Calculation Sheet'!$K$20)</f>
        <v/>
      </c>
      <c r="D320" s="71" t="n"/>
      <c r="E320" s="71" t="n"/>
      <c r="F320" s="71" t="n"/>
      <c r="G320" s="71" t="n"/>
      <c r="H320" s="71" t="n"/>
      <c r="I320" s="71" t="n"/>
      <c r="J320" s="71" t="n"/>
      <c r="K320" s="71" t="n"/>
      <c r="L320" s="71" t="n"/>
      <c r="M320" s="71" t="n"/>
      <c r="N320" s="71" t="n"/>
      <c r="O320" s="162">
        <f>SUM(B320:N320)</f>
        <v/>
      </c>
    </row>
    <row r="321" outlineLevel="2" ht="15" customHeight="1">
      <c r="A321" s="69" t="inlineStr">
        <is>
          <t xml:space="preserve">      TDS u/s 194(O) (₹)</t>
        </is>
      </c>
      <c r="B321" s="78">
        <f>IF('Final Calculation Sheet'!$L$8="","",'Final Calculation Sheet'!$L$8)</f>
        <v/>
      </c>
      <c r="C321" s="163">
        <f>IF('Final Calculation Sheet'!$L$20="","",'Final Calculation Sheet'!$L$20)</f>
        <v/>
      </c>
      <c r="D321" s="71" t="n"/>
      <c r="E321" s="71" t="n"/>
      <c r="F321" s="71" t="n"/>
      <c r="G321" s="71" t="n"/>
      <c r="H321" s="71" t="n"/>
      <c r="I321" s="71" t="n"/>
      <c r="J321" s="71" t="n"/>
      <c r="K321" s="71" t="n"/>
      <c r="L321" s="71" t="n"/>
      <c r="M321" s="71" t="n"/>
      <c r="N321" s="71" t="n"/>
      <c r="O321" s="164">
        <f>SUM(B321:N321)</f>
        <v/>
      </c>
    </row>
    <row r="322" outlineLevel="2" ht="15" customHeight="1">
      <c r="A322" s="69" t="inlineStr">
        <is>
          <t xml:space="preserve">      Service Charge gross (₹)</t>
        </is>
      </c>
      <c r="B322" s="78">
        <f>IF('Final Calculation Sheet'!$M$8="","",'Final Calculation Sheet'!$M$8)</f>
        <v/>
      </c>
      <c r="C322" s="163">
        <f>IF('Final Calculation Sheet'!$M$20="","",'Final Calculation Sheet'!$M$20)</f>
        <v/>
      </c>
      <c r="D322" s="71" t="n"/>
      <c r="E322" s="71" t="n"/>
      <c r="F322" s="71" t="n"/>
      <c r="G322" s="71" t="n"/>
      <c r="H322" s="71" t="n"/>
      <c r="I322" s="71" t="n"/>
      <c r="J322" s="71" t="n"/>
      <c r="K322" s="71" t="n"/>
      <c r="L322" s="71" t="n"/>
      <c r="M322" s="71" t="n"/>
      <c r="N322" s="71" t="n"/>
      <c r="O322" s="164">
        <f>SUM(B322:N322)</f>
        <v/>
      </c>
    </row>
    <row r="323" outlineLevel="2" ht="15" customHeight="1">
      <c r="A323" s="69" t="inlineStr">
        <is>
          <t xml:space="preserve">      TDS u/s 194(H) (₹)</t>
        </is>
      </c>
      <c r="B323" s="78">
        <f>IF('Final Calculation Sheet'!$N$8="","",'Final Calculation Sheet'!$N$8)</f>
        <v/>
      </c>
      <c r="C323" s="163">
        <f>IF('Final Calculation Sheet'!$N$20="","",'Final Calculation Sheet'!$N$20)</f>
        <v/>
      </c>
      <c r="D323" s="71" t="n"/>
      <c r="E323" s="71" t="n"/>
      <c r="F323" s="71" t="n"/>
      <c r="G323" s="71" t="n"/>
      <c r="H323" s="71" t="n"/>
      <c r="I323" s="71" t="n"/>
      <c r="J323" s="71" t="n"/>
      <c r="K323" s="71" t="n"/>
      <c r="L323" s="71" t="n"/>
      <c r="M323" s="71" t="n"/>
      <c r="N323" s="71" t="n"/>
      <c r="O323" s="164">
        <f>SUM(B323:N323)</f>
        <v/>
      </c>
    </row>
    <row r="324" outlineLevel="2" ht="15" customHeight="1">
      <c r="A324" s="69" t="inlineStr">
        <is>
          <t xml:space="preserve">      Net Service Charge (₹)</t>
        </is>
      </c>
      <c r="B324" s="78">
        <f>IF('Final Calculation Sheet'!$O$8="","",'Final Calculation Sheet'!$O$8)</f>
        <v/>
      </c>
      <c r="C324" s="163">
        <f>IF('Final Calculation Sheet'!$O$20="","",'Final Calculation Sheet'!$O$20)</f>
        <v/>
      </c>
      <c r="D324" s="71" t="n"/>
      <c r="E324" s="71" t="n"/>
      <c r="F324" s="71" t="n"/>
      <c r="G324" s="71" t="n"/>
      <c r="H324" s="71" t="n"/>
      <c r="I324" s="71" t="n"/>
      <c r="J324" s="71" t="n"/>
      <c r="K324" s="71" t="n"/>
      <c r="L324" s="71" t="n"/>
      <c r="M324" s="71" t="n"/>
      <c r="N324" s="71" t="n"/>
      <c r="O324" s="164">
        <f>SUM(B324:N324)</f>
        <v/>
      </c>
    </row>
    <row r="325" outlineLevel="2" ht="15" customHeight="1">
      <c r="A325" s="69" t="inlineStr">
        <is>
          <t xml:space="preserve">      Svc Charge to MSTC (₹)</t>
        </is>
      </c>
      <c r="B325" s="70">
        <f>IF('Final Calculation Sheet'!$P$8="","",'Final Calculation Sheet'!$P$8)</f>
        <v/>
      </c>
      <c r="C325" s="156">
        <f>IF('Final Calculation Sheet'!$P$20="","",'Final Calculation Sheet'!$P$20)</f>
        <v/>
      </c>
      <c r="D325" s="71" t="n"/>
      <c r="E325" s="71" t="n"/>
      <c r="F325" s="71" t="n"/>
      <c r="G325" s="71" t="n"/>
      <c r="H325" s="71" t="n"/>
      <c r="I325" s="71" t="n"/>
      <c r="J325" s="71" t="n"/>
      <c r="K325" s="71" t="n"/>
      <c r="L325" s="71" t="n"/>
      <c r="M325" s="71" t="n"/>
      <c r="N325" s="71" t="n"/>
      <c r="O325" s="162">
        <f>SUM(B325:N325)</f>
        <v/>
      </c>
    </row>
    <row r="326" outlineLevel="2" ht="15" customHeight="1">
      <c r="A326" s="69" t="inlineStr">
        <is>
          <t xml:space="preserve">      GST TDS Rate</t>
        </is>
      </c>
      <c r="B326" s="80">
        <f>IF('Final Calculation Sheet'!$Q$8="","",'Final Calculation Sheet'!$Q$8)</f>
        <v/>
      </c>
      <c r="C326" s="165">
        <f>IF('Final Calculation Sheet'!$Q$20="","",'Final Calculation Sheet'!$Q$20)</f>
        <v/>
      </c>
      <c r="D326" s="71" t="n"/>
      <c r="E326" s="71" t="n"/>
      <c r="F326" s="71" t="n"/>
      <c r="G326" s="71" t="n"/>
      <c r="H326" s="71" t="n"/>
      <c r="I326" s="71" t="n"/>
      <c r="J326" s="71" t="n"/>
      <c r="K326" s="71" t="n"/>
      <c r="L326" s="71" t="n"/>
      <c r="M326" s="71" t="n"/>
      <c r="N326" s="71" t="n"/>
      <c r="O326" s="157" t="inlineStr">
        <is>
          <t>–</t>
        </is>
      </c>
    </row>
    <row r="327" outlineLevel="2" ht="15" customHeight="1">
      <c r="A327" s="69" t="inlineStr">
        <is>
          <t xml:space="preserve">      GST TDS (₹)</t>
        </is>
      </c>
      <c r="B327" s="70">
        <f>IF('Final Calculation Sheet'!$R$8="","",'Final Calculation Sheet'!$R$8)</f>
        <v/>
      </c>
      <c r="C327" s="156">
        <f>IF('Final Calculation Sheet'!$R$20="","",'Final Calculation Sheet'!$R$20)</f>
        <v/>
      </c>
      <c r="D327" s="71" t="n"/>
      <c r="E327" s="71" t="n"/>
      <c r="F327" s="71" t="n"/>
      <c r="G327" s="71" t="n"/>
      <c r="H327" s="71" t="n"/>
      <c r="I327" s="71" t="n"/>
      <c r="J327" s="71" t="n"/>
      <c r="K327" s="71" t="n"/>
      <c r="L327" s="71" t="n"/>
      <c r="M327" s="71" t="n"/>
      <c r="N327" s="71" t="n"/>
      <c r="O327" s="162">
        <f>SUM(B327:N327)</f>
        <v/>
      </c>
    </row>
    <row r="328" outlineLevel="2" ht="15" customHeight="1">
      <c r="A328" s="69" t="inlineStr">
        <is>
          <t xml:space="preserve">      Total Receivables (₹)</t>
        </is>
      </c>
      <c r="B328" s="70">
        <f>IF('Final Calculation Sheet'!$S$8="","",'Final Calculation Sheet'!$S$8)</f>
        <v/>
      </c>
      <c r="C328" s="156">
        <f>IF('Final Calculation Sheet'!$S$20="","",'Final Calculation Sheet'!$S$20)</f>
        <v/>
      </c>
      <c r="D328" s="71" t="n"/>
      <c r="E328" s="71" t="n"/>
      <c r="F328" s="71" t="n"/>
      <c r="G328" s="71" t="n"/>
      <c r="H328" s="71" t="n"/>
      <c r="I328" s="71" t="n"/>
      <c r="J328" s="71" t="n"/>
      <c r="K328" s="71" t="n"/>
      <c r="L328" s="71" t="n"/>
      <c r="M328" s="71" t="n"/>
      <c r="N328" s="71" t="n"/>
      <c r="O328" s="162">
        <f>SUM(B328:N328)</f>
        <v/>
      </c>
    </row>
    <row r="329" outlineLevel="1" ht="16" customHeight="1">
      <c r="A329" s="152" t="inlineStr">
        <is>
          <t xml:space="preserve">  ▸ SECURITY DEPOSIT</t>
        </is>
      </c>
      <c r="B329" s="154" t="n"/>
      <c r="C329" s="154" t="n"/>
      <c r="D329" s="154" t="n"/>
      <c r="E329" s="154" t="n"/>
      <c r="F329" s="154" t="n"/>
      <c r="G329" s="154" t="n"/>
      <c r="H329" s="154" t="n"/>
      <c r="I329" s="154" t="n"/>
      <c r="J329" s="154" t="n"/>
      <c r="K329" s="154" t="n"/>
      <c r="L329" s="154" t="n"/>
      <c r="M329" s="154" t="n"/>
      <c r="N329" s="154" t="n"/>
      <c r="O329" s="154" t="n"/>
    </row>
    <row r="330" outlineLevel="2" ht="15" customHeight="1">
      <c r="A330" s="69" t="inlineStr">
        <is>
          <t xml:space="preserve">      SD Expected (₹)</t>
        </is>
      </c>
      <c r="B330" s="70">
        <f>IF('Final Calculation Sheet'!$T$8="","",'Final Calculation Sheet'!$T$8)</f>
        <v/>
      </c>
      <c r="C330" s="156">
        <f>IF('Final Calculation Sheet'!$T$20="","",'Final Calculation Sheet'!$T$20)</f>
        <v/>
      </c>
      <c r="D330" s="71" t="n"/>
      <c r="E330" s="71" t="n"/>
      <c r="F330" s="71" t="n"/>
      <c r="G330" s="71" t="n"/>
      <c r="H330" s="71" t="n"/>
      <c r="I330" s="71" t="n"/>
      <c r="J330" s="71" t="n"/>
      <c r="K330" s="71" t="n"/>
      <c r="L330" s="71" t="n"/>
      <c r="M330" s="71" t="n"/>
      <c r="N330" s="71" t="n"/>
      <c r="O330" s="162">
        <f>SUM(B330:N330)</f>
        <v/>
      </c>
    </row>
    <row r="331" outlineLevel="2" ht="15" customHeight="1">
      <c r="A331" s="69" t="inlineStr">
        <is>
          <t xml:space="preserve">      SD Received (₹)</t>
        </is>
      </c>
      <c r="B331" s="70">
        <f>IF('Final Calculation Sheet'!$U$8="","",'Final Calculation Sheet'!$U$8)</f>
        <v/>
      </c>
      <c r="C331" s="156">
        <f>IF('Final Calculation Sheet'!$U$20="","",'Final Calculation Sheet'!$U$20)</f>
        <v/>
      </c>
      <c r="D331" s="71" t="n"/>
      <c r="E331" s="71" t="n"/>
      <c r="F331" s="71" t="n"/>
      <c r="G331" s="71" t="n"/>
      <c r="H331" s="71" t="n"/>
      <c r="I331" s="71" t="n"/>
      <c r="J331" s="71" t="n"/>
      <c r="K331" s="71" t="n"/>
      <c r="L331" s="71" t="n"/>
      <c r="M331" s="71" t="n"/>
      <c r="N331" s="71" t="n"/>
      <c r="O331" s="162">
        <f>SUM(B331:N331)</f>
        <v/>
      </c>
    </row>
    <row r="332" outlineLevel="2" ht="15" customHeight="1">
      <c r="A332" s="69" t="inlineStr">
        <is>
          <t xml:space="preserve">      SD Receipt Date</t>
        </is>
      </c>
      <c r="B332" s="76">
        <f>IF('Final Calculation Sheet'!$V$8="","",'Final Calculation Sheet'!$V$8)</f>
        <v/>
      </c>
      <c r="C332" s="161">
        <f>IF('Final Calculation Sheet'!$V$20="","",'Final Calculation Sheet'!$V$20)</f>
        <v/>
      </c>
      <c r="D332" s="71" t="n"/>
      <c r="E332" s="71" t="n"/>
      <c r="F332" s="71" t="n"/>
      <c r="G332" s="71" t="n"/>
      <c r="H332" s="71" t="n"/>
      <c r="I332" s="71" t="n"/>
      <c r="J332" s="71" t="n"/>
      <c r="K332" s="71" t="n"/>
      <c r="L332" s="71" t="n"/>
      <c r="M332" s="71" t="n"/>
      <c r="N332" s="71" t="n"/>
      <c r="O332" s="157" t="inlineStr">
        <is>
          <t>–</t>
        </is>
      </c>
    </row>
    <row r="333" outlineLevel="1" ht="16" customHeight="1">
      <c r="A333" s="152" t="inlineStr">
        <is>
          <t xml:space="preserve">  ▸ FINAL PAYMENT</t>
        </is>
      </c>
      <c r="B333" s="154" t="n"/>
      <c r="C333" s="154" t="n"/>
      <c r="D333" s="154" t="n"/>
      <c r="E333" s="154" t="n"/>
      <c r="F333" s="154" t="n"/>
      <c r="G333" s="154" t="n"/>
      <c r="H333" s="154" t="n"/>
      <c r="I333" s="154" t="n"/>
      <c r="J333" s="154" t="n"/>
      <c r="K333" s="154" t="n"/>
      <c r="L333" s="154" t="n"/>
      <c r="M333" s="154" t="n"/>
      <c r="N333" s="154" t="n"/>
      <c r="O333" s="154" t="n"/>
    </row>
    <row r="334" outlineLevel="2" ht="15" customHeight="1">
      <c r="A334" s="69" t="inlineStr">
        <is>
          <t xml:space="preserve">      FP Expected (₹)</t>
        </is>
      </c>
      <c r="B334" s="70">
        <f>IF('Final Calculation Sheet'!$W$8="","",'Final Calculation Sheet'!$W$8)</f>
        <v/>
      </c>
      <c r="C334" s="156">
        <f>IF('Final Calculation Sheet'!$W$20="","",'Final Calculation Sheet'!$W$20)</f>
        <v/>
      </c>
      <c r="D334" s="71" t="n"/>
      <c r="E334" s="71" t="n"/>
      <c r="F334" s="71" t="n"/>
      <c r="G334" s="71" t="n"/>
      <c r="H334" s="71" t="n"/>
      <c r="I334" s="71" t="n"/>
      <c r="J334" s="71" t="n"/>
      <c r="K334" s="71" t="n"/>
      <c r="L334" s="71" t="n"/>
      <c r="M334" s="71" t="n"/>
      <c r="N334" s="71" t="n"/>
      <c r="O334" s="162">
        <f>SUM(B334:N334)</f>
        <v/>
      </c>
    </row>
    <row r="335" outlineLevel="2" ht="15" customHeight="1">
      <c r="A335" s="69" t="inlineStr">
        <is>
          <t xml:space="preserve">      FP Received (₹)</t>
        </is>
      </c>
      <c r="B335" s="70">
        <f>IF('Final Calculation Sheet'!$X$8="","",'Final Calculation Sheet'!$X$8)</f>
        <v/>
      </c>
      <c r="C335" s="156">
        <f>IF('Final Calculation Sheet'!$X$20="","",'Final Calculation Sheet'!$X$20)</f>
        <v/>
      </c>
      <c r="D335" s="71" t="n"/>
      <c r="E335" s="71" t="n"/>
      <c r="F335" s="71" t="n"/>
      <c r="G335" s="71" t="n"/>
      <c r="H335" s="71" t="n"/>
      <c r="I335" s="71" t="n"/>
      <c r="J335" s="71" t="n"/>
      <c r="K335" s="71" t="n"/>
      <c r="L335" s="71" t="n"/>
      <c r="M335" s="71" t="n"/>
      <c r="N335" s="71" t="n"/>
      <c r="O335" s="162">
        <f>SUM(B335:N335)</f>
        <v/>
      </c>
    </row>
    <row r="336" outlineLevel="2" ht="15" customHeight="1">
      <c r="A336" s="69" t="inlineStr">
        <is>
          <t xml:space="preserve">      FP Receipt Date</t>
        </is>
      </c>
      <c r="B336" s="76">
        <f>IF('Final Calculation Sheet'!$Y$8="","",'Final Calculation Sheet'!$Y$8)</f>
        <v/>
      </c>
      <c r="C336" s="161">
        <f>IF('Final Calculation Sheet'!$Y$20="","",'Final Calculation Sheet'!$Y$20)</f>
        <v/>
      </c>
      <c r="D336" s="71" t="n"/>
      <c r="E336" s="71" t="n"/>
      <c r="F336" s="71" t="n"/>
      <c r="G336" s="71" t="n"/>
      <c r="H336" s="71" t="n"/>
      <c r="I336" s="71" t="n"/>
      <c r="J336" s="71" t="n"/>
      <c r="K336" s="71" t="n"/>
      <c r="L336" s="71" t="n"/>
      <c r="M336" s="71" t="n"/>
      <c r="N336" s="71" t="n"/>
      <c r="O336" s="157" t="inlineStr">
        <is>
          <t>–</t>
        </is>
      </c>
    </row>
    <row r="337" outlineLevel="1" ht="16" customHeight="1">
      <c r="A337" s="152" t="inlineStr">
        <is>
          <t xml:space="preserve">  ▸ LPP</t>
        </is>
      </c>
      <c r="B337" s="154" t="n"/>
      <c r="C337" s="154" t="n"/>
      <c r="D337" s="154" t="n"/>
      <c r="E337" s="154" t="n"/>
      <c r="F337" s="154" t="n"/>
      <c r="G337" s="154" t="n"/>
      <c r="H337" s="154" t="n"/>
      <c r="I337" s="154" t="n"/>
      <c r="J337" s="154" t="n"/>
      <c r="K337" s="154" t="n"/>
      <c r="L337" s="154" t="n"/>
      <c r="M337" s="154" t="n"/>
      <c r="N337" s="154" t="n"/>
      <c r="O337" s="154" t="n"/>
    </row>
    <row r="338" outlineLevel="2" ht="15" customHeight="1">
      <c r="A338" s="69" t="inlineStr">
        <is>
          <t xml:space="preserve">      LPP Expected (₹)</t>
        </is>
      </c>
      <c r="B338" s="70">
        <f>IF('Final Calculation Sheet'!$Z$8="","",'Final Calculation Sheet'!$Z$8)</f>
        <v/>
      </c>
      <c r="C338" s="156">
        <f>IF('Final Calculation Sheet'!$Z$20="","",'Final Calculation Sheet'!$Z$20)</f>
        <v/>
      </c>
      <c r="D338" s="71" t="n"/>
      <c r="E338" s="71" t="n"/>
      <c r="F338" s="71" t="n"/>
      <c r="G338" s="71" t="n"/>
      <c r="H338" s="71" t="n"/>
      <c r="I338" s="71" t="n"/>
      <c r="J338" s="71" t="n"/>
      <c r="K338" s="71" t="n"/>
      <c r="L338" s="71" t="n"/>
      <c r="M338" s="71" t="n"/>
      <c r="N338" s="71" t="n"/>
      <c r="O338" s="162">
        <f>SUM(B338:N338)</f>
        <v/>
      </c>
    </row>
    <row r="339" outlineLevel="2" ht="15" customHeight="1">
      <c r="A339" s="69" t="inlineStr">
        <is>
          <t xml:space="preserve">      LPP Received (₹)</t>
        </is>
      </c>
      <c r="B339" s="70">
        <f>IF('Final Calculation Sheet'!$AA$8="","",'Final Calculation Sheet'!$AA$8)</f>
        <v/>
      </c>
      <c r="C339" s="156">
        <f>IF('Final Calculation Sheet'!$AA$20="","",'Final Calculation Sheet'!$AA$20)</f>
        <v/>
      </c>
      <c r="D339" s="71" t="n"/>
      <c r="E339" s="71" t="n"/>
      <c r="F339" s="71" t="n"/>
      <c r="G339" s="71" t="n"/>
      <c r="H339" s="71" t="n"/>
      <c r="I339" s="71" t="n"/>
      <c r="J339" s="71" t="n"/>
      <c r="K339" s="71" t="n"/>
      <c r="L339" s="71" t="n"/>
      <c r="M339" s="71" t="n"/>
      <c r="N339" s="71" t="n"/>
      <c r="O339" s="162">
        <f>SUM(B339:N339)</f>
        <v/>
      </c>
    </row>
    <row r="340" outlineLevel="2" ht="15" customHeight="1">
      <c r="A340" s="69" t="inlineStr">
        <is>
          <t xml:space="preserve">      LPP Receipt Date</t>
        </is>
      </c>
      <c r="B340" s="76">
        <f>IF('Final Calculation Sheet'!$AB$8="","",'Final Calculation Sheet'!$AB$8)</f>
        <v/>
      </c>
      <c r="C340" s="161">
        <f>IF('Final Calculation Sheet'!$AB$20="","",'Final Calculation Sheet'!$AB$20)</f>
        <v/>
      </c>
      <c r="D340" s="71" t="n"/>
      <c r="E340" s="71" t="n"/>
      <c r="F340" s="71" t="n"/>
      <c r="G340" s="71" t="n"/>
      <c r="H340" s="71" t="n"/>
      <c r="I340" s="71" t="n"/>
      <c r="J340" s="71" t="n"/>
      <c r="K340" s="71" t="n"/>
      <c r="L340" s="71" t="n"/>
      <c r="M340" s="71" t="n"/>
      <c r="N340" s="71" t="n"/>
      <c r="O340" s="157" t="inlineStr">
        <is>
          <t>–</t>
        </is>
      </c>
    </row>
    <row r="341" outlineLevel="1" ht="16" customHeight="1">
      <c r="A341" s="152" t="inlineStr">
        <is>
          <t xml:space="preserve">  ▸ SUMMARY</t>
        </is>
      </c>
      <c r="B341" s="154" t="n"/>
      <c r="C341" s="154" t="n"/>
      <c r="D341" s="154" t="n"/>
      <c r="E341" s="154" t="n"/>
      <c r="F341" s="154" t="n"/>
      <c r="G341" s="154" t="n"/>
      <c r="H341" s="154" t="n"/>
      <c r="I341" s="154" t="n"/>
      <c r="J341" s="154" t="n"/>
      <c r="K341" s="154" t="n"/>
      <c r="L341" s="154" t="n"/>
      <c r="M341" s="154" t="n"/>
      <c r="N341" s="154" t="n"/>
      <c r="O341" s="154" t="n"/>
    </row>
    <row r="342" outlineLevel="2" ht="15" customHeight="1">
      <c r="A342" s="69" t="inlineStr">
        <is>
          <t xml:space="preserve">      Total Received (₹)</t>
        </is>
      </c>
      <c r="B342" s="70">
        <f>IF('Final Calculation Sheet'!$AC$8="","",'Final Calculation Sheet'!$AC$8)</f>
        <v/>
      </c>
      <c r="C342" s="156">
        <f>IF('Final Calculation Sheet'!$AC$20="","",'Final Calculation Sheet'!$AC$20)</f>
        <v/>
      </c>
      <c r="D342" s="71" t="n"/>
      <c r="E342" s="71" t="n"/>
      <c r="F342" s="71" t="n"/>
      <c r="G342" s="71" t="n"/>
      <c r="H342" s="71" t="n"/>
      <c r="I342" s="71" t="n"/>
      <c r="J342" s="71" t="n"/>
      <c r="K342" s="71" t="n"/>
      <c r="L342" s="71" t="n"/>
      <c r="M342" s="71" t="n"/>
      <c r="N342" s="71" t="n"/>
      <c r="O342" s="162">
        <f>SUM(B342:N342)</f>
        <v/>
      </c>
    </row>
    <row r="343" outlineLevel="2" ht="15" customHeight="1">
      <c r="A343" s="69" t="inlineStr">
        <is>
          <t xml:space="preserve">      Outstanding (₹)</t>
        </is>
      </c>
      <c r="B343" s="70">
        <f>IF('Final Calculation Sheet'!$AD$8="","",'Final Calculation Sheet'!$AD$8)</f>
        <v/>
      </c>
      <c r="C343" s="156">
        <f>IF('Final Calculation Sheet'!$AD$20="","",'Final Calculation Sheet'!$AD$20)</f>
        <v/>
      </c>
      <c r="D343" s="71" t="n"/>
      <c r="E343" s="71" t="n"/>
      <c r="F343" s="71" t="n"/>
      <c r="G343" s="71" t="n"/>
      <c r="H343" s="71" t="n"/>
      <c r="I343" s="71" t="n"/>
      <c r="J343" s="71" t="n"/>
      <c r="K343" s="71" t="n"/>
      <c r="L343" s="71" t="n"/>
      <c r="M343" s="71" t="n"/>
      <c r="N343" s="71" t="n"/>
      <c r="O343" s="162">
        <f>SUM(B343:N343)</f>
        <v/>
      </c>
    </row>
    <row r="344" outlineLevel="2" ht="15" customHeight="1">
      <c r="A344" s="69" t="inlineStr">
        <is>
          <t xml:space="preserve">      Payment Status</t>
        </is>
      </c>
      <c r="B344" s="81">
        <f>IF('Final Calculation Sheet'!$AD$8="","",IF('Final Calculation Sheet'!$AD$8&lt;=0,"SETTLED","OUTSTANDING"))</f>
        <v/>
      </c>
      <c r="C344" s="166">
        <f>IF('Final Calculation Sheet'!$AD$20="","",IF('Final Calculation Sheet'!$AD$20&lt;=0,"SETTLED","OUTSTANDING"))</f>
        <v/>
      </c>
      <c r="D344" s="71" t="n"/>
      <c r="E344" s="71" t="n"/>
      <c r="F344" s="71" t="n"/>
      <c r="G344" s="71" t="n"/>
      <c r="H344" s="71" t="n"/>
      <c r="I344" s="71" t="n"/>
      <c r="J344" s="71" t="n"/>
      <c r="K344" s="71" t="n"/>
      <c r="L344" s="71" t="n"/>
      <c r="M344" s="71" t="n"/>
      <c r="N344" s="71" t="n"/>
      <c r="O344" s="157" t="inlineStr">
        <is>
          <t>–</t>
        </is>
      </c>
    </row>
    <row r="345" outlineLevel="1" ht="16" customHeight="1">
      <c r="A345" s="152" t="inlineStr">
        <is>
          <t xml:space="preserve">  ▸ DOCUMENT</t>
        </is>
      </c>
      <c r="B345" s="154" t="n"/>
      <c r="C345" s="154" t="n"/>
      <c r="D345" s="154" t="n"/>
      <c r="E345" s="154" t="n"/>
      <c r="F345" s="154" t="n"/>
      <c r="G345" s="154" t="n"/>
      <c r="H345" s="154" t="n"/>
      <c r="I345" s="154" t="n"/>
      <c r="J345" s="154" t="n"/>
      <c r="K345" s="154" t="n"/>
      <c r="L345" s="154" t="n"/>
      <c r="M345" s="154" t="n"/>
      <c r="N345" s="154" t="n"/>
      <c r="O345" s="154" t="n"/>
    </row>
    <row r="346" outlineLevel="2" ht="15" customHeight="1">
      <c r="A346" s="69" t="inlineStr">
        <is>
          <t xml:space="preserve">      Invoice No.</t>
        </is>
      </c>
      <c r="B346" s="76">
        <f>IF('Final Calculation Sheet'!$AE$8="","",'Final Calculation Sheet'!$AE$8)</f>
        <v/>
      </c>
      <c r="C346" s="161">
        <f>IF('Final Calculation Sheet'!$AE$20="","",'Final Calculation Sheet'!$AE$20)</f>
        <v/>
      </c>
      <c r="D346" s="71" t="n"/>
      <c r="E346" s="71" t="n"/>
      <c r="F346" s="71" t="n"/>
      <c r="G346" s="71" t="n"/>
      <c r="H346" s="71" t="n"/>
      <c r="I346" s="71" t="n"/>
      <c r="J346" s="71" t="n"/>
      <c r="K346" s="71" t="n"/>
      <c r="L346" s="71" t="n"/>
      <c r="M346" s="71" t="n"/>
      <c r="N346" s="71" t="n"/>
      <c r="O346" s="157" t="inlineStr">
        <is>
          <t>–</t>
        </is>
      </c>
    </row>
    <row r="347" outlineLevel="2" ht="15" customHeight="1">
      <c r="A347" s="69" t="inlineStr">
        <is>
          <t xml:space="preserve">      SAP Document</t>
        </is>
      </c>
      <c r="B347" s="70">
        <f>IF('Final Calculation Sheet'!$AF$8="","",'Final Calculation Sheet'!$AF$8)</f>
        <v/>
      </c>
      <c r="C347" s="156">
        <f>IF('Final Calculation Sheet'!$AF$20="","",'Final Calculation Sheet'!$AF$20)</f>
        <v/>
      </c>
      <c r="D347" s="71" t="n"/>
      <c r="E347" s="71" t="n"/>
      <c r="F347" s="71" t="n"/>
      <c r="G347" s="71" t="n"/>
      <c r="H347" s="71" t="n"/>
      <c r="I347" s="71" t="n"/>
      <c r="J347" s="71" t="n"/>
      <c r="K347" s="71" t="n"/>
      <c r="L347" s="71" t="n"/>
      <c r="M347" s="71" t="n"/>
      <c r="N347" s="71" t="n"/>
      <c r="O347" s="157" t="inlineStr">
        <is>
          <t>–</t>
        </is>
      </c>
    </row>
    <row r="348" outlineLevel="2" ht="15" customHeight="1">
      <c r="A348" s="69" t="inlineStr">
        <is>
          <t xml:space="preserve">      Doc./Invoice Date</t>
        </is>
      </c>
      <c r="B348" s="76">
        <f>IF('Final Calculation Sheet'!$AG$8="","",'Final Calculation Sheet'!$AG$8)</f>
        <v/>
      </c>
      <c r="C348" s="161">
        <f>IF('Final Calculation Sheet'!$AG$20="","",'Final Calculation Sheet'!$AG$20)</f>
        <v/>
      </c>
      <c r="D348" s="71" t="n"/>
      <c r="E348" s="71" t="n"/>
      <c r="F348" s="71" t="n"/>
      <c r="G348" s="71" t="n"/>
      <c r="H348" s="71" t="n"/>
      <c r="I348" s="71" t="n"/>
      <c r="J348" s="71" t="n"/>
      <c r="K348" s="71" t="n"/>
      <c r="L348" s="71" t="n"/>
      <c r="M348" s="71" t="n"/>
      <c r="N348" s="71" t="n"/>
      <c r="O348" s="157" t="inlineStr">
        <is>
          <t>–</t>
        </is>
      </c>
    </row>
    <row r="349" ht="7" customHeight="1">
      <c r="A349" s="82" t="n"/>
      <c r="B349" s="82" t="n"/>
      <c r="C349" s="82" t="n"/>
      <c r="D349" s="82" t="n"/>
      <c r="E349" s="82" t="n"/>
      <c r="F349" s="82" t="n"/>
      <c r="G349" s="82" t="n"/>
      <c r="H349" s="82" t="n"/>
      <c r="I349" s="82" t="n"/>
      <c r="J349" s="82" t="n"/>
      <c r="K349" s="82" t="n"/>
      <c r="L349" s="82" t="n"/>
      <c r="M349" s="82" t="n"/>
      <c r="N349" s="82" t="n"/>
      <c r="O349" s="82" t="n"/>
    </row>
    <row r="350" ht="24" customHeight="1">
      <c r="A350" s="63">
        <f>"▼  S M ENTERPRISES   •   "&amp;COUNTIF('Final Calculation Sheet'!$G$4:$G$1000,"S M ENTERPRISES")&amp;" LOT(S)   •   MAT. VALUE ₹"&amp;TEXT(SUMIF('Final Calculation Sheet'!$G$4:$G$1000,"S M ENTERPRISES",'Final Calculation Sheet'!$H$4:$H$1000),"#,##0")&amp;"   •   RECEIVED ₹"&amp;TEXT(SUMIF('Final Calculation Sheet'!$G$4:$G$1000,"S M ENTERPRISES",'Final Calculation Sheet'!$AC$4:$AC$1000),"#,##0")&amp;"   •   OUTSTANDING ₹"&amp;TEXT(SUMIF('Final Calculation Sheet'!$G$4:$G$1000,"S M ENTERPRISES",'Final Calculation Sheet'!$AD$4:$AD$1000),"#,##0")</f>
        <v/>
      </c>
      <c r="B350" s="64" t="n"/>
      <c r="C350" s="64" t="n"/>
      <c r="D350" s="64" t="n"/>
      <c r="E350" s="64" t="n"/>
      <c r="F350" s="64" t="n"/>
      <c r="G350" s="64" t="n"/>
      <c r="H350" s="64" t="n"/>
      <c r="I350" s="64" t="n"/>
      <c r="J350" s="64" t="n"/>
      <c r="K350" s="64" t="n"/>
      <c r="L350" s="64" t="n"/>
      <c r="M350" s="64" t="n"/>
      <c r="N350" s="64" t="n"/>
      <c r="O350" s="64" t="n"/>
    </row>
    <row r="351" outlineLevel="1" ht="18" customHeight="1">
      <c r="A351" s="65" t="inlineStr">
        <is>
          <t xml:space="preserve">   Lot No. →</t>
        </is>
      </c>
      <c r="B351" s="66">
        <f>IF('Final Calculation Sheet'!$F$39="","",'Final Calculation Sheet'!$F$39)</f>
        <v/>
      </c>
      <c r="C351" s="66">
        <f>IF('Final Calculation Sheet'!$F$40="","",'Final Calculation Sheet'!$F$40)</f>
        <v/>
      </c>
      <c r="D351" s="67" t="n"/>
      <c r="E351" s="67" t="n"/>
      <c r="F351" s="67" t="n"/>
      <c r="G351" s="67" t="n"/>
      <c r="H351" s="67" t="n"/>
      <c r="I351" s="67" t="n"/>
      <c r="J351" s="67" t="n"/>
      <c r="K351" s="67" t="n"/>
      <c r="L351" s="67" t="n"/>
      <c r="M351" s="67" t="n"/>
      <c r="N351" s="67" t="n"/>
      <c r="O351" s="68" t="inlineStr">
        <is>
          <t>TOTAL</t>
        </is>
      </c>
    </row>
    <row r="352" outlineLevel="1" ht="16" customHeight="1">
      <c r="A352" s="65" t="inlineStr">
        <is>
          <t xml:space="preserve">  ▸ LOT INFORMATION</t>
        </is>
      </c>
      <c r="B352" s="67" t="n"/>
      <c r="C352" s="67" t="n"/>
      <c r="D352" s="67" t="n"/>
      <c r="E352" s="67" t="n"/>
      <c r="F352" s="67" t="n"/>
      <c r="G352" s="67" t="n"/>
      <c r="H352" s="67" t="n"/>
      <c r="I352" s="67" t="n"/>
      <c r="J352" s="67" t="n"/>
      <c r="K352" s="67" t="n"/>
      <c r="L352" s="67" t="n"/>
      <c r="M352" s="67" t="n"/>
      <c r="N352" s="67" t="n"/>
      <c r="O352" s="67" t="n"/>
    </row>
    <row r="353" outlineLevel="2" ht="15" customHeight="1">
      <c r="A353" s="69" t="inlineStr">
        <is>
          <t xml:space="preserve">      Lot No.</t>
        </is>
      </c>
      <c r="B353" s="70">
        <f>IF('Final Calculation Sheet'!$F$39="","",'Final Calculation Sheet'!$F$39)</f>
        <v/>
      </c>
      <c r="C353" s="167">
        <f>IF('Final Calculation Sheet'!$F$40="","",'Final Calculation Sheet'!$F$40)</f>
        <v/>
      </c>
      <c r="D353" s="71" t="n"/>
      <c r="E353" s="71" t="n"/>
      <c r="F353" s="71" t="n"/>
      <c r="G353" s="71" t="n"/>
      <c r="H353" s="71" t="n"/>
      <c r="I353" s="71" t="n"/>
      <c r="J353" s="71" t="n"/>
      <c r="K353" s="71" t="n"/>
      <c r="L353" s="71" t="n"/>
      <c r="M353" s="71" t="n"/>
      <c r="N353" s="71" t="n"/>
      <c r="O353" s="72" t="inlineStr">
        <is>
          <t>–</t>
        </is>
      </c>
    </row>
    <row r="354" outlineLevel="2" ht="60" customHeight="1">
      <c r="A354" s="69" t="inlineStr">
        <is>
          <t xml:space="preserve">      Lot Name</t>
        </is>
      </c>
      <c r="B354" s="73">
        <f>IF('Final Calculation Sheet'!$B$39="","",'Final Calculation Sheet'!$B$39)</f>
        <v/>
      </c>
      <c r="C354" s="168">
        <f>IF('Final Calculation Sheet'!$B$40="","",'Final Calculation Sheet'!$B$40)</f>
        <v/>
      </c>
      <c r="D354" s="71" t="n"/>
      <c r="E354" s="71" t="n"/>
      <c r="F354" s="71" t="n"/>
      <c r="G354" s="71" t="n"/>
      <c r="H354" s="71" t="n"/>
      <c r="I354" s="71" t="n"/>
      <c r="J354" s="71" t="n"/>
      <c r="K354" s="71" t="n"/>
      <c r="L354" s="71" t="n"/>
      <c r="M354" s="71" t="n"/>
      <c r="N354" s="71" t="n"/>
      <c r="O354" s="72" t="inlineStr">
        <is>
          <t>–</t>
        </is>
      </c>
    </row>
    <row r="355" outlineLevel="2" ht="15" customHeight="1">
      <c r="A355" s="69" t="inlineStr">
        <is>
          <t xml:space="preserve">      Bid Sheet / Auction</t>
        </is>
      </c>
      <c r="B355" s="70">
        <f>IF('Final Calculation Sheet'!$D$39="","",'Final Calculation Sheet'!$D$39)</f>
        <v/>
      </c>
      <c r="C355" s="167">
        <f>IF('Final Calculation Sheet'!$D$40="","",'Final Calculation Sheet'!$D$40)</f>
        <v/>
      </c>
      <c r="D355" s="71" t="n"/>
      <c r="E355" s="71" t="n"/>
      <c r="F355" s="71" t="n"/>
      <c r="G355" s="71" t="n"/>
      <c r="H355" s="71" t="n"/>
      <c r="I355" s="71" t="n"/>
      <c r="J355" s="71" t="n"/>
      <c r="K355" s="71" t="n"/>
      <c r="L355" s="71" t="n"/>
      <c r="M355" s="71" t="n"/>
      <c r="N355" s="71" t="n"/>
      <c r="O355" s="72" t="inlineStr">
        <is>
          <t>–</t>
        </is>
      </c>
    </row>
    <row r="356" outlineLevel="2" ht="15" customHeight="1">
      <c r="A356" s="69" t="inlineStr">
        <is>
          <t xml:space="preserve">      Quantity</t>
        </is>
      </c>
      <c r="B356" s="74">
        <f>IF('Final Calculation Sheet'!$A$39="","",'Final Calculation Sheet'!$A$39)</f>
        <v/>
      </c>
      <c r="C356" s="169">
        <f>IF('Final Calculation Sheet'!$A$40="","",'Final Calculation Sheet'!$A$40)</f>
        <v/>
      </c>
      <c r="D356" s="71" t="n"/>
      <c r="E356" s="71" t="n"/>
      <c r="F356" s="71" t="n"/>
      <c r="G356" s="71" t="n"/>
      <c r="H356" s="71" t="n"/>
      <c r="I356" s="71" t="n"/>
      <c r="J356" s="71" t="n"/>
      <c r="K356" s="71" t="n"/>
      <c r="L356" s="71" t="n"/>
      <c r="M356" s="71" t="n"/>
      <c r="N356" s="71" t="n"/>
      <c r="O356" s="75">
        <f>SUM(B356:N356)</f>
        <v/>
      </c>
    </row>
    <row r="357" outlineLevel="2" ht="15" customHeight="1">
      <c r="A357" s="69" t="inlineStr">
        <is>
          <t xml:space="preserve">      Unit</t>
        </is>
      </c>
      <c r="B357" s="76">
        <f>IF('Final Calculation Sheet'!$E$39="","",'Final Calculation Sheet'!$E$39)</f>
        <v/>
      </c>
      <c r="C357" s="170">
        <f>IF('Final Calculation Sheet'!$E$40="","",'Final Calculation Sheet'!$E$40)</f>
        <v/>
      </c>
      <c r="D357" s="71" t="n"/>
      <c r="E357" s="71" t="n"/>
      <c r="F357" s="71" t="n"/>
      <c r="G357" s="71" t="n"/>
      <c r="H357" s="71" t="n"/>
      <c r="I357" s="71" t="n"/>
      <c r="J357" s="71" t="n"/>
      <c r="K357" s="71" t="n"/>
      <c r="L357" s="71" t="n"/>
      <c r="M357" s="71" t="n"/>
      <c r="N357" s="71" t="n"/>
      <c r="O357" s="72" t="inlineStr">
        <is>
          <t>–</t>
        </is>
      </c>
    </row>
    <row r="358" outlineLevel="2" ht="15" customHeight="1">
      <c r="A358" s="69" t="inlineStr">
        <is>
          <t xml:space="preserve">      Rate (₹)</t>
        </is>
      </c>
      <c r="B358" s="70">
        <f>IF('Final Calculation Sheet'!$C$39="","",'Final Calculation Sheet'!$C$39)</f>
        <v/>
      </c>
      <c r="C358" s="167">
        <f>IF('Final Calculation Sheet'!$C$40="","",'Final Calculation Sheet'!$C$40)</f>
        <v/>
      </c>
      <c r="D358" s="71" t="n"/>
      <c r="E358" s="71" t="n"/>
      <c r="F358" s="71" t="n"/>
      <c r="G358" s="71" t="n"/>
      <c r="H358" s="71" t="n"/>
      <c r="I358" s="71" t="n"/>
      <c r="J358" s="71" t="n"/>
      <c r="K358" s="71" t="n"/>
      <c r="L358" s="71" t="n"/>
      <c r="M358" s="71" t="n"/>
      <c r="N358" s="71" t="n"/>
      <c r="O358" s="72" t="inlineStr">
        <is>
          <t>–</t>
        </is>
      </c>
    </row>
    <row r="359" outlineLevel="1" ht="16" customHeight="1">
      <c r="A359" s="65" t="inlineStr">
        <is>
          <t xml:space="preserve">  ▸ FINANCIALS</t>
        </is>
      </c>
      <c r="B359" s="67" t="n"/>
      <c r="C359" s="67" t="n"/>
      <c r="D359" s="67" t="n"/>
      <c r="E359" s="67" t="n"/>
      <c r="F359" s="67" t="n"/>
      <c r="G359" s="67" t="n"/>
      <c r="H359" s="67" t="n"/>
      <c r="I359" s="67" t="n"/>
      <c r="J359" s="67" t="n"/>
      <c r="K359" s="67" t="n"/>
      <c r="L359" s="67" t="n"/>
      <c r="M359" s="67" t="n"/>
      <c r="N359" s="67" t="n"/>
      <c r="O359" s="67" t="n"/>
    </row>
    <row r="360" outlineLevel="2" ht="15" customHeight="1">
      <c r="A360" s="69" t="inlineStr">
        <is>
          <t xml:space="preserve">      Mat. Value (₹)</t>
        </is>
      </c>
      <c r="B360" s="70">
        <f>IF('Final Calculation Sheet'!$H$39="","",'Final Calculation Sheet'!$H$39)</f>
        <v/>
      </c>
      <c r="C360" s="167">
        <f>IF('Final Calculation Sheet'!$H$40="","",'Final Calculation Sheet'!$H$40)</f>
        <v/>
      </c>
      <c r="D360" s="71" t="n"/>
      <c r="E360" s="71" t="n"/>
      <c r="F360" s="71" t="n"/>
      <c r="G360" s="71" t="n"/>
      <c r="H360" s="71" t="n"/>
      <c r="I360" s="71" t="n"/>
      <c r="J360" s="71" t="n"/>
      <c r="K360" s="71" t="n"/>
      <c r="L360" s="71" t="n"/>
      <c r="M360" s="71" t="n"/>
      <c r="N360" s="71" t="n"/>
      <c r="O360" s="77">
        <f>SUM(B360:N360)</f>
        <v/>
      </c>
    </row>
    <row r="361" outlineLevel="2" ht="15" customHeight="1">
      <c r="A361" s="69" t="inlineStr">
        <is>
          <t xml:space="preserve">      GST @ 18% (₹)</t>
        </is>
      </c>
      <c r="B361" s="70">
        <f>IF('Final Calculation Sheet'!$I$39="","",'Final Calculation Sheet'!$I$39)</f>
        <v/>
      </c>
      <c r="C361" s="167">
        <f>IF('Final Calculation Sheet'!$I$40="","",'Final Calculation Sheet'!$I$40)</f>
        <v/>
      </c>
      <c r="D361" s="71" t="n"/>
      <c r="E361" s="71" t="n"/>
      <c r="F361" s="71" t="n"/>
      <c r="G361" s="71" t="n"/>
      <c r="H361" s="71" t="n"/>
      <c r="I361" s="71" t="n"/>
      <c r="J361" s="71" t="n"/>
      <c r="K361" s="71" t="n"/>
      <c r="L361" s="71" t="n"/>
      <c r="M361" s="71" t="n"/>
      <c r="N361" s="71" t="n"/>
      <c r="O361" s="77">
        <f>SUM(B361:N361)</f>
        <v/>
      </c>
    </row>
    <row r="362" outlineLevel="2" ht="15" customHeight="1">
      <c r="A362" s="69" t="inlineStr">
        <is>
          <t xml:space="preserve">      Mat. Value + GST (₹)</t>
        </is>
      </c>
      <c r="B362" s="70">
        <f>IF('Final Calculation Sheet'!$J$39="","",'Final Calculation Sheet'!$J$39)</f>
        <v/>
      </c>
      <c r="C362" s="167">
        <f>IF('Final Calculation Sheet'!$J$40="","",'Final Calculation Sheet'!$J$40)</f>
        <v/>
      </c>
      <c r="D362" s="71" t="n"/>
      <c r="E362" s="71" t="n"/>
      <c r="F362" s="71" t="n"/>
      <c r="G362" s="71" t="n"/>
      <c r="H362" s="71" t="n"/>
      <c r="I362" s="71" t="n"/>
      <c r="J362" s="71" t="n"/>
      <c r="K362" s="71" t="n"/>
      <c r="L362" s="71" t="n"/>
      <c r="M362" s="71" t="n"/>
      <c r="N362" s="71" t="n"/>
      <c r="O362" s="77">
        <f>SUM(B362:N362)</f>
        <v/>
      </c>
    </row>
    <row r="363" outlineLevel="2" ht="15" customHeight="1">
      <c r="A363" s="69" t="inlineStr">
        <is>
          <t xml:space="preserve">      TCS @ 2% (₹)</t>
        </is>
      </c>
      <c r="B363" s="70">
        <f>IF('Final Calculation Sheet'!$K$39="","",'Final Calculation Sheet'!$K$39)</f>
        <v/>
      </c>
      <c r="C363" s="167">
        <f>IF('Final Calculation Sheet'!$K$40="","",'Final Calculation Sheet'!$K$40)</f>
        <v/>
      </c>
      <c r="D363" s="71" t="n"/>
      <c r="E363" s="71" t="n"/>
      <c r="F363" s="71" t="n"/>
      <c r="G363" s="71" t="n"/>
      <c r="H363" s="71" t="n"/>
      <c r="I363" s="71" t="n"/>
      <c r="J363" s="71" t="n"/>
      <c r="K363" s="71" t="n"/>
      <c r="L363" s="71" t="n"/>
      <c r="M363" s="71" t="n"/>
      <c r="N363" s="71" t="n"/>
      <c r="O363" s="77">
        <f>SUM(B363:N363)</f>
        <v/>
      </c>
    </row>
    <row r="364" outlineLevel="2" ht="15" customHeight="1">
      <c r="A364" s="69" t="inlineStr">
        <is>
          <t xml:space="preserve">      TDS u/s 194(O) (₹)</t>
        </is>
      </c>
      <c r="B364" s="78">
        <f>IF('Final Calculation Sheet'!$L$39="","",'Final Calculation Sheet'!$L$39)</f>
        <v/>
      </c>
      <c r="C364" s="171">
        <f>IF('Final Calculation Sheet'!$L$40="","",'Final Calculation Sheet'!$L$40)</f>
        <v/>
      </c>
      <c r="D364" s="71" t="n"/>
      <c r="E364" s="71" t="n"/>
      <c r="F364" s="71" t="n"/>
      <c r="G364" s="71" t="n"/>
      <c r="H364" s="71" t="n"/>
      <c r="I364" s="71" t="n"/>
      <c r="J364" s="71" t="n"/>
      <c r="K364" s="71" t="n"/>
      <c r="L364" s="71" t="n"/>
      <c r="M364" s="71" t="n"/>
      <c r="N364" s="71" t="n"/>
      <c r="O364" s="79">
        <f>SUM(B364:N364)</f>
        <v/>
      </c>
    </row>
    <row r="365" outlineLevel="2" ht="15" customHeight="1">
      <c r="A365" s="69" t="inlineStr">
        <is>
          <t xml:space="preserve">      Service Charge gross (₹)</t>
        </is>
      </c>
      <c r="B365" s="78">
        <f>IF('Final Calculation Sheet'!$M$39="","",'Final Calculation Sheet'!$M$39)</f>
        <v/>
      </c>
      <c r="C365" s="171">
        <f>IF('Final Calculation Sheet'!$M$40="","",'Final Calculation Sheet'!$M$40)</f>
        <v/>
      </c>
      <c r="D365" s="71" t="n"/>
      <c r="E365" s="71" t="n"/>
      <c r="F365" s="71" t="n"/>
      <c r="G365" s="71" t="n"/>
      <c r="H365" s="71" t="n"/>
      <c r="I365" s="71" t="n"/>
      <c r="J365" s="71" t="n"/>
      <c r="K365" s="71" t="n"/>
      <c r="L365" s="71" t="n"/>
      <c r="M365" s="71" t="n"/>
      <c r="N365" s="71" t="n"/>
      <c r="O365" s="79">
        <f>SUM(B365:N365)</f>
        <v/>
      </c>
    </row>
    <row r="366" outlineLevel="2" ht="15" customHeight="1">
      <c r="A366" s="69" t="inlineStr">
        <is>
          <t xml:space="preserve">      TDS u/s 194(H) (₹)</t>
        </is>
      </c>
      <c r="B366" s="78">
        <f>IF('Final Calculation Sheet'!$N$39="","",'Final Calculation Sheet'!$N$39)</f>
        <v/>
      </c>
      <c r="C366" s="171">
        <f>IF('Final Calculation Sheet'!$N$40="","",'Final Calculation Sheet'!$N$40)</f>
        <v/>
      </c>
      <c r="D366" s="71" t="n"/>
      <c r="E366" s="71" t="n"/>
      <c r="F366" s="71" t="n"/>
      <c r="G366" s="71" t="n"/>
      <c r="H366" s="71" t="n"/>
      <c r="I366" s="71" t="n"/>
      <c r="J366" s="71" t="n"/>
      <c r="K366" s="71" t="n"/>
      <c r="L366" s="71" t="n"/>
      <c r="M366" s="71" t="n"/>
      <c r="N366" s="71" t="n"/>
      <c r="O366" s="79">
        <f>SUM(B366:N366)</f>
        <v/>
      </c>
    </row>
    <row r="367" outlineLevel="2" ht="15" customHeight="1">
      <c r="A367" s="69" t="inlineStr">
        <is>
          <t xml:space="preserve">      Net Service Charge (₹)</t>
        </is>
      </c>
      <c r="B367" s="78">
        <f>IF('Final Calculation Sheet'!$O$39="","",'Final Calculation Sheet'!$O$39)</f>
        <v/>
      </c>
      <c r="C367" s="171">
        <f>IF('Final Calculation Sheet'!$O$40="","",'Final Calculation Sheet'!$O$40)</f>
        <v/>
      </c>
      <c r="D367" s="71" t="n"/>
      <c r="E367" s="71" t="n"/>
      <c r="F367" s="71" t="n"/>
      <c r="G367" s="71" t="n"/>
      <c r="H367" s="71" t="n"/>
      <c r="I367" s="71" t="n"/>
      <c r="J367" s="71" t="n"/>
      <c r="K367" s="71" t="n"/>
      <c r="L367" s="71" t="n"/>
      <c r="M367" s="71" t="n"/>
      <c r="N367" s="71" t="n"/>
      <c r="O367" s="79">
        <f>SUM(B367:N367)</f>
        <v/>
      </c>
    </row>
    <row r="368" outlineLevel="2" ht="15" customHeight="1">
      <c r="A368" s="69" t="inlineStr">
        <is>
          <t xml:space="preserve">      Svc Charge to MSTC (₹)</t>
        </is>
      </c>
      <c r="B368" s="70">
        <f>IF('Final Calculation Sheet'!$P$39="","",'Final Calculation Sheet'!$P$39)</f>
        <v/>
      </c>
      <c r="C368" s="167">
        <f>IF('Final Calculation Sheet'!$P$40="","",'Final Calculation Sheet'!$P$40)</f>
        <v/>
      </c>
      <c r="D368" s="71" t="n"/>
      <c r="E368" s="71" t="n"/>
      <c r="F368" s="71" t="n"/>
      <c r="G368" s="71" t="n"/>
      <c r="H368" s="71" t="n"/>
      <c r="I368" s="71" t="n"/>
      <c r="J368" s="71" t="n"/>
      <c r="K368" s="71" t="n"/>
      <c r="L368" s="71" t="n"/>
      <c r="M368" s="71" t="n"/>
      <c r="N368" s="71" t="n"/>
      <c r="O368" s="77">
        <f>SUM(B368:N368)</f>
        <v/>
      </c>
    </row>
    <row r="369" outlineLevel="2" ht="15" customHeight="1">
      <c r="A369" s="69" t="inlineStr">
        <is>
          <t xml:space="preserve">      GST TDS Rate</t>
        </is>
      </c>
      <c r="B369" s="80">
        <f>IF('Final Calculation Sheet'!$Q$39="","",'Final Calculation Sheet'!$Q$39)</f>
        <v/>
      </c>
      <c r="C369" s="172">
        <f>IF('Final Calculation Sheet'!$Q$40="","",'Final Calculation Sheet'!$Q$40)</f>
        <v/>
      </c>
      <c r="D369" s="71" t="n"/>
      <c r="E369" s="71" t="n"/>
      <c r="F369" s="71" t="n"/>
      <c r="G369" s="71" t="n"/>
      <c r="H369" s="71" t="n"/>
      <c r="I369" s="71" t="n"/>
      <c r="J369" s="71" t="n"/>
      <c r="K369" s="71" t="n"/>
      <c r="L369" s="71" t="n"/>
      <c r="M369" s="71" t="n"/>
      <c r="N369" s="71" t="n"/>
      <c r="O369" s="72" t="inlineStr">
        <is>
          <t>–</t>
        </is>
      </c>
    </row>
    <row r="370" outlineLevel="2" ht="15" customHeight="1">
      <c r="A370" s="69" t="inlineStr">
        <is>
          <t xml:space="preserve">      GST TDS (₹)</t>
        </is>
      </c>
      <c r="B370" s="70">
        <f>IF('Final Calculation Sheet'!$R$39="","",'Final Calculation Sheet'!$R$39)</f>
        <v/>
      </c>
      <c r="C370" s="167">
        <f>IF('Final Calculation Sheet'!$R$40="","",'Final Calculation Sheet'!$R$40)</f>
        <v/>
      </c>
      <c r="D370" s="71" t="n"/>
      <c r="E370" s="71" t="n"/>
      <c r="F370" s="71" t="n"/>
      <c r="G370" s="71" t="n"/>
      <c r="H370" s="71" t="n"/>
      <c r="I370" s="71" t="n"/>
      <c r="J370" s="71" t="n"/>
      <c r="K370" s="71" t="n"/>
      <c r="L370" s="71" t="n"/>
      <c r="M370" s="71" t="n"/>
      <c r="N370" s="71" t="n"/>
      <c r="O370" s="77">
        <f>SUM(B370:N370)</f>
        <v/>
      </c>
    </row>
    <row r="371" outlineLevel="2" ht="15" customHeight="1">
      <c r="A371" s="69" t="inlineStr">
        <is>
          <t xml:space="preserve">      Total Receivables (₹)</t>
        </is>
      </c>
      <c r="B371" s="70">
        <f>IF('Final Calculation Sheet'!$S$39="","",'Final Calculation Sheet'!$S$39)</f>
        <v/>
      </c>
      <c r="C371" s="167">
        <f>IF('Final Calculation Sheet'!$S$40="","",'Final Calculation Sheet'!$S$40)</f>
        <v/>
      </c>
      <c r="D371" s="71" t="n"/>
      <c r="E371" s="71" t="n"/>
      <c r="F371" s="71" t="n"/>
      <c r="G371" s="71" t="n"/>
      <c r="H371" s="71" t="n"/>
      <c r="I371" s="71" t="n"/>
      <c r="J371" s="71" t="n"/>
      <c r="K371" s="71" t="n"/>
      <c r="L371" s="71" t="n"/>
      <c r="M371" s="71" t="n"/>
      <c r="N371" s="71" t="n"/>
      <c r="O371" s="77">
        <f>SUM(B371:N371)</f>
        <v/>
      </c>
    </row>
    <row r="372" outlineLevel="1" ht="16" customHeight="1">
      <c r="A372" s="65" t="inlineStr">
        <is>
          <t xml:space="preserve">  ▸ SECURITY DEPOSIT</t>
        </is>
      </c>
      <c r="B372" s="67" t="n"/>
      <c r="C372" s="67" t="n"/>
      <c r="D372" s="67" t="n"/>
      <c r="E372" s="67" t="n"/>
      <c r="F372" s="67" t="n"/>
      <c r="G372" s="67" t="n"/>
      <c r="H372" s="67" t="n"/>
      <c r="I372" s="67" t="n"/>
      <c r="J372" s="67" t="n"/>
      <c r="K372" s="67" t="n"/>
      <c r="L372" s="67" t="n"/>
      <c r="M372" s="67" t="n"/>
      <c r="N372" s="67" t="n"/>
      <c r="O372" s="67" t="n"/>
    </row>
    <row r="373" outlineLevel="2" ht="15" customHeight="1">
      <c r="A373" s="69" t="inlineStr">
        <is>
          <t xml:space="preserve">      SD Expected (₹)</t>
        </is>
      </c>
      <c r="B373" s="70">
        <f>IF('Final Calculation Sheet'!$T$39="","",'Final Calculation Sheet'!$T$39)</f>
        <v/>
      </c>
      <c r="C373" s="167">
        <f>IF('Final Calculation Sheet'!$T$40="","",'Final Calculation Sheet'!$T$40)</f>
        <v/>
      </c>
      <c r="D373" s="71" t="n"/>
      <c r="E373" s="71" t="n"/>
      <c r="F373" s="71" t="n"/>
      <c r="G373" s="71" t="n"/>
      <c r="H373" s="71" t="n"/>
      <c r="I373" s="71" t="n"/>
      <c r="J373" s="71" t="n"/>
      <c r="K373" s="71" t="n"/>
      <c r="L373" s="71" t="n"/>
      <c r="M373" s="71" t="n"/>
      <c r="N373" s="71" t="n"/>
      <c r="O373" s="77">
        <f>SUM(B373:N373)</f>
        <v/>
      </c>
    </row>
    <row r="374" outlineLevel="2" ht="15" customHeight="1">
      <c r="A374" s="69" t="inlineStr">
        <is>
          <t xml:space="preserve">      SD Received (₹)</t>
        </is>
      </c>
      <c r="B374" s="70">
        <f>IF('Final Calculation Sheet'!$U$39="","",'Final Calculation Sheet'!$U$39)</f>
        <v/>
      </c>
      <c r="C374" s="167">
        <f>IF('Final Calculation Sheet'!$U$40="","",'Final Calculation Sheet'!$U$40)</f>
        <v/>
      </c>
      <c r="D374" s="71" t="n"/>
      <c r="E374" s="71" t="n"/>
      <c r="F374" s="71" t="n"/>
      <c r="G374" s="71" t="n"/>
      <c r="H374" s="71" t="n"/>
      <c r="I374" s="71" t="n"/>
      <c r="J374" s="71" t="n"/>
      <c r="K374" s="71" t="n"/>
      <c r="L374" s="71" t="n"/>
      <c r="M374" s="71" t="n"/>
      <c r="N374" s="71" t="n"/>
      <c r="O374" s="77">
        <f>SUM(B374:N374)</f>
        <v/>
      </c>
    </row>
    <row r="375" outlineLevel="2" ht="15" customHeight="1">
      <c r="A375" s="69" t="inlineStr">
        <is>
          <t xml:space="preserve">      SD Receipt Date</t>
        </is>
      </c>
      <c r="B375" s="76">
        <f>IF('Final Calculation Sheet'!$V$39="","",'Final Calculation Sheet'!$V$39)</f>
        <v/>
      </c>
      <c r="C375" s="170">
        <f>IF('Final Calculation Sheet'!$V$40="","",'Final Calculation Sheet'!$V$40)</f>
        <v/>
      </c>
      <c r="D375" s="71" t="n"/>
      <c r="E375" s="71" t="n"/>
      <c r="F375" s="71" t="n"/>
      <c r="G375" s="71" t="n"/>
      <c r="H375" s="71" t="n"/>
      <c r="I375" s="71" t="n"/>
      <c r="J375" s="71" t="n"/>
      <c r="K375" s="71" t="n"/>
      <c r="L375" s="71" t="n"/>
      <c r="M375" s="71" t="n"/>
      <c r="N375" s="71" t="n"/>
      <c r="O375" s="72" t="inlineStr">
        <is>
          <t>–</t>
        </is>
      </c>
    </row>
    <row r="376" outlineLevel="1" ht="16" customHeight="1">
      <c r="A376" s="65" t="inlineStr">
        <is>
          <t xml:space="preserve">  ▸ FINAL PAYMENT</t>
        </is>
      </c>
      <c r="B376" s="67" t="n"/>
      <c r="C376" s="67" t="n"/>
      <c r="D376" s="67" t="n"/>
      <c r="E376" s="67" t="n"/>
      <c r="F376" s="67" t="n"/>
      <c r="G376" s="67" t="n"/>
      <c r="H376" s="67" t="n"/>
      <c r="I376" s="67" t="n"/>
      <c r="J376" s="67" t="n"/>
      <c r="K376" s="67" t="n"/>
      <c r="L376" s="67" t="n"/>
      <c r="M376" s="67" t="n"/>
      <c r="N376" s="67" t="n"/>
      <c r="O376" s="67" t="n"/>
    </row>
    <row r="377" outlineLevel="2" ht="15" customHeight="1">
      <c r="A377" s="69" t="inlineStr">
        <is>
          <t xml:space="preserve">      FP Expected (₹)</t>
        </is>
      </c>
      <c r="B377" s="70">
        <f>IF('Final Calculation Sheet'!$W$39="","",'Final Calculation Sheet'!$W$39)</f>
        <v/>
      </c>
      <c r="C377" s="167">
        <f>IF('Final Calculation Sheet'!$W$40="","",'Final Calculation Sheet'!$W$40)</f>
        <v/>
      </c>
      <c r="D377" s="71" t="n"/>
      <c r="E377" s="71" t="n"/>
      <c r="F377" s="71" t="n"/>
      <c r="G377" s="71" t="n"/>
      <c r="H377" s="71" t="n"/>
      <c r="I377" s="71" t="n"/>
      <c r="J377" s="71" t="n"/>
      <c r="K377" s="71" t="n"/>
      <c r="L377" s="71" t="n"/>
      <c r="M377" s="71" t="n"/>
      <c r="N377" s="71" t="n"/>
      <c r="O377" s="77">
        <f>SUM(B377:N377)</f>
        <v/>
      </c>
    </row>
    <row r="378" outlineLevel="2" ht="15" customHeight="1">
      <c r="A378" s="69" t="inlineStr">
        <is>
          <t xml:space="preserve">      FP Received (₹)</t>
        </is>
      </c>
      <c r="B378" s="70">
        <f>IF('Final Calculation Sheet'!$X$39="","",'Final Calculation Sheet'!$X$39)</f>
        <v/>
      </c>
      <c r="C378" s="167">
        <f>IF('Final Calculation Sheet'!$X$40="","",'Final Calculation Sheet'!$X$40)</f>
        <v/>
      </c>
      <c r="D378" s="71" t="n"/>
      <c r="E378" s="71" t="n"/>
      <c r="F378" s="71" t="n"/>
      <c r="G378" s="71" t="n"/>
      <c r="H378" s="71" t="n"/>
      <c r="I378" s="71" t="n"/>
      <c r="J378" s="71" t="n"/>
      <c r="K378" s="71" t="n"/>
      <c r="L378" s="71" t="n"/>
      <c r="M378" s="71" t="n"/>
      <c r="N378" s="71" t="n"/>
      <c r="O378" s="77">
        <f>SUM(B378:N378)</f>
        <v/>
      </c>
    </row>
    <row r="379" outlineLevel="2" ht="15" customHeight="1">
      <c r="A379" s="69" t="inlineStr">
        <is>
          <t xml:space="preserve">      FP Receipt Date</t>
        </is>
      </c>
      <c r="B379" s="76">
        <f>IF('Final Calculation Sheet'!$Y$39="","",'Final Calculation Sheet'!$Y$39)</f>
        <v/>
      </c>
      <c r="C379" s="170">
        <f>IF('Final Calculation Sheet'!$Y$40="","",'Final Calculation Sheet'!$Y$40)</f>
        <v/>
      </c>
      <c r="D379" s="71" t="n"/>
      <c r="E379" s="71" t="n"/>
      <c r="F379" s="71" t="n"/>
      <c r="G379" s="71" t="n"/>
      <c r="H379" s="71" t="n"/>
      <c r="I379" s="71" t="n"/>
      <c r="J379" s="71" t="n"/>
      <c r="K379" s="71" t="n"/>
      <c r="L379" s="71" t="n"/>
      <c r="M379" s="71" t="n"/>
      <c r="N379" s="71" t="n"/>
      <c r="O379" s="72" t="inlineStr">
        <is>
          <t>–</t>
        </is>
      </c>
    </row>
    <row r="380" outlineLevel="1" ht="16" customHeight="1">
      <c r="A380" s="65" t="inlineStr">
        <is>
          <t xml:space="preserve">  ▸ LPP</t>
        </is>
      </c>
      <c r="B380" s="67" t="n"/>
      <c r="C380" s="67" t="n"/>
      <c r="D380" s="67" t="n"/>
      <c r="E380" s="67" t="n"/>
      <c r="F380" s="67" t="n"/>
      <c r="G380" s="67" t="n"/>
      <c r="H380" s="67" t="n"/>
      <c r="I380" s="67" t="n"/>
      <c r="J380" s="67" t="n"/>
      <c r="K380" s="67" t="n"/>
      <c r="L380" s="67" t="n"/>
      <c r="M380" s="67" t="n"/>
      <c r="N380" s="67" t="n"/>
      <c r="O380" s="67" t="n"/>
    </row>
    <row r="381" outlineLevel="2" ht="15" customHeight="1">
      <c r="A381" s="69" t="inlineStr">
        <is>
          <t xml:space="preserve">      LPP Expected (₹)</t>
        </is>
      </c>
      <c r="B381" s="70">
        <f>IF('Final Calculation Sheet'!$Z$39="","",'Final Calculation Sheet'!$Z$39)</f>
        <v/>
      </c>
      <c r="C381" s="167">
        <f>IF('Final Calculation Sheet'!$Z$40="","",'Final Calculation Sheet'!$Z$40)</f>
        <v/>
      </c>
      <c r="D381" s="71" t="n"/>
      <c r="E381" s="71" t="n"/>
      <c r="F381" s="71" t="n"/>
      <c r="G381" s="71" t="n"/>
      <c r="H381" s="71" t="n"/>
      <c r="I381" s="71" t="n"/>
      <c r="J381" s="71" t="n"/>
      <c r="K381" s="71" t="n"/>
      <c r="L381" s="71" t="n"/>
      <c r="M381" s="71" t="n"/>
      <c r="N381" s="71" t="n"/>
      <c r="O381" s="77">
        <f>SUM(B381:N381)</f>
        <v/>
      </c>
    </row>
    <row r="382" outlineLevel="2" ht="15" customHeight="1">
      <c r="A382" s="69" t="inlineStr">
        <is>
          <t xml:space="preserve">      LPP Received (₹)</t>
        </is>
      </c>
      <c r="B382" s="70">
        <f>IF('Final Calculation Sheet'!$AA$39="","",'Final Calculation Sheet'!$AA$39)</f>
        <v/>
      </c>
      <c r="C382" s="167">
        <f>IF('Final Calculation Sheet'!$AA$40="","",'Final Calculation Sheet'!$AA$40)</f>
        <v/>
      </c>
      <c r="D382" s="71" t="n"/>
      <c r="E382" s="71" t="n"/>
      <c r="F382" s="71" t="n"/>
      <c r="G382" s="71" t="n"/>
      <c r="H382" s="71" t="n"/>
      <c r="I382" s="71" t="n"/>
      <c r="J382" s="71" t="n"/>
      <c r="K382" s="71" t="n"/>
      <c r="L382" s="71" t="n"/>
      <c r="M382" s="71" t="n"/>
      <c r="N382" s="71" t="n"/>
      <c r="O382" s="77">
        <f>SUM(B382:N382)</f>
        <v/>
      </c>
    </row>
    <row r="383" outlineLevel="2" ht="15" customHeight="1">
      <c r="A383" s="69" t="inlineStr">
        <is>
          <t xml:space="preserve">      LPP Receipt Date</t>
        </is>
      </c>
      <c r="B383" s="76">
        <f>IF('Final Calculation Sheet'!$AB$39="","",'Final Calculation Sheet'!$AB$39)</f>
        <v/>
      </c>
      <c r="C383" s="170">
        <f>IF('Final Calculation Sheet'!$AB$40="","",'Final Calculation Sheet'!$AB$40)</f>
        <v/>
      </c>
      <c r="D383" s="71" t="n"/>
      <c r="E383" s="71" t="n"/>
      <c r="F383" s="71" t="n"/>
      <c r="G383" s="71" t="n"/>
      <c r="H383" s="71" t="n"/>
      <c r="I383" s="71" t="n"/>
      <c r="J383" s="71" t="n"/>
      <c r="K383" s="71" t="n"/>
      <c r="L383" s="71" t="n"/>
      <c r="M383" s="71" t="n"/>
      <c r="N383" s="71" t="n"/>
      <c r="O383" s="72" t="inlineStr">
        <is>
          <t>–</t>
        </is>
      </c>
    </row>
    <row r="384" outlineLevel="1" ht="16" customHeight="1">
      <c r="A384" s="65" t="inlineStr">
        <is>
          <t xml:space="preserve">  ▸ SUMMARY</t>
        </is>
      </c>
      <c r="B384" s="67" t="n"/>
      <c r="C384" s="67" t="n"/>
      <c r="D384" s="67" t="n"/>
      <c r="E384" s="67" t="n"/>
      <c r="F384" s="67" t="n"/>
      <c r="G384" s="67" t="n"/>
      <c r="H384" s="67" t="n"/>
      <c r="I384" s="67" t="n"/>
      <c r="J384" s="67" t="n"/>
      <c r="K384" s="67" t="n"/>
      <c r="L384" s="67" t="n"/>
      <c r="M384" s="67" t="n"/>
      <c r="N384" s="67" t="n"/>
      <c r="O384" s="67" t="n"/>
    </row>
    <row r="385" outlineLevel="2" ht="15" customHeight="1">
      <c r="A385" s="69" t="inlineStr">
        <is>
          <t xml:space="preserve">      Total Received (₹)</t>
        </is>
      </c>
      <c r="B385" s="70">
        <f>IF('Final Calculation Sheet'!$AC$39="","",'Final Calculation Sheet'!$AC$39)</f>
        <v/>
      </c>
      <c r="C385" s="167">
        <f>IF('Final Calculation Sheet'!$AC$40="","",'Final Calculation Sheet'!$AC$40)</f>
        <v/>
      </c>
      <c r="D385" s="71" t="n"/>
      <c r="E385" s="71" t="n"/>
      <c r="F385" s="71" t="n"/>
      <c r="G385" s="71" t="n"/>
      <c r="H385" s="71" t="n"/>
      <c r="I385" s="71" t="n"/>
      <c r="J385" s="71" t="n"/>
      <c r="K385" s="71" t="n"/>
      <c r="L385" s="71" t="n"/>
      <c r="M385" s="71" t="n"/>
      <c r="N385" s="71" t="n"/>
      <c r="O385" s="77">
        <f>SUM(B385:N385)</f>
        <v/>
      </c>
    </row>
    <row r="386" outlineLevel="2" ht="15" customHeight="1">
      <c r="A386" s="69" t="inlineStr">
        <is>
          <t xml:space="preserve">      Outstanding (₹)</t>
        </is>
      </c>
      <c r="B386" s="70">
        <f>IF('Final Calculation Sheet'!$AD$39="","",'Final Calculation Sheet'!$AD$39)</f>
        <v/>
      </c>
      <c r="C386" s="167">
        <f>IF('Final Calculation Sheet'!$AD$40="","",'Final Calculation Sheet'!$AD$40)</f>
        <v/>
      </c>
      <c r="D386" s="71" t="n"/>
      <c r="E386" s="71" t="n"/>
      <c r="F386" s="71" t="n"/>
      <c r="G386" s="71" t="n"/>
      <c r="H386" s="71" t="n"/>
      <c r="I386" s="71" t="n"/>
      <c r="J386" s="71" t="n"/>
      <c r="K386" s="71" t="n"/>
      <c r="L386" s="71" t="n"/>
      <c r="M386" s="71" t="n"/>
      <c r="N386" s="71" t="n"/>
      <c r="O386" s="77">
        <f>SUM(B386:N386)</f>
        <v/>
      </c>
    </row>
    <row r="387" outlineLevel="2" ht="15" customHeight="1">
      <c r="A387" s="69" t="inlineStr">
        <is>
          <t xml:space="preserve">      Payment Status</t>
        </is>
      </c>
      <c r="B387" s="81">
        <f>IF('Final Calculation Sheet'!$AD$39="","",IF('Final Calculation Sheet'!$AD$39&lt;=0,"SETTLED","OUTSTANDING"))</f>
        <v/>
      </c>
      <c r="C387" s="173">
        <f>IF('Final Calculation Sheet'!$AD$40="","",IF('Final Calculation Sheet'!$AD$40&lt;=0,"SETTLED","OUTSTANDING"))</f>
        <v/>
      </c>
      <c r="D387" s="71" t="n"/>
      <c r="E387" s="71" t="n"/>
      <c r="F387" s="71" t="n"/>
      <c r="G387" s="71" t="n"/>
      <c r="H387" s="71" t="n"/>
      <c r="I387" s="71" t="n"/>
      <c r="J387" s="71" t="n"/>
      <c r="K387" s="71" t="n"/>
      <c r="L387" s="71" t="n"/>
      <c r="M387" s="71" t="n"/>
      <c r="N387" s="71" t="n"/>
      <c r="O387" s="72" t="inlineStr">
        <is>
          <t>–</t>
        </is>
      </c>
    </row>
    <row r="388" outlineLevel="1" ht="16" customHeight="1">
      <c r="A388" s="65" t="inlineStr">
        <is>
          <t xml:space="preserve">  ▸ DOCUMENT</t>
        </is>
      </c>
      <c r="B388" s="67" t="n"/>
      <c r="C388" s="67" t="n"/>
      <c r="D388" s="67" t="n"/>
      <c r="E388" s="67" t="n"/>
      <c r="F388" s="67" t="n"/>
      <c r="G388" s="67" t="n"/>
      <c r="H388" s="67" t="n"/>
      <c r="I388" s="67" t="n"/>
      <c r="J388" s="67" t="n"/>
      <c r="K388" s="67" t="n"/>
      <c r="L388" s="67" t="n"/>
      <c r="M388" s="67" t="n"/>
      <c r="N388" s="67" t="n"/>
      <c r="O388" s="67" t="n"/>
    </row>
    <row r="389" outlineLevel="2" ht="15" customHeight="1">
      <c r="A389" s="69" t="inlineStr">
        <is>
          <t xml:space="preserve">      Invoice No.</t>
        </is>
      </c>
      <c r="B389" s="76">
        <f>IF('Final Calculation Sheet'!$AE$39="","",'Final Calculation Sheet'!$AE$39)</f>
        <v/>
      </c>
      <c r="C389" s="170">
        <f>IF('Final Calculation Sheet'!$AE$40="","",'Final Calculation Sheet'!$AE$40)</f>
        <v/>
      </c>
      <c r="D389" s="71" t="n"/>
      <c r="E389" s="71" t="n"/>
      <c r="F389" s="71" t="n"/>
      <c r="G389" s="71" t="n"/>
      <c r="H389" s="71" t="n"/>
      <c r="I389" s="71" t="n"/>
      <c r="J389" s="71" t="n"/>
      <c r="K389" s="71" t="n"/>
      <c r="L389" s="71" t="n"/>
      <c r="M389" s="71" t="n"/>
      <c r="N389" s="71" t="n"/>
      <c r="O389" s="72" t="inlineStr">
        <is>
          <t>–</t>
        </is>
      </c>
    </row>
    <row r="390" outlineLevel="2" ht="15" customHeight="1">
      <c r="A390" s="69" t="inlineStr">
        <is>
          <t xml:space="preserve">      SAP Document</t>
        </is>
      </c>
      <c r="B390" s="70">
        <f>IF('Final Calculation Sheet'!$AF$39="","",'Final Calculation Sheet'!$AF$39)</f>
        <v/>
      </c>
      <c r="C390" s="167">
        <f>IF('Final Calculation Sheet'!$AF$40="","",'Final Calculation Sheet'!$AF$40)</f>
        <v/>
      </c>
      <c r="D390" s="71" t="n"/>
      <c r="E390" s="71" t="n"/>
      <c r="F390" s="71" t="n"/>
      <c r="G390" s="71" t="n"/>
      <c r="H390" s="71" t="n"/>
      <c r="I390" s="71" t="n"/>
      <c r="J390" s="71" t="n"/>
      <c r="K390" s="71" t="n"/>
      <c r="L390" s="71" t="n"/>
      <c r="M390" s="71" t="n"/>
      <c r="N390" s="71" t="n"/>
      <c r="O390" s="72" t="inlineStr">
        <is>
          <t>–</t>
        </is>
      </c>
    </row>
    <row r="391" outlineLevel="2" ht="15" customHeight="1">
      <c r="A391" s="69" t="inlineStr">
        <is>
          <t xml:space="preserve">      Doc./Invoice Date</t>
        </is>
      </c>
      <c r="B391" s="76">
        <f>IF('Final Calculation Sheet'!$AG$39="","",'Final Calculation Sheet'!$AG$39)</f>
        <v/>
      </c>
      <c r="C391" s="170">
        <f>IF('Final Calculation Sheet'!$AG$40="","",'Final Calculation Sheet'!$AG$40)</f>
        <v/>
      </c>
      <c r="D391" s="71" t="n"/>
      <c r="E391" s="71" t="n"/>
      <c r="F391" s="71" t="n"/>
      <c r="G391" s="71" t="n"/>
      <c r="H391" s="71" t="n"/>
      <c r="I391" s="71" t="n"/>
      <c r="J391" s="71" t="n"/>
      <c r="K391" s="71" t="n"/>
      <c r="L391" s="71" t="n"/>
      <c r="M391" s="71" t="n"/>
      <c r="N391" s="71" t="n"/>
      <c r="O391" s="72" t="inlineStr">
        <is>
          <t>–</t>
        </is>
      </c>
    </row>
    <row r="392" ht="7" customHeight="1">
      <c r="A392" s="82" t="n"/>
      <c r="B392" s="82" t="n"/>
      <c r="C392" s="82" t="n"/>
      <c r="D392" s="82" t="n"/>
      <c r="E392" s="82" t="n"/>
      <c r="F392" s="82" t="n"/>
      <c r="G392" s="82" t="n"/>
      <c r="H392" s="82" t="n"/>
      <c r="I392" s="82" t="n"/>
      <c r="J392" s="82" t="n"/>
      <c r="K392" s="82" t="n"/>
      <c r="L392" s="82" t="n"/>
      <c r="M392" s="82" t="n"/>
      <c r="N392" s="82" t="n"/>
      <c r="O392" s="82" t="n"/>
    </row>
    <row r="393" ht="24" customHeight="1">
      <c r="A393" s="83">
        <f>"▼  SAHARA ENTERPRISES   •   "&amp;COUNTIF('Final Calculation Sheet'!$G$4:$G$1000,"SAHARA ENTERPRISES")&amp;" LOT(S)   •   MAT. VALUE ₹"&amp;TEXT(SUMIF('Final Calculation Sheet'!$G$4:$G$1000,"SAHARA ENTERPRISES",'Final Calculation Sheet'!$H$4:$H$1000),"#,##0")&amp;"   •   RECEIVED ₹"&amp;TEXT(SUMIF('Final Calculation Sheet'!$G$4:$G$1000,"SAHARA ENTERPRISES",'Final Calculation Sheet'!$AC$4:$AC$1000),"#,##0")&amp;"   •   OUTSTANDING ₹"&amp;TEXT(SUMIF('Final Calculation Sheet'!$G$4:$G$1000,"SAHARA ENTERPRISES",'Final Calculation Sheet'!$AD$4:$AD$1000),"#,##0")</f>
        <v/>
      </c>
      <c r="B393" s="64" t="n"/>
      <c r="C393" s="64" t="n"/>
      <c r="D393" s="64" t="n"/>
      <c r="E393" s="64" t="n"/>
      <c r="F393" s="64" t="n"/>
      <c r="G393" s="64" t="n"/>
      <c r="H393" s="64" t="n"/>
      <c r="I393" s="64" t="n"/>
      <c r="J393" s="64" t="n"/>
      <c r="K393" s="64" t="n"/>
      <c r="L393" s="64" t="n"/>
      <c r="M393" s="64" t="n"/>
      <c r="N393" s="64" t="n"/>
      <c r="O393" s="64" t="n"/>
    </row>
    <row r="394" outlineLevel="1" ht="18" customHeight="1">
      <c r="A394" s="84" t="inlineStr">
        <is>
          <t xml:space="preserve">   Lot No. →</t>
        </is>
      </c>
      <c r="B394" s="85">
        <f>IF('Final Calculation Sheet'!$F$31="","",'Final Calculation Sheet'!$F$31)</f>
        <v/>
      </c>
      <c r="C394" s="86" t="n"/>
      <c r="D394" s="86" t="n"/>
      <c r="E394" s="86" t="n"/>
      <c r="F394" s="86" t="n"/>
      <c r="G394" s="86" t="n"/>
      <c r="H394" s="86" t="n"/>
      <c r="I394" s="86" t="n"/>
      <c r="J394" s="86" t="n"/>
      <c r="K394" s="86" t="n"/>
      <c r="L394" s="86" t="n"/>
      <c r="M394" s="86" t="n"/>
      <c r="N394" s="86" t="n"/>
      <c r="O394" s="87" t="inlineStr">
        <is>
          <t>TOTAL</t>
        </is>
      </c>
    </row>
    <row r="395" outlineLevel="1" ht="16" customHeight="1">
      <c r="A395" s="84" t="inlineStr">
        <is>
          <t xml:space="preserve">  ▸ LOT INFORMATION</t>
        </is>
      </c>
      <c r="B395" s="86" t="n"/>
      <c r="C395" s="86" t="n"/>
      <c r="D395" s="86" t="n"/>
      <c r="E395" s="86" t="n"/>
      <c r="F395" s="86" t="n"/>
      <c r="G395" s="86" t="n"/>
      <c r="H395" s="86" t="n"/>
      <c r="I395" s="86" t="n"/>
      <c r="J395" s="86" t="n"/>
      <c r="K395" s="86" t="n"/>
      <c r="L395" s="86" t="n"/>
      <c r="M395" s="86" t="n"/>
      <c r="N395" s="86" t="n"/>
      <c r="O395" s="86" t="n"/>
    </row>
    <row r="396" outlineLevel="2" ht="15" customHeight="1">
      <c r="A396" s="69" t="inlineStr">
        <is>
          <t xml:space="preserve">      Lot No.</t>
        </is>
      </c>
      <c r="B396" s="70">
        <f>IF('Final Calculation Sheet'!$F$31="","",'Final Calculation Sheet'!$F$31)</f>
        <v/>
      </c>
      <c r="C396" s="71" t="n"/>
      <c r="D396" s="71" t="n"/>
      <c r="E396" s="71" t="n"/>
      <c r="F396" s="71" t="n"/>
      <c r="G396" s="71" t="n"/>
      <c r="H396" s="71" t="n"/>
      <c r="I396" s="71" t="n"/>
      <c r="J396" s="71" t="n"/>
      <c r="K396" s="71" t="n"/>
      <c r="L396" s="71" t="n"/>
      <c r="M396" s="71" t="n"/>
      <c r="N396" s="71" t="n"/>
      <c r="O396" s="89" t="inlineStr">
        <is>
          <t>–</t>
        </is>
      </c>
    </row>
    <row r="397" outlineLevel="2" ht="60" customHeight="1">
      <c r="A397" s="69" t="inlineStr">
        <is>
          <t xml:space="preserve">      Lot Name</t>
        </is>
      </c>
      <c r="B397" s="73">
        <f>IF('Final Calculation Sheet'!$B$31="","",'Final Calculation Sheet'!$B$31)</f>
        <v/>
      </c>
      <c r="C397" s="71" t="n"/>
      <c r="D397" s="71" t="n"/>
      <c r="E397" s="71" t="n"/>
      <c r="F397" s="71" t="n"/>
      <c r="G397" s="71" t="n"/>
      <c r="H397" s="71" t="n"/>
      <c r="I397" s="71" t="n"/>
      <c r="J397" s="71" t="n"/>
      <c r="K397" s="71" t="n"/>
      <c r="L397" s="71" t="n"/>
      <c r="M397" s="71" t="n"/>
      <c r="N397" s="71" t="n"/>
      <c r="O397" s="89" t="inlineStr">
        <is>
          <t>–</t>
        </is>
      </c>
    </row>
    <row r="398" outlineLevel="2" ht="15" customHeight="1">
      <c r="A398" s="69" t="inlineStr">
        <is>
          <t xml:space="preserve">      Bid Sheet / Auction</t>
        </is>
      </c>
      <c r="B398" s="70">
        <f>IF('Final Calculation Sheet'!$D$31="","",'Final Calculation Sheet'!$D$31)</f>
        <v/>
      </c>
      <c r="C398" s="71" t="n"/>
      <c r="D398" s="71" t="n"/>
      <c r="E398" s="71" t="n"/>
      <c r="F398" s="71" t="n"/>
      <c r="G398" s="71" t="n"/>
      <c r="H398" s="71" t="n"/>
      <c r="I398" s="71" t="n"/>
      <c r="J398" s="71" t="n"/>
      <c r="K398" s="71" t="n"/>
      <c r="L398" s="71" t="n"/>
      <c r="M398" s="71" t="n"/>
      <c r="N398" s="71" t="n"/>
      <c r="O398" s="89" t="inlineStr">
        <is>
          <t>–</t>
        </is>
      </c>
    </row>
    <row r="399" outlineLevel="2" ht="15" customHeight="1">
      <c r="A399" s="69" t="inlineStr">
        <is>
          <t xml:space="preserve">      Quantity</t>
        </is>
      </c>
      <c r="B399" s="74">
        <f>IF('Final Calculation Sheet'!$A$31="","",'Final Calculation Sheet'!$A$31)</f>
        <v/>
      </c>
      <c r="C399" s="71" t="n"/>
      <c r="D399" s="71" t="n"/>
      <c r="E399" s="71" t="n"/>
      <c r="F399" s="71" t="n"/>
      <c r="G399" s="71" t="n"/>
      <c r="H399" s="71" t="n"/>
      <c r="I399" s="71" t="n"/>
      <c r="J399" s="71" t="n"/>
      <c r="K399" s="71" t="n"/>
      <c r="L399" s="71" t="n"/>
      <c r="M399" s="71" t="n"/>
      <c r="N399" s="71" t="n"/>
      <c r="O399" s="92">
        <f>SUM(B399:N399)</f>
        <v/>
      </c>
    </row>
    <row r="400" outlineLevel="2" ht="15" customHeight="1">
      <c r="A400" s="69" t="inlineStr">
        <is>
          <t xml:space="preserve">      Unit</t>
        </is>
      </c>
      <c r="B400" s="76">
        <f>IF('Final Calculation Sheet'!$E$31="","",'Final Calculation Sheet'!$E$31)</f>
        <v/>
      </c>
      <c r="C400" s="71" t="n"/>
      <c r="D400" s="71" t="n"/>
      <c r="E400" s="71" t="n"/>
      <c r="F400" s="71" t="n"/>
      <c r="G400" s="71" t="n"/>
      <c r="H400" s="71" t="n"/>
      <c r="I400" s="71" t="n"/>
      <c r="J400" s="71" t="n"/>
      <c r="K400" s="71" t="n"/>
      <c r="L400" s="71" t="n"/>
      <c r="M400" s="71" t="n"/>
      <c r="N400" s="71" t="n"/>
      <c r="O400" s="89" t="inlineStr">
        <is>
          <t>–</t>
        </is>
      </c>
    </row>
    <row r="401" outlineLevel="2" ht="15" customHeight="1">
      <c r="A401" s="69" t="inlineStr">
        <is>
          <t xml:space="preserve">      Rate (₹)</t>
        </is>
      </c>
      <c r="B401" s="70">
        <f>IF('Final Calculation Sheet'!$C$31="","",'Final Calculation Sheet'!$C$31)</f>
        <v/>
      </c>
      <c r="C401" s="71" t="n"/>
      <c r="D401" s="71" t="n"/>
      <c r="E401" s="71" t="n"/>
      <c r="F401" s="71" t="n"/>
      <c r="G401" s="71" t="n"/>
      <c r="H401" s="71" t="n"/>
      <c r="I401" s="71" t="n"/>
      <c r="J401" s="71" t="n"/>
      <c r="K401" s="71" t="n"/>
      <c r="L401" s="71" t="n"/>
      <c r="M401" s="71" t="n"/>
      <c r="N401" s="71" t="n"/>
      <c r="O401" s="89" t="inlineStr">
        <is>
          <t>–</t>
        </is>
      </c>
    </row>
    <row r="402" outlineLevel="1" ht="16" customHeight="1">
      <c r="A402" s="84" t="inlineStr">
        <is>
          <t xml:space="preserve">  ▸ FINANCIALS</t>
        </is>
      </c>
      <c r="B402" s="86" t="n"/>
      <c r="C402" s="86" t="n"/>
      <c r="D402" s="86" t="n"/>
      <c r="E402" s="86" t="n"/>
      <c r="F402" s="86" t="n"/>
      <c r="G402" s="86" t="n"/>
      <c r="H402" s="86" t="n"/>
      <c r="I402" s="86" t="n"/>
      <c r="J402" s="86" t="n"/>
      <c r="K402" s="86" t="n"/>
      <c r="L402" s="86" t="n"/>
      <c r="M402" s="86" t="n"/>
      <c r="N402" s="86" t="n"/>
      <c r="O402" s="86" t="n"/>
    </row>
    <row r="403" outlineLevel="2" ht="15" customHeight="1">
      <c r="A403" s="69" t="inlineStr">
        <is>
          <t xml:space="preserve">      Mat. Value (₹)</t>
        </is>
      </c>
      <c r="B403" s="70">
        <f>IF('Final Calculation Sheet'!$H$31="","",'Final Calculation Sheet'!$H$31)</f>
        <v/>
      </c>
      <c r="C403" s="71" t="n"/>
      <c r="D403" s="71" t="n"/>
      <c r="E403" s="71" t="n"/>
      <c r="F403" s="71" t="n"/>
      <c r="G403" s="71" t="n"/>
      <c r="H403" s="71" t="n"/>
      <c r="I403" s="71" t="n"/>
      <c r="J403" s="71" t="n"/>
      <c r="K403" s="71" t="n"/>
      <c r="L403" s="71" t="n"/>
      <c r="M403" s="71" t="n"/>
      <c r="N403" s="71" t="n"/>
      <c r="O403" s="94">
        <f>SUM(B403:N403)</f>
        <v/>
      </c>
    </row>
    <row r="404" outlineLevel="2" ht="15" customHeight="1">
      <c r="A404" s="69" t="inlineStr">
        <is>
          <t xml:space="preserve">      GST @ 18% (₹)</t>
        </is>
      </c>
      <c r="B404" s="70">
        <f>IF('Final Calculation Sheet'!$I$31="","",'Final Calculation Sheet'!$I$31)</f>
        <v/>
      </c>
      <c r="C404" s="71" t="n"/>
      <c r="D404" s="71" t="n"/>
      <c r="E404" s="71" t="n"/>
      <c r="F404" s="71" t="n"/>
      <c r="G404" s="71" t="n"/>
      <c r="H404" s="71" t="n"/>
      <c r="I404" s="71" t="n"/>
      <c r="J404" s="71" t="n"/>
      <c r="K404" s="71" t="n"/>
      <c r="L404" s="71" t="n"/>
      <c r="M404" s="71" t="n"/>
      <c r="N404" s="71" t="n"/>
      <c r="O404" s="94">
        <f>SUM(B404:N404)</f>
        <v/>
      </c>
    </row>
    <row r="405" outlineLevel="2" ht="15" customHeight="1">
      <c r="A405" s="69" t="inlineStr">
        <is>
          <t xml:space="preserve">      Mat. Value + GST (₹)</t>
        </is>
      </c>
      <c r="B405" s="70">
        <f>IF('Final Calculation Sheet'!$J$31="","",'Final Calculation Sheet'!$J$31)</f>
        <v/>
      </c>
      <c r="C405" s="71" t="n"/>
      <c r="D405" s="71" t="n"/>
      <c r="E405" s="71" t="n"/>
      <c r="F405" s="71" t="n"/>
      <c r="G405" s="71" t="n"/>
      <c r="H405" s="71" t="n"/>
      <c r="I405" s="71" t="n"/>
      <c r="J405" s="71" t="n"/>
      <c r="K405" s="71" t="n"/>
      <c r="L405" s="71" t="n"/>
      <c r="M405" s="71" t="n"/>
      <c r="N405" s="71" t="n"/>
      <c r="O405" s="94">
        <f>SUM(B405:N405)</f>
        <v/>
      </c>
    </row>
    <row r="406" outlineLevel="2" ht="15" customHeight="1">
      <c r="A406" s="69" t="inlineStr">
        <is>
          <t xml:space="preserve">      TCS @ 2% (₹)</t>
        </is>
      </c>
      <c r="B406" s="70">
        <f>IF('Final Calculation Sheet'!$K$31="","",'Final Calculation Sheet'!$K$31)</f>
        <v/>
      </c>
      <c r="C406" s="71" t="n"/>
      <c r="D406" s="71" t="n"/>
      <c r="E406" s="71" t="n"/>
      <c r="F406" s="71" t="n"/>
      <c r="G406" s="71" t="n"/>
      <c r="H406" s="71" t="n"/>
      <c r="I406" s="71" t="n"/>
      <c r="J406" s="71" t="n"/>
      <c r="K406" s="71" t="n"/>
      <c r="L406" s="71" t="n"/>
      <c r="M406" s="71" t="n"/>
      <c r="N406" s="71" t="n"/>
      <c r="O406" s="94">
        <f>SUM(B406:N406)</f>
        <v/>
      </c>
    </row>
    <row r="407" outlineLevel="2" ht="15" customHeight="1">
      <c r="A407" s="69" t="inlineStr">
        <is>
          <t xml:space="preserve">      TDS u/s 194(O) (₹)</t>
        </is>
      </c>
      <c r="B407" s="78">
        <f>IF('Final Calculation Sheet'!$L$31="","",'Final Calculation Sheet'!$L$31)</f>
        <v/>
      </c>
      <c r="C407" s="71" t="n"/>
      <c r="D407" s="71" t="n"/>
      <c r="E407" s="71" t="n"/>
      <c r="F407" s="71" t="n"/>
      <c r="G407" s="71" t="n"/>
      <c r="H407" s="71" t="n"/>
      <c r="I407" s="71" t="n"/>
      <c r="J407" s="71" t="n"/>
      <c r="K407" s="71" t="n"/>
      <c r="L407" s="71" t="n"/>
      <c r="M407" s="71" t="n"/>
      <c r="N407" s="71" t="n"/>
      <c r="O407" s="96">
        <f>SUM(B407:N407)</f>
        <v/>
      </c>
    </row>
    <row r="408" outlineLevel="2" ht="15" customHeight="1">
      <c r="A408" s="69" t="inlineStr">
        <is>
          <t xml:space="preserve">      Service Charge gross (₹)</t>
        </is>
      </c>
      <c r="B408" s="78">
        <f>IF('Final Calculation Sheet'!$M$31="","",'Final Calculation Sheet'!$M$31)</f>
        <v/>
      </c>
      <c r="C408" s="71" t="n"/>
      <c r="D408" s="71" t="n"/>
      <c r="E408" s="71" t="n"/>
      <c r="F408" s="71" t="n"/>
      <c r="G408" s="71" t="n"/>
      <c r="H408" s="71" t="n"/>
      <c r="I408" s="71" t="n"/>
      <c r="J408" s="71" t="n"/>
      <c r="K408" s="71" t="n"/>
      <c r="L408" s="71" t="n"/>
      <c r="M408" s="71" t="n"/>
      <c r="N408" s="71" t="n"/>
      <c r="O408" s="96">
        <f>SUM(B408:N408)</f>
        <v/>
      </c>
    </row>
    <row r="409" outlineLevel="2" ht="15" customHeight="1">
      <c r="A409" s="69" t="inlineStr">
        <is>
          <t xml:space="preserve">      TDS u/s 194(H) (₹)</t>
        </is>
      </c>
      <c r="B409" s="78">
        <f>IF('Final Calculation Sheet'!$N$31="","",'Final Calculation Sheet'!$N$31)</f>
        <v/>
      </c>
      <c r="C409" s="71" t="n"/>
      <c r="D409" s="71" t="n"/>
      <c r="E409" s="71" t="n"/>
      <c r="F409" s="71" t="n"/>
      <c r="G409" s="71" t="n"/>
      <c r="H409" s="71" t="n"/>
      <c r="I409" s="71" t="n"/>
      <c r="J409" s="71" t="n"/>
      <c r="K409" s="71" t="n"/>
      <c r="L409" s="71" t="n"/>
      <c r="M409" s="71" t="n"/>
      <c r="N409" s="71" t="n"/>
      <c r="O409" s="96">
        <f>SUM(B409:N409)</f>
        <v/>
      </c>
    </row>
    <row r="410" outlineLevel="2" ht="15" customHeight="1">
      <c r="A410" s="69" t="inlineStr">
        <is>
          <t xml:space="preserve">      Net Service Charge (₹)</t>
        </is>
      </c>
      <c r="B410" s="78">
        <f>IF('Final Calculation Sheet'!$O$31="","",'Final Calculation Sheet'!$O$31)</f>
        <v/>
      </c>
      <c r="C410" s="71" t="n"/>
      <c r="D410" s="71" t="n"/>
      <c r="E410" s="71" t="n"/>
      <c r="F410" s="71" t="n"/>
      <c r="G410" s="71" t="n"/>
      <c r="H410" s="71" t="n"/>
      <c r="I410" s="71" t="n"/>
      <c r="J410" s="71" t="n"/>
      <c r="K410" s="71" t="n"/>
      <c r="L410" s="71" t="n"/>
      <c r="M410" s="71" t="n"/>
      <c r="N410" s="71" t="n"/>
      <c r="O410" s="96">
        <f>SUM(B410:N410)</f>
        <v/>
      </c>
    </row>
    <row r="411" outlineLevel="2" ht="15" customHeight="1">
      <c r="A411" s="69" t="inlineStr">
        <is>
          <t xml:space="preserve">      Svc Charge to MSTC (₹)</t>
        </is>
      </c>
      <c r="B411" s="70">
        <f>IF('Final Calculation Sheet'!$P$31="","",'Final Calculation Sheet'!$P$31)</f>
        <v/>
      </c>
      <c r="C411" s="71" t="n"/>
      <c r="D411" s="71" t="n"/>
      <c r="E411" s="71" t="n"/>
      <c r="F411" s="71" t="n"/>
      <c r="G411" s="71" t="n"/>
      <c r="H411" s="71" t="n"/>
      <c r="I411" s="71" t="n"/>
      <c r="J411" s="71" t="n"/>
      <c r="K411" s="71" t="n"/>
      <c r="L411" s="71" t="n"/>
      <c r="M411" s="71" t="n"/>
      <c r="N411" s="71" t="n"/>
      <c r="O411" s="94">
        <f>SUM(B411:N411)</f>
        <v/>
      </c>
    </row>
    <row r="412" outlineLevel="2" ht="15" customHeight="1">
      <c r="A412" s="69" t="inlineStr">
        <is>
          <t xml:space="preserve">      GST TDS Rate</t>
        </is>
      </c>
      <c r="B412" s="80">
        <f>IF('Final Calculation Sheet'!$Q$31="","",'Final Calculation Sheet'!$Q$31)</f>
        <v/>
      </c>
      <c r="C412" s="71" t="n"/>
      <c r="D412" s="71" t="n"/>
      <c r="E412" s="71" t="n"/>
      <c r="F412" s="71" t="n"/>
      <c r="G412" s="71" t="n"/>
      <c r="H412" s="71" t="n"/>
      <c r="I412" s="71" t="n"/>
      <c r="J412" s="71" t="n"/>
      <c r="K412" s="71" t="n"/>
      <c r="L412" s="71" t="n"/>
      <c r="M412" s="71" t="n"/>
      <c r="N412" s="71" t="n"/>
      <c r="O412" s="89" t="inlineStr">
        <is>
          <t>–</t>
        </is>
      </c>
    </row>
    <row r="413" outlineLevel="2" ht="15" customHeight="1">
      <c r="A413" s="69" t="inlineStr">
        <is>
          <t xml:space="preserve">      GST TDS (₹)</t>
        </is>
      </c>
      <c r="B413" s="70">
        <f>IF('Final Calculation Sheet'!$R$31="","",'Final Calculation Sheet'!$R$31)</f>
        <v/>
      </c>
      <c r="C413" s="71" t="n"/>
      <c r="D413" s="71" t="n"/>
      <c r="E413" s="71" t="n"/>
      <c r="F413" s="71" t="n"/>
      <c r="G413" s="71" t="n"/>
      <c r="H413" s="71" t="n"/>
      <c r="I413" s="71" t="n"/>
      <c r="J413" s="71" t="n"/>
      <c r="K413" s="71" t="n"/>
      <c r="L413" s="71" t="n"/>
      <c r="M413" s="71" t="n"/>
      <c r="N413" s="71" t="n"/>
      <c r="O413" s="94">
        <f>SUM(B413:N413)</f>
        <v/>
      </c>
    </row>
    <row r="414" outlineLevel="2" ht="15" customHeight="1">
      <c r="A414" s="69" t="inlineStr">
        <is>
          <t xml:space="preserve">      Total Receivables (₹)</t>
        </is>
      </c>
      <c r="B414" s="70">
        <f>IF('Final Calculation Sheet'!$S$31="","",'Final Calculation Sheet'!$S$31)</f>
        <v/>
      </c>
      <c r="C414" s="71" t="n"/>
      <c r="D414" s="71" t="n"/>
      <c r="E414" s="71" t="n"/>
      <c r="F414" s="71" t="n"/>
      <c r="G414" s="71" t="n"/>
      <c r="H414" s="71" t="n"/>
      <c r="I414" s="71" t="n"/>
      <c r="J414" s="71" t="n"/>
      <c r="K414" s="71" t="n"/>
      <c r="L414" s="71" t="n"/>
      <c r="M414" s="71" t="n"/>
      <c r="N414" s="71" t="n"/>
      <c r="O414" s="94">
        <f>SUM(B414:N414)</f>
        <v/>
      </c>
    </row>
    <row r="415" outlineLevel="1" ht="16" customHeight="1">
      <c r="A415" s="84" t="inlineStr">
        <is>
          <t xml:space="preserve">  ▸ SECURITY DEPOSIT</t>
        </is>
      </c>
      <c r="B415" s="86" t="n"/>
      <c r="C415" s="86" t="n"/>
      <c r="D415" s="86" t="n"/>
      <c r="E415" s="86" t="n"/>
      <c r="F415" s="86" t="n"/>
      <c r="G415" s="86" t="n"/>
      <c r="H415" s="86" t="n"/>
      <c r="I415" s="86" t="n"/>
      <c r="J415" s="86" t="n"/>
      <c r="K415" s="86" t="n"/>
      <c r="L415" s="86" t="n"/>
      <c r="M415" s="86" t="n"/>
      <c r="N415" s="86" t="n"/>
      <c r="O415" s="86" t="n"/>
    </row>
    <row r="416" outlineLevel="2" ht="15" customHeight="1">
      <c r="A416" s="69" t="inlineStr">
        <is>
          <t xml:space="preserve">      SD Expected (₹)</t>
        </is>
      </c>
      <c r="B416" s="70">
        <f>IF('Final Calculation Sheet'!$T$31="","",'Final Calculation Sheet'!$T$31)</f>
        <v/>
      </c>
      <c r="C416" s="71" t="n"/>
      <c r="D416" s="71" t="n"/>
      <c r="E416" s="71" t="n"/>
      <c r="F416" s="71" t="n"/>
      <c r="G416" s="71" t="n"/>
      <c r="H416" s="71" t="n"/>
      <c r="I416" s="71" t="n"/>
      <c r="J416" s="71" t="n"/>
      <c r="K416" s="71" t="n"/>
      <c r="L416" s="71" t="n"/>
      <c r="M416" s="71" t="n"/>
      <c r="N416" s="71" t="n"/>
      <c r="O416" s="94">
        <f>SUM(B416:N416)</f>
        <v/>
      </c>
    </row>
    <row r="417" outlineLevel="2" ht="15" customHeight="1">
      <c r="A417" s="69" t="inlineStr">
        <is>
          <t xml:space="preserve">      SD Received (₹)</t>
        </is>
      </c>
      <c r="B417" s="70">
        <f>IF('Final Calculation Sheet'!$U$31="","",'Final Calculation Sheet'!$U$31)</f>
        <v/>
      </c>
      <c r="C417" s="71" t="n"/>
      <c r="D417" s="71" t="n"/>
      <c r="E417" s="71" t="n"/>
      <c r="F417" s="71" t="n"/>
      <c r="G417" s="71" t="n"/>
      <c r="H417" s="71" t="n"/>
      <c r="I417" s="71" t="n"/>
      <c r="J417" s="71" t="n"/>
      <c r="K417" s="71" t="n"/>
      <c r="L417" s="71" t="n"/>
      <c r="M417" s="71" t="n"/>
      <c r="N417" s="71" t="n"/>
      <c r="O417" s="94">
        <f>SUM(B417:N417)</f>
        <v/>
      </c>
    </row>
    <row r="418" outlineLevel="2" ht="15" customHeight="1">
      <c r="A418" s="69" t="inlineStr">
        <is>
          <t xml:space="preserve">      SD Receipt Date</t>
        </is>
      </c>
      <c r="B418" s="76">
        <f>IF('Final Calculation Sheet'!$V$31="","",'Final Calculation Sheet'!$V$31)</f>
        <v/>
      </c>
      <c r="C418" s="71" t="n"/>
      <c r="D418" s="71" t="n"/>
      <c r="E418" s="71" t="n"/>
      <c r="F418" s="71" t="n"/>
      <c r="G418" s="71" t="n"/>
      <c r="H418" s="71" t="n"/>
      <c r="I418" s="71" t="n"/>
      <c r="J418" s="71" t="n"/>
      <c r="K418" s="71" t="n"/>
      <c r="L418" s="71" t="n"/>
      <c r="M418" s="71" t="n"/>
      <c r="N418" s="71" t="n"/>
      <c r="O418" s="89" t="inlineStr">
        <is>
          <t>–</t>
        </is>
      </c>
    </row>
    <row r="419" outlineLevel="1" ht="16" customHeight="1">
      <c r="A419" s="84" t="inlineStr">
        <is>
          <t xml:space="preserve">  ▸ FINAL PAYMENT</t>
        </is>
      </c>
      <c r="B419" s="86" t="n"/>
      <c r="C419" s="86" t="n"/>
      <c r="D419" s="86" t="n"/>
      <c r="E419" s="86" t="n"/>
      <c r="F419" s="86" t="n"/>
      <c r="G419" s="86" t="n"/>
      <c r="H419" s="86" t="n"/>
      <c r="I419" s="86" t="n"/>
      <c r="J419" s="86" t="n"/>
      <c r="K419" s="86" t="n"/>
      <c r="L419" s="86" t="n"/>
      <c r="M419" s="86" t="n"/>
      <c r="N419" s="86" t="n"/>
      <c r="O419" s="86" t="n"/>
    </row>
    <row r="420" outlineLevel="2" ht="15" customHeight="1">
      <c r="A420" s="69" t="inlineStr">
        <is>
          <t xml:space="preserve">      FP Expected (₹)</t>
        </is>
      </c>
      <c r="B420" s="70">
        <f>IF('Final Calculation Sheet'!$W$31="","",'Final Calculation Sheet'!$W$31)</f>
        <v/>
      </c>
      <c r="C420" s="71" t="n"/>
      <c r="D420" s="71" t="n"/>
      <c r="E420" s="71" t="n"/>
      <c r="F420" s="71" t="n"/>
      <c r="G420" s="71" t="n"/>
      <c r="H420" s="71" t="n"/>
      <c r="I420" s="71" t="n"/>
      <c r="J420" s="71" t="n"/>
      <c r="K420" s="71" t="n"/>
      <c r="L420" s="71" t="n"/>
      <c r="M420" s="71" t="n"/>
      <c r="N420" s="71" t="n"/>
      <c r="O420" s="94">
        <f>SUM(B420:N420)</f>
        <v/>
      </c>
    </row>
    <row r="421" outlineLevel="2" ht="15" customHeight="1">
      <c r="A421" s="69" t="inlineStr">
        <is>
          <t xml:space="preserve">      FP Received (₹)</t>
        </is>
      </c>
      <c r="B421" s="70">
        <f>IF('Final Calculation Sheet'!$X$31="","",'Final Calculation Sheet'!$X$31)</f>
        <v/>
      </c>
      <c r="C421" s="71" t="n"/>
      <c r="D421" s="71" t="n"/>
      <c r="E421" s="71" t="n"/>
      <c r="F421" s="71" t="n"/>
      <c r="G421" s="71" t="n"/>
      <c r="H421" s="71" t="n"/>
      <c r="I421" s="71" t="n"/>
      <c r="J421" s="71" t="n"/>
      <c r="K421" s="71" t="n"/>
      <c r="L421" s="71" t="n"/>
      <c r="M421" s="71" t="n"/>
      <c r="N421" s="71" t="n"/>
      <c r="O421" s="94">
        <f>SUM(B421:N421)</f>
        <v/>
      </c>
    </row>
    <row r="422" outlineLevel="2" ht="15" customHeight="1">
      <c r="A422" s="69" t="inlineStr">
        <is>
          <t xml:space="preserve">      FP Receipt Date</t>
        </is>
      </c>
      <c r="B422" s="76">
        <f>IF('Final Calculation Sheet'!$Y$31="","",'Final Calculation Sheet'!$Y$31)</f>
        <v/>
      </c>
      <c r="C422" s="71" t="n"/>
      <c r="D422" s="71" t="n"/>
      <c r="E422" s="71" t="n"/>
      <c r="F422" s="71" t="n"/>
      <c r="G422" s="71" t="n"/>
      <c r="H422" s="71" t="n"/>
      <c r="I422" s="71" t="n"/>
      <c r="J422" s="71" t="n"/>
      <c r="K422" s="71" t="n"/>
      <c r="L422" s="71" t="n"/>
      <c r="M422" s="71" t="n"/>
      <c r="N422" s="71" t="n"/>
      <c r="O422" s="89" t="inlineStr">
        <is>
          <t>–</t>
        </is>
      </c>
    </row>
    <row r="423" outlineLevel="1" ht="16" customHeight="1">
      <c r="A423" s="84" t="inlineStr">
        <is>
          <t xml:space="preserve">  ▸ LPP</t>
        </is>
      </c>
      <c r="B423" s="86" t="n"/>
      <c r="C423" s="86" t="n"/>
      <c r="D423" s="86" t="n"/>
      <c r="E423" s="86" t="n"/>
      <c r="F423" s="86" t="n"/>
      <c r="G423" s="86" t="n"/>
      <c r="H423" s="86" t="n"/>
      <c r="I423" s="86" t="n"/>
      <c r="J423" s="86" t="n"/>
      <c r="K423" s="86" t="n"/>
      <c r="L423" s="86" t="n"/>
      <c r="M423" s="86" t="n"/>
      <c r="N423" s="86" t="n"/>
      <c r="O423" s="86" t="n"/>
    </row>
    <row r="424" outlineLevel="2" ht="15" customHeight="1">
      <c r="A424" s="69" t="inlineStr">
        <is>
          <t xml:space="preserve">      LPP Expected (₹)</t>
        </is>
      </c>
      <c r="B424" s="70">
        <f>IF('Final Calculation Sheet'!$Z$31="","",'Final Calculation Sheet'!$Z$31)</f>
        <v/>
      </c>
      <c r="C424" s="71" t="n"/>
      <c r="D424" s="71" t="n"/>
      <c r="E424" s="71" t="n"/>
      <c r="F424" s="71" t="n"/>
      <c r="G424" s="71" t="n"/>
      <c r="H424" s="71" t="n"/>
      <c r="I424" s="71" t="n"/>
      <c r="J424" s="71" t="n"/>
      <c r="K424" s="71" t="n"/>
      <c r="L424" s="71" t="n"/>
      <c r="M424" s="71" t="n"/>
      <c r="N424" s="71" t="n"/>
      <c r="O424" s="94">
        <f>SUM(B424:N424)</f>
        <v/>
      </c>
    </row>
    <row r="425" outlineLevel="2" ht="15" customHeight="1">
      <c r="A425" s="69" t="inlineStr">
        <is>
          <t xml:space="preserve">      LPP Received (₹)</t>
        </is>
      </c>
      <c r="B425" s="70">
        <f>IF('Final Calculation Sheet'!$AA$31="","",'Final Calculation Sheet'!$AA$31)</f>
        <v/>
      </c>
      <c r="C425" s="71" t="n"/>
      <c r="D425" s="71" t="n"/>
      <c r="E425" s="71" t="n"/>
      <c r="F425" s="71" t="n"/>
      <c r="G425" s="71" t="n"/>
      <c r="H425" s="71" t="n"/>
      <c r="I425" s="71" t="n"/>
      <c r="J425" s="71" t="n"/>
      <c r="K425" s="71" t="n"/>
      <c r="L425" s="71" t="n"/>
      <c r="M425" s="71" t="n"/>
      <c r="N425" s="71" t="n"/>
      <c r="O425" s="94">
        <f>SUM(B425:N425)</f>
        <v/>
      </c>
    </row>
    <row r="426" outlineLevel="2" ht="15" customHeight="1">
      <c r="A426" s="69" t="inlineStr">
        <is>
          <t xml:space="preserve">      LPP Receipt Date</t>
        </is>
      </c>
      <c r="B426" s="76">
        <f>IF('Final Calculation Sheet'!$AB$31="","",'Final Calculation Sheet'!$AB$31)</f>
        <v/>
      </c>
      <c r="C426" s="71" t="n"/>
      <c r="D426" s="71" t="n"/>
      <c r="E426" s="71" t="n"/>
      <c r="F426" s="71" t="n"/>
      <c r="G426" s="71" t="n"/>
      <c r="H426" s="71" t="n"/>
      <c r="I426" s="71" t="n"/>
      <c r="J426" s="71" t="n"/>
      <c r="K426" s="71" t="n"/>
      <c r="L426" s="71" t="n"/>
      <c r="M426" s="71" t="n"/>
      <c r="N426" s="71" t="n"/>
      <c r="O426" s="89" t="inlineStr">
        <is>
          <t>–</t>
        </is>
      </c>
    </row>
    <row r="427" outlineLevel="1" ht="16" customHeight="1">
      <c r="A427" s="84" t="inlineStr">
        <is>
          <t xml:space="preserve">  ▸ SUMMARY</t>
        </is>
      </c>
      <c r="B427" s="86" t="n"/>
      <c r="C427" s="86" t="n"/>
      <c r="D427" s="86" t="n"/>
      <c r="E427" s="86" t="n"/>
      <c r="F427" s="86" t="n"/>
      <c r="G427" s="86" t="n"/>
      <c r="H427" s="86" t="n"/>
      <c r="I427" s="86" t="n"/>
      <c r="J427" s="86" t="n"/>
      <c r="K427" s="86" t="n"/>
      <c r="L427" s="86" t="n"/>
      <c r="M427" s="86" t="n"/>
      <c r="N427" s="86" t="n"/>
      <c r="O427" s="86" t="n"/>
    </row>
    <row r="428" outlineLevel="2" ht="15" customHeight="1">
      <c r="A428" s="69" t="inlineStr">
        <is>
          <t xml:space="preserve">      Total Received (₹)</t>
        </is>
      </c>
      <c r="B428" s="70">
        <f>IF('Final Calculation Sheet'!$AC$31="","",'Final Calculation Sheet'!$AC$31)</f>
        <v/>
      </c>
      <c r="C428" s="71" t="n"/>
      <c r="D428" s="71" t="n"/>
      <c r="E428" s="71" t="n"/>
      <c r="F428" s="71" t="n"/>
      <c r="G428" s="71" t="n"/>
      <c r="H428" s="71" t="n"/>
      <c r="I428" s="71" t="n"/>
      <c r="J428" s="71" t="n"/>
      <c r="K428" s="71" t="n"/>
      <c r="L428" s="71" t="n"/>
      <c r="M428" s="71" t="n"/>
      <c r="N428" s="71" t="n"/>
      <c r="O428" s="94">
        <f>SUM(B428:N428)</f>
        <v/>
      </c>
    </row>
    <row r="429" outlineLevel="2" ht="15" customHeight="1">
      <c r="A429" s="69" t="inlineStr">
        <is>
          <t xml:space="preserve">      Outstanding (₹)</t>
        </is>
      </c>
      <c r="B429" s="70">
        <f>IF('Final Calculation Sheet'!$AD$31="","",'Final Calculation Sheet'!$AD$31)</f>
        <v/>
      </c>
      <c r="C429" s="71" t="n"/>
      <c r="D429" s="71" t="n"/>
      <c r="E429" s="71" t="n"/>
      <c r="F429" s="71" t="n"/>
      <c r="G429" s="71" t="n"/>
      <c r="H429" s="71" t="n"/>
      <c r="I429" s="71" t="n"/>
      <c r="J429" s="71" t="n"/>
      <c r="K429" s="71" t="n"/>
      <c r="L429" s="71" t="n"/>
      <c r="M429" s="71" t="n"/>
      <c r="N429" s="71" t="n"/>
      <c r="O429" s="94">
        <f>SUM(B429:N429)</f>
        <v/>
      </c>
    </row>
    <row r="430" outlineLevel="2" ht="15" customHeight="1">
      <c r="A430" s="69" t="inlineStr">
        <is>
          <t xml:space="preserve">      Payment Status</t>
        </is>
      </c>
      <c r="B430" s="81">
        <f>IF('Final Calculation Sheet'!$AD$31="","",IF('Final Calculation Sheet'!$AD$31&lt;=0,"SETTLED","OUTSTANDING"))</f>
        <v/>
      </c>
      <c r="C430" s="71" t="n"/>
      <c r="D430" s="71" t="n"/>
      <c r="E430" s="71" t="n"/>
      <c r="F430" s="71" t="n"/>
      <c r="G430" s="71" t="n"/>
      <c r="H430" s="71" t="n"/>
      <c r="I430" s="71" t="n"/>
      <c r="J430" s="71" t="n"/>
      <c r="K430" s="71" t="n"/>
      <c r="L430" s="71" t="n"/>
      <c r="M430" s="71" t="n"/>
      <c r="N430" s="71" t="n"/>
      <c r="O430" s="89" t="inlineStr">
        <is>
          <t>–</t>
        </is>
      </c>
    </row>
    <row r="431" outlineLevel="1" ht="16" customHeight="1">
      <c r="A431" s="84" t="inlineStr">
        <is>
          <t xml:space="preserve">  ▸ DOCUMENT</t>
        </is>
      </c>
      <c r="B431" s="86" t="n"/>
      <c r="C431" s="86" t="n"/>
      <c r="D431" s="86" t="n"/>
      <c r="E431" s="86" t="n"/>
      <c r="F431" s="86" t="n"/>
      <c r="G431" s="86" t="n"/>
      <c r="H431" s="86" t="n"/>
      <c r="I431" s="86" t="n"/>
      <c r="J431" s="86" t="n"/>
      <c r="K431" s="86" t="n"/>
      <c r="L431" s="86" t="n"/>
      <c r="M431" s="86" t="n"/>
      <c r="N431" s="86" t="n"/>
      <c r="O431" s="86" t="n"/>
    </row>
    <row r="432" outlineLevel="2" ht="15" customHeight="1">
      <c r="A432" s="69" t="inlineStr">
        <is>
          <t xml:space="preserve">      Invoice No.</t>
        </is>
      </c>
      <c r="B432" s="76">
        <f>IF('Final Calculation Sheet'!$AE$31="","",'Final Calculation Sheet'!$AE$31)</f>
        <v/>
      </c>
      <c r="C432" s="71" t="n"/>
      <c r="D432" s="71" t="n"/>
      <c r="E432" s="71" t="n"/>
      <c r="F432" s="71" t="n"/>
      <c r="G432" s="71" t="n"/>
      <c r="H432" s="71" t="n"/>
      <c r="I432" s="71" t="n"/>
      <c r="J432" s="71" t="n"/>
      <c r="K432" s="71" t="n"/>
      <c r="L432" s="71" t="n"/>
      <c r="M432" s="71" t="n"/>
      <c r="N432" s="71" t="n"/>
      <c r="O432" s="89" t="inlineStr">
        <is>
          <t>–</t>
        </is>
      </c>
    </row>
    <row r="433" outlineLevel="2" ht="15" customHeight="1">
      <c r="A433" s="69" t="inlineStr">
        <is>
          <t xml:space="preserve">      SAP Document</t>
        </is>
      </c>
      <c r="B433" s="70">
        <f>IF('Final Calculation Sheet'!$AF$31="","",'Final Calculation Sheet'!$AF$31)</f>
        <v/>
      </c>
      <c r="C433" s="71" t="n"/>
      <c r="D433" s="71" t="n"/>
      <c r="E433" s="71" t="n"/>
      <c r="F433" s="71" t="n"/>
      <c r="G433" s="71" t="n"/>
      <c r="H433" s="71" t="n"/>
      <c r="I433" s="71" t="n"/>
      <c r="J433" s="71" t="n"/>
      <c r="K433" s="71" t="n"/>
      <c r="L433" s="71" t="n"/>
      <c r="M433" s="71" t="n"/>
      <c r="N433" s="71" t="n"/>
      <c r="O433" s="89" t="inlineStr">
        <is>
          <t>–</t>
        </is>
      </c>
    </row>
    <row r="434" outlineLevel="2" ht="15" customHeight="1">
      <c r="A434" s="69" t="inlineStr">
        <is>
          <t xml:space="preserve">      Doc./Invoice Date</t>
        </is>
      </c>
      <c r="B434" s="76">
        <f>IF('Final Calculation Sheet'!$AG$31="","",'Final Calculation Sheet'!$AG$31)</f>
        <v/>
      </c>
      <c r="C434" s="71" t="n"/>
      <c r="D434" s="71" t="n"/>
      <c r="E434" s="71" t="n"/>
      <c r="F434" s="71" t="n"/>
      <c r="G434" s="71" t="n"/>
      <c r="H434" s="71" t="n"/>
      <c r="I434" s="71" t="n"/>
      <c r="J434" s="71" t="n"/>
      <c r="K434" s="71" t="n"/>
      <c r="L434" s="71" t="n"/>
      <c r="M434" s="71" t="n"/>
      <c r="N434" s="71" t="n"/>
      <c r="O434" s="89" t="inlineStr">
        <is>
          <t>–</t>
        </is>
      </c>
    </row>
    <row r="435" ht="7" customHeight="1">
      <c r="A435" s="82" t="n"/>
      <c r="B435" s="82" t="n"/>
      <c r="C435" s="82" t="n"/>
      <c r="D435" s="82" t="n"/>
      <c r="E435" s="82" t="n"/>
      <c r="F435" s="82" t="n"/>
      <c r="G435" s="82" t="n"/>
      <c r="H435" s="82" t="n"/>
      <c r="I435" s="82" t="n"/>
      <c r="J435" s="82" t="n"/>
      <c r="K435" s="82" t="n"/>
      <c r="L435" s="82" t="n"/>
      <c r="M435" s="82" t="n"/>
      <c r="N435" s="82" t="n"/>
      <c r="O435" s="82" t="n"/>
    </row>
    <row r="436" ht="24" customHeight="1">
      <c r="A436" s="99">
        <f>"▼  SHAR JAHAN TRADERS   •   "&amp;COUNTIF('Final Calculation Sheet'!$G$4:$G$1000,"SHAR JAHAN TRADERS")&amp;" LOT(S)   •   MAT. VALUE ₹"&amp;TEXT(SUMIF('Final Calculation Sheet'!$G$4:$G$1000,"SHAR JAHAN TRADERS",'Final Calculation Sheet'!$H$4:$H$1000),"#,##0")&amp;"   •   RECEIVED ₹"&amp;TEXT(SUMIF('Final Calculation Sheet'!$G$4:$G$1000,"SHAR JAHAN TRADERS",'Final Calculation Sheet'!$AC$4:$AC$1000),"#,##0")&amp;"   •   OUTSTANDING ₹"&amp;TEXT(SUMIF('Final Calculation Sheet'!$G$4:$G$1000,"SHAR JAHAN TRADERS",'Final Calculation Sheet'!$AD$4:$AD$1000),"#,##0")</f>
        <v/>
      </c>
      <c r="B436" s="64" t="n"/>
      <c r="C436" s="64" t="n"/>
      <c r="D436" s="64" t="n"/>
      <c r="E436" s="64" t="n"/>
      <c r="F436" s="64" t="n"/>
      <c r="G436" s="64" t="n"/>
      <c r="H436" s="64" t="n"/>
      <c r="I436" s="64" t="n"/>
      <c r="J436" s="64" t="n"/>
      <c r="K436" s="64" t="n"/>
      <c r="L436" s="64" t="n"/>
      <c r="M436" s="64" t="n"/>
      <c r="N436" s="64" t="n"/>
      <c r="O436" s="64" t="n"/>
    </row>
    <row r="437" outlineLevel="1" ht="18" customHeight="1">
      <c r="A437" s="100" t="inlineStr">
        <is>
          <t xml:space="preserve">   Lot No. →</t>
        </is>
      </c>
      <c r="B437" s="101">
        <f>IF('Final Calculation Sheet'!$F$9="","",'Final Calculation Sheet'!$F$9)</f>
        <v/>
      </c>
      <c r="C437" s="101">
        <f>IF('Final Calculation Sheet'!$F$14="","",'Final Calculation Sheet'!$F$14)</f>
        <v/>
      </c>
      <c r="D437" s="102" t="n"/>
      <c r="E437" s="102" t="n"/>
      <c r="F437" s="102" t="n"/>
      <c r="G437" s="102" t="n"/>
      <c r="H437" s="102" t="n"/>
      <c r="I437" s="102" t="n"/>
      <c r="J437" s="102" t="n"/>
      <c r="K437" s="102" t="n"/>
      <c r="L437" s="102" t="n"/>
      <c r="M437" s="102" t="n"/>
      <c r="N437" s="102" t="n"/>
      <c r="O437" s="103" t="inlineStr">
        <is>
          <t>TOTAL</t>
        </is>
      </c>
    </row>
    <row r="438" outlineLevel="1" ht="16" customHeight="1">
      <c r="A438" s="100" t="inlineStr">
        <is>
          <t xml:space="preserve">  ▸ LOT INFORMATION</t>
        </is>
      </c>
      <c r="B438" s="102" t="n"/>
      <c r="C438" s="102" t="n"/>
      <c r="D438" s="102" t="n"/>
      <c r="E438" s="102" t="n"/>
      <c r="F438" s="102" t="n"/>
      <c r="G438" s="102" t="n"/>
      <c r="H438" s="102" t="n"/>
      <c r="I438" s="102" t="n"/>
      <c r="J438" s="102" t="n"/>
      <c r="K438" s="102" t="n"/>
      <c r="L438" s="102" t="n"/>
      <c r="M438" s="102" t="n"/>
      <c r="N438" s="102" t="n"/>
      <c r="O438" s="102" t="n"/>
    </row>
    <row r="439" outlineLevel="2" ht="15" customHeight="1">
      <c r="A439" s="69" t="inlineStr">
        <is>
          <t xml:space="preserve">      Lot No.</t>
        </is>
      </c>
      <c r="B439" s="70">
        <f>IF('Final Calculation Sheet'!$F$9="","",'Final Calculation Sheet'!$F$9)</f>
        <v/>
      </c>
      <c r="C439" s="174">
        <f>IF('Final Calculation Sheet'!$F$14="","",'Final Calculation Sheet'!$F$14)</f>
        <v/>
      </c>
      <c r="D439" s="71" t="n"/>
      <c r="E439" s="71" t="n"/>
      <c r="F439" s="71" t="n"/>
      <c r="G439" s="71" t="n"/>
      <c r="H439" s="71" t="n"/>
      <c r="I439" s="71" t="n"/>
      <c r="J439" s="71" t="n"/>
      <c r="K439" s="71" t="n"/>
      <c r="L439" s="71" t="n"/>
      <c r="M439" s="71" t="n"/>
      <c r="N439" s="71" t="n"/>
      <c r="O439" s="104" t="inlineStr">
        <is>
          <t>–</t>
        </is>
      </c>
    </row>
    <row r="440" outlineLevel="2" ht="60" customHeight="1">
      <c r="A440" s="69" t="inlineStr">
        <is>
          <t xml:space="preserve">      Lot Name</t>
        </is>
      </c>
      <c r="B440" s="73">
        <f>IF('Final Calculation Sheet'!$B$9="","",'Final Calculation Sheet'!$B$9)</f>
        <v/>
      </c>
      <c r="C440" s="175">
        <f>IF('Final Calculation Sheet'!$B$14="","",'Final Calculation Sheet'!$B$14)</f>
        <v/>
      </c>
      <c r="D440" s="71" t="n"/>
      <c r="E440" s="71" t="n"/>
      <c r="F440" s="71" t="n"/>
      <c r="G440" s="71" t="n"/>
      <c r="H440" s="71" t="n"/>
      <c r="I440" s="71" t="n"/>
      <c r="J440" s="71" t="n"/>
      <c r="K440" s="71" t="n"/>
      <c r="L440" s="71" t="n"/>
      <c r="M440" s="71" t="n"/>
      <c r="N440" s="71" t="n"/>
      <c r="O440" s="104" t="inlineStr">
        <is>
          <t>–</t>
        </is>
      </c>
    </row>
    <row r="441" outlineLevel="2" ht="15" customHeight="1">
      <c r="A441" s="69" t="inlineStr">
        <is>
          <t xml:space="preserve">      Bid Sheet / Auction</t>
        </is>
      </c>
      <c r="B441" s="70">
        <f>IF('Final Calculation Sheet'!$D$9="","",'Final Calculation Sheet'!$D$9)</f>
        <v/>
      </c>
      <c r="C441" s="174">
        <f>IF('Final Calculation Sheet'!$D$14="","",'Final Calculation Sheet'!$D$14)</f>
        <v/>
      </c>
      <c r="D441" s="71" t="n"/>
      <c r="E441" s="71" t="n"/>
      <c r="F441" s="71" t="n"/>
      <c r="G441" s="71" t="n"/>
      <c r="H441" s="71" t="n"/>
      <c r="I441" s="71" t="n"/>
      <c r="J441" s="71" t="n"/>
      <c r="K441" s="71" t="n"/>
      <c r="L441" s="71" t="n"/>
      <c r="M441" s="71" t="n"/>
      <c r="N441" s="71" t="n"/>
      <c r="O441" s="104" t="inlineStr">
        <is>
          <t>–</t>
        </is>
      </c>
    </row>
    <row r="442" outlineLevel="2" ht="15" customHeight="1">
      <c r="A442" s="69" t="inlineStr">
        <is>
          <t xml:space="preserve">      Quantity</t>
        </is>
      </c>
      <c r="B442" s="74">
        <f>IF('Final Calculation Sheet'!$A$9="","",'Final Calculation Sheet'!$A$9)</f>
        <v/>
      </c>
      <c r="C442" s="176">
        <f>IF('Final Calculation Sheet'!$A$14="","",'Final Calculation Sheet'!$A$14)</f>
        <v/>
      </c>
      <c r="D442" s="71" t="n"/>
      <c r="E442" s="71" t="n"/>
      <c r="F442" s="71" t="n"/>
      <c r="G442" s="71" t="n"/>
      <c r="H442" s="71" t="n"/>
      <c r="I442" s="71" t="n"/>
      <c r="J442" s="71" t="n"/>
      <c r="K442" s="71" t="n"/>
      <c r="L442" s="71" t="n"/>
      <c r="M442" s="71" t="n"/>
      <c r="N442" s="71" t="n"/>
      <c r="O442" s="105">
        <f>SUM(B442:N442)</f>
        <v/>
      </c>
    </row>
    <row r="443" outlineLevel="2" ht="15" customHeight="1">
      <c r="A443" s="69" t="inlineStr">
        <is>
          <t xml:space="preserve">      Unit</t>
        </is>
      </c>
      <c r="B443" s="76">
        <f>IF('Final Calculation Sheet'!$E$9="","",'Final Calculation Sheet'!$E$9)</f>
        <v/>
      </c>
      <c r="C443" s="177">
        <f>IF('Final Calculation Sheet'!$E$14="","",'Final Calculation Sheet'!$E$14)</f>
        <v/>
      </c>
      <c r="D443" s="71" t="n"/>
      <c r="E443" s="71" t="n"/>
      <c r="F443" s="71" t="n"/>
      <c r="G443" s="71" t="n"/>
      <c r="H443" s="71" t="n"/>
      <c r="I443" s="71" t="n"/>
      <c r="J443" s="71" t="n"/>
      <c r="K443" s="71" t="n"/>
      <c r="L443" s="71" t="n"/>
      <c r="M443" s="71" t="n"/>
      <c r="N443" s="71" t="n"/>
      <c r="O443" s="104" t="inlineStr">
        <is>
          <t>–</t>
        </is>
      </c>
    </row>
    <row r="444" outlineLevel="2" ht="15" customHeight="1">
      <c r="A444" s="69" t="inlineStr">
        <is>
          <t xml:space="preserve">      Rate (₹)</t>
        </is>
      </c>
      <c r="B444" s="70">
        <f>IF('Final Calculation Sheet'!$C$9="","",'Final Calculation Sheet'!$C$9)</f>
        <v/>
      </c>
      <c r="C444" s="174">
        <f>IF('Final Calculation Sheet'!$C$14="","",'Final Calculation Sheet'!$C$14)</f>
        <v/>
      </c>
      <c r="D444" s="71" t="n"/>
      <c r="E444" s="71" t="n"/>
      <c r="F444" s="71" t="n"/>
      <c r="G444" s="71" t="n"/>
      <c r="H444" s="71" t="n"/>
      <c r="I444" s="71" t="n"/>
      <c r="J444" s="71" t="n"/>
      <c r="K444" s="71" t="n"/>
      <c r="L444" s="71" t="n"/>
      <c r="M444" s="71" t="n"/>
      <c r="N444" s="71" t="n"/>
      <c r="O444" s="104" t="inlineStr">
        <is>
          <t>–</t>
        </is>
      </c>
    </row>
    <row r="445" outlineLevel="1" ht="16" customHeight="1">
      <c r="A445" s="100" t="inlineStr">
        <is>
          <t xml:space="preserve">  ▸ FINANCIALS</t>
        </is>
      </c>
      <c r="B445" s="102" t="n"/>
      <c r="C445" s="102" t="n"/>
      <c r="D445" s="102" t="n"/>
      <c r="E445" s="102" t="n"/>
      <c r="F445" s="102" t="n"/>
      <c r="G445" s="102" t="n"/>
      <c r="H445" s="102" t="n"/>
      <c r="I445" s="102" t="n"/>
      <c r="J445" s="102" t="n"/>
      <c r="K445" s="102" t="n"/>
      <c r="L445" s="102" t="n"/>
      <c r="M445" s="102" t="n"/>
      <c r="N445" s="102" t="n"/>
      <c r="O445" s="102" t="n"/>
    </row>
    <row r="446" outlineLevel="2" ht="15" customHeight="1">
      <c r="A446" s="69" t="inlineStr">
        <is>
          <t xml:space="preserve">      Mat. Value (₹)</t>
        </is>
      </c>
      <c r="B446" s="70">
        <f>IF('Final Calculation Sheet'!$H$9="","",'Final Calculation Sheet'!$H$9)</f>
        <v/>
      </c>
      <c r="C446" s="174">
        <f>IF('Final Calculation Sheet'!$H$14="","",'Final Calculation Sheet'!$H$14)</f>
        <v/>
      </c>
      <c r="D446" s="71" t="n"/>
      <c r="E446" s="71" t="n"/>
      <c r="F446" s="71" t="n"/>
      <c r="G446" s="71" t="n"/>
      <c r="H446" s="71" t="n"/>
      <c r="I446" s="71" t="n"/>
      <c r="J446" s="71" t="n"/>
      <c r="K446" s="71" t="n"/>
      <c r="L446" s="71" t="n"/>
      <c r="M446" s="71" t="n"/>
      <c r="N446" s="71" t="n"/>
      <c r="O446" s="106">
        <f>SUM(B446:N446)</f>
        <v/>
      </c>
    </row>
    <row r="447" outlineLevel="2" ht="15" customHeight="1">
      <c r="A447" s="69" t="inlineStr">
        <is>
          <t xml:space="preserve">      GST @ 18% (₹)</t>
        </is>
      </c>
      <c r="B447" s="70">
        <f>IF('Final Calculation Sheet'!$I$9="","",'Final Calculation Sheet'!$I$9)</f>
        <v/>
      </c>
      <c r="C447" s="174">
        <f>IF('Final Calculation Sheet'!$I$14="","",'Final Calculation Sheet'!$I$14)</f>
        <v/>
      </c>
      <c r="D447" s="71" t="n"/>
      <c r="E447" s="71" t="n"/>
      <c r="F447" s="71" t="n"/>
      <c r="G447" s="71" t="n"/>
      <c r="H447" s="71" t="n"/>
      <c r="I447" s="71" t="n"/>
      <c r="J447" s="71" t="n"/>
      <c r="K447" s="71" t="n"/>
      <c r="L447" s="71" t="n"/>
      <c r="M447" s="71" t="n"/>
      <c r="N447" s="71" t="n"/>
      <c r="O447" s="106">
        <f>SUM(B447:N447)</f>
        <v/>
      </c>
    </row>
    <row r="448" outlineLevel="2" ht="15" customHeight="1">
      <c r="A448" s="69" t="inlineStr">
        <is>
          <t xml:space="preserve">      Mat. Value + GST (₹)</t>
        </is>
      </c>
      <c r="B448" s="70">
        <f>IF('Final Calculation Sheet'!$J$9="","",'Final Calculation Sheet'!$J$9)</f>
        <v/>
      </c>
      <c r="C448" s="174">
        <f>IF('Final Calculation Sheet'!$J$14="","",'Final Calculation Sheet'!$J$14)</f>
        <v/>
      </c>
      <c r="D448" s="71" t="n"/>
      <c r="E448" s="71" t="n"/>
      <c r="F448" s="71" t="n"/>
      <c r="G448" s="71" t="n"/>
      <c r="H448" s="71" t="n"/>
      <c r="I448" s="71" t="n"/>
      <c r="J448" s="71" t="n"/>
      <c r="K448" s="71" t="n"/>
      <c r="L448" s="71" t="n"/>
      <c r="M448" s="71" t="n"/>
      <c r="N448" s="71" t="n"/>
      <c r="O448" s="106">
        <f>SUM(B448:N448)</f>
        <v/>
      </c>
    </row>
    <row r="449" outlineLevel="2" ht="15" customHeight="1">
      <c r="A449" s="69" t="inlineStr">
        <is>
          <t xml:space="preserve">      TCS @ 2% (₹)</t>
        </is>
      </c>
      <c r="B449" s="70">
        <f>IF('Final Calculation Sheet'!$K$9="","",'Final Calculation Sheet'!$K$9)</f>
        <v/>
      </c>
      <c r="C449" s="174">
        <f>IF('Final Calculation Sheet'!$K$14="","",'Final Calculation Sheet'!$K$14)</f>
        <v/>
      </c>
      <c r="D449" s="71" t="n"/>
      <c r="E449" s="71" t="n"/>
      <c r="F449" s="71" t="n"/>
      <c r="G449" s="71" t="n"/>
      <c r="H449" s="71" t="n"/>
      <c r="I449" s="71" t="n"/>
      <c r="J449" s="71" t="n"/>
      <c r="K449" s="71" t="n"/>
      <c r="L449" s="71" t="n"/>
      <c r="M449" s="71" t="n"/>
      <c r="N449" s="71" t="n"/>
      <c r="O449" s="106">
        <f>SUM(B449:N449)</f>
        <v/>
      </c>
    </row>
    <row r="450" outlineLevel="2" ht="15" customHeight="1">
      <c r="A450" s="69" t="inlineStr">
        <is>
          <t xml:space="preserve">      TDS u/s 194(O) (₹)</t>
        </is>
      </c>
      <c r="B450" s="78">
        <f>IF('Final Calculation Sheet'!$L$9="","",'Final Calculation Sheet'!$L$9)</f>
        <v/>
      </c>
      <c r="C450" s="178">
        <f>IF('Final Calculation Sheet'!$L$14="","",'Final Calculation Sheet'!$L$14)</f>
        <v/>
      </c>
      <c r="D450" s="71" t="n"/>
      <c r="E450" s="71" t="n"/>
      <c r="F450" s="71" t="n"/>
      <c r="G450" s="71" t="n"/>
      <c r="H450" s="71" t="n"/>
      <c r="I450" s="71" t="n"/>
      <c r="J450" s="71" t="n"/>
      <c r="K450" s="71" t="n"/>
      <c r="L450" s="71" t="n"/>
      <c r="M450" s="71" t="n"/>
      <c r="N450" s="71" t="n"/>
      <c r="O450" s="107">
        <f>SUM(B450:N450)</f>
        <v/>
      </c>
    </row>
    <row r="451" outlineLevel="2" ht="15" customHeight="1">
      <c r="A451" s="69" t="inlineStr">
        <is>
          <t xml:space="preserve">      Service Charge gross (₹)</t>
        </is>
      </c>
      <c r="B451" s="78">
        <f>IF('Final Calculation Sheet'!$M$9="","",'Final Calculation Sheet'!$M$9)</f>
        <v/>
      </c>
      <c r="C451" s="178">
        <f>IF('Final Calculation Sheet'!$M$14="","",'Final Calculation Sheet'!$M$14)</f>
        <v/>
      </c>
      <c r="D451" s="71" t="n"/>
      <c r="E451" s="71" t="n"/>
      <c r="F451" s="71" t="n"/>
      <c r="G451" s="71" t="n"/>
      <c r="H451" s="71" t="n"/>
      <c r="I451" s="71" t="n"/>
      <c r="J451" s="71" t="n"/>
      <c r="K451" s="71" t="n"/>
      <c r="L451" s="71" t="n"/>
      <c r="M451" s="71" t="n"/>
      <c r="N451" s="71" t="n"/>
      <c r="O451" s="107">
        <f>SUM(B451:N451)</f>
        <v/>
      </c>
    </row>
    <row r="452" outlineLevel="2" ht="15" customHeight="1">
      <c r="A452" s="69" t="inlineStr">
        <is>
          <t xml:space="preserve">      TDS u/s 194(H) (₹)</t>
        </is>
      </c>
      <c r="B452" s="78">
        <f>IF('Final Calculation Sheet'!$N$9="","",'Final Calculation Sheet'!$N$9)</f>
        <v/>
      </c>
      <c r="C452" s="178">
        <f>IF('Final Calculation Sheet'!$N$14="","",'Final Calculation Sheet'!$N$14)</f>
        <v/>
      </c>
      <c r="D452" s="71" t="n"/>
      <c r="E452" s="71" t="n"/>
      <c r="F452" s="71" t="n"/>
      <c r="G452" s="71" t="n"/>
      <c r="H452" s="71" t="n"/>
      <c r="I452" s="71" t="n"/>
      <c r="J452" s="71" t="n"/>
      <c r="K452" s="71" t="n"/>
      <c r="L452" s="71" t="n"/>
      <c r="M452" s="71" t="n"/>
      <c r="N452" s="71" t="n"/>
      <c r="O452" s="107">
        <f>SUM(B452:N452)</f>
        <v/>
      </c>
    </row>
    <row r="453" outlineLevel="2" ht="15" customHeight="1">
      <c r="A453" s="69" t="inlineStr">
        <is>
          <t xml:space="preserve">      Net Service Charge (₹)</t>
        </is>
      </c>
      <c r="B453" s="78">
        <f>IF('Final Calculation Sheet'!$O$9="","",'Final Calculation Sheet'!$O$9)</f>
        <v/>
      </c>
      <c r="C453" s="178">
        <f>IF('Final Calculation Sheet'!$O$14="","",'Final Calculation Sheet'!$O$14)</f>
        <v/>
      </c>
      <c r="D453" s="71" t="n"/>
      <c r="E453" s="71" t="n"/>
      <c r="F453" s="71" t="n"/>
      <c r="G453" s="71" t="n"/>
      <c r="H453" s="71" t="n"/>
      <c r="I453" s="71" t="n"/>
      <c r="J453" s="71" t="n"/>
      <c r="K453" s="71" t="n"/>
      <c r="L453" s="71" t="n"/>
      <c r="M453" s="71" t="n"/>
      <c r="N453" s="71" t="n"/>
      <c r="O453" s="107">
        <f>SUM(B453:N453)</f>
        <v/>
      </c>
    </row>
    <row r="454" outlineLevel="2" ht="15" customHeight="1">
      <c r="A454" s="69" t="inlineStr">
        <is>
          <t xml:space="preserve">      Svc Charge to MSTC (₹)</t>
        </is>
      </c>
      <c r="B454" s="70">
        <f>IF('Final Calculation Sheet'!$P$9="","",'Final Calculation Sheet'!$P$9)</f>
        <v/>
      </c>
      <c r="C454" s="174">
        <f>IF('Final Calculation Sheet'!$P$14="","",'Final Calculation Sheet'!$P$14)</f>
        <v/>
      </c>
      <c r="D454" s="71" t="n"/>
      <c r="E454" s="71" t="n"/>
      <c r="F454" s="71" t="n"/>
      <c r="G454" s="71" t="n"/>
      <c r="H454" s="71" t="n"/>
      <c r="I454" s="71" t="n"/>
      <c r="J454" s="71" t="n"/>
      <c r="K454" s="71" t="n"/>
      <c r="L454" s="71" t="n"/>
      <c r="M454" s="71" t="n"/>
      <c r="N454" s="71" t="n"/>
      <c r="O454" s="106">
        <f>SUM(B454:N454)</f>
        <v/>
      </c>
    </row>
    <row r="455" outlineLevel="2" ht="15" customHeight="1">
      <c r="A455" s="69" t="inlineStr">
        <is>
          <t xml:space="preserve">      GST TDS Rate</t>
        </is>
      </c>
      <c r="B455" s="80">
        <f>IF('Final Calculation Sheet'!$Q$9="","",'Final Calculation Sheet'!$Q$9)</f>
        <v/>
      </c>
      <c r="C455" s="179">
        <f>IF('Final Calculation Sheet'!$Q$14="","",'Final Calculation Sheet'!$Q$14)</f>
        <v/>
      </c>
      <c r="D455" s="71" t="n"/>
      <c r="E455" s="71" t="n"/>
      <c r="F455" s="71" t="n"/>
      <c r="G455" s="71" t="n"/>
      <c r="H455" s="71" t="n"/>
      <c r="I455" s="71" t="n"/>
      <c r="J455" s="71" t="n"/>
      <c r="K455" s="71" t="n"/>
      <c r="L455" s="71" t="n"/>
      <c r="M455" s="71" t="n"/>
      <c r="N455" s="71" t="n"/>
      <c r="O455" s="104" t="inlineStr">
        <is>
          <t>–</t>
        </is>
      </c>
    </row>
    <row r="456" outlineLevel="2" ht="15" customHeight="1">
      <c r="A456" s="69" t="inlineStr">
        <is>
          <t xml:space="preserve">      GST TDS (₹)</t>
        </is>
      </c>
      <c r="B456" s="70">
        <f>IF('Final Calculation Sheet'!$R$9="","",'Final Calculation Sheet'!$R$9)</f>
        <v/>
      </c>
      <c r="C456" s="174">
        <f>IF('Final Calculation Sheet'!$R$14="","",'Final Calculation Sheet'!$R$14)</f>
        <v/>
      </c>
      <c r="D456" s="71" t="n"/>
      <c r="E456" s="71" t="n"/>
      <c r="F456" s="71" t="n"/>
      <c r="G456" s="71" t="n"/>
      <c r="H456" s="71" t="n"/>
      <c r="I456" s="71" t="n"/>
      <c r="J456" s="71" t="n"/>
      <c r="K456" s="71" t="n"/>
      <c r="L456" s="71" t="n"/>
      <c r="M456" s="71" t="n"/>
      <c r="N456" s="71" t="n"/>
      <c r="O456" s="106">
        <f>SUM(B456:N456)</f>
        <v/>
      </c>
    </row>
    <row r="457" outlineLevel="2" ht="15" customHeight="1">
      <c r="A457" s="69" t="inlineStr">
        <is>
          <t xml:space="preserve">      Total Receivables (₹)</t>
        </is>
      </c>
      <c r="B457" s="70">
        <f>IF('Final Calculation Sheet'!$S$9="","",'Final Calculation Sheet'!$S$9)</f>
        <v/>
      </c>
      <c r="C457" s="174">
        <f>IF('Final Calculation Sheet'!$S$14="","",'Final Calculation Sheet'!$S$14)</f>
        <v/>
      </c>
      <c r="D457" s="71" t="n"/>
      <c r="E457" s="71" t="n"/>
      <c r="F457" s="71" t="n"/>
      <c r="G457" s="71" t="n"/>
      <c r="H457" s="71" t="n"/>
      <c r="I457" s="71" t="n"/>
      <c r="J457" s="71" t="n"/>
      <c r="K457" s="71" t="n"/>
      <c r="L457" s="71" t="n"/>
      <c r="M457" s="71" t="n"/>
      <c r="N457" s="71" t="n"/>
      <c r="O457" s="106">
        <f>SUM(B457:N457)</f>
        <v/>
      </c>
    </row>
    <row r="458" outlineLevel="1" ht="16" customHeight="1">
      <c r="A458" s="100" t="inlineStr">
        <is>
          <t xml:space="preserve">  ▸ SECURITY DEPOSIT</t>
        </is>
      </c>
      <c r="B458" s="102" t="n"/>
      <c r="C458" s="102" t="n"/>
      <c r="D458" s="102" t="n"/>
      <c r="E458" s="102" t="n"/>
      <c r="F458" s="102" t="n"/>
      <c r="G458" s="102" t="n"/>
      <c r="H458" s="102" t="n"/>
      <c r="I458" s="102" t="n"/>
      <c r="J458" s="102" t="n"/>
      <c r="K458" s="102" t="n"/>
      <c r="L458" s="102" t="n"/>
      <c r="M458" s="102" t="n"/>
      <c r="N458" s="102" t="n"/>
      <c r="O458" s="102" t="n"/>
    </row>
    <row r="459" outlineLevel="2" ht="15" customHeight="1">
      <c r="A459" s="69" t="inlineStr">
        <is>
          <t xml:space="preserve">      SD Expected (₹)</t>
        </is>
      </c>
      <c r="B459" s="70">
        <f>IF('Final Calculation Sheet'!$T$9="","",'Final Calculation Sheet'!$T$9)</f>
        <v/>
      </c>
      <c r="C459" s="174">
        <f>IF('Final Calculation Sheet'!$T$14="","",'Final Calculation Sheet'!$T$14)</f>
        <v/>
      </c>
      <c r="D459" s="71" t="n"/>
      <c r="E459" s="71" t="n"/>
      <c r="F459" s="71" t="n"/>
      <c r="G459" s="71" t="n"/>
      <c r="H459" s="71" t="n"/>
      <c r="I459" s="71" t="n"/>
      <c r="J459" s="71" t="n"/>
      <c r="K459" s="71" t="n"/>
      <c r="L459" s="71" t="n"/>
      <c r="M459" s="71" t="n"/>
      <c r="N459" s="71" t="n"/>
      <c r="O459" s="106">
        <f>SUM(B459:N459)</f>
        <v/>
      </c>
    </row>
    <row r="460" outlineLevel="2" ht="15" customHeight="1">
      <c r="A460" s="69" t="inlineStr">
        <is>
          <t xml:space="preserve">      SD Received (₹)</t>
        </is>
      </c>
      <c r="B460" s="70">
        <f>IF('Final Calculation Sheet'!$U$9="","",'Final Calculation Sheet'!$U$9)</f>
        <v/>
      </c>
      <c r="C460" s="174">
        <f>IF('Final Calculation Sheet'!$U$14="","",'Final Calculation Sheet'!$U$14)</f>
        <v/>
      </c>
      <c r="D460" s="71" t="n"/>
      <c r="E460" s="71" t="n"/>
      <c r="F460" s="71" t="n"/>
      <c r="G460" s="71" t="n"/>
      <c r="H460" s="71" t="n"/>
      <c r="I460" s="71" t="n"/>
      <c r="J460" s="71" t="n"/>
      <c r="K460" s="71" t="n"/>
      <c r="L460" s="71" t="n"/>
      <c r="M460" s="71" t="n"/>
      <c r="N460" s="71" t="n"/>
      <c r="O460" s="106">
        <f>SUM(B460:N460)</f>
        <v/>
      </c>
    </row>
    <row r="461" outlineLevel="2" ht="15" customHeight="1">
      <c r="A461" s="69" t="inlineStr">
        <is>
          <t xml:space="preserve">      SD Receipt Date</t>
        </is>
      </c>
      <c r="B461" s="76">
        <f>IF('Final Calculation Sheet'!$V$9="","",'Final Calculation Sheet'!$V$9)</f>
        <v/>
      </c>
      <c r="C461" s="177">
        <f>IF('Final Calculation Sheet'!$V$14="","",'Final Calculation Sheet'!$V$14)</f>
        <v/>
      </c>
      <c r="D461" s="71" t="n"/>
      <c r="E461" s="71" t="n"/>
      <c r="F461" s="71" t="n"/>
      <c r="G461" s="71" t="n"/>
      <c r="H461" s="71" t="n"/>
      <c r="I461" s="71" t="n"/>
      <c r="J461" s="71" t="n"/>
      <c r="K461" s="71" t="n"/>
      <c r="L461" s="71" t="n"/>
      <c r="M461" s="71" t="n"/>
      <c r="N461" s="71" t="n"/>
      <c r="O461" s="104" t="inlineStr">
        <is>
          <t>–</t>
        </is>
      </c>
    </row>
    <row r="462" outlineLevel="1" ht="16" customHeight="1">
      <c r="A462" s="100" t="inlineStr">
        <is>
          <t xml:space="preserve">  ▸ FINAL PAYMENT</t>
        </is>
      </c>
      <c r="B462" s="102" t="n"/>
      <c r="C462" s="102" t="n"/>
      <c r="D462" s="102" t="n"/>
      <c r="E462" s="102" t="n"/>
      <c r="F462" s="102" t="n"/>
      <c r="G462" s="102" t="n"/>
      <c r="H462" s="102" t="n"/>
      <c r="I462" s="102" t="n"/>
      <c r="J462" s="102" t="n"/>
      <c r="K462" s="102" t="n"/>
      <c r="L462" s="102" t="n"/>
      <c r="M462" s="102" t="n"/>
      <c r="N462" s="102" t="n"/>
      <c r="O462" s="102" t="n"/>
    </row>
    <row r="463" outlineLevel="2" ht="15" customHeight="1">
      <c r="A463" s="69" t="inlineStr">
        <is>
          <t xml:space="preserve">      FP Expected (₹)</t>
        </is>
      </c>
      <c r="B463" s="70">
        <f>IF('Final Calculation Sheet'!$W$9="","",'Final Calculation Sheet'!$W$9)</f>
        <v/>
      </c>
      <c r="C463" s="174">
        <f>IF('Final Calculation Sheet'!$W$14="","",'Final Calculation Sheet'!$W$14)</f>
        <v/>
      </c>
      <c r="D463" s="71" t="n"/>
      <c r="E463" s="71" t="n"/>
      <c r="F463" s="71" t="n"/>
      <c r="G463" s="71" t="n"/>
      <c r="H463" s="71" t="n"/>
      <c r="I463" s="71" t="n"/>
      <c r="J463" s="71" t="n"/>
      <c r="K463" s="71" t="n"/>
      <c r="L463" s="71" t="n"/>
      <c r="M463" s="71" t="n"/>
      <c r="N463" s="71" t="n"/>
      <c r="O463" s="106">
        <f>SUM(B463:N463)</f>
        <v/>
      </c>
    </row>
    <row r="464" outlineLevel="2" ht="15" customHeight="1">
      <c r="A464" s="69" t="inlineStr">
        <is>
          <t xml:space="preserve">      FP Received (₹)</t>
        </is>
      </c>
      <c r="B464" s="70">
        <f>IF('Final Calculation Sheet'!$X$9="","",'Final Calculation Sheet'!$X$9)</f>
        <v/>
      </c>
      <c r="C464" s="174">
        <f>IF('Final Calculation Sheet'!$X$14="","",'Final Calculation Sheet'!$X$14)</f>
        <v/>
      </c>
      <c r="D464" s="71" t="n"/>
      <c r="E464" s="71" t="n"/>
      <c r="F464" s="71" t="n"/>
      <c r="G464" s="71" t="n"/>
      <c r="H464" s="71" t="n"/>
      <c r="I464" s="71" t="n"/>
      <c r="J464" s="71" t="n"/>
      <c r="K464" s="71" t="n"/>
      <c r="L464" s="71" t="n"/>
      <c r="M464" s="71" t="n"/>
      <c r="N464" s="71" t="n"/>
      <c r="O464" s="106">
        <f>SUM(B464:N464)</f>
        <v/>
      </c>
    </row>
    <row r="465" outlineLevel="2" ht="15" customHeight="1">
      <c r="A465" s="69" t="inlineStr">
        <is>
          <t xml:space="preserve">      FP Receipt Date</t>
        </is>
      </c>
      <c r="B465" s="76">
        <f>IF('Final Calculation Sheet'!$Y$9="","",'Final Calculation Sheet'!$Y$9)</f>
        <v/>
      </c>
      <c r="C465" s="177">
        <f>IF('Final Calculation Sheet'!$Y$14="","",'Final Calculation Sheet'!$Y$14)</f>
        <v/>
      </c>
      <c r="D465" s="71" t="n"/>
      <c r="E465" s="71" t="n"/>
      <c r="F465" s="71" t="n"/>
      <c r="G465" s="71" t="n"/>
      <c r="H465" s="71" t="n"/>
      <c r="I465" s="71" t="n"/>
      <c r="J465" s="71" t="n"/>
      <c r="K465" s="71" t="n"/>
      <c r="L465" s="71" t="n"/>
      <c r="M465" s="71" t="n"/>
      <c r="N465" s="71" t="n"/>
      <c r="O465" s="104" t="inlineStr">
        <is>
          <t>–</t>
        </is>
      </c>
    </row>
    <row r="466" outlineLevel="1" ht="16" customHeight="1">
      <c r="A466" s="100" t="inlineStr">
        <is>
          <t xml:space="preserve">  ▸ LPP</t>
        </is>
      </c>
      <c r="B466" s="102" t="n"/>
      <c r="C466" s="102" t="n"/>
      <c r="D466" s="102" t="n"/>
      <c r="E466" s="102" t="n"/>
      <c r="F466" s="102" t="n"/>
      <c r="G466" s="102" t="n"/>
      <c r="H466" s="102" t="n"/>
      <c r="I466" s="102" t="n"/>
      <c r="J466" s="102" t="n"/>
      <c r="K466" s="102" t="n"/>
      <c r="L466" s="102" t="n"/>
      <c r="M466" s="102" t="n"/>
      <c r="N466" s="102" t="n"/>
      <c r="O466" s="102" t="n"/>
    </row>
    <row r="467" outlineLevel="2" ht="15" customHeight="1">
      <c r="A467" s="69" t="inlineStr">
        <is>
          <t xml:space="preserve">      LPP Expected (₹)</t>
        </is>
      </c>
      <c r="B467" s="70">
        <f>IF('Final Calculation Sheet'!$Z$9="","",'Final Calculation Sheet'!$Z$9)</f>
        <v/>
      </c>
      <c r="C467" s="174">
        <f>IF('Final Calculation Sheet'!$Z$14="","",'Final Calculation Sheet'!$Z$14)</f>
        <v/>
      </c>
      <c r="D467" s="71" t="n"/>
      <c r="E467" s="71" t="n"/>
      <c r="F467" s="71" t="n"/>
      <c r="G467" s="71" t="n"/>
      <c r="H467" s="71" t="n"/>
      <c r="I467" s="71" t="n"/>
      <c r="J467" s="71" t="n"/>
      <c r="K467" s="71" t="n"/>
      <c r="L467" s="71" t="n"/>
      <c r="M467" s="71" t="n"/>
      <c r="N467" s="71" t="n"/>
      <c r="O467" s="106">
        <f>SUM(B467:N467)</f>
        <v/>
      </c>
    </row>
    <row r="468" outlineLevel="2" ht="15" customHeight="1">
      <c r="A468" s="69" t="inlineStr">
        <is>
          <t xml:space="preserve">      LPP Received (₹)</t>
        </is>
      </c>
      <c r="B468" s="70">
        <f>IF('Final Calculation Sheet'!$AA$9="","",'Final Calculation Sheet'!$AA$9)</f>
        <v/>
      </c>
      <c r="C468" s="174">
        <f>IF('Final Calculation Sheet'!$AA$14="","",'Final Calculation Sheet'!$AA$14)</f>
        <v/>
      </c>
      <c r="D468" s="71" t="n"/>
      <c r="E468" s="71" t="n"/>
      <c r="F468" s="71" t="n"/>
      <c r="G468" s="71" t="n"/>
      <c r="H468" s="71" t="n"/>
      <c r="I468" s="71" t="n"/>
      <c r="J468" s="71" t="n"/>
      <c r="K468" s="71" t="n"/>
      <c r="L468" s="71" t="n"/>
      <c r="M468" s="71" t="n"/>
      <c r="N468" s="71" t="n"/>
      <c r="O468" s="106">
        <f>SUM(B468:N468)</f>
        <v/>
      </c>
    </row>
    <row r="469" outlineLevel="2" ht="15" customHeight="1">
      <c r="A469" s="69" t="inlineStr">
        <is>
          <t xml:space="preserve">      LPP Receipt Date</t>
        </is>
      </c>
      <c r="B469" s="76">
        <f>IF('Final Calculation Sheet'!$AB$9="","",'Final Calculation Sheet'!$AB$9)</f>
        <v/>
      </c>
      <c r="C469" s="177">
        <f>IF('Final Calculation Sheet'!$AB$14="","",'Final Calculation Sheet'!$AB$14)</f>
        <v/>
      </c>
      <c r="D469" s="71" t="n"/>
      <c r="E469" s="71" t="n"/>
      <c r="F469" s="71" t="n"/>
      <c r="G469" s="71" t="n"/>
      <c r="H469" s="71" t="n"/>
      <c r="I469" s="71" t="n"/>
      <c r="J469" s="71" t="n"/>
      <c r="K469" s="71" t="n"/>
      <c r="L469" s="71" t="n"/>
      <c r="M469" s="71" t="n"/>
      <c r="N469" s="71" t="n"/>
      <c r="O469" s="104" t="inlineStr">
        <is>
          <t>–</t>
        </is>
      </c>
    </row>
    <row r="470" outlineLevel="1" ht="16" customHeight="1">
      <c r="A470" s="100" t="inlineStr">
        <is>
          <t xml:space="preserve">  ▸ SUMMARY</t>
        </is>
      </c>
      <c r="B470" s="102" t="n"/>
      <c r="C470" s="102" t="n"/>
      <c r="D470" s="102" t="n"/>
      <c r="E470" s="102" t="n"/>
      <c r="F470" s="102" t="n"/>
      <c r="G470" s="102" t="n"/>
      <c r="H470" s="102" t="n"/>
      <c r="I470" s="102" t="n"/>
      <c r="J470" s="102" t="n"/>
      <c r="K470" s="102" t="n"/>
      <c r="L470" s="102" t="n"/>
      <c r="M470" s="102" t="n"/>
      <c r="N470" s="102" t="n"/>
      <c r="O470" s="102" t="n"/>
    </row>
    <row r="471" outlineLevel="2" ht="15" customHeight="1">
      <c r="A471" s="69" t="inlineStr">
        <is>
          <t xml:space="preserve">      Total Received (₹)</t>
        </is>
      </c>
      <c r="B471" s="70">
        <f>IF('Final Calculation Sheet'!$AC$9="","",'Final Calculation Sheet'!$AC$9)</f>
        <v/>
      </c>
      <c r="C471" s="174">
        <f>IF('Final Calculation Sheet'!$AC$14="","",'Final Calculation Sheet'!$AC$14)</f>
        <v/>
      </c>
      <c r="D471" s="71" t="n"/>
      <c r="E471" s="71" t="n"/>
      <c r="F471" s="71" t="n"/>
      <c r="G471" s="71" t="n"/>
      <c r="H471" s="71" t="n"/>
      <c r="I471" s="71" t="n"/>
      <c r="J471" s="71" t="n"/>
      <c r="K471" s="71" t="n"/>
      <c r="L471" s="71" t="n"/>
      <c r="M471" s="71" t="n"/>
      <c r="N471" s="71" t="n"/>
      <c r="O471" s="106">
        <f>SUM(B471:N471)</f>
        <v/>
      </c>
    </row>
    <row r="472" outlineLevel="2" ht="15" customHeight="1">
      <c r="A472" s="69" t="inlineStr">
        <is>
          <t xml:space="preserve">      Outstanding (₹)</t>
        </is>
      </c>
      <c r="B472" s="70">
        <f>IF('Final Calculation Sheet'!$AD$9="","",'Final Calculation Sheet'!$AD$9)</f>
        <v/>
      </c>
      <c r="C472" s="174">
        <f>IF('Final Calculation Sheet'!$AD$14="","",'Final Calculation Sheet'!$AD$14)</f>
        <v/>
      </c>
      <c r="D472" s="71" t="n"/>
      <c r="E472" s="71" t="n"/>
      <c r="F472" s="71" t="n"/>
      <c r="G472" s="71" t="n"/>
      <c r="H472" s="71" t="n"/>
      <c r="I472" s="71" t="n"/>
      <c r="J472" s="71" t="n"/>
      <c r="K472" s="71" t="n"/>
      <c r="L472" s="71" t="n"/>
      <c r="M472" s="71" t="n"/>
      <c r="N472" s="71" t="n"/>
      <c r="O472" s="106">
        <f>SUM(B472:N472)</f>
        <v/>
      </c>
    </row>
    <row r="473" outlineLevel="2" ht="15" customHeight="1">
      <c r="A473" s="69" t="inlineStr">
        <is>
          <t xml:space="preserve">      Payment Status</t>
        </is>
      </c>
      <c r="B473" s="81">
        <f>IF('Final Calculation Sheet'!$AD$9="","",IF('Final Calculation Sheet'!$AD$9&lt;=0,"SETTLED","OUTSTANDING"))</f>
        <v/>
      </c>
      <c r="C473" s="180">
        <f>IF('Final Calculation Sheet'!$AD$14="","",IF('Final Calculation Sheet'!$AD$14&lt;=0,"SETTLED","OUTSTANDING"))</f>
        <v/>
      </c>
      <c r="D473" s="71" t="n"/>
      <c r="E473" s="71" t="n"/>
      <c r="F473" s="71" t="n"/>
      <c r="G473" s="71" t="n"/>
      <c r="H473" s="71" t="n"/>
      <c r="I473" s="71" t="n"/>
      <c r="J473" s="71" t="n"/>
      <c r="K473" s="71" t="n"/>
      <c r="L473" s="71" t="n"/>
      <c r="M473" s="71" t="n"/>
      <c r="N473" s="71" t="n"/>
      <c r="O473" s="104" t="inlineStr">
        <is>
          <t>–</t>
        </is>
      </c>
    </row>
    <row r="474" outlineLevel="1" ht="16" customHeight="1">
      <c r="A474" s="100" t="inlineStr">
        <is>
          <t xml:space="preserve">  ▸ DOCUMENT</t>
        </is>
      </c>
      <c r="B474" s="102" t="n"/>
      <c r="C474" s="102" t="n"/>
      <c r="D474" s="102" t="n"/>
      <c r="E474" s="102" t="n"/>
      <c r="F474" s="102" t="n"/>
      <c r="G474" s="102" t="n"/>
      <c r="H474" s="102" t="n"/>
      <c r="I474" s="102" t="n"/>
      <c r="J474" s="102" t="n"/>
      <c r="K474" s="102" t="n"/>
      <c r="L474" s="102" t="n"/>
      <c r="M474" s="102" t="n"/>
      <c r="N474" s="102" t="n"/>
      <c r="O474" s="102" t="n"/>
    </row>
    <row r="475" outlineLevel="2" ht="15" customHeight="1">
      <c r="A475" s="69" t="inlineStr">
        <is>
          <t xml:space="preserve">      Invoice No.</t>
        </is>
      </c>
      <c r="B475" s="76">
        <f>IF('Final Calculation Sheet'!$AE$9="","",'Final Calculation Sheet'!$AE$9)</f>
        <v/>
      </c>
      <c r="C475" s="177">
        <f>IF('Final Calculation Sheet'!$AE$14="","",'Final Calculation Sheet'!$AE$14)</f>
        <v/>
      </c>
      <c r="D475" s="71" t="n"/>
      <c r="E475" s="71" t="n"/>
      <c r="F475" s="71" t="n"/>
      <c r="G475" s="71" t="n"/>
      <c r="H475" s="71" t="n"/>
      <c r="I475" s="71" t="n"/>
      <c r="J475" s="71" t="n"/>
      <c r="K475" s="71" t="n"/>
      <c r="L475" s="71" t="n"/>
      <c r="M475" s="71" t="n"/>
      <c r="N475" s="71" t="n"/>
      <c r="O475" s="104" t="inlineStr">
        <is>
          <t>–</t>
        </is>
      </c>
    </row>
    <row r="476" outlineLevel="2" ht="15" customHeight="1">
      <c r="A476" s="69" t="inlineStr">
        <is>
          <t xml:space="preserve">      SAP Document</t>
        </is>
      </c>
      <c r="B476" s="70">
        <f>IF('Final Calculation Sheet'!$AF$9="","",'Final Calculation Sheet'!$AF$9)</f>
        <v/>
      </c>
      <c r="C476" s="174">
        <f>IF('Final Calculation Sheet'!$AF$14="","",'Final Calculation Sheet'!$AF$14)</f>
        <v/>
      </c>
      <c r="D476" s="71" t="n"/>
      <c r="E476" s="71" t="n"/>
      <c r="F476" s="71" t="n"/>
      <c r="G476" s="71" t="n"/>
      <c r="H476" s="71" t="n"/>
      <c r="I476" s="71" t="n"/>
      <c r="J476" s="71" t="n"/>
      <c r="K476" s="71" t="n"/>
      <c r="L476" s="71" t="n"/>
      <c r="M476" s="71" t="n"/>
      <c r="N476" s="71" t="n"/>
      <c r="O476" s="104" t="inlineStr">
        <is>
          <t>–</t>
        </is>
      </c>
    </row>
    <row r="477" outlineLevel="2" ht="15" customHeight="1">
      <c r="A477" s="69" t="inlineStr">
        <is>
          <t xml:space="preserve">      Doc./Invoice Date</t>
        </is>
      </c>
      <c r="B477" s="76">
        <f>IF('Final Calculation Sheet'!$AG$9="","",'Final Calculation Sheet'!$AG$9)</f>
        <v/>
      </c>
      <c r="C477" s="177">
        <f>IF('Final Calculation Sheet'!$AG$14="","",'Final Calculation Sheet'!$AG$14)</f>
        <v/>
      </c>
      <c r="D477" s="71" t="n"/>
      <c r="E477" s="71" t="n"/>
      <c r="F477" s="71" t="n"/>
      <c r="G477" s="71" t="n"/>
      <c r="H477" s="71" t="n"/>
      <c r="I477" s="71" t="n"/>
      <c r="J477" s="71" t="n"/>
      <c r="K477" s="71" t="n"/>
      <c r="L477" s="71" t="n"/>
      <c r="M477" s="71" t="n"/>
      <c r="N477" s="71" t="n"/>
      <c r="O477" s="104" t="inlineStr">
        <is>
          <t>–</t>
        </is>
      </c>
    </row>
    <row r="478" ht="7" customHeight="1">
      <c r="A478" s="82" t="n"/>
      <c r="B478" s="82" t="n"/>
      <c r="C478" s="82" t="n"/>
      <c r="D478" s="82" t="n"/>
      <c r="E478" s="82" t="n"/>
      <c r="F478" s="82" t="n"/>
      <c r="G478" s="82" t="n"/>
      <c r="H478" s="82" t="n"/>
      <c r="I478" s="82" t="n"/>
      <c r="J478" s="82" t="n"/>
      <c r="K478" s="82" t="n"/>
      <c r="L478" s="82" t="n"/>
      <c r="M478" s="82" t="n"/>
      <c r="N478" s="82" t="n"/>
      <c r="O478" s="82" t="n"/>
    </row>
    <row r="479" ht="24" customHeight="1">
      <c r="A479" s="108">
        <f>"▼  STERLING ENTERPRISES   •   "&amp;COUNTIF('Final Calculation Sheet'!$G$4:$G$1000,"STERLING ENTERPRISES")&amp;" LOT(S)   •   MAT. VALUE ₹"&amp;TEXT(SUMIF('Final Calculation Sheet'!$G$4:$G$1000,"STERLING ENTERPRISES",'Final Calculation Sheet'!$H$4:$H$1000),"#,##0")&amp;"   •   RECEIVED ₹"&amp;TEXT(SUMIF('Final Calculation Sheet'!$G$4:$G$1000,"STERLING ENTERPRISES",'Final Calculation Sheet'!$AC$4:$AC$1000),"#,##0")&amp;"   •   OUTSTANDING ₹"&amp;TEXT(SUMIF('Final Calculation Sheet'!$G$4:$G$1000,"STERLING ENTERPRISES",'Final Calculation Sheet'!$AD$4:$AD$1000),"#,##0")</f>
        <v/>
      </c>
      <c r="B479" s="64" t="n"/>
      <c r="C479" s="64" t="n"/>
      <c r="D479" s="64" t="n"/>
      <c r="E479" s="64" t="n"/>
      <c r="F479" s="64" t="n"/>
      <c r="G479" s="64" t="n"/>
      <c r="H479" s="64" t="n"/>
      <c r="I479" s="64" t="n"/>
      <c r="J479" s="64" t="n"/>
      <c r="K479" s="64" t="n"/>
      <c r="L479" s="64" t="n"/>
      <c r="M479" s="64" t="n"/>
      <c r="N479" s="64" t="n"/>
      <c r="O479" s="64" t="n"/>
    </row>
    <row r="480" outlineLevel="1" ht="18" customHeight="1">
      <c r="A480" s="109" t="inlineStr">
        <is>
          <t xml:space="preserve">   Lot No. →</t>
        </is>
      </c>
      <c r="B480" s="110">
        <f>IF('Final Calculation Sheet'!$F$13="","",'Final Calculation Sheet'!$F$13)</f>
        <v/>
      </c>
      <c r="C480" s="110">
        <f>IF('Final Calculation Sheet'!$F$16="","",'Final Calculation Sheet'!$F$16)</f>
        <v/>
      </c>
      <c r="D480" s="110">
        <f>IF('Final Calculation Sheet'!$F$17="","",'Final Calculation Sheet'!$F$17)</f>
        <v/>
      </c>
      <c r="E480" s="110">
        <f>IF('Final Calculation Sheet'!$F$23="","",'Final Calculation Sheet'!$F$23)</f>
        <v/>
      </c>
      <c r="F480" s="110">
        <f>IF('Final Calculation Sheet'!$F$29="","",'Final Calculation Sheet'!$F$29)</f>
        <v/>
      </c>
      <c r="G480" s="110">
        <f>IF('Final Calculation Sheet'!$F$34="","",'Final Calculation Sheet'!$F$34)</f>
        <v/>
      </c>
      <c r="H480" s="110">
        <f>IF('Final Calculation Sheet'!$F$36="","",'Final Calculation Sheet'!$F$36)</f>
        <v/>
      </c>
      <c r="I480" s="111" t="n"/>
      <c r="J480" s="111" t="n"/>
      <c r="K480" s="111" t="n"/>
      <c r="L480" s="111" t="n"/>
      <c r="M480" s="111" t="n"/>
      <c r="N480" s="111" t="n"/>
      <c r="O480" s="112" t="inlineStr">
        <is>
          <t>TOTAL</t>
        </is>
      </c>
    </row>
    <row r="481" outlineLevel="1" ht="16" customHeight="1">
      <c r="A481" s="109" t="inlineStr">
        <is>
          <t xml:space="preserve">  ▸ LOT INFORMATION</t>
        </is>
      </c>
      <c r="B481" s="111" t="n"/>
      <c r="C481" s="111" t="n"/>
      <c r="D481" s="111" t="n"/>
      <c r="E481" s="111" t="n"/>
      <c r="F481" s="111" t="n"/>
      <c r="G481" s="111" t="n"/>
      <c r="H481" s="111" t="n"/>
      <c r="I481" s="111" t="n"/>
      <c r="J481" s="111" t="n"/>
      <c r="K481" s="111" t="n"/>
      <c r="L481" s="111" t="n"/>
      <c r="M481" s="111" t="n"/>
      <c r="N481" s="111" t="n"/>
      <c r="O481" s="111" t="n"/>
    </row>
    <row r="482" outlineLevel="2" ht="15" customHeight="1">
      <c r="A482" s="69" t="inlineStr">
        <is>
          <t xml:space="preserve">      Lot No.</t>
        </is>
      </c>
      <c r="B482" s="70">
        <f>IF('Final Calculation Sheet'!$F$13="","",'Final Calculation Sheet'!$F$13)</f>
        <v/>
      </c>
      <c r="C482" s="181">
        <f>IF('Final Calculation Sheet'!$F$16="","",'Final Calculation Sheet'!$F$16)</f>
        <v/>
      </c>
      <c r="D482" s="70">
        <f>IF('Final Calculation Sheet'!$F$17="","",'Final Calculation Sheet'!$F$17)</f>
        <v/>
      </c>
      <c r="E482" s="181">
        <f>IF('Final Calculation Sheet'!$F$23="","",'Final Calculation Sheet'!$F$23)</f>
        <v/>
      </c>
      <c r="F482" s="70">
        <f>IF('Final Calculation Sheet'!$F$29="","",'Final Calculation Sheet'!$F$29)</f>
        <v/>
      </c>
      <c r="G482" s="181">
        <f>IF('Final Calculation Sheet'!$F$34="","",'Final Calculation Sheet'!$F$34)</f>
        <v/>
      </c>
      <c r="H482" s="70">
        <f>IF('Final Calculation Sheet'!$F$36="","",'Final Calculation Sheet'!$F$36)</f>
        <v/>
      </c>
      <c r="I482" s="71" t="n"/>
      <c r="J482" s="71" t="n"/>
      <c r="K482" s="71" t="n"/>
      <c r="L482" s="71" t="n"/>
      <c r="M482" s="71" t="n"/>
      <c r="N482" s="71" t="n"/>
      <c r="O482" s="113" t="inlineStr">
        <is>
          <t>–</t>
        </is>
      </c>
    </row>
    <row r="483" outlineLevel="2" ht="60" customHeight="1">
      <c r="A483" s="69" t="inlineStr">
        <is>
          <t xml:space="preserve">      Lot Name</t>
        </is>
      </c>
      <c r="B483" s="73">
        <f>IF('Final Calculation Sheet'!$B$13="","",'Final Calculation Sheet'!$B$13)</f>
        <v/>
      </c>
      <c r="C483" s="182">
        <f>IF('Final Calculation Sheet'!$B$16="","",'Final Calculation Sheet'!$B$16)</f>
        <v/>
      </c>
      <c r="D483" s="73">
        <f>IF('Final Calculation Sheet'!$B$17="","",'Final Calculation Sheet'!$B$17)</f>
        <v/>
      </c>
      <c r="E483" s="182">
        <f>IF('Final Calculation Sheet'!$B$23="","",'Final Calculation Sheet'!$B$23)</f>
        <v/>
      </c>
      <c r="F483" s="73">
        <f>IF('Final Calculation Sheet'!$B$29="","",'Final Calculation Sheet'!$B$29)</f>
        <v/>
      </c>
      <c r="G483" s="182">
        <f>IF('Final Calculation Sheet'!$B$34="","",'Final Calculation Sheet'!$B$34)</f>
        <v/>
      </c>
      <c r="H483" s="73">
        <f>IF('Final Calculation Sheet'!$B$36="","",'Final Calculation Sheet'!$B$36)</f>
        <v/>
      </c>
      <c r="I483" s="71" t="n"/>
      <c r="J483" s="71" t="n"/>
      <c r="K483" s="71" t="n"/>
      <c r="L483" s="71" t="n"/>
      <c r="M483" s="71" t="n"/>
      <c r="N483" s="71" t="n"/>
      <c r="O483" s="113" t="inlineStr">
        <is>
          <t>–</t>
        </is>
      </c>
    </row>
    <row r="484" outlineLevel="2" ht="15" customHeight="1">
      <c r="A484" s="69" t="inlineStr">
        <is>
          <t xml:space="preserve">      Bid Sheet / Auction</t>
        </is>
      </c>
      <c r="B484" s="70">
        <f>IF('Final Calculation Sheet'!$D$13="","",'Final Calculation Sheet'!$D$13)</f>
        <v/>
      </c>
      <c r="C484" s="181">
        <f>IF('Final Calculation Sheet'!$D$16="","",'Final Calculation Sheet'!$D$16)</f>
        <v/>
      </c>
      <c r="D484" s="70">
        <f>IF('Final Calculation Sheet'!$D$17="","",'Final Calculation Sheet'!$D$17)</f>
        <v/>
      </c>
      <c r="E484" s="181">
        <f>IF('Final Calculation Sheet'!$D$23="","",'Final Calculation Sheet'!$D$23)</f>
        <v/>
      </c>
      <c r="F484" s="70">
        <f>IF('Final Calculation Sheet'!$D$29="","",'Final Calculation Sheet'!$D$29)</f>
        <v/>
      </c>
      <c r="G484" s="181">
        <f>IF('Final Calculation Sheet'!$D$34="","",'Final Calculation Sheet'!$D$34)</f>
        <v/>
      </c>
      <c r="H484" s="70">
        <f>IF('Final Calculation Sheet'!$D$36="","",'Final Calculation Sheet'!$D$36)</f>
        <v/>
      </c>
      <c r="I484" s="71" t="n"/>
      <c r="J484" s="71" t="n"/>
      <c r="K484" s="71" t="n"/>
      <c r="L484" s="71" t="n"/>
      <c r="M484" s="71" t="n"/>
      <c r="N484" s="71" t="n"/>
      <c r="O484" s="113" t="inlineStr">
        <is>
          <t>–</t>
        </is>
      </c>
    </row>
    <row r="485" outlineLevel="2" ht="15" customHeight="1">
      <c r="A485" s="69" t="inlineStr">
        <is>
          <t xml:space="preserve">      Quantity</t>
        </is>
      </c>
      <c r="B485" s="74">
        <f>IF('Final Calculation Sheet'!$A$13="","",'Final Calculation Sheet'!$A$13)</f>
        <v/>
      </c>
      <c r="C485" s="183">
        <f>IF('Final Calculation Sheet'!$A$16="","",'Final Calculation Sheet'!$A$16)</f>
        <v/>
      </c>
      <c r="D485" s="74">
        <f>IF('Final Calculation Sheet'!$A$17="","",'Final Calculation Sheet'!$A$17)</f>
        <v/>
      </c>
      <c r="E485" s="183">
        <f>IF('Final Calculation Sheet'!$A$23="","",'Final Calculation Sheet'!$A$23)</f>
        <v/>
      </c>
      <c r="F485" s="74">
        <f>IF('Final Calculation Sheet'!$A$29="","",'Final Calculation Sheet'!$A$29)</f>
        <v/>
      </c>
      <c r="G485" s="183">
        <f>IF('Final Calculation Sheet'!$A$34="","",'Final Calculation Sheet'!$A$34)</f>
        <v/>
      </c>
      <c r="H485" s="74">
        <f>IF('Final Calculation Sheet'!$A$36="","",'Final Calculation Sheet'!$A$36)</f>
        <v/>
      </c>
      <c r="I485" s="71" t="n"/>
      <c r="J485" s="71" t="n"/>
      <c r="K485" s="71" t="n"/>
      <c r="L485" s="71" t="n"/>
      <c r="M485" s="71" t="n"/>
      <c r="N485" s="71" t="n"/>
      <c r="O485" s="114">
        <f>SUM(B485:N485)</f>
        <v/>
      </c>
    </row>
    <row r="486" outlineLevel="2" ht="15" customHeight="1">
      <c r="A486" s="69" t="inlineStr">
        <is>
          <t xml:space="preserve">      Unit</t>
        </is>
      </c>
      <c r="B486" s="76">
        <f>IF('Final Calculation Sheet'!$E$13="","",'Final Calculation Sheet'!$E$13)</f>
        <v/>
      </c>
      <c r="C486" s="184">
        <f>IF('Final Calculation Sheet'!$E$16="","",'Final Calculation Sheet'!$E$16)</f>
        <v/>
      </c>
      <c r="D486" s="76">
        <f>IF('Final Calculation Sheet'!$E$17="","",'Final Calculation Sheet'!$E$17)</f>
        <v/>
      </c>
      <c r="E486" s="184">
        <f>IF('Final Calculation Sheet'!$E$23="","",'Final Calculation Sheet'!$E$23)</f>
        <v/>
      </c>
      <c r="F486" s="76">
        <f>IF('Final Calculation Sheet'!$E$29="","",'Final Calculation Sheet'!$E$29)</f>
        <v/>
      </c>
      <c r="G486" s="184">
        <f>IF('Final Calculation Sheet'!$E$34="","",'Final Calculation Sheet'!$E$34)</f>
        <v/>
      </c>
      <c r="H486" s="76">
        <f>IF('Final Calculation Sheet'!$E$36="","",'Final Calculation Sheet'!$E$36)</f>
        <v/>
      </c>
      <c r="I486" s="71" t="n"/>
      <c r="J486" s="71" t="n"/>
      <c r="K486" s="71" t="n"/>
      <c r="L486" s="71" t="n"/>
      <c r="M486" s="71" t="n"/>
      <c r="N486" s="71" t="n"/>
      <c r="O486" s="113" t="inlineStr">
        <is>
          <t>–</t>
        </is>
      </c>
    </row>
    <row r="487" outlineLevel="2" ht="15" customHeight="1">
      <c r="A487" s="69" t="inlineStr">
        <is>
          <t xml:space="preserve">      Rate (₹)</t>
        </is>
      </c>
      <c r="B487" s="70">
        <f>IF('Final Calculation Sheet'!$C$13="","",'Final Calculation Sheet'!$C$13)</f>
        <v/>
      </c>
      <c r="C487" s="181">
        <f>IF('Final Calculation Sheet'!$C$16="","",'Final Calculation Sheet'!$C$16)</f>
        <v/>
      </c>
      <c r="D487" s="70">
        <f>IF('Final Calculation Sheet'!$C$17="","",'Final Calculation Sheet'!$C$17)</f>
        <v/>
      </c>
      <c r="E487" s="181">
        <f>IF('Final Calculation Sheet'!$C$23="","",'Final Calculation Sheet'!$C$23)</f>
        <v/>
      </c>
      <c r="F487" s="70">
        <f>IF('Final Calculation Sheet'!$C$29="","",'Final Calculation Sheet'!$C$29)</f>
        <v/>
      </c>
      <c r="G487" s="181">
        <f>IF('Final Calculation Sheet'!$C$34="","",'Final Calculation Sheet'!$C$34)</f>
        <v/>
      </c>
      <c r="H487" s="70">
        <f>IF('Final Calculation Sheet'!$C$36="","",'Final Calculation Sheet'!$C$36)</f>
        <v/>
      </c>
      <c r="I487" s="71" t="n"/>
      <c r="J487" s="71" t="n"/>
      <c r="K487" s="71" t="n"/>
      <c r="L487" s="71" t="n"/>
      <c r="M487" s="71" t="n"/>
      <c r="N487" s="71" t="n"/>
      <c r="O487" s="113" t="inlineStr">
        <is>
          <t>–</t>
        </is>
      </c>
    </row>
    <row r="488" outlineLevel="1" ht="16" customHeight="1">
      <c r="A488" s="109" t="inlineStr">
        <is>
          <t xml:space="preserve">  ▸ FINANCIALS</t>
        </is>
      </c>
      <c r="B488" s="111" t="n"/>
      <c r="C488" s="111" t="n"/>
      <c r="D488" s="111" t="n"/>
      <c r="E488" s="111" t="n"/>
      <c r="F488" s="111" t="n"/>
      <c r="G488" s="111" t="n"/>
      <c r="H488" s="111" t="n"/>
      <c r="I488" s="111" t="n"/>
      <c r="J488" s="111" t="n"/>
      <c r="K488" s="111" t="n"/>
      <c r="L488" s="111" t="n"/>
      <c r="M488" s="111" t="n"/>
      <c r="N488" s="111" t="n"/>
      <c r="O488" s="111" t="n"/>
    </row>
    <row r="489" outlineLevel="2" ht="15" customHeight="1">
      <c r="A489" s="69" t="inlineStr">
        <is>
          <t xml:space="preserve">      Mat. Value (₹)</t>
        </is>
      </c>
      <c r="B489" s="70">
        <f>IF('Final Calculation Sheet'!$H$13="","",'Final Calculation Sheet'!$H$13)</f>
        <v/>
      </c>
      <c r="C489" s="181">
        <f>IF('Final Calculation Sheet'!$H$16="","",'Final Calculation Sheet'!$H$16)</f>
        <v/>
      </c>
      <c r="D489" s="70">
        <f>IF('Final Calculation Sheet'!$H$17="","",'Final Calculation Sheet'!$H$17)</f>
        <v/>
      </c>
      <c r="E489" s="181">
        <f>IF('Final Calculation Sheet'!$H$23="","",'Final Calculation Sheet'!$H$23)</f>
        <v/>
      </c>
      <c r="F489" s="70">
        <f>IF('Final Calculation Sheet'!$H$29="","",'Final Calculation Sheet'!$H$29)</f>
        <v/>
      </c>
      <c r="G489" s="181">
        <f>IF('Final Calculation Sheet'!$H$34="","",'Final Calculation Sheet'!$H$34)</f>
        <v/>
      </c>
      <c r="H489" s="70">
        <f>IF('Final Calculation Sheet'!$H$36="","",'Final Calculation Sheet'!$H$36)</f>
        <v/>
      </c>
      <c r="I489" s="71" t="n"/>
      <c r="J489" s="71" t="n"/>
      <c r="K489" s="71" t="n"/>
      <c r="L489" s="71" t="n"/>
      <c r="M489" s="71" t="n"/>
      <c r="N489" s="71" t="n"/>
      <c r="O489" s="115">
        <f>SUM(B489:N489)</f>
        <v/>
      </c>
    </row>
    <row r="490" outlineLevel="2" ht="15" customHeight="1">
      <c r="A490" s="69" t="inlineStr">
        <is>
          <t xml:space="preserve">      GST @ 18% (₹)</t>
        </is>
      </c>
      <c r="B490" s="70">
        <f>IF('Final Calculation Sheet'!$I$13="","",'Final Calculation Sheet'!$I$13)</f>
        <v/>
      </c>
      <c r="C490" s="181">
        <f>IF('Final Calculation Sheet'!$I$16="","",'Final Calculation Sheet'!$I$16)</f>
        <v/>
      </c>
      <c r="D490" s="70">
        <f>IF('Final Calculation Sheet'!$I$17="","",'Final Calculation Sheet'!$I$17)</f>
        <v/>
      </c>
      <c r="E490" s="181">
        <f>IF('Final Calculation Sheet'!$I$23="","",'Final Calculation Sheet'!$I$23)</f>
        <v/>
      </c>
      <c r="F490" s="70">
        <f>IF('Final Calculation Sheet'!$I$29="","",'Final Calculation Sheet'!$I$29)</f>
        <v/>
      </c>
      <c r="G490" s="181">
        <f>IF('Final Calculation Sheet'!$I$34="","",'Final Calculation Sheet'!$I$34)</f>
        <v/>
      </c>
      <c r="H490" s="70">
        <f>IF('Final Calculation Sheet'!$I$36="","",'Final Calculation Sheet'!$I$36)</f>
        <v/>
      </c>
      <c r="I490" s="71" t="n"/>
      <c r="J490" s="71" t="n"/>
      <c r="K490" s="71" t="n"/>
      <c r="L490" s="71" t="n"/>
      <c r="M490" s="71" t="n"/>
      <c r="N490" s="71" t="n"/>
      <c r="O490" s="115">
        <f>SUM(B490:N490)</f>
        <v/>
      </c>
    </row>
    <row r="491" outlineLevel="2" ht="15" customHeight="1">
      <c r="A491" s="69" t="inlineStr">
        <is>
          <t xml:space="preserve">      Mat. Value + GST (₹)</t>
        </is>
      </c>
      <c r="B491" s="70">
        <f>IF('Final Calculation Sheet'!$J$13="","",'Final Calculation Sheet'!$J$13)</f>
        <v/>
      </c>
      <c r="C491" s="181">
        <f>IF('Final Calculation Sheet'!$J$16="","",'Final Calculation Sheet'!$J$16)</f>
        <v/>
      </c>
      <c r="D491" s="70">
        <f>IF('Final Calculation Sheet'!$J$17="","",'Final Calculation Sheet'!$J$17)</f>
        <v/>
      </c>
      <c r="E491" s="181">
        <f>IF('Final Calculation Sheet'!$J$23="","",'Final Calculation Sheet'!$J$23)</f>
        <v/>
      </c>
      <c r="F491" s="70">
        <f>IF('Final Calculation Sheet'!$J$29="","",'Final Calculation Sheet'!$J$29)</f>
        <v/>
      </c>
      <c r="G491" s="181">
        <f>IF('Final Calculation Sheet'!$J$34="","",'Final Calculation Sheet'!$J$34)</f>
        <v/>
      </c>
      <c r="H491" s="70">
        <f>IF('Final Calculation Sheet'!$J$36="","",'Final Calculation Sheet'!$J$36)</f>
        <v/>
      </c>
      <c r="I491" s="71" t="n"/>
      <c r="J491" s="71" t="n"/>
      <c r="K491" s="71" t="n"/>
      <c r="L491" s="71" t="n"/>
      <c r="M491" s="71" t="n"/>
      <c r="N491" s="71" t="n"/>
      <c r="O491" s="115">
        <f>SUM(B491:N491)</f>
        <v/>
      </c>
    </row>
    <row r="492" outlineLevel="2" ht="15" customHeight="1">
      <c r="A492" s="69" t="inlineStr">
        <is>
          <t xml:space="preserve">      TCS @ 2% (₹)</t>
        </is>
      </c>
      <c r="B492" s="70">
        <f>IF('Final Calculation Sheet'!$K$13="","",'Final Calculation Sheet'!$K$13)</f>
        <v/>
      </c>
      <c r="C492" s="181">
        <f>IF('Final Calculation Sheet'!$K$16="","",'Final Calculation Sheet'!$K$16)</f>
        <v/>
      </c>
      <c r="D492" s="70">
        <f>IF('Final Calculation Sheet'!$K$17="","",'Final Calculation Sheet'!$K$17)</f>
        <v/>
      </c>
      <c r="E492" s="181">
        <f>IF('Final Calculation Sheet'!$K$23="","",'Final Calculation Sheet'!$K$23)</f>
        <v/>
      </c>
      <c r="F492" s="70">
        <f>IF('Final Calculation Sheet'!$K$29="","",'Final Calculation Sheet'!$K$29)</f>
        <v/>
      </c>
      <c r="G492" s="181">
        <f>IF('Final Calculation Sheet'!$K$34="","",'Final Calculation Sheet'!$K$34)</f>
        <v/>
      </c>
      <c r="H492" s="70">
        <f>IF('Final Calculation Sheet'!$K$36="","",'Final Calculation Sheet'!$K$36)</f>
        <v/>
      </c>
      <c r="I492" s="71" t="n"/>
      <c r="J492" s="71" t="n"/>
      <c r="K492" s="71" t="n"/>
      <c r="L492" s="71" t="n"/>
      <c r="M492" s="71" t="n"/>
      <c r="N492" s="71" t="n"/>
      <c r="O492" s="115">
        <f>SUM(B492:N492)</f>
        <v/>
      </c>
    </row>
    <row r="493" outlineLevel="2" ht="15" customHeight="1">
      <c r="A493" s="69" t="inlineStr">
        <is>
          <t xml:space="preserve">      TDS u/s 194(O) (₹)</t>
        </is>
      </c>
      <c r="B493" s="78">
        <f>IF('Final Calculation Sheet'!$L$13="","",'Final Calculation Sheet'!$L$13)</f>
        <v/>
      </c>
      <c r="C493" s="185">
        <f>IF('Final Calculation Sheet'!$L$16="","",'Final Calculation Sheet'!$L$16)</f>
        <v/>
      </c>
      <c r="D493" s="78">
        <f>IF('Final Calculation Sheet'!$L$17="","",'Final Calculation Sheet'!$L$17)</f>
        <v/>
      </c>
      <c r="E493" s="185">
        <f>IF('Final Calculation Sheet'!$L$23="","",'Final Calculation Sheet'!$L$23)</f>
        <v/>
      </c>
      <c r="F493" s="78">
        <f>IF('Final Calculation Sheet'!$L$29="","",'Final Calculation Sheet'!$L$29)</f>
        <v/>
      </c>
      <c r="G493" s="185">
        <f>IF('Final Calculation Sheet'!$L$34="","",'Final Calculation Sheet'!$L$34)</f>
        <v/>
      </c>
      <c r="H493" s="78">
        <f>IF('Final Calculation Sheet'!$L$36="","",'Final Calculation Sheet'!$L$36)</f>
        <v/>
      </c>
      <c r="I493" s="71" t="n"/>
      <c r="J493" s="71" t="n"/>
      <c r="K493" s="71" t="n"/>
      <c r="L493" s="71" t="n"/>
      <c r="M493" s="71" t="n"/>
      <c r="N493" s="71" t="n"/>
      <c r="O493" s="116">
        <f>SUM(B493:N493)</f>
        <v/>
      </c>
    </row>
    <row r="494" outlineLevel="2" ht="15" customHeight="1">
      <c r="A494" s="69" t="inlineStr">
        <is>
          <t xml:space="preserve">      Service Charge gross (₹)</t>
        </is>
      </c>
      <c r="B494" s="78">
        <f>IF('Final Calculation Sheet'!$M$13="","",'Final Calculation Sheet'!$M$13)</f>
        <v/>
      </c>
      <c r="C494" s="185">
        <f>IF('Final Calculation Sheet'!$M$16="","",'Final Calculation Sheet'!$M$16)</f>
        <v/>
      </c>
      <c r="D494" s="78">
        <f>IF('Final Calculation Sheet'!$M$17="","",'Final Calculation Sheet'!$M$17)</f>
        <v/>
      </c>
      <c r="E494" s="185">
        <f>IF('Final Calculation Sheet'!$M$23="","",'Final Calculation Sheet'!$M$23)</f>
        <v/>
      </c>
      <c r="F494" s="78">
        <f>IF('Final Calculation Sheet'!$M$29="","",'Final Calculation Sheet'!$M$29)</f>
        <v/>
      </c>
      <c r="G494" s="185">
        <f>IF('Final Calculation Sheet'!$M$34="","",'Final Calculation Sheet'!$M$34)</f>
        <v/>
      </c>
      <c r="H494" s="78">
        <f>IF('Final Calculation Sheet'!$M$36="","",'Final Calculation Sheet'!$M$36)</f>
        <v/>
      </c>
      <c r="I494" s="71" t="n"/>
      <c r="J494" s="71" t="n"/>
      <c r="K494" s="71" t="n"/>
      <c r="L494" s="71" t="n"/>
      <c r="M494" s="71" t="n"/>
      <c r="N494" s="71" t="n"/>
      <c r="O494" s="116">
        <f>SUM(B494:N494)</f>
        <v/>
      </c>
    </row>
    <row r="495" outlineLevel="2" ht="15" customHeight="1">
      <c r="A495" s="69" t="inlineStr">
        <is>
          <t xml:space="preserve">      TDS u/s 194(H) (₹)</t>
        </is>
      </c>
      <c r="B495" s="78">
        <f>IF('Final Calculation Sheet'!$N$13="","",'Final Calculation Sheet'!$N$13)</f>
        <v/>
      </c>
      <c r="C495" s="185">
        <f>IF('Final Calculation Sheet'!$N$16="","",'Final Calculation Sheet'!$N$16)</f>
        <v/>
      </c>
      <c r="D495" s="78">
        <f>IF('Final Calculation Sheet'!$N$17="","",'Final Calculation Sheet'!$N$17)</f>
        <v/>
      </c>
      <c r="E495" s="185">
        <f>IF('Final Calculation Sheet'!$N$23="","",'Final Calculation Sheet'!$N$23)</f>
        <v/>
      </c>
      <c r="F495" s="78">
        <f>IF('Final Calculation Sheet'!$N$29="","",'Final Calculation Sheet'!$N$29)</f>
        <v/>
      </c>
      <c r="G495" s="185">
        <f>IF('Final Calculation Sheet'!$N$34="","",'Final Calculation Sheet'!$N$34)</f>
        <v/>
      </c>
      <c r="H495" s="78">
        <f>IF('Final Calculation Sheet'!$N$36="","",'Final Calculation Sheet'!$N$36)</f>
        <v/>
      </c>
      <c r="I495" s="71" t="n"/>
      <c r="J495" s="71" t="n"/>
      <c r="K495" s="71" t="n"/>
      <c r="L495" s="71" t="n"/>
      <c r="M495" s="71" t="n"/>
      <c r="N495" s="71" t="n"/>
      <c r="O495" s="116">
        <f>SUM(B495:N495)</f>
        <v/>
      </c>
    </row>
    <row r="496" outlineLevel="2" ht="15" customHeight="1">
      <c r="A496" s="69" t="inlineStr">
        <is>
          <t xml:space="preserve">      Net Service Charge (₹)</t>
        </is>
      </c>
      <c r="B496" s="78">
        <f>IF('Final Calculation Sheet'!$O$13="","",'Final Calculation Sheet'!$O$13)</f>
        <v/>
      </c>
      <c r="C496" s="185">
        <f>IF('Final Calculation Sheet'!$O$16="","",'Final Calculation Sheet'!$O$16)</f>
        <v/>
      </c>
      <c r="D496" s="78">
        <f>IF('Final Calculation Sheet'!$O$17="","",'Final Calculation Sheet'!$O$17)</f>
        <v/>
      </c>
      <c r="E496" s="185">
        <f>IF('Final Calculation Sheet'!$O$23="","",'Final Calculation Sheet'!$O$23)</f>
        <v/>
      </c>
      <c r="F496" s="78">
        <f>IF('Final Calculation Sheet'!$O$29="","",'Final Calculation Sheet'!$O$29)</f>
        <v/>
      </c>
      <c r="G496" s="185">
        <f>IF('Final Calculation Sheet'!$O$34="","",'Final Calculation Sheet'!$O$34)</f>
        <v/>
      </c>
      <c r="H496" s="78">
        <f>IF('Final Calculation Sheet'!$O$36="","",'Final Calculation Sheet'!$O$36)</f>
        <v/>
      </c>
      <c r="I496" s="71" t="n"/>
      <c r="J496" s="71" t="n"/>
      <c r="K496" s="71" t="n"/>
      <c r="L496" s="71" t="n"/>
      <c r="M496" s="71" t="n"/>
      <c r="N496" s="71" t="n"/>
      <c r="O496" s="116">
        <f>SUM(B496:N496)</f>
        <v/>
      </c>
    </row>
    <row r="497" outlineLevel="2" ht="15" customHeight="1">
      <c r="A497" s="69" t="inlineStr">
        <is>
          <t xml:space="preserve">      Svc Charge to MSTC (₹)</t>
        </is>
      </c>
      <c r="B497" s="70">
        <f>IF('Final Calculation Sheet'!$P$13="","",'Final Calculation Sheet'!$P$13)</f>
        <v/>
      </c>
      <c r="C497" s="181">
        <f>IF('Final Calculation Sheet'!$P$16="","",'Final Calculation Sheet'!$P$16)</f>
        <v/>
      </c>
      <c r="D497" s="70">
        <f>IF('Final Calculation Sheet'!$P$17="","",'Final Calculation Sheet'!$P$17)</f>
        <v/>
      </c>
      <c r="E497" s="181">
        <f>IF('Final Calculation Sheet'!$P$23="","",'Final Calculation Sheet'!$P$23)</f>
        <v/>
      </c>
      <c r="F497" s="70">
        <f>IF('Final Calculation Sheet'!$P$29="","",'Final Calculation Sheet'!$P$29)</f>
        <v/>
      </c>
      <c r="G497" s="181">
        <f>IF('Final Calculation Sheet'!$P$34="","",'Final Calculation Sheet'!$P$34)</f>
        <v/>
      </c>
      <c r="H497" s="70">
        <f>IF('Final Calculation Sheet'!$P$36="","",'Final Calculation Sheet'!$P$36)</f>
        <v/>
      </c>
      <c r="I497" s="71" t="n"/>
      <c r="J497" s="71" t="n"/>
      <c r="K497" s="71" t="n"/>
      <c r="L497" s="71" t="n"/>
      <c r="M497" s="71" t="n"/>
      <c r="N497" s="71" t="n"/>
      <c r="O497" s="115">
        <f>SUM(B497:N497)</f>
        <v/>
      </c>
    </row>
    <row r="498" outlineLevel="2" ht="15" customHeight="1">
      <c r="A498" s="69" t="inlineStr">
        <is>
          <t xml:space="preserve">      GST TDS Rate</t>
        </is>
      </c>
      <c r="B498" s="80">
        <f>IF('Final Calculation Sheet'!$Q$13="","",'Final Calculation Sheet'!$Q$13)</f>
        <v/>
      </c>
      <c r="C498" s="186">
        <f>IF('Final Calculation Sheet'!$Q$16="","",'Final Calculation Sheet'!$Q$16)</f>
        <v/>
      </c>
      <c r="D498" s="80">
        <f>IF('Final Calculation Sheet'!$Q$17="","",'Final Calculation Sheet'!$Q$17)</f>
        <v/>
      </c>
      <c r="E498" s="186">
        <f>IF('Final Calculation Sheet'!$Q$23="","",'Final Calculation Sheet'!$Q$23)</f>
        <v/>
      </c>
      <c r="F498" s="80">
        <f>IF('Final Calculation Sheet'!$Q$29="","",'Final Calculation Sheet'!$Q$29)</f>
        <v/>
      </c>
      <c r="G498" s="186">
        <f>IF('Final Calculation Sheet'!$Q$34="","",'Final Calculation Sheet'!$Q$34)</f>
        <v/>
      </c>
      <c r="H498" s="80">
        <f>IF('Final Calculation Sheet'!$Q$36="","",'Final Calculation Sheet'!$Q$36)</f>
        <v/>
      </c>
      <c r="I498" s="71" t="n"/>
      <c r="J498" s="71" t="n"/>
      <c r="K498" s="71" t="n"/>
      <c r="L498" s="71" t="n"/>
      <c r="M498" s="71" t="n"/>
      <c r="N498" s="71" t="n"/>
      <c r="O498" s="113" t="inlineStr">
        <is>
          <t>–</t>
        </is>
      </c>
    </row>
    <row r="499" outlineLevel="2" ht="15" customHeight="1">
      <c r="A499" s="69" t="inlineStr">
        <is>
          <t xml:space="preserve">      GST TDS (₹)</t>
        </is>
      </c>
      <c r="B499" s="70">
        <f>IF('Final Calculation Sheet'!$R$13="","",'Final Calculation Sheet'!$R$13)</f>
        <v/>
      </c>
      <c r="C499" s="181">
        <f>IF('Final Calculation Sheet'!$R$16="","",'Final Calculation Sheet'!$R$16)</f>
        <v/>
      </c>
      <c r="D499" s="70">
        <f>IF('Final Calculation Sheet'!$R$17="","",'Final Calculation Sheet'!$R$17)</f>
        <v/>
      </c>
      <c r="E499" s="181">
        <f>IF('Final Calculation Sheet'!$R$23="","",'Final Calculation Sheet'!$R$23)</f>
        <v/>
      </c>
      <c r="F499" s="70">
        <f>IF('Final Calculation Sheet'!$R$29="","",'Final Calculation Sheet'!$R$29)</f>
        <v/>
      </c>
      <c r="G499" s="181">
        <f>IF('Final Calculation Sheet'!$R$34="","",'Final Calculation Sheet'!$R$34)</f>
        <v/>
      </c>
      <c r="H499" s="70">
        <f>IF('Final Calculation Sheet'!$R$36="","",'Final Calculation Sheet'!$R$36)</f>
        <v/>
      </c>
      <c r="I499" s="71" t="n"/>
      <c r="J499" s="71" t="n"/>
      <c r="K499" s="71" t="n"/>
      <c r="L499" s="71" t="n"/>
      <c r="M499" s="71" t="n"/>
      <c r="N499" s="71" t="n"/>
      <c r="O499" s="115">
        <f>SUM(B499:N499)</f>
        <v/>
      </c>
    </row>
    <row r="500" outlineLevel="2" ht="15" customHeight="1">
      <c r="A500" s="69" t="inlineStr">
        <is>
          <t xml:space="preserve">      Total Receivables (₹)</t>
        </is>
      </c>
      <c r="B500" s="70">
        <f>IF('Final Calculation Sheet'!$S$13="","",'Final Calculation Sheet'!$S$13)</f>
        <v/>
      </c>
      <c r="C500" s="181">
        <f>IF('Final Calculation Sheet'!$S$16="","",'Final Calculation Sheet'!$S$16)</f>
        <v/>
      </c>
      <c r="D500" s="70">
        <f>IF('Final Calculation Sheet'!$S$17="","",'Final Calculation Sheet'!$S$17)</f>
        <v/>
      </c>
      <c r="E500" s="181">
        <f>IF('Final Calculation Sheet'!$S$23="","",'Final Calculation Sheet'!$S$23)</f>
        <v/>
      </c>
      <c r="F500" s="70">
        <f>IF('Final Calculation Sheet'!$S$29="","",'Final Calculation Sheet'!$S$29)</f>
        <v/>
      </c>
      <c r="G500" s="181">
        <f>IF('Final Calculation Sheet'!$S$34="","",'Final Calculation Sheet'!$S$34)</f>
        <v/>
      </c>
      <c r="H500" s="70">
        <f>IF('Final Calculation Sheet'!$S$36="","",'Final Calculation Sheet'!$S$36)</f>
        <v/>
      </c>
      <c r="I500" s="71" t="n"/>
      <c r="J500" s="71" t="n"/>
      <c r="K500" s="71" t="n"/>
      <c r="L500" s="71" t="n"/>
      <c r="M500" s="71" t="n"/>
      <c r="N500" s="71" t="n"/>
      <c r="O500" s="115">
        <f>SUM(B500:N500)</f>
        <v/>
      </c>
    </row>
    <row r="501" outlineLevel="1" ht="16" customHeight="1">
      <c r="A501" s="109" t="inlineStr">
        <is>
          <t xml:space="preserve">  ▸ SECURITY DEPOSIT</t>
        </is>
      </c>
      <c r="B501" s="111" t="n"/>
      <c r="C501" s="111" t="n"/>
      <c r="D501" s="111" t="n"/>
      <c r="E501" s="111" t="n"/>
      <c r="F501" s="111" t="n"/>
      <c r="G501" s="111" t="n"/>
      <c r="H501" s="111" t="n"/>
      <c r="I501" s="111" t="n"/>
      <c r="J501" s="111" t="n"/>
      <c r="K501" s="111" t="n"/>
      <c r="L501" s="111" t="n"/>
      <c r="M501" s="111" t="n"/>
      <c r="N501" s="111" t="n"/>
      <c r="O501" s="111" t="n"/>
    </row>
    <row r="502" outlineLevel="2" ht="15" customHeight="1">
      <c r="A502" s="69" t="inlineStr">
        <is>
          <t xml:space="preserve">      SD Expected (₹)</t>
        </is>
      </c>
      <c r="B502" s="70">
        <f>IF('Final Calculation Sheet'!$T$13="","",'Final Calculation Sheet'!$T$13)</f>
        <v/>
      </c>
      <c r="C502" s="181">
        <f>IF('Final Calculation Sheet'!$T$16="","",'Final Calculation Sheet'!$T$16)</f>
        <v/>
      </c>
      <c r="D502" s="70">
        <f>IF('Final Calculation Sheet'!$T$17="","",'Final Calculation Sheet'!$T$17)</f>
        <v/>
      </c>
      <c r="E502" s="181">
        <f>IF('Final Calculation Sheet'!$T$23="","",'Final Calculation Sheet'!$T$23)</f>
        <v/>
      </c>
      <c r="F502" s="70">
        <f>IF('Final Calculation Sheet'!$T$29="","",'Final Calculation Sheet'!$T$29)</f>
        <v/>
      </c>
      <c r="G502" s="181">
        <f>IF('Final Calculation Sheet'!$T$34="","",'Final Calculation Sheet'!$T$34)</f>
        <v/>
      </c>
      <c r="H502" s="70">
        <f>IF('Final Calculation Sheet'!$T$36="","",'Final Calculation Sheet'!$T$36)</f>
        <v/>
      </c>
      <c r="I502" s="71" t="n"/>
      <c r="J502" s="71" t="n"/>
      <c r="K502" s="71" t="n"/>
      <c r="L502" s="71" t="n"/>
      <c r="M502" s="71" t="n"/>
      <c r="N502" s="71" t="n"/>
      <c r="O502" s="115">
        <f>SUM(B502:N502)</f>
        <v/>
      </c>
    </row>
    <row r="503" outlineLevel="2" ht="15" customHeight="1">
      <c r="A503" s="69" t="inlineStr">
        <is>
          <t xml:space="preserve">      SD Received (₹)</t>
        </is>
      </c>
      <c r="B503" s="70">
        <f>IF('Final Calculation Sheet'!$U$13="","",'Final Calculation Sheet'!$U$13)</f>
        <v/>
      </c>
      <c r="C503" s="181">
        <f>IF('Final Calculation Sheet'!$U$16="","",'Final Calculation Sheet'!$U$16)</f>
        <v/>
      </c>
      <c r="D503" s="70">
        <f>IF('Final Calculation Sheet'!$U$17="","",'Final Calculation Sheet'!$U$17)</f>
        <v/>
      </c>
      <c r="E503" s="181">
        <f>IF('Final Calculation Sheet'!$U$23="","",'Final Calculation Sheet'!$U$23)</f>
        <v/>
      </c>
      <c r="F503" s="70">
        <f>IF('Final Calculation Sheet'!$U$29="","",'Final Calculation Sheet'!$U$29)</f>
        <v/>
      </c>
      <c r="G503" s="181">
        <f>IF('Final Calculation Sheet'!$U$34="","",'Final Calculation Sheet'!$U$34)</f>
        <v/>
      </c>
      <c r="H503" s="70">
        <f>IF('Final Calculation Sheet'!$U$36="","",'Final Calculation Sheet'!$U$36)</f>
        <v/>
      </c>
      <c r="I503" s="71" t="n"/>
      <c r="J503" s="71" t="n"/>
      <c r="K503" s="71" t="n"/>
      <c r="L503" s="71" t="n"/>
      <c r="M503" s="71" t="n"/>
      <c r="N503" s="71" t="n"/>
      <c r="O503" s="115">
        <f>SUM(B503:N503)</f>
        <v/>
      </c>
    </row>
    <row r="504" outlineLevel="2" ht="15" customHeight="1">
      <c r="A504" s="69" t="inlineStr">
        <is>
          <t xml:space="preserve">      SD Receipt Date</t>
        </is>
      </c>
      <c r="B504" s="76">
        <f>IF('Final Calculation Sheet'!$V$13="","",'Final Calculation Sheet'!$V$13)</f>
        <v/>
      </c>
      <c r="C504" s="184">
        <f>IF('Final Calculation Sheet'!$V$16="","",'Final Calculation Sheet'!$V$16)</f>
        <v/>
      </c>
      <c r="D504" s="76">
        <f>IF('Final Calculation Sheet'!$V$17="","",'Final Calculation Sheet'!$V$17)</f>
        <v/>
      </c>
      <c r="E504" s="184">
        <f>IF('Final Calculation Sheet'!$V$23="","",'Final Calculation Sheet'!$V$23)</f>
        <v/>
      </c>
      <c r="F504" s="76">
        <f>IF('Final Calculation Sheet'!$V$29="","",'Final Calculation Sheet'!$V$29)</f>
        <v/>
      </c>
      <c r="G504" s="184">
        <f>IF('Final Calculation Sheet'!$V$34="","",'Final Calculation Sheet'!$V$34)</f>
        <v/>
      </c>
      <c r="H504" s="76">
        <f>IF('Final Calculation Sheet'!$V$36="","",'Final Calculation Sheet'!$V$36)</f>
        <v/>
      </c>
      <c r="I504" s="71" t="n"/>
      <c r="J504" s="71" t="n"/>
      <c r="K504" s="71" t="n"/>
      <c r="L504" s="71" t="n"/>
      <c r="M504" s="71" t="n"/>
      <c r="N504" s="71" t="n"/>
      <c r="O504" s="113" t="inlineStr">
        <is>
          <t>–</t>
        </is>
      </c>
    </row>
    <row r="505" outlineLevel="1" ht="16" customHeight="1">
      <c r="A505" s="109" t="inlineStr">
        <is>
          <t xml:space="preserve">  ▸ FINAL PAYMENT</t>
        </is>
      </c>
      <c r="B505" s="111" t="n"/>
      <c r="C505" s="111" t="n"/>
      <c r="D505" s="111" t="n"/>
      <c r="E505" s="111" t="n"/>
      <c r="F505" s="111" t="n"/>
      <c r="G505" s="111" t="n"/>
      <c r="H505" s="111" t="n"/>
      <c r="I505" s="111" t="n"/>
      <c r="J505" s="111" t="n"/>
      <c r="K505" s="111" t="n"/>
      <c r="L505" s="111" t="n"/>
      <c r="M505" s="111" t="n"/>
      <c r="N505" s="111" t="n"/>
      <c r="O505" s="111" t="n"/>
    </row>
    <row r="506" outlineLevel="2" ht="15" customHeight="1">
      <c r="A506" s="69" t="inlineStr">
        <is>
          <t xml:space="preserve">      FP Expected (₹)</t>
        </is>
      </c>
      <c r="B506" s="70">
        <f>IF('Final Calculation Sheet'!$W$13="","",'Final Calculation Sheet'!$W$13)</f>
        <v/>
      </c>
      <c r="C506" s="181">
        <f>IF('Final Calculation Sheet'!$W$16="","",'Final Calculation Sheet'!$W$16)</f>
        <v/>
      </c>
      <c r="D506" s="70">
        <f>IF('Final Calculation Sheet'!$W$17="","",'Final Calculation Sheet'!$W$17)</f>
        <v/>
      </c>
      <c r="E506" s="181">
        <f>IF('Final Calculation Sheet'!$W$23="","",'Final Calculation Sheet'!$W$23)</f>
        <v/>
      </c>
      <c r="F506" s="70">
        <f>IF('Final Calculation Sheet'!$W$29="","",'Final Calculation Sheet'!$W$29)</f>
        <v/>
      </c>
      <c r="G506" s="181">
        <f>IF('Final Calculation Sheet'!$W$34="","",'Final Calculation Sheet'!$W$34)</f>
        <v/>
      </c>
      <c r="H506" s="70">
        <f>IF('Final Calculation Sheet'!$W$36="","",'Final Calculation Sheet'!$W$36)</f>
        <v/>
      </c>
      <c r="I506" s="71" t="n"/>
      <c r="J506" s="71" t="n"/>
      <c r="K506" s="71" t="n"/>
      <c r="L506" s="71" t="n"/>
      <c r="M506" s="71" t="n"/>
      <c r="N506" s="71" t="n"/>
      <c r="O506" s="115">
        <f>SUM(B506:N506)</f>
        <v/>
      </c>
    </row>
    <row r="507" outlineLevel="2" ht="15" customHeight="1">
      <c r="A507" s="69" t="inlineStr">
        <is>
          <t xml:space="preserve">      FP Received (₹)</t>
        </is>
      </c>
      <c r="B507" s="70">
        <f>IF('Final Calculation Sheet'!$X$13="","",'Final Calculation Sheet'!$X$13)</f>
        <v/>
      </c>
      <c r="C507" s="181">
        <f>IF('Final Calculation Sheet'!$X$16="","",'Final Calculation Sheet'!$X$16)</f>
        <v/>
      </c>
      <c r="D507" s="70">
        <f>IF('Final Calculation Sheet'!$X$17="","",'Final Calculation Sheet'!$X$17)</f>
        <v/>
      </c>
      <c r="E507" s="181">
        <f>IF('Final Calculation Sheet'!$X$23="","",'Final Calculation Sheet'!$X$23)</f>
        <v/>
      </c>
      <c r="F507" s="70">
        <f>IF('Final Calculation Sheet'!$X$29="","",'Final Calculation Sheet'!$X$29)</f>
        <v/>
      </c>
      <c r="G507" s="181">
        <f>IF('Final Calculation Sheet'!$X$34="","",'Final Calculation Sheet'!$X$34)</f>
        <v/>
      </c>
      <c r="H507" s="70">
        <f>IF('Final Calculation Sheet'!$X$36="","",'Final Calculation Sheet'!$X$36)</f>
        <v/>
      </c>
      <c r="I507" s="71" t="n"/>
      <c r="J507" s="71" t="n"/>
      <c r="K507" s="71" t="n"/>
      <c r="L507" s="71" t="n"/>
      <c r="M507" s="71" t="n"/>
      <c r="N507" s="71" t="n"/>
      <c r="O507" s="115">
        <f>SUM(B507:N507)</f>
        <v/>
      </c>
    </row>
    <row r="508" outlineLevel="2" ht="15" customHeight="1">
      <c r="A508" s="69" t="inlineStr">
        <is>
          <t xml:space="preserve">      FP Receipt Date</t>
        </is>
      </c>
      <c r="B508" s="76">
        <f>IF('Final Calculation Sheet'!$Y$13="","",'Final Calculation Sheet'!$Y$13)</f>
        <v/>
      </c>
      <c r="C508" s="184">
        <f>IF('Final Calculation Sheet'!$Y$16="","",'Final Calculation Sheet'!$Y$16)</f>
        <v/>
      </c>
      <c r="D508" s="76">
        <f>IF('Final Calculation Sheet'!$Y$17="","",'Final Calculation Sheet'!$Y$17)</f>
        <v/>
      </c>
      <c r="E508" s="184">
        <f>IF('Final Calculation Sheet'!$Y$23="","",'Final Calculation Sheet'!$Y$23)</f>
        <v/>
      </c>
      <c r="F508" s="76">
        <f>IF('Final Calculation Sheet'!$Y$29="","",'Final Calculation Sheet'!$Y$29)</f>
        <v/>
      </c>
      <c r="G508" s="184">
        <f>IF('Final Calculation Sheet'!$Y$34="","",'Final Calculation Sheet'!$Y$34)</f>
        <v/>
      </c>
      <c r="H508" s="76">
        <f>IF('Final Calculation Sheet'!$Y$36="","",'Final Calculation Sheet'!$Y$36)</f>
        <v/>
      </c>
      <c r="I508" s="71" t="n"/>
      <c r="J508" s="71" t="n"/>
      <c r="K508" s="71" t="n"/>
      <c r="L508" s="71" t="n"/>
      <c r="M508" s="71" t="n"/>
      <c r="N508" s="71" t="n"/>
      <c r="O508" s="113" t="inlineStr">
        <is>
          <t>–</t>
        </is>
      </c>
    </row>
    <row r="509" outlineLevel="1" ht="16" customHeight="1">
      <c r="A509" s="109" t="inlineStr">
        <is>
          <t xml:space="preserve">  ▸ LPP</t>
        </is>
      </c>
      <c r="B509" s="111" t="n"/>
      <c r="C509" s="111" t="n"/>
      <c r="D509" s="111" t="n"/>
      <c r="E509" s="111" t="n"/>
      <c r="F509" s="111" t="n"/>
      <c r="G509" s="111" t="n"/>
      <c r="H509" s="111" t="n"/>
      <c r="I509" s="111" t="n"/>
      <c r="J509" s="111" t="n"/>
      <c r="K509" s="111" t="n"/>
      <c r="L509" s="111" t="n"/>
      <c r="M509" s="111" t="n"/>
      <c r="N509" s="111" t="n"/>
      <c r="O509" s="111" t="n"/>
    </row>
    <row r="510" outlineLevel="2" ht="15" customHeight="1">
      <c r="A510" s="69" t="inlineStr">
        <is>
          <t xml:space="preserve">      LPP Expected (₹)</t>
        </is>
      </c>
      <c r="B510" s="70">
        <f>IF('Final Calculation Sheet'!$Z$13="","",'Final Calculation Sheet'!$Z$13)</f>
        <v/>
      </c>
      <c r="C510" s="181">
        <f>IF('Final Calculation Sheet'!$Z$16="","",'Final Calculation Sheet'!$Z$16)</f>
        <v/>
      </c>
      <c r="D510" s="70">
        <f>IF('Final Calculation Sheet'!$Z$17="","",'Final Calculation Sheet'!$Z$17)</f>
        <v/>
      </c>
      <c r="E510" s="181">
        <f>IF('Final Calculation Sheet'!$Z$23="","",'Final Calculation Sheet'!$Z$23)</f>
        <v/>
      </c>
      <c r="F510" s="70">
        <f>IF('Final Calculation Sheet'!$Z$29="","",'Final Calculation Sheet'!$Z$29)</f>
        <v/>
      </c>
      <c r="G510" s="181">
        <f>IF('Final Calculation Sheet'!$Z$34="","",'Final Calculation Sheet'!$Z$34)</f>
        <v/>
      </c>
      <c r="H510" s="70">
        <f>IF('Final Calculation Sheet'!$Z$36="","",'Final Calculation Sheet'!$Z$36)</f>
        <v/>
      </c>
      <c r="I510" s="71" t="n"/>
      <c r="J510" s="71" t="n"/>
      <c r="K510" s="71" t="n"/>
      <c r="L510" s="71" t="n"/>
      <c r="M510" s="71" t="n"/>
      <c r="N510" s="71" t="n"/>
      <c r="O510" s="115">
        <f>SUM(B510:N510)</f>
        <v/>
      </c>
    </row>
    <row r="511" outlineLevel="2" ht="15" customHeight="1">
      <c r="A511" s="69" t="inlineStr">
        <is>
          <t xml:space="preserve">      LPP Received (₹)</t>
        </is>
      </c>
      <c r="B511" s="70">
        <f>IF('Final Calculation Sheet'!$AA$13="","",'Final Calculation Sheet'!$AA$13)</f>
        <v/>
      </c>
      <c r="C511" s="181">
        <f>IF('Final Calculation Sheet'!$AA$16="","",'Final Calculation Sheet'!$AA$16)</f>
        <v/>
      </c>
      <c r="D511" s="70">
        <f>IF('Final Calculation Sheet'!$AA$17="","",'Final Calculation Sheet'!$AA$17)</f>
        <v/>
      </c>
      <c r="E511" s="181">
        <f>IF('Final Calculation Sheet'!$AA$23="","",'Final Calculation Sheet'!$AA$23)</f>
        <v/>
      </c>
      <c r="F511" s="70">
        <f>IF('Final Calculation Sheet'!$AA$29="","",'Final Calculation Sheet'!$AA$29)</f>
        <v/>
      </c>
      <c r="G511" s="181">
        <f>IF('Final Calculation Sheet'!$AA$34="","",'Final Calculation Sheet'!$AA$34)</f>
        <v/>
      </c>
      <c r="H511" s="70">
        <f>IF('Final Calculation Sheet'!$AA$36="","",'Final Calculation Sheet'!$AA$36)</f>
        <v/>
      </c>
      <c r="I511" s="71" t="n"/>
      <c r="J511" s="71" t="n"/>
      <c r="K511" s="71" t="n"/>
      <c r="L511" s="71" t="n"/>
      <c r="M511" s="71" t="n"/>
      <c r="N511" s="71" t="n"/>
      <c r="O511" s="115">
        <f>SUM(B511:N511)</f>
        <v/>
      </c>
    </row>
    <row r="512" outlineLevel="2" ht="15" customHeight="1">
      <c r="A512" s="69" t="inlineStr">
        <is>
          <t xml:space="preserve">      LPP Receipt Date</t>
        </is>
      </c>
      <c r="B512" s="76">
        <f>IF('Final Calculation Sheet'!$AB$13="","",'Final Calculation Sheet'!$AB$13)</f>
        <v/>
      </c>
      <c r="C512" s="184">
        <f>IF('Final Calculation Sheet'!$AB$16="","",'Final Calculation Sheet'!$AB$16)</f>
        <v/>
      </c>
      <c r="D512" s="76">
        <f>IF('Final Calculation Sheet'!$AB$17="","",'Final Calculation Sheet'!$AB$17)</f>
        <v/>
      </c>
      <c r="E512" s="184">
        <f>IF('Final Calculation Sheet'!$AB$23="","",'Final Calculation Sheet'!$AB$23)</f>
        <v/>
      </c>
      <c r="F512" s="76">
        <f>IF('Final Calculation Sheet'!$AB$29="","",'Final Calculation Sheet'!$AB$29)</f>
        <v/>
      </c>
      <c r="G512" s="184">
        <f>IF('Final Calculation Sheet'!$AB$34="","",'Final Calculation Sheet'!$AB$34)</f>
        <v/>
      </c>
      <c r="H512" s="76">
        <f>IF('Final Calculation Sheet'!$AB$36="","",'Final Calculation Sheet'!$AB$36)</f>
        <v/>
      </c>
      <c r="I512" s="71" t="n"/>
      <c r="J512" s="71" t="n"/>
      <c r="K512" s="71" t="n"/>
      <c r="L512" s="71" t="n"/>
      <c r="M512" s="71" t="n"/>
      <c r="N512" s="71" t="n"/>
      <c r="O512" s="113" t="inlineStr">
        <is>
          <t>–</t>
        </is>
      </c>
    </row>
    <row r="513" outlineLevel="1" ht="16" customHeight="1">
      <c r="A513" s="109" t="inlineStr">
        <is>
          <t xml:space="preserve">  ▸ SUMMARY</t>
        </is>
      </c>
      <c r="B513" s="111" t="n"/>
      <c r="C513" s="111" t="n"/>
      <c r="D513" s="111" t="n"/>
      <c r="E513" s="111" t="n"/>
      <c r="F513" s="111" t="n"/>
      <c r="G513" s="111" t="n"/>
      <c r="H513" s="111" t="n"/>
      <c r="I513" s="111" t="n"/>
      <c r="J513" s="111" t="n"/>
      <c r="K513" s="111" t="n"/>
      <c r="L513" s="111" t="n"/>
      <c r="M513" s="111" t="n"/>
      <c r="N513" s="111" t="n"/>
      <c r="O513" s="111" t="n"/>
    </row>
    <row r="514" outlineLevel="2" ht="15" customHeight="1">
      <c r="A514" s="69" t="inlineStr">
        <is>
          <t xml:space="preserve">      Total Received (₹)</t>
        </is>
      </c>
      <c r="B514" s="70">
        <f>IF('Final Calculation Sheet'!$AC$13="","",'Final Calculation Sheet'!$AC$13)</f>
        <v/>
      </c>
      <c r="C514" s="181">
        <f>IF('Final Calculation Sheet'!$AC$16="","",'Final Calculation Sheet'!$AC$16)</f>
        <v/>
      </c>
      <c r="D514" s="70">
        <f>IF('Final Calculation Sheet'!$AC$17="","",'Final Calculation Sheet'!$AC$17)</f>
        <v/>
      </c>
      <c r="E514" s="181">
        <f>IF('Final Calculation Sheet'!$AC$23="","",'Final Calculation Sheet'!$AC$23)</f>
        <v/>
      </c>
      <c r="F514" s="70">
        <f>IF('Final Calculation Sheet'!$AC$29="","",'Final Calculation Sheet'!$AC$29)</f>
        <v/>
      </c>
      <c r="G514" s="181">
        <f>IF('Final Calculation Sheet'!$AC$34="","",'Final Calculation Sheet'!$AC$34)</f>
        <v/>
      </c>
      <c r="H514" s="70">
        <f>IF('Final Calculation Sheet'!$AC$36="","",'Final Calculation Sheet'!$AC$36)</f>
        <v/>
      </c>
      <c r="I514" s="71" t="n"/>
      <c r="J514" s="71" t="n"/>
      <c r="K514" s="71" t="n"/>
      <c r="L514" s="71" t="n"/>
      <c r="M514" s="71" t="n"/>
      <c r="N514" s="71" t="n"/>
      <c r="O514" s="115">
        <f>SUM(B514:N514)</f>
        <v/>
      </c>
    </row>
    <row r="515" outlineLevel="2" ht="15" customHeight="1">
      <c r="A515" s="69" t="inlineStr">
        <is>
          <t xml:space="preserve">      Outstanding (₹)</t>
        </is>
      </c>
      <c r="B515" s="70">
        <f>IF('Final Calculation Sheet'!$AD$13="","",'Final Calculation Sheet'!$AD$13)</f>
        <v/>
      </c>
      <c r="C515" s="181">
        <f>IF('Final Calculation Sheet'!$AD$16="","",'Final Calculation Sheet'!$AD$16)</f>
        <v/>
      </c>
      <c r="D515" s="70">
        <f>IF('Final Calculation Sheet'!$AD$17="","",'Final Calculation Sheet'!$AD$17)</f>
        <v/>
      </c>
      <c r="E515" s="181">
        <f>IF('Final Calculation Sheet'!$AD$23="","",'Final Calculation Sheet'!$AD$23)</f>
        <v/>
      </c>
      <c r="F515" s="70">
        <f>IF('Final Calculation Sheet'!$AD$29="","",'Final Calculation Sheet'!$AD$29)</f>
        <v/>
      </c>
      <c r="G515" s="181">
        <f>IF('Final Calculation Sheet'!$AD$34="","",'Final Calculation Sheet'!$AD$34)</f>
        <v/>
      </c>
      <c r="H515" s="70">
        <f>IF('Final Calculation Sheet'!$AD$36="","",'Final Calculation Sheet'!$AD$36)</f>
        <v/>
      </c>
      <c r="I515" s="71" t="n"/>
      <c r="J515" s="71" t="n"/>
      <c r="K515" s="71" t="n"/>
      <c r="L515" s="71" t="n"/>
      <c r="M515" s="71" t="n"/>
      <c r="N515" s="71" t="n"/>
      <c r="O515" s="115">
        <f>SUM(B515:N515)</f>
        <v/>
      </c>
    </row>
    <row r="516" outlineLevel="2" ht="15" customHeight="1">
      <c r="A516" s="69" t="inlineStr">
        <is>
          <t xml:space="preserve">      Payment Status</t>
        </is>
      </c>
      <c r="B516" s="81">
        <f>IF('Final Calculation Sheet'!$AD$13="","",IF('Final Calculation Sheet'!$AD$13&lt;=0,"SETTLED","OUTSTANDING"))</f>
        <v/>
      </c>
      <c r="C516" s="187">
        <f>IF('Final Calculation Sheet'!$AD$16="","",IF('Final Calculation Sheet'!$AD$16&lt;=0,"SETTLED","OUTSTANDING"))</f>
        <v/>
      </c>
      <c r="D516" s="81">
        <f>IF('Final Calculation Sheet'!$AD$17="","",IF('Final Calculation Sheet'!$AD$17&lt;=0,"SETTLED","OUTSTANDING"))</f>
        <v/>
      </c>
      <c r="E516" s="187">
        <f>IF('Final Calculation Sheet'!$AD$23="","",IF('Final Calculation Sheet'!$AD$23&lt;=0,"SETTLED","OUTSTANDING"))</f>
        <v/>
      </c>
      <c r="F516" s="81">
        <f>IF('Final Calculation Sheet'!$AD$29="","",IF('Final Calculation Sheet'!$AD$29&lt;=0,"SETTLED","OUTSTANDING"))</f>
        <v/>
      </c>
      <c r="G516" s="187">
        <f>IF('Final Calculation Sheet'!$AD$34="","",IF('Final Calculation Sheet'!$AD$34&lt;=0,"SETTLED","OUTSTANDING"))</f>
        <v/>
      </c>
      <c r="H516" s="81">
        <f>IF('Final Calculation Sheet'!$AD$36="","",IF('Final Calculation Sheet'!$AD$36&lt;=0,"SETTLED","OUTSTANDING"))</f>
        <v/>
      </c>
      <c r="I516" s="71" t="n"/>
      <c r="J516" s="71" t="n"/>
      <c r="K516" s="71" t="n"/>
      <c r="L516" s="71" t="n"/>
      <c r="M516" s="71" t="n"/>
      <c r="N516" s="71" t="n"/>
      <c r="O516" s="113" t="inlineStr">
        <is>
          <t>–</t>
        </is>
      </c>
    </row>
    <row r="517" outlineLevel="1" ht="16" customHeight="1">
      <c r="A517" s="109" t="inlineStr">
        <is>
          <t xml:space="preserve">  ▸ DOCUMENT</t>
        </is>
      </c>
      <c r="B517" s="111" t="n"/>
      <c r="C517" s="111" t="n"/>
      <c r="D517" s="111" t="n"/>
      <c r="E517" s="111" t="n"/>
      <c r="F517" s="111" t="n"/>
      <c r="G517" s="111" t="n"/>
      <c r="H517" s="111" t="n"/>
      <c r="I517" s="111" t="n"/>
      <c r="J517" s="111" t="n"/>
      <c r="K517" s="111" t="n"/>
      <c r="L517" s="111" t="n"/>
      <c r="M517" s="111" t="n"/>
      <c r="N517" s="111" t="n"/>
      <c r="O517" s="111" t="n"/>
    </row>
    <row r="518" outlineLevel="2" ht="15" customHeight="1">
      <c r="A518" s="69" t="inlineStr">
        <is>
          <t xml:space="preserve">      Invoice No.</t>
        </is>
      </c>
      <c r="B518" s="76">
        <f>IF('Final Calculation Sheet'!$AE$13="","",'Final Calculation Sheet'!$AE$13)</f>
        <v/>
      </c>
      <c r="C518" s="184">
        <f>IF('Final Calculation Sheet'!$AE$16="","",'Final Calculation Sheet'!$AE$16)</f>
        <v/>
      </c>
      <c r="D518" s="76">
        <f>IF('Final Calculation Sheet'!$AE$17="","",'Final Calculation Sheet'!$AE$17)</f>
        <v/>
      </c>
      <c r="E518" s="184">
        <f>IF('Final Calculation Sheet'!$AE$23="","",'Final Calculation Sheet'!$AE$23)</f>
        <v/>
      </c>
      <c r="F518" s="76">
        <f>IF('Final Calculation Sheet'!$AE$29="","",'Final Calculation Sheet'!$AE$29)</f>
        <v/>
      </c>
      <c r="G518" s="184">
        <f>IF('Final Calculation Sheet'!$AE$34="","",'Final Calculation Sheet'!$AE$34)</f>
        <v/>
      </c>
      <c r="H518" s="76">
        <f>IF('Final Calculation Sheet'!$AE$36="","",'Final Calculation Sheet'!$AE$36)</f>
        <v/>
      </c>
      <c r="I518" s="71" t="n"/>
      <c r="J518" s="71" t="n"/>
      <c r="K518" s="71" t="n"/>
      <c r="L518" s="71" t="n"/>
      <c r="M518" s="71" t="n"/>
      <c r="N518" s="71" t="n"/>
      <c r="O518" s="113" t="inlineStr">
        <is>
          <t>–</t>
        </is>
      </c>
    </row>
    <row r="519" outlineLevel="2" ht="15" customHeight="1">
      <c r="A519" s="69" t="inlineStr">
        <is>
          <t xml:space="preserve">      SAP Document</t>
        </is>
      </c>
      <c r="B519" s="70">
        <f>IF('Final Calculation Sheet'!$AF$13="","",'Final Calculation Sheet'!$AF$13)</f>
        <v/>
      </c>
      <c r="C519" s="181">
        <f>IF('Final Calculation Sheet'!$AF$16="","",'Final Calculation Sheet'!$AF$16)</f>
        <v/>
      </c>
      <c r="D519" s="70">
        <f>IF('Final Calculation Sheet'!$AF$17="","",'Final Calculation Sheet'!$AF$17)</f>
        <v/>
      </c>
      <c r="E519" s="181">
        <f>IF('Final Calculation Sheet'!$AF$23="","",'Final Calculation Sheet'!$AF$23)</f>
        <v/>
      </c>
      <c r="F519" s="70">
        <f>IF('Final Calculation Sheet'!$AF$29="","",'Final Calculation Sheet'!$AF$29)</f>
        <v/>
      </c>
      <c r="G519" s="181">
        <f>IF('Final Calculation Sheet'!$AF$34="","",'Final Calculation Sheet'!$AF$34)</f>
        <v/>
      </c>
      <c r="H519" s="70">
        <f>IF('Final Calculation Sheet'!$AF$36="","",'Final Calculation Sheet'!$AF$36)</f>
        <v/>
      </c>
      <c r="I519" s="71" t="n"/>
      <c r="J519" s="71" t="n"/>
      <c r="K519" s="71" t="n"/>
      <c r="L519" s="71" t="n"/>
      <c r="M519" s="71" t="n"/>
      <c r="N519" s="71" t="n"/>
      <c r="O519" s="113" t="inlineStr">
        <is>
          <t>–</t>
        </is>
      </c>
    </row>
    <row r="520" outlineLevel="2" ht="15" customHeight="1">
      <c r="A520" s="69" t="inlineStr">
        <is>
          <t xml:space="preserve">      Doc./Invoice Date</t>
        </is>
      </c>
      <c r="B520" s="76">
        <f>IF('Final Calculation Sheet'!$AG$13="","",'Final Calculation Sheet'!$AG$13)</f>
        <v/>
      </c>
      <c r="C520" s="184">
        <f>IF('Final Calculation Sheet'!$AG$16="","",'Final Calculation Sheet'!$AG$16)</f>
        <v/>
      </c>
      <c r="D520" s="76">
        <f>IF('Final Calculation Sheet'!$AG$17="","",'Final Calculation Sheet'!$AG$17)</f>
        <v/>
      </c>
      <c r="E520" s="184">
        <f>IF('Final Calculation Sheet'!$AG$23="","",'Final Calculation Sheet'!$AG$23)</f>
        <v/>
      </c>
      <c r="F520" s="76">
        <f>IF('Final Calculation Sheet'!$AG$29="","",'Final Calculation Sheet'!$AG$29)</f>
        <v/>
      </c>
      <c r="G520" s="184">
        <f>IF('Final Calculation Sheet'!$AG$34="","",'Final Calculation Sheet'!$AG$34)</f>
        <v/>
      </c>
      <c r="H520" s="76">
        <f>IF('Final Calculation Sheet'!$AG$36="","",'Final Calculation Sheet'!$AG$36)</f>
        <v/>
      </c>
      <c r="I520" s="71" t="n"/>
      <c r="J520" s="71" t="n"/>
      <c r="K520" s="71" t="n"/>
      <c r="L520" s="71" t="n"/>
      <c r="M520" s="71" t="n"/>
      <c r="N520" s="71" t="n"/>
      <c r="O520" s="113" t="inlineStr">
        <is>
          <t>–</t>
        </is>
      </c>
    </row>
    <row r="521" ht="7" customHeight="1">
      <c r="A521" s="82" t="n"/>
      <c r="B521" s="82" t="n"/>
      <c r="C521" s="82" t="n"/>
      <c r="D521" s="82" t="n"/>
      <c r="E521" s="82" t="n"/>
      <c r="F521" s="82" t="n"/>
      <c r="G521" s="82" t="n"/>
      <c r="H521" s="82" t="n"/>
      <c r="I521" s="82" t="n"/>
      <c r="J521" s="82" t="n"/>
      <c r="K521" s="82" t="n"/>
      <c r="L521" s="82" t="n"/>
      <c r="M521" s="82" t="n"/>
      <c r="N521" s="82" t="n"/>
      <c r="O521" s="82" t="n"/>
    </row>
    <row r="522" ht="24" customHeight="1">
      <c r="A522" s="117">
        <f>"▼  WATAN SCRAP TRADERS   •   "&amp;COUNTIF('Final Calculation Sheet'!$G$4:$G$1000,"WATAN SCRAP TRADERS")&amp;" LOT(S)   •   MAT. VALUE ₹"&amp;TEXT(SUMIF('Final Calculation Sheet'!$G$4:$G$1000,"WATAN SCRAP TRADERS",'Final Calculation Sheet'!$H$4:$H$1000),"#,##0")&amp;"   •   RECEIVED ₹"&amp;TEXT(SUMIF('Final Calculation Sheet'!$G$4:$G$1000,"WATAN SCRAP TRADERS",'Final Calculation Sheet'!$AC$4:$AC$1000),"#,##0")&amp;"   •   OUTSTANDING ₹"&amp;TEXT(SUMIF('Final Calculation Sheet'!$G$4:$G$1000,"WATAN SCRAP TRADERS",'Final Calculation Sheet'!$AD$4:$AD$1000),"#,##0")</f>
        <v/>
      </c>
      <c r="B522" s="64" t="n"/>
      <c r="C522" s="64" t="n"/>
      <c r="D522" s="64" t="n"/>
      <c r="E522" s="64" t="n"/>
      <c r="F522" s="64" t="n"/>
      <c r="G522" s="64" t="n"/>
      <c r="H522" s="64" t="n"/>
      <c r="I522" s="64" t="n"/>
      <c r="J522" s="64" t="n"/>
      <c r="K522" s="64" t="n"/>
      <c r="L522" s="64" t="n"/>
      <c r="M522" s="64" t="n"/>
      <c r="N522" s="64" t="n"/>
      <c r="O522" s="64" t="n"/>
    </row>
    <row r="523" outlineLevel="1" ht="18" customHeight="1">
      <c r="A523" s="118" t="inlineStr">
        <is>
          <t xml:space="preserve">   Lot No. →</t>
        </is>
      </c>
      <c r="B523" s="119">
        <f>IF('Final Calculation Sheet'!$F$25="","",'Final Calculation Sheet'!$F$25)</f>
        <v/>
      </c>
      <c r="C523" s="119">
        <f>IF('Final Calculation Sheet'!$F$28="","",'Final Calculation Sheet'!$F$28)</f>
        <v/>
      </c>
      <c r="D523" s="119">
        <f>IF('Final Calculation Sheet'!$F$35="","",'Final Calculation Sheet'!$F$35)</f>
        <v/>
      </c>
      <c r="E523" s="120" t="n"/>
      <c r="F523" s="120" t="n"/>
      <c r="G523" s="120" t="n"/>
      <c r="H523" s="120" t="n"/>
      <c r="I523" s="120" t="n"/>
      <c r="J523" s="120" t="n"/>
      <c r="K523" s="120" t="n"/>
      <c r="L523" s="120" t="n"/>
      <c r="M523" s="120" t="n"/>
      <c r="N523" s="120" t="n"/>
      <c r="O523" s="121" t="inlineStr">
        <is>
          <t>TOTAL</t>
        </is>
      </c>
    </row>
    <row r="524" outlineLevel="1" ht="16" customHeight="1">
      <c r="A524" s="118" t="inlineStr">
        <is>
          <t xml:space="preserve">  ▸ LOT INFORMATION</t>
        </is>
      </c>
      <c r="B524" s="120" t="n"/>
      <c r="C524" s="120" t="n"/>
      <c r="D524" s="120" t="n"/>
      <c r="E524" s="120" t="n"/>
      <c r="F524" s="120" t="n"/>
      <c r="G524" s="120" t="n"/>
      <c r="H524" s="120" t="n"/>
      <c r="I524" s="120" t="n"/>
      <c r="J524" s="120" t="n"/>
      <c r="K524" s="120" t="n"/>
      <c r="L524" s="120" t="n"/>
      <c r="M524" s="120" t="n"/>
      <c r="N524" s="120" t="n"/>
      <c r="O524" s="120" t="n"/>
    </row>
    <row r="525" outlineLevel="2" ht="15" customHeight="1">
      <c r="A525" s="69" t="inlineStr">
        <is>
          <t xml:space="preserve">      Lot No.</t>
        </is>
      </c>
      <c r="B525" s="70">
        <f>IF('Final Calculation Sheet'!$F$25="","",'Final Calculation Sheet'!$F$25)</f>
        <v/>
      </c>
      <c r="C525" s="188">
        <f>IF('Final Calculation Sheet'!$F$28="","",'Final Calculation Sheet'!$F$28)</f>
        <v/>
      </c>
      <c r="D525" s="70">
        <f>IF('Final Calculation Sheet'!$F$35="","",'Final Calculation Sheet'!$F$35)</f>
        <v/>
      </c>
      <c r="E525" s="71" t="n"/>
      <c r="F525" s="71" t="n"/>
      <c r="G525" s="71" t="n"/>
      <c r="H525" s="71" t="n"/>
      <c r="I525" s="71" t="n"/>
      <c r="J525" s="71" t="n"/>
      <c r="K525" s="71" t="n"/>
      <c r="L525" s="71" t="n"/>
      <c r="M525" s="71" t="n"/>
      <c r="N525" s="71" t="n"/>
      <c r="O525" s="122" t="inlineStr">
        <is>
          <t>–</t>
        </is>
      </c>
    </row>
    <row r="526" outlineLevel="2" ht="60" customHeight="1">
      <c r="A526" s="69" t="inlineStr">
        <is>
          <t xml:space="preserve">      Lot Name</t>
        </is>
      </c>
      <c r="B526" s="73">
        <f>IF('Final Calculation Sheet'!$B$25="","",'Final Calculation Sheet'!$B$25)</f>
        <v/>
      </c>
      <c r="C526" s="189">
        <f>IF('Final Calculation Sheet'!$B$28="","",'Final Calculation Sheet'!$B$28)</f>
        <v/>
      </c>
      <c r="D526" s="73">
        <f>IF('Final Calculation Sheet'!$B$35="","",'Final Calculation Sheet'!$B$35)</f>
        <v/>
      </c>
      <c r="E526" s="71" t="n"/>
      <c r="F526" s="71" t="n"/>
      <c r="G526" s="71" t="n"/>
      <c r="H526" s="71" t="n"/>
      <c r="I526" s="71" t="n"/>
      <c r="J526" s="71" t="n"/>
      <c r="K526" s="71" t="n"/>
      <c r="L526" s="71" t="n"/>
      <c r="M526" s="71" t="n"/>
      <c r="N526" s="71" t="n"/>
      <c r="O526" s="122" t="inlineStr">
        <is>
          <t>–</t>
        </is>
      </c>
    </row>
    <row r="527" outlineLevel="2" ht="15" customHeight="1">
      <c r="A527" s="69" t="inlineStr">
        <is>
          <t xml:space="preserve">      Bid Sheet / Auction</t>
        </is>
      </c>
      <c r="B527" s="70">
        <f>IF('Final Calculation Sheet'!$D$25="","",'Final Calculation Sheet'!$D$25)</f>
        <v/>
      </c>
      <c r="C527" s="188">
        <f>IF('Final Calculation Sheet'!$D$28="","",'Final Calculation Sheet'!$D$28)</f>
        <v/>
      </c>
      <c r="D527" s="70">
        <f>IF('Final Calculation Sheet'!$D$35="","",'Final Calculation Sheet'!$D$35)</f>
        <v/>
      </c>
      <c r="E527" s="71" t="n"/>
      <c r="F527" s="71" t="n"/>
      <c r="G527" s="71" t="n"/>
      <c r="H527" s="71" t="n"/>
      <c r="I527" s="71" t="n"/>
      <c r="J527" s="71" t="n"/>
      <c r="K527" s="71" t="n"/>
      <c r="L527" s="71" t="n"/>
      <c r="M527" s="71" t="n"/>
      <c r="N527" s="71" t="n"/>
      <c r="O527" s="122" t="inlineStr">
        <is>
          <t>–</t>
        </is>
      </c>
    </row>
    <row r="528" outlineLevel="2" ht="15" customHeight="1">
      <c r="A528" s="69" t="inlineStr">
        <is>
          <t xml:space="preserve">      Quantity</t>
        </is>
      </c>
      <c r="B528" s="74">
        <f>IF('Final Calculation Sheet'!$A$25="","",'Final Calculation Sheet'!$A$25)</f>
        <v/>
      </c>
      <c r="C528" s="190">
        <f>IF('Final Calculation Sheet'!$A$28="","",'Final Calculation Sheet'!$A$28)</f>
        <v/>
      </c>
      <c r="D528" s="74">
        <f>IF('Final Calculation Sheet'!$A$35="","",'Final Calculation Sheet'!$A$35)</f>
        <v/>
      </c>
      <c r="E528" s="71" t="n"/>
      <c r="F528" s="71" t="n"/>
      <c r="G528" s="71" t="n"/>
      <c r="H528" s="71" t="n"/>
      <c r="I528" s="71" t="n"/>
      <c r="J528" s="71" t="n"/>
      <c r="K528" s="71" t="n"/>
      <c r="L528" s="71" t="n"/>
      <c r="M528" s="71" t="n"/>
      <c r="N528" s="71" t="n"/>
      <c r="O528" s="123">
        <f>SUM(B528:N528)</f>
        <v/>
      </c>
    </row>
    <row r="529" outlineLevel="2" ht="15" customHeight="1">
      <c r="A529" s="69" t="inlineStr">
        <is>
          <t xml:space="preserve">      Unit</t>
        </is>
      </c>
      <c r="B529" s="76">
        <f>IF('Final Calculation Sheet'!$E$25="","",'Final Calculation Sheet'!$E$25)</f>
        <v/>
      </c>
      <c r="C529" s="191">
        <f>IF('Final Calculation Sheet'!$E$28="","",'Final Calculation Sheet'!$E$28)</f>
        <v/>
      </c>
      <c r="D529" s="76">
        <f>IF('Final Calculation Sheet'!$E$35="","",'Final Calculation Sheet'!$E$35)</f>
        <v/>
      </c>
      <c r="E529" s="71" t="n"/>
      <c r="F529" s="71" t="n"/>
      <c r="G529" s="71" t="n"/>
      <c r="H529" s="71" t="n"/>
      <c r="I529" s="71" t="n"/>
      <c r="J529" s="71" t="n"/>
      <c r="K529" s="71" t="n"/>
      <c r="L529" s="71" t="n"/>
      <c r="M529" s="71" t="n"/>
      <c r="N529" s="71" t="n"/>
      <c r="O529" s="122" t="inlineStr">
        <is>
          <t>–</t>
        </is>
      </c>
    </row>
    <row r="530" outlineLevel="2" ht="15" customHeight="1">
      <c r="A530" s="69" t="inlineStr">
        <is>
          <t xml:space="preserve">      Rate (₹)</t>
        </is>
      </c>
      <c r="B530" s="70">
        <f>IF('Final Calculation Sheet'!$C$25="","",'Final Calculation Sheet'!$C$25)</f>
        <v/>
      </c>
      <c r="C530" s="188">
        <f>IF('Final Calculation Sheet'!$C$28="","",'Final Calculation Sheet'!$C$28)</f>
        <v/>
      </c>
      <c r="D530" s="70">
        <f>IF('Final Calculation Sheet'!$C$35="","",'Final Calculation Sheet'!$C$35)</f>
        <v/>
      </c>
      <c r="E530" s="71" t="n"/>
      <c r="F530" s="71" t="n"/>
      <c r="G530" s="71" t="n"/>
      <c r="H530" s="71" t="n"/>
      <c r="I530" s="71" t="n"/>
      <c r="J530" s="71" t="n"/>
      <c r="K530" s="71" t="n"/>
      <c r="L530" s="71" t="n"/>
      <c r="M530" s="71" t="n"/>
      <c r="N530" s="71" t="n"/>
      <c r="O530" s="122" t="inlineStr">
        <is>
          <t>–</t>
        </is>
      </c>
    </row>
    <row r="531" outlineLevel="1" ht="16" customHeight="1">
      <c r="A531" s="118" t="inlineStr">
        <is>
          <t xml:space="preserve">  ▸ FINANCIALS</t>
        </is>
      </c>
      <c r="B531" s="120" t="n"/>
      <c r="C531" s="120" t="n"/>
      <c r="D531" s="120" t="n"/>
      <c r="E531" s="120" t="n"/>
      <c r="F531" s="120" t="n"/>
      <c r="G531" s="120" t="n"/>
      <c r="H531" s="120" t="n"/>
      <c r="I531" s="120" t="n"/>
      <c r="J531" s="120" t="n"/>
      <c r="K531" s="120" t="n"/>
      <c r="L531" s="120" t="n"/>
      <c r="M531" s="120" t="n"/>
      <c r="N531" s="120" t="n"/>
      <c r="O531" s="120" t="n"/>
    </row>
    <row r="532" outlineLevel="2" ht="15" customHeight="1">
      <c r="A532" s="69" t="inlineStr">
        <is>
          <t xml:space="preserve">      Mat. Value (₹)</t>
        </is>
      </c>
      <c r="B532" s="70">
        <f>IF('Final Calculation Sheet'!$H$25="","",'Final Calculation Sheet'!$H$25)</f>
        <v/>
      </c>
      <c r="C532" s="188">
        <f>IF('Final Calculation Sheet'!$H$28="","",'Final Calculation Sheet'!$H$28)</f>
        <v/>
      </c>
      <c r="D532" s="70">
        <f>IF('Final Calculation Sheet'!$H$35="","",'Final Calculation Sheet'!$H$35)</f>
        <v/>
      </c>
      <c r="E532" s="71" t="n"/>
      <c r="F532" s="71" t="n"/>
      <c r="G532" s="71" t="n"/>
      <c r="H532" s="71" t="n"/>
      <c r="I532" s="71" t="n"/>
      <c r="J532" s="71" t="n"/>
      <c r="K532" s="71" t="n"/>
      <c r="L532" s="71" t="n"/>
      <c r="M532" s="71" t="n"/>
      <c r="N532" s="71" t="n"/>
      <c r="O532" s="124">
        <f>SUM(B532:N532)</f>
        <v/>
      </c>
    </row>
    <row r="533" outlineLevel="2" ht="15" customHeight="1">
      <c r="A533" s="69" t="inlineStr">
        <is>
          <t xml:space="preserve">      GST @ 18% (₹)</t>
        </is>
      </c>
      <c r="B533" s="70">
        <f>IF('Final Calculation Sheet'!$I$25="","",'Final Calculation Sheet'!$I$25)</f>
        <v/>
      </c>
      <c r="C533" s="188">
        <f>IF('Final Calculation Sheet'!$I$28="","",'Final Calculation Sheet'!$I$28)</f>
        <v/>
      </c>
      <c r="D533" s="70">
        <f>IF('Final Calculation Sheet'!$I$35="","",'Final Calculation Sheet'!$I$35)</f>
        <v/>
      </c>
      <c r="E533" s="71" t="n"/>
      <c r="F533" s="71" t="n"/>
      <c r="G533" s="71" t="n"/>
      <c r="H533" s="71" t="n"/>
      <c r="I533" s="71" t="n"/>
      <c r="J533" s="71" t="n"/>
      <c r="K533" s="71" t="n"/>
      <c r="L533" s="71" t="n"/>
      <c r="M533" s="71" t="n"/>
      <c r="N533" s="71" t="n"/>
      <c r="O533" s="124">
        <f>SUM(B533:N533)</f>
        <v/>
      </c>
    </row>
    <row r="534" outlineLevel="2" ht="15" customHeight="1">
      <c r="A534" s="69" t="inlineStr">
        <is>
          <t xml:space="preserve">      Mat. Value + GST (₹)</t>
        </is>
      </c>
      <c r="B534" s="70">
        <f>IF('Final Calculation Sheet'!$J$25="","",'Final Calculation Sheet'!$J$25)</f>
        <v/>
      </c>
      <c r="C534" s="188">
        <f>IF('Final Calculation Sheet'!$J$28="","",'Final Calculation Sheet'!$J$28)</f>
        <v/>
      </c>
      <c r="D534" s="70">
        <f>IF('Final Calculation Sheet'!$J$35="","",'Final Calculation Sheet'!$J$35)</f>
        <v/>
      </c>
      <c r="E534" s="71" t="n"/>
      <c r="F534" s="71" t="n"/>
      <c r="G534" s="71" t="n"/>
      <c r="H534" s="71" t="n"/>
      <c r="I534" s="71" t="n"/>
      <c r="J534" s="71" t="n"/>
      <c r="K534" s="71" t="n"/>
      <c r="L534" s="71" t="n"/>
      <c r="M534" s="71" t="n"/>
      <c r="N534" s="71" t="n"/>
      <c r="O534" s="124">
        <f>SUM(B534:N534)</f>
        <v/>
      </c>
    </row>
    <row r="535" outlineLevel="2" ht="15" customHeight="1">
      <c r="A535" s="69" t="inlineStr">
        <is>
          <t xml:space="preserve">      TCS @ 2% (₹)</t>
        </is>
      </c>
      <c r="B535" s="70">
        <f>IF('Final Calculation Sheet'!$K$25="","",'Final Calculation Sheet'!$K$25)</f>
        <v/>
      </c>
      <c r="C535" s="188">
        <f>IF('Final Calculation Sheet'!$K$28="","",'Final Calculation Sheet'!$K$28)</f>
        <v/>
      </c>
      <c r="D535" s="70">
        <f>IF('Final Calculation Sheet'!$K$35="","",'Final Calculation Sheet'!$K$35)</f>
        <v/>
      </c>
      <c r="E535" s="71" t="n"/>
      <c r="F535" s="71" t="n"/>
      <c r="G535" s="71" t="n"/>
      <c r="H535" s="71" t="n"/>
      <c r="I535" s="71" t="n"/>
      <c r="J535" s="71" t="n"/>
      <c r="K535" s="71" t="n"/>
      <c r="L535" s="71" t="n"/>
      <c r="M535" s="71" t="n"/>
      <c r="N535" s="71" t="n"/>
      <c r="O535" s="124">
        <f>SUM(B535:N535)</f>
        <v/>
      </c>
    </row>
    <row r="536" outlineLevel="2" ht="15" customHeight="1">
      <c r="A536" s="69" t="inlineStr">
        <is>
          <t xml:space="preserve">      TDS u/s 194(O) (₹)</t>
        </is>
      </c>
      <c r="B536" s="78">
        <f>IF('Final Calculation Sheet'!$L$25="","",'Final Calculation Sheet'!$L$25)</f>
        <v/>
      </c>
      <c r="C536" s="192">
        <f>IF('Final Calculation Sheet'!$L$28="","",'Final Calculation Sheet'!$L$28)</f>
        <v/>
      </c>
      <c r="D536" s="78">
        <f>IF('Final Calculation Sheet'!$L$35="","",'Final Calculation Sheet'!$L$35)</f>
        <v/>
      </c>
      <c r="E536" s="71" t="n"/>
      <c r="F536" s="71" t="n"/>
      <c r="G536" s="71" t="n"/>
      <c r="H536" s="71" t="n"/>
      <c r="I536" s="71" t="n"/>
      <c r="J536" s="71" t="n"/>
      <c r="K536" s="71" t="n"/>
      <c r="L536" s="71" t="n"/>
      <c r="M536" s="71" t="n"/>
      <c r="N536" s="71" t="n"/>
      <c r="O536" s="125">
        <f>SUM(B536:N536)</f>
        <v/>
      </c>
    </row>
    <row r="537" outlineLevel="2" ht="15" customHeight="1">
      <c r="A537" s="69" t="inlineStr">
        <is>
          <t xml:space="preserve">      Service Charge gross (₹)</t>
        </is>
      </c>
      <c r="B537" s="78">
        <f>IF('Final Calculation Sheet'!$M$25="","",'Final Calculation Sheet'!$M$25)</f>
        <v/>
      </c>
      <c r="C537" s="192">
        <f>IF('Final Calculation Sheet'!$M$28="","",'Final Calculation Sheet'!$M$28)</f>
        <v/>
      </c>
      <c r="D537" s="78">
        <f>IF('Final Calculation Sheet'!$M$35="","",'Final Calculation Sheet'!$M$35)</f>
        <v/>
      </c>
      <c r="E537" s="71" t="n"/>
      <c r="F537" s="71" t="n"/>
      <c r="G537" s="71" t="n"/>
      <c r="H537" s="71" t="n"/>
      <c r="I537" s="71" t="n"/>
      <c r="J537" s="71" t="n"/>
      <c r="K537" s="71" t="n"/>
      <c r="L537" s="71" t="n"/>
      <c r="M537" s="71" t="n"/>
      <c r="N537" s="71" t="n"/>
      <c r="O537" s="125">
        <f>SUM(B537:N537)</f>
        <v/>
      </c>
    </row>
    <row r="538" outlineLevel="2" ht="15" customHeight="1">
      <c r="A538" s="69" t="inlineStr">
        <is>
          <t xml:space="preserve">      TDS u/s 194(H) (₹)</t>
        </is>
      </c>
      <c r="B538" s="78">
        <f>IF('Final Calculation Sheet'!$N$25="","",'Final Calculation Sheet'!$N$25)</f>
        <v/>
      </c>
      <c r="C538" s="192">
        <f>IF('Final Calculation Sheet'!$N$28="","",'Final Calculation Sheet'!$N$28)</f>
        <v/>
      </c>
      <c r="D538" s="78">
        <f>IF('Final Calculation Sheet'!$N$35="","",'Final Calculation Sheet'!$N$35)</f>
        <v/>
      </c>
      <c r="E538" s="71" t="n"/>
      <c r="F538" s="71" t="n"/>
      <c r="G538" s="71" t="n"/>
      <c r="H538" s="71" t="n"/>
      <c r="I538" s="71" t="n"/>
      <c r="J538" s="71" t="n"/>
      <c r="K538" s="71" t="n"/>
      <c r="L538" s="71" t="n"/>
      <c r="M538" s="71" t="n"/>
      <c r="N538" s="71" t="n"/>
      <c r="O538" s="125">
        <f>SUM(B538:N538)</f>
        <v/>
      </c>
    </row>
    <row r="539" outlineLevel="2" ht="15" customHeight="1">
      <c r="A539" s="69" t="inlineStr">
        <is>
          <t xml:space="preserve">      Net Service Charge (₹)</t>
        </is>
      </c>
      <c r="B539" s="78">
        <f>IF('Final Calculation Sheet'!$O$25="","",'Final Calculation Sheet'!$O$25)</f>
        <v/>
      </c>
      <c r="C539" s="192">
        <f>IF('Final Calculation Sheet'!$O$28="","",'Final Calculation Sheet'!$O$28)</f>
        <v/>
      </c>
      <c r="D539" s="78">
        <f>IF('Final Calculation Sheet'!$O$35="","",'Final Calculation Sheet'!$O$35)</f>
        <v/>
      </c>
      <c r="E539" s="71" t="n"/>
      <c r="F539" s="71" t="n"/>
      <c r="G539" s="71" t="n"/>
      <c r="H539" s="71" t="n"/>
      <c r="I539" s="71" t="n"/>
      <c r="J539" s="71" t="n"/>
      <c r="K539" s="71" t="n"/>
      <c r="L539" s="71" t="n"/>
      <c r="M539" s="71" t="n"/>
      <c r="N539" s="71" t="n"/>
      <c r="O539" s="125">
        <f>SUM(B539:N539)</f>
        <v/>
      </c>
    </row>
    <row r="540" outlineLevel="2" ht="15" customHeight="1">
      <c r="A540" s="69" t="inlineStr">
        <is>
          <t xml:space="preserve">      Svc Charge to MSTC (₹)</t>
        </is>
      </c>
      <c r="B540" s="70">
        <f>IF('Final Calculation Sheet'!$P$25="","",'Final Calculation Sheet'!$P$25)</f>
        <v/>
      </c>
      <c r="C540" s="188">
        <f>IF('Final Calculation Sheet'!$P$28="","",'Final Calculation Sheet'!$P$28)</f>
        <v/>
      </c>
      <c r="D540" s="70">
        <f>IF('Final Calculation Sheet'!$P$35="","",'Final Calculation Sheet'!$P$35)</f>
        <v/>
      </c>
      <c r="E540" s="71" t="n"/>
      <c r="F540" s="71" t="n"/>
      <c r="G540" s="71" t="n"/>
      <c r="H540" s="71" t="n"/>
      <c r="I540" s="71" t="n"/>
      <c r="J540" s="71" t="n"/>
      <c r="K540" s="71" t="n"/>
      <c r="L540" s="71" t="n"/>
      <c r="M540" s="71" t="n"/>
      <c r="N540" s="71" t="n"/>
      <c r="O540" s="124">
        <f>SUM(B540:N540)</f>
        <v/>
      </c>
    </row>
    <row r="541" outlineLevel="2" ht="15" customHeight="1">
      <c r="A541" s="69" t="inlineStr">
        <is>
          <t xml:space="preserve">      GST TDS Rate</t>
        </is>
      </c>
      <c r="B541" s="80">
        <f>IF('Final Calculation Sheet'!$Q$25="","",'Final Calculation Sheet'!$Q$25)</f>
        <v/>
      </c>
      <c r="C541" s="193">
        <f>IF('Final Calculation Sheet'!$Q$28="","",'Final Calculation Sheet'!$Q$28)</f>
        <v/>
      </c>
      <c r="D541" s="80">
        <f>IF('Final Calculation Sheet'!$Q$35="","",'Final Calculation Sheet'!$Q$35)</f>
        <v/>
      </c>
      <c r="E541" s="71" t="n"/>
      <c r="F541" s="71" t="n"/>
      <c r="G541" s="71" t="n"/>
      <c r="H541" s="71" t="n"/>
      <c r="I541" s="71" t="n"/>
      <c r="J541" s="71" t="n"/>
      <c r="K541" s="71" t="n"/>
      <c r="L541" s="71" t="n"/>
      <c r="M541" s="71" t="n"/>
      <c r="N541" s="71" t="n"/>
      <c r="O541" s="122" t="inlineStr">
        <is>
          <t>–</t>
        </is>
      </c>
    </row>
    <row r="542" outlineLevel="2" ht="15" customHeight="1">
      <c r="A542" s="69" t="inlineStr">
        <is>
          <t xml:space="preserve">      GST TDS (₹)</t>
        </is>
      </c>
      <c r="B542" s="70">
        <f>IF('Final Calculation Sheet'!$R$25="","",'Final Calculation Sheet'!$R$25)</f>
        <v/>
      </c>
      <c r="C542" s="188">
        <f>IF('Final Calculation Sheet'!$R$28="","",'Final Calculation Sheet'!$R$28)</f>
        <v/>
      </c>
      <c r="D542" s="70">
        <f>IF('Final Calculation Sheet'!$R$35="","",'Final Calculation Sheet'!$R$35)</f>
        <v/>
      </c>
      <c r="E542" s="71" t="n"/>
      <c r="F542" s="71" t="n"/>
      <c r="G542" s="71" t="n"/>
      <c r="H542" s="71" t="n"/>
      <c r="I542" s="71" t="n"/>
      <c r="J542" s="71" t="n"/>
      <c r="K542" s="71" t="n"/>
      <c r="L542" s="71" t="n"/>
      <c r="M542" s="71" t="n"/>
      <c r="N542" s="71" t="n"/>
      <c r="O542" s="124">
        <f>SUM(B542:N542)</f>
        <v/>
      </c>
    </row>
    <row r="543" outlineLevel="2" ht="15" customHeight="1">
      <c r="A543" s="69" t="inlineStr">
        <is>
          <t xml:space="preserve">      Total Receivables (₹)</t>
        </is>
      </c>
      <c r="B543" s="70">
        <f>IF('Final Calculation Sheet'!$S$25="","",'Final Calculation Sheet'!$S$25)</f>
        <v/>
      </c>
      <c r="C543" s="188">
        <f>IF('Final Calculation Sheet'!$S$28="","",'Final Calculation Sheet'!$S$28)</f>
        <v/>
      </c>
      <c r="D543" s="70">
        <f>IF('Final Calculation Sheet'!$S$35="","",'Final Calculation Sheet'!$S$35)</f>
        <v/>
      </c>
      <c r="E543" s="71" t="n"/>
      <c r="F543" s="71" t="n"/>
      <c r="G543" s="71" t="n"/>
      <c r="H543" s="71" t="n"/>
      <c r="I543" s="71" t="n"/>
      <c r="J543" s="71" t="n"/>
      <c r="K543" s="71" t="n"/>
      <c r="L543" s="71" t="n"/>
      <c r="M543" s="71" t="n"/>
      <c r="N543" s="71" t="n"/>
      <c r="O543" s="124">
        <f>SUM(B543:N543)</f>
        <v/>
      </c>
    </row>
    <row r="544" outlineLevel="1" ht="16" customHeight="1">
      <c r="A544" s="118" t="inlineStr">
        <is>
          <t xml:space="preserve">  ▸ SECURITY DEPOSIT</t>
        </is>
      </c>
      <c r="B544" s="120" t="n"/>
      <c r="C544" s="120" t="n"/>
      <c r="D544" s="120" t="n"/>
      <c r="E544" s="120" t="n"/>
      <c r="F544" s="120" t="n"/>
      <c r="G544" s="120" t="n"/>
      <c r="H544" s="120" t="n"/>
      <c r="I544" s="120" t="n"/>
      <c r="J544" s="120" t="n"/>
      <c r="K544" s="120" t="n"/>
      <c r="L544" s="120" t="n"/>
      <c r="M544" s="120" t="n"/>
      <c r="N544" s="120" t="n"/>
      <c r="O544" s="120" t="n"/>
    </row>
    <row r="545" outlineLevel="2" ht="15" customHeight="1">
      <c r="A545" s="69" t="inlineStr">
        <is>
          <t xml:space="preserve">      SD Expected (₹)</t>
        </is>
      </c>
      <c r="B545" s="70">
        <f>IF('Final Calculation Sheet'!$T$25="","",'Final Calculation Sheet'!$T$25)</f>
        <v/>
      </c>
      <c r="C545" s="188">
        <f>IF('Final Calculation Sheet'!$T$28="","",'Final Calculation Sheet'!$T$28)</f>
        <v/>
      </c>
      <c r="D545" s="70">
        <f>IF('Final Calculation Sheet'!$T$35="","",'Final Calculation Sheet'!$T$35)</f>
        <v/>
      </c>
      <c r="E545" s="71" t="n"/>
      <c r="F545" s="71" t="n"/>
      <c r="G545" s="71" t="n"/>
      <c r="H545" s="71" t="n"/>
      <c r="I545" s="71" t="n"/>
      <c r="J545" s="71" t="n"/>
      <c r="K545" s="71" t="n"/>
      <c r="L545" s="71" t="n"/>
      <c r="M545" s="71" t="n"/>
      <c r="N545" s="71" t="n"/>
      <c r="O545" s="124">
        <f>SUM(B545:N545)</f>
        <v/>
      </c>
    </row>
    <row r="546" outlineLevel="2" ht="15" customHeight="1">
      <c r="A546" s="69" t="inlineStr">
        <is>
          <t xml:space="preserve">      SD Received (₹)</t>
        </is>
      </c>
      <c r="B546" s="70">
        <f>IF('Final Calculation Sheet'!$U$25="","",'Final Calculation Sheet'!$U$25)</f>
        <v/>
      </c>
      <c r="C546" s="188">
        <f>IF('Final Calculation Sheet'!$U$28="","",'Final Calculation Sheet'!$U$28)</f>
        <v/>
      </c>
      <c r="D546" s="70">
        <f>IF('Final Calculation Sheet'!$U$35="","",'Final Calculation Sheet'!$U$35)</f>
        <v/>
      </c>
      <c r="E546" s="71" t="n"/>
      <c r="F546" s="71" t="n"/>
      <c r="G546" s="71" t="n"/>
      <c r="H546" s="71" t="n"/>
      <c r="I546" s="71" t="n"/>
      <c r="J546" s="71" t="n"/>
      <c r="K546" s="71" t="n"/>
      <c r="L546" s="71" t="n"/>
      <c r="M546" s="71" t="n"/>
      <c r="N546" s="71" t="n"/>
      <c r="O546" s="124">
        <f>SUM(B546:N546)</f>
        <v/>
      </c>
    </row>
    <row r="547" outlineLevel="2" ht="15" customHeight="1">
      <c r="A547" s="69" t="inlineStr">
        <is>
          <t xml:space="preserve">      SD Receipt Date</t>
        </is>
      </c>
      <c r="B547" s="76">
        <f>IF('Final Calculation Sheet'!$V$25="","",'Final Calculation Sheet'!$V$25)</f>
        <v/>
      </c>
      <c r="C547" s="191">
        <f>IF('Final Calculation Sheet'!$V$28="","",'Final Calculation Sheet'!$V$28)</f>
        <v/>
      </c>
      <c r="D547" s="76">
        <f>IF('Final Calculation Sheet'!$V$35="","",'Final Calculation Sheet'!$V$35)</f>
        <v/>
      </c>
      <c r="E547" s="71" t="n"/>
      <c r="F547" s="71" t="n"/>
      <c r="G547" s="71" t="n"/>
      <c r="H547" s="71" t="n"/>
      <c r="I547" s="71" t="n"/>
      <c r="J547" s="71" t="n"/>
      <c r="K547" s="71" t="n"/>
      <c r="L547" s="71" t="n"/>
      <c r="M547" s="71" t="n"/>
      <c r="N547" s="71" t="n"/>
      <c r="O547" s="122" t="inlineStr">
        <is>
          <t>–</t>
        </is>
      </c>
    </row>
    <row r="548" outlineLevel="1" ht="16" customHeight="1">
      <c r="A548" s="118" t="inlineStr">
        <is>
          <t xml:space="preserve">  ▸ FINAL PAYMENT</t>
        </is>
      </c>
      <c r="B548" s="120" t="n"/>
      <c r="C548" s="120" t="n"/>
      <c r="D548" s="120" t="n"/>
      <c r="E548" s="120" t="n"/>
      <c r="F548" s="120" t="n"/>
      <c r="G548" s="120" t="n"/>
      <c r="H548" s="120" t="n"/>
      <c r="I548" s="120" t="n"/>
      <c r="J548" s="120" t="n"/>
      <c r="K548" s="120" t="n"/>
      <c r="L548" s="120" t="n"/>
      <c r="M548" s="120" t="n"/>
      <c r="N548" s="120" t="n"/>
      <c r="O548" s="120" t="n"/>
    </row>
    <row r="549" outlineLevel="2" ht="15" customHeight="1">
      <c r="A549" s="69" t="inlineStr">
        <is>
          <t xml:space="preserve">      FP Expected (₹)</t>
        </is>
      </c>
      <c r="B549" s="70">
        <f>IF('Final Calculation Sheet'!$W$25="","",'Final Calculation Sheet'!$W$25)</f>
        <v/>
      </c>
      <c r="C549" s="188">
        <f>IF('Final Calculation Sheet'!$W$28="","",'Final Calculation Sheet'!$W$28)</f>
        <v/>
      </c>
      <c r="D549" s="70">
        <f>IF('Final Calculation Sheet'!$W$35="","",'Final Calculation Sheet'!$W$35)</f>
        <v/>
      </c>
      <c r="E549" s="71" t="n"/>
      <c r="F549" s="71" t="n"/>
      <c r="G549" s="71" t="n"/>
      <c r="H549" s="71" t="n"/>
      <c r="I549" s="71" t="n"/>
      <c r="J549" s="71" t="n"/>
      <c r="K549" s="71" t="n"/>
      <c r="L549" s="71" t="n"/>
      <c r="M549" s="71" t="n"/>
      <c r="N549" s="71" t="n"/>
      <c r="O549" s="124">
        <f>SUM(B549:N549)</f>
        <v/>
      </c>
    </row>
    <row r="550" outlineLevel="2" ht="15" customHeight="1">
      <c r="A550" s="69" t="inlineStr">
        <is>
          <t xml:space="preserve">      FP Received (₹)</t>
        </is>
      </c>
      <c r="B550" s="70">
        <f>IF('Final Calculation Sheet'!$X$25="","",'Final Calculation Sheet'!$X$25)</f>
        <v/>
      </c>
      <c r="C550" s="188">
        <f>IF('Final Calculation Sheet'!$X$28="","",'Final Calculation Sheet'!$X$28)</f>
        <v/>
      </c>
      <c r="D550" s="70">
        <f>IF('Final Calculation Sheet'!$X$35="","",'Final Calculation Sheet'!$X$35)</f>
        <v/>
      </c>
      <c r="E550" s="71" t="n"/>
      <c r="F550" s="71" t="n"/>
      <c r="G550" s="71" t="n"/>
      <c r="H550" s="71" t="n"/>
      <c r="I550" s="71" t="n"/>
      <c r="J550" s="71" t="n"/>
      <c r="K550" s="71" t="n"/>
      <c r="L550" s="71" t="n"/>
      <c r="M550" s="71" t="n"/>
      <c r="N550" s="71" t="n"/>
      <c r="O550" s="124">
        <f>SUM(B550:N550)</f>
        <v/>
      </c>
    </row>
    <row r="551" outlineLevel="2" ht="15" customHeight="1">
      <c r="A551" s="69" t="inlineStr">
        <is>
          <t xml:space="preserve">      FP Receipt Date</t>
        </is>
      </c>
      <c r="B551" s="76">
        <f>IF('Final Calculation Sheet'!$Y$25="","",'Final Calculation Sheet'!$Y$25)</f>
        <v/>
      </c>
      <c r="C551" s="191">
        <f>IF('Final Calculation Sheet'!$Y$28="","",'Final Calculation Sheet'!$Y$28)</f>
        <v/>
      </c>
      <c r="D551" s="76">
        <f>IF('Final Calculation Sheet'!$Y$35="","",'Final Calculation Sheet'!$Y$35)</f>
        <v/>
      </c>
      <c r="E551" s="71" t="n"/>
      <c r="F551" s="71" t="n"/>
      <c r="G551" s="71" t="n"/>
      <c r="H551" s="71" t="n"/>
      <c r="I551" s="71" t="n"/>
      <c r="J551" s="71" t="n"/>
      <c r="K551" s="71" t="n"/>
      <c r="L551" s="71" t="n"/>
      <c r="M551" s="71" t="n"/>
      <c r="N551" s="71" t="n"/>
      <c r="O551" s="122" t="inlineStr">
        <is>
          <t>–</t>
        </is>
      </c>
    </row>
    <row r="552" outlineLevel="1" ht="16" customHeight="1">
      <c r="A552" s="118" t="inlineStr">
        <is>
          <t xml:space="preserve">  ▸ LPP</t>
        </is>
      </c>
      <c r="B552" s="120" t="n"/>
      <c r="C552" s="120" t="n"/>
      <c r="D552" s="120" t="n"/>
      <c r="E552" s="120" t="n"/>
      <c r="F552" s="120" t="n"/>
      <c r="G552" s="120" t="n"/>
      <c r="H552" s="120" t="n"/>
      <c r="I552" s="120" t="n"/>
      <c r="J552" s="120" t="n"/>
      <c r="K552" s="120" t="n"/>
      <c r="L552" s="120" t="n"/>
      <c r="M552" s="120" t="n"/>
      <c r="N552" s="120" t="n"/>
      <c r="O552" s="120" t="n"/>
    </row>
    <row r="553" outlineLevel="2" ht="15" customHeight="1">
      <c r="A553" s="69" t="inlineStr">
        <is>
          <t xml:space="preserve">      LPP Expected (₹)</t>
        </is>
      </c>
      <c r="B553" s="70">
        <f>IF('Final Calculation Sheet'!$Z$25="","",'Final Calculation Sheet'!$Z$25)</f>
        <v/>
      </c>
      <c r="C553" s="188">
        <f>IF('Final Calculation Sheet'!$Z$28="","",'Final Calculation Sheet'!$Z$28)</f>
        <v/>
      </c>
      <c r="D553" s="70">
        <f>IF('Final Calculation Sheet'!$Z$35="","",'Final Calculation Sheet'!$Z$35)</f>
        <v/>
      </c>
      <c r="E553" s="71" t="n"/>
      <c r="F553" s="71" t="n"/>
      <c r="G553" s="71" t="n"/>
      <c r="H553" s="71" t="n"/>
      <c r="I553" s="71" t="n"/>
      <c r="J553" s="71" t="n"/>
      <c r="K553" s="71" t="n"/>
      <c r="L553" s="71" t="n"/>
      <c r="M553" s="71" t="n"/>
      <c r="N553" s="71" t="n"/>
      <c r="O553" s="124">
        <f>SUM(B553:N553)</f>
        <v/>
      </c>
    </row>
    <row r="554" outlineLevel="2" ht="15" customHeight="1">
      <c r="A554" s="69" t="inlineStr">
        <is>
          <t xml:space="preserve">      LPP Received (₹)</t>
        </is>
      </c>
      <c r="B554" s="70">
        <f>IF('Final Calculation Sheet'!$AA$25="","",'Final Calculation Sheet'!$AA$25)</f>
        <v/>
      </c>
      <c r="C554" s="188">
        <f>IF('Final Calculation Sheet'!$AA$28="","",'Final Calculation Sheet'!$AA$28)</f>
        <v/>
      </c>
      <c r="D554" s="70">
        <f>IF('Final Calculation Sheet'!$AA$35="","",'Final Calculation Sheet'!$AA$35)</f>
        <v/>
      </c>
      <c r="E554" s="71" t="n"/>
      <c r="F554" s="71" t="n"/>
      <c r="G554" s="71" t="n"/>
      <c r="H554" s="71" t="n"/>
      <c r="I554" s="71" t="n"/>
      <c r="J554" s="71" t="n"/>
      <c r="K554" s="71" t="n"/>
      <c r="L554" s="71" t="n"/>
      <c r="M554" s="71" t="n"/>
      <c r="N554" s="71" t="n"/>
      <c r="O554" s="124">
        <f>SUM(B554:N554)</f>
        <v/>
      </c>
    </row>
    <row r="555" outlineLevel="2" ht="15" customHeight="1">
      <c r="A555" s="69" t="inlineStr">
        <is>
          <t xml:space="preserve">      LPP Receipt Date</t>
        </is>
      </c>
      <c r="B555" s="76">
        <f>IF('Final Calculation Sheet'!$AB$25="","",'Final Calculation Sheet'!$AB$25)</f>
        <v/>
      </c>
      <c r="C555" s="191">
        <f>IF('Final Calculation Sheet'!$AB$28="","",'Final Calculation Sheet'!$AB$28)</f>
        <v/>
      </c>
      <c r="D555" s="76">
        <f>IF('Final Calculation Sheet'!$AB$35="","",'Final Calculation Sheet'!$AB$35)</f>
        <v/>
      </c>
      <c r="E555" s="71" t="n"/>
      <c r="F555" s="71" t="n"/>
      <c r="G555" s="71" t="n"/>
      <c r="H555" s="71" t="n"/>
      <c r="I555" s="71" t="n"/>
      <c r="J555" s="71" t="n"/>
      <c r="K555" s="71" t="n"/>
      <c r="L555" s="71" t="n"/>
      <c r="M555" s="71" t="n"/>
      <c r="N555" s="71" t="n"/>
      <c r="O555" s="122" t="inlineStr">
        <is>
          <t>–</t>
        </is>
      </c>
    </row>
    <row r="556" outlineLevel="1" ht="16" customHeight="1">
      <c r="A556" s="118" t="inlineStr">
        <is>
          <t xml:space="preserve">  ▸ SUMMARY</t>
        </is>
      </c>
      <c r="B556" s="120" t="n"/>
      <c r="C556" s="120" t="n"/>
      <c r="D556" s="120" t="n"/>
      <c r="E556" s="120" t="n"/>
      <c r="F556" s="120" t="n"/>
      <c r="G556" s="120" t="n"/>
      <c r="H556" s="120" t="n"/>
      <c r="I556" s="120" t="n"/>
      <c r="J556" s="120" t="n"/>
      <c r="K556" s="120" t="n"/>
      <c r="L556" s="120" t="n"/>
      <c r="M556" s="120" t="n"/>
      <c r="N556" s="120" t="n"/>
      <c r="O556" s="120" t="n"/>
    </row>
    <row r="557" outlineLevel="2" ht="15" customHeight="1">
      <c r="A557" s="69" t="inlineStr">
        <is>
          <t xml:space="preserve">      Total Received (₹)</t>
        </is>
      </c>
      <c r="B557" s="70">
        <f>IF('Final Calculation Sheet'!$AC$25="","",'Final Calculation Sheet'!$AC$25)</f>
        <v/>
      </c>
      <c r="C557" s="188">
        <f>IF('Final Calculation Sheet'!$AC$28="","",'Final Calculation Sheet'!$AC$28)</f>
        <v/>
      </c>
      <c r="D557" s="70">
        <f>IF('Final Calculation Sheet'!$AC$35="","",'Final Calculation Sheet'!$AC$35)</f>
        <v/>
      </c>
      <c r="E557" s="71" t="n"/>
      <c r="F557" s="71" t="n"/>
      <c r="G557" s="71" t="n"/>
      <c r="H557" s="71" t="n"/>
      <c r="I557" s="71" t="n"/>
      <c r="J557" s="71" t="n"/>
      <c r="K557" s="71" t="n"/>
      <c r="L557" s="71" t="n"/>
      <c r="M557" s="71" t="n"/>
      <c r="N557" s="71" t="n"/>
      <c r="O557" s="124">
        <f>SUM(B557:N557)</f>
        <v/>
      </c>
    </row>
    <row r="558" outlineLevel="2" ht="15" customHeight="1">
      <c r="A558" s="69" t="inlineStr">
        <is>
          <t xml:space="preserve">      Outstanding (₹)</t>
        </is>
      </c>
      <c r="B558" s="70">
        <f>IF('Final Calculation Sheet'!$AD$25="","",'Final Calculation Sheet'!$AD$25)</f>
        <v/>
      </c>
      <c r="C558" s="188">
        <f>IF('Final Calculation Sheet'!$AD$28="","",'Final Calculation Sheet'!$AD$28)</f>
        <v/>
      </c>
      <c r="D558" s="70">
        <f>IF('Final Calculation Sheet'!$AD$35="","",'Final Calculation Sheet'!$AD$35)</f>
        <v/>
      </c>
      <c r="E558" s="71" t="n"/>
      <c r="F558" s="71" t="n"/>
      <c r="G558" s="71" t="n"/>
      <c r="H558" s="71" t="n"/>
      <c r="I558" s="71" t="n"/>
      <c r="J558" s="71" t="n"/>
      <c r="K558" s="71" t="n"/>
      <c r="L558" s="71" t="n"/>
      <c r="M558" s="71" t="n"/>
      <c r="N558" s="71" t="n"/>
      <c r="O558" s="124">
        <f>SUM(B558:N558)</f>
        <v/>
      </c>
    </row>
    <row r="559" outlineLevel="2" ht="15" customHeight="1">
      <c r="A559" s="69" t="inlineStr">
        <is>
          <t xml:space="preserve">      Payment Status</t>
        </is>
      </c>
      <c r="B559" s="81">
        <f>IF('Final Calculation Sheet'!$AD$25="","",IF('Final Calculation Sheet'!$AD$25&lt;=0,"SETTLED","OUTSTANDING"))</f>
        <v/>
      </c>
      <c r="C559" s="194">
        <f>IF('Final Calculation Sheet'!$AD$28="","",IF('Final Calculation Sheet'!$AD$28&lt;=0,"SETTLED","OUTSTANDING"))</f>
        <v/>
      </c>
      <c r="D559" s="81">
        <f>IF('Final Calculation Sheet'!$AD$35="","",IF('Final Calculation Sheet'!$AD$35&lt;=0,"SETTLED","OUTSTANDING"))</f>
        <v/>
      </c>
      <c r="E559" s="71" t="n"/>
      <c r="F559" s="71" t="n"/>
      <c r="G559" s="71" t="n"/>
      <c r="H559" s="71" t="n"/>
      <c r="I559" s="71" t="n"/>
      <c r="J559" s="71" t="n"/>
      <c r="K559" s="71" t="n"/>
      <c r="L559" s="71" t="n"/>
      <c r="M559" s="71" t="n"/>
      <c r="N559" s="71" t="n"/>
      <c r="O559" s="122" t="inlineStr">
        <is>
          <t>–</t>
        </is>
      </c>
    </row>
    <row r="560" outlineLevel="1" ht="16" customHeight="1">
      <c r="A560" s="118" t="inlineStr">
        <is>
          <t xml:space="preserve">  ▸ DOCUMENT</t>
        </is>
      </c>
      <c r="B560" s="120" t="n"/>
      <c r="C560" s="120" t="n"/>
      <c r="D560" s="120" t="n"/>
      <c r="E560" s="120" t="n"/>
      <c r="F560" s="120" t="n"/>
      <c r="G560" s="120" t="n"/>
      <c r="H560" s="120" t="n"/>
      <c r="I560" s="120" t="n"/>
      <c r="J560" s="120" t="n"/>
      <c r="K560" s="120" t="n"/>
      <c r="L560" s="120" t="n"/>
      <c r="M560" s="120" t="n"/>
      <c r="N560" s="120" t="n"/>
      <c r="O560" s="120" t="n"/>
    </row>
    <row r="561" outlineLevel="2" ht="15" customHeight="1">
      <c r="A561" s="69" t="inlineStr">
        <is>
          <t xml:space="preserve">      Invoice No.</t>
        </is>
      </c>
      <c r="B561" s="76">
        <f>IF('Final Calculation Sheet'!$AE$25="","",'Final Calculation Sheet'!$AE$25)</f>
        <v/>
      </c>
      <c r="C561" s="191">
        <f>IF('Final Calculation Sheet'!$AE$28="","",'Final Calculation Sheet'!$AE$28)</f>
        <v/>
      </c>
      <c r="D561" s="76">
        <f>IF('Final Calculation Sheet'!$AE$35="","",'Final Calculation Sheet'!$AE$35)</f>
        <v/>
      </c>
      <c r="E561" s="71" t="n"/>
      <c r="F561" s="71" t="n"/>
      <c r="G561" s="71" t="n"/>
      <c r="H561" s="71" t="n"/>
      <c r="I561" s="71" t="n"/>
      <c r="J561" s="71" t="n"/>
      <c r="K561" s="71" t="n"/>
      <c r="L561" s="71" t="n"/>
      <c r="M561" s="71" t="n"/>
      <c r="N561" s="71" t="n"/>
      <c r="O561" s="122" t="inlineStr">
        <is>
          <t>–</t>
        </is>
      </c>
    </row>
    <row r="562" outlineLevel="2" ht="15" customHeight="1">
      <c r="A562" s="69" t="inlineStr">
        <is>
          <t xml:space="preserve">      SAP Document</t>
        </is>
      </c>
      <c r="B562" s="70">
        <f>IF('Final Calculation Sheet'!$AF$25="","",'Final Calculation Sheet'!$AF$25)</f>
        <v/>
      </c>
      <c r="C562" s="188">
        <f>IF('Final Calculation Sheet'!$AF$28="","",'Final Calculation Sheet'!$AF$28)</f>
        <v/>
      </c>
      <c r="D562" s="70">
        <f>IF('Final Calculation Sheet'!$AF$35="","",'Final Calculation Sheet'!$AF$35)</f>
        <v/>
      </c>
      <c r="E562" s="71" t="n"/>
      <c r="F562" s="71" t="n"/>
      <c r="G562" s="71" t="n"/>
      <c r="H562" s="71" t="n"/>
      <c r="I562" s="71" t="n"/>
      <c r="J562" s="71" t="n"/>
      <c r="K562" s="71" t="n"/>
      <c r="L562" s="71" t="n"/>
      <c r="M562" s="71" t="n"/>
      <c r="N562" s="71" t="n"/>
      <c r="O562" s="122" t="inlineStr">
        <is>
          <t>–</t>
        </is>
      </c>
    </row>
    <row r="563" outlineLevel="2" ht="15" customHeight="1">
      <c r="A563" s="69" t="inlineStr">
        <is>
          <t xml:space="preserve">      Doc./Invoice Date</t>
        </is>
      </c>
      <c r="B563" s="76">
        <f>IF('Final Calculation Sheet'!$AG$25="","",'Final Calculation Sheet'!$AG$25)</f>
        <v/>
      </c>
      <c r="C563" s="191">
        <f>IF('Final Calculation Sheet'!$AG$28="","",'Final Calculation Sheet'!$AG$28)</f>
        <v/>
      </c>
      <c r="D563" s="76">
        <f>IF('Final Calculation Sheet'!$AG$35="","",'Final Calculation Sheet'!$AG$35)</f>
        <v/>
      </c>
      <c r="E563" s="71" t="n"/>
      <c r="F563" s="71" t="n"/>
      <c r="G563" s="71" t="n"/>
      <c r="H563" s="71" t="n"/>
      <c r="I563" s="71" t="n"/>
      <c r="J563" s="71" t="n"/>
      <c r="K563" s="71" t="n"/>
      <c r="L563" s="71" t="n"/>
      <c r="M563" s="71" t="n"/>
      <c r="N563" s="71" t="n"/>
      <c r="O563" s="122" t="inlineStr">
        <is>
          <t>–</t>
        </is>
      </c>
    </row>
    <row r="564" ht="7" customHeight="1">
      <c r="A564" s="82" t="n"/>
      <c r="B564" s="82" t="n"/>
      <c r="C564" s="82" t="n"/>
      <c r="D564" s="82" t="n"/>
      <c r="E564" s="82" t="n"/>
      <c r="F564" s="82" t="n"/>
      <c r="G564" s="82" t="n"/>
      <c r="H564" s="82" t="n"/>
      <c r="I564" s="82" t="n"/>
      <c r="J564" s="82" t="n"/>
      <c r="K564" s="82" t="n"/>
      <c r="L564" s="82" t="n"/>
      <c r="M564" s="82" t="n"/>
      <c r="N564" s="82" t="n"/>
      <c r="O564" s="82" t="n"/>
    </row>
    <row r="566" ht="22" customHeight="1">
      <c r="A566" s="195" t="inlineStr">
        <is>
          <t>◈  BUYER INDEX  —  click a buyer name to jump to its block</t>
        </is>
      </c>
    </row>
    <row r="567" ht="26" customHeight="1">
      <c r="A567" s="196" t="inlineStr">
        <is>
          <t>BUYER (click to jump)</t>
        </is>
      </c>
      <c r="B567" s="196" t="inlineStr">
        <is>
          <t>LOTS</t>
        </is>
      </c>
      <c r="C567" s="196" t="inlineStr">
        <is>
          <t>MAT. VALUE ₹</t>
        </is>
      </c>
      <c r="D567" s="196" t="inlineStr">
        <is>
          <t>TOTAL RECEIVABLES ₹</t>
        </is>
      </c>
      <c r="E567" s="196" t="inlineStr">
        <is>
          <t>TOTAL RECEIVED ₹</t>
        </is>
      </c>
      <c r="F567" s="196" t="inlineStr">
        <is>
          <t>OUTSTANDING ₹</t>
        </is>
      </c>
      <c r="G567" s="196" t="inlineStr">
        <is>
          <t>STATUS</t>
        </is>
      </c>
    </row>
    <row r="568" ht="16" customHeight="1">
      <c r="A568" s="197" t="inlineStr">
        <is>
          <t>AL HAMD TRADE CORPORATION</t>
        </is>
      </c>
      <c r="B568" s="198">
        <f>COUNTIF('Final Calculation Sheet'!$G$4:$G$1000,"AL HAMD TRADE CORPORATION")</f>
        <v/>
      </c>
      <c r="C568" s="199">
        <f>SUMIF('Final Calculation Sheet'!$G$4:$G$1000,"AL HAMD TRADE CORPORATION",'Final Calculation Sheet'!$H$4:$H$1000)</f>
        <v/>
      </c>
      <c r="D568" s="199">
        <f>SUMIF('Final Calculation Sheet'!$G$4:$G$1000,"AL HAMD TRADE CORPORATION",'Final Calculation Sheet'!$S$4:$S$1000)</f>
        <v/>
      </c>
      <c r="E568" s="199">
        <f>SUMIF('Final Calculation Sheet'!$G$4:$G$1000,"AL HAMD TRADE CORPORATION",'Final Calculation Sheet'!$AC$4:$AC$1000)</f>
        <v/>
      </c>
      <c r="F568" s="199">
        <f>SUMIF('Final Calculation Sheet'!$G$4:$G$1000,"AL HAMD TRADE CORPORATION",'Final Calculation Sheet'!$AD$4:$AD$1000)</f>
        <v/>
      </c>
      <c r="G568" s="68">
        <f>IF(F568&lt;=0,"SETTLED","OUTSTANDING")</f>
        <v/>
      </c>
    </row>
    <row r="569" ht="16" customHeight="1">
      <c r="A569" s="200" t="inlineStr">
        <is>
          <t>F R KHANS ENTERPRISES</t>
        </is>
      </c>
      <c r="B569" s="201">
        <f>COUNTIF('Final Calculation Sheet'!$G$4:$G$1000,"F R KHANS ENTERPRISES")</f>
        <v/>
      </c>
      <c r="C569" s="202">
        <f>SUMIF('Final Calculation Sheet'!$G$4:$G$1000,"F R KHANS ENTERPRISES",'Final Calculation Sheet'!$H$4:$H$1000)</f>
        <v/>
      </c>
      <c r="D569" s="202">
        <f>SUMIF('Final Calculation Sheet'!$G$4:$G$1000,"F R KHANS ENTERPRISES",'Final Calculation Sheet'!$S$4:$S$1000)</f>
        <v/>
      </c>
      <c r="E569" s="202">
        <f>SUMIF('Final Calculation Sheet'!$G$4:$G$1000,"F R KHANS ENTERPRISES",'Final Calculation Sheet'!$AC$4:$AC$1000)</f>
        <v/>
      </c>
      <c r="F569" s="202">
        <f>SUMIF('Final Calculation Sheet'!$G$4:$G$1000,"F R KHANS ENTERPRISES",'Final Calculation Sheet'!$AD$4:$AD$1000)</f>
        <v/>
      </c>
      <c r="G569" s="203">
        <f>IF(F569&lt;=0,"SETTLED","OUTSTANDING")</f>
        <v/>
      </c>
    </row>
    <row r="570" ht="16" customHeight="1">
      <c r="A570" s="204" t="inlineStr">
        <is>
          <t>HIND TRADERS</t>
        </is>
      </c>
      <c r="B570" s="205">
        <f>COUNTIF('Final Calculation Sheet'!$G$4:$G$1000,"HIND TRADERS")</f>
        <v/>
      </c>
      <c r="C570" s="206">
        <f>SUMIF('Final Calculation Sheet'!$G$4:$G$1000,"HIND TRADERS",'Final Calculation Sheet'!$H$4:$H$1000)</f>
        <v/>
      </c>
      <c r="D570" s="206">
        <f>SUMIF('Final Calculation Sheet'!$G$4:$G$1000,"HIND TRADERS",'Final Calculation Sheet'!$S$4:$S$1000)</f>
        <v/>
      </c>
      <c r="E570" s="206">
        <f>SUMIF('Final Calculation Sheet'!$G$4:$G$1000,"HIND TRADERS",'Final Calculation Sheet'!$AC$4:$AC$1000)</f>
        <v/>
      </c>
      <c r="F570" s="206">
        <f>SUMIF('Final Calculation Sheet'!$G$4:$G$1000,"HIND TRADERS",'Final Calculation Sheet'!$AD$4:$AD$1000)</f>
        <v/>
      </c>
      <c r="G570" s="103">
        <f>IF(F570&lt;=0,"SETTLED","OUTSTANDING")</f>
        <v/>
      </c>
    </row>
    <row r="571" ht="16" customHeight="1">
      <c r="A571" s="207" t="inlineStr">
        <is>
          <t>KASHYAP TRADING CO</t>
        </is>
      </c>
      <c r="B571" s="208">
        <f>COUNTIF('Final Calculation Sheet'!$G$4:$G$1000,"KASHYAP TRADING CO")</f>
        <v/>
      </c>
      <c r="C571" s="209">
        <f>SUMIF('Final Calculation Sheet'!$G$4:$G$1000,"KASHYAP TRADING CO",'Final Calculation Sheet'!$H$4:$H$1000)</f>
        <v/>
      </c>
      <c r="D571" s="209">
        <f>SUMIF('Final Calculation Sheet'!$G$4:$G$1000,"KASHYAP TRADING CO",'Final Calculation Sheet'!$S$4:$S$1000)</f>
        <v/>
      </c>
      <c r="E571" s="209">
        <f>SUMIF('Final Calculation Sheet'!$G$4:$G$1000,"KASHYAP TRADING CO",'Final Calculation Sheet'!$AC$4:$AC$1000)</f>
        <v/>
      </c>
      <c r="F571" s="209">
        <f>SUMIF('Final Calculation Sheet'!$G$4:$G$1000,"KASHYAP TRADING CO",'Final Calculation Sheet'!$AD$4:$AD$1000)</f>
        <v/>
      </c>
      <c r="G571" s="210">
        <f>IF(F571&lt;=0,"SETTLED","OUTSTANDING")</f>
        <v/>
      </c>
    </row>
    <row r="572" ht="16" customHeight="1">
      <c r="A572" s="211" t="inlineStr">
        <is>
          <t>M I SCRAP TRADERS</t>
        </is>
      </c>
      <c r="B572" s="212">
        <f>COUNTIF('Final Calculation Sheet'!$G$4:$G$1000,"M I SCRAP TRADERS")</f>
        <v/>
      </c>
      <c r="C572" s="213">
        <f>SUMIF('Final Calculation Sheet'!$G$4:$G$1000,"M I SCRAP TRADERS",'Final Calculation Sheet'!$H$4:$H$1000)</f>
        <v/>
      </c>
      <c r="D572" s="213">
        <f>SUMIF('Final Calculation Sheet'!$G$4:$G$1000,"M I SCRAP TRADERS",'Final Calculation Sheet'!$S$4:$S$1000)</f>
        <v/>
      </c>
      <c r="E572" s="213">
        <f>SUMIF('Final Calculation Sheet'!$G$4:$G$1000,"M I SCRAP TRADERS",'Final Calculation Sheet'!$AC$4:$AC$1000)</f>
        <v/>
      </c>
      <c r="F572" s="213">
        <f>SUMIF('Final Calculation Sheet'!$G$4:$G$1000,"M I SCRAP TRADERS",'Final Calculation Sheet'!$AD$4:$AD$1000)</f>
        <v/>
      </c>
      <c r="G572" s="121">
        <f>IF(F572&lt;=0,"SETTLED","OUTSTANDING")</f>
        <v/>
      </c>
    </row>
    <row r="573" ht="16" customHeight="1">
      <c r="A573" s="214" t="inlineStr">
        <is>
          <t>NATIONAL ENTERPRISES</t>
        </is>
      </c>
      <c r="B573" s="215">
        <f>COUNTIF('Final Calculation Sheet'!$G$4:$G$1000,"NATIONAL ENTERPRISES")</f>
        <v/>
      </c>
      <c r="C573" s="216">
        <f>SUMIF('Final Calculation Sheet'!$G$4:$G$1000,"NATIONAL ENTERPRISES",'Final Calculation Sheet'!$H$4:$H$1000)</f>
        <v/>
      </c>
      <c r="D573" s="216">
        <f>SUMIF('Final Calculation Sheet'!$G$4:$G$1000,"NATIONAL ENTERPRISES",'Final Calculation Sheet'!$S$4:$S$1000)</f>
        <v/>
      </c>
      <c r="E573" s="216">
        <f>SUMIF('Final Calculation Sheet'!$G$4:$G$1000,"NATIONAL ENTERPRISES",'Final Calculation Sheet'!$AC$4:$AC$1000)</f>
        <v/>
      </c>
      <c r="F573" s="216">
        <f>SUMIF('Final Calculation Sheet'!$G$4:$G$1000,"NATIONAL ENTERPRISES",'Final Calculation Sheet'!$AD$4:$AD$1000)</f>
        <v/>
      </c>
      <c r="G573" s="217">
        <f>IF(F573&lt;=0,"SETTLED","OUTSTANDING")</f>
        <v/>
      </c>
    </row>
    <row r="574" ht="16" customHeight="1">
      <c r="A574" s="218" t="inlineStr">
        <is>
          <t>NATIONAL SCRAP AND BUILDING MATERIAL SUPPLIER</t>
        </is>
      </c>
      <c r="B574" s="219">
        <f>COUNTIF('Final Calculation Sheet'!$G$4:$G$1000,"NATIONAL SCRAP AND BUILDING MATERIAL SUPPLIER")</f>
        <v/>
      </c>
      <c r="C574" s="220">
        <f>SUMIF('Final Calculation Sheet'!$G$4:$G$1000,"NATIONAL SCRAP AND BUILDING MATERIAL SUPPLIER",'Final Calculation Sheet'!$H$4:$H$1000)</f>
        <v/>
      </c>
      <c r="D574" s="220">
        <f>SUMIF('Final Calculation Sheet'!$G$4:$G$1000,"NATIONAL SCRAP AND BUILDING MATERIAL SUPPLIER",'Final Calculation Sheet'!$S$4:$S$1000)</f>
        <v/>
      </c>
      <c r="E574" s="220">
        <f>SUMIF('Final Calculation Sheet'!$G$4:$G$1000,"NATIONAL SCRAP AND BUILDING MATERIAL SUPPLIER",'Final Calculation Sheet'!$AC$4:$AC$1000)</f>
        <v/>
      </c>
      <c r="F574" s="220">
        <f>SUMIF('Final Calculation Sheet'!$G$4:$G$1000,"NATIONAL SCRAP AND BUILDING MATERIAL SUPPLIER",'Final Calculation Sheet'!$AD$4:$AD$1000)</f>
        <v/>
      </c>
      <c r="G574" s="146">
        <f>IF(F574&lt;=0,"SETTLED","OUTSTANDING")</f>
        <v/>
      </c>
    </row>
    <row r="575" ht="16" customHeight="1">
      <c r="A575" s="221" t="inlineStr">
        <is>
          <t>OMKAR STEELS</t>
        </is>
      </c>
      <c r="B575" s="222">
        <f>COUNTIF('Final Calculation Sheet'!$G$4:$G$1000,"OMKAR STEELS")</f>
        <v/>
      </c>
      <c r="C575" s="223">
        <f>SUMIF('Final Calculation Sheet'!$G$4:$G$1000,"OMKAR STEELS",'Final Calculation Sheet'!$H$4:$H$1000)</f>
        <v/>
      </c>
      <c r="D575" s="223">
        <f>SUMIF('Final Calculation Sheet'!$G$4:$G$1000,"OMKAR STEELS",'Final Calculation Sheet'!$S$4:$S$1000)</f>
        <v/>
      </c>
      <c r="E575" s="223">
        <f>SUMIF('Final Calculation Sheet'!$G$4:$G$1000,"OMKAR STEELS",'Final Calculation Sheet'!$AC$4:$AC$1000)</f>
        <v/>
      </c>
      <c r="F575" s="223">
        <f>SUMIF('Final Calculation Sheet'!$G$4:$G$1000,"OMKAR STEELS",'Final Calculation Sheet'!$AD$4:$AD$1000)</f>
        <v/>
      </c>
      <c r="G575" s="224">
        <f>IF(F575&lt;=0,"SETTLED","OUTSTANDING")</f>
        <v/>
      </c>
    </row>
    <row r="576" ht="16" customHeight="1">
      <c r="A576" s="197" t="inlineStr">
        <is>
          <t>S M ENTERPRISES</t>
        </is>
      </c>
      <c r="B576" s="198">
        <f>COUNTIF('Final Calculation Sheet'!$G$4:$G$1000,"S M ENTERPRISES")</f>
        <v/>
      </c>
      <c r="C576" s="199">
        <f>SUMIF('Final Calculation Sheet'!$G$4:$G$1000,"S M ENTERPRISES",'Final Calculation Sheet'!$H$4:$H$1000)</f>
        <v/>
      </c>
      <c r="D576" s="199">
        <f>SUMIF('Final Calculation Sheet'!$G$4:$G$1000,"S M ENTERPRISES",'Final Calculation Sheet'!$S$4:$S$1000)</f>
        <v/>
      </c>
      <c r="E576" s="199">
        <f>SUMIF('Final Calculation Sheet'!$G$4:$G$1000,"S M ENTERPRISES",'Final Calculation Sheet'!$AC$4:$AC$1000)</f>
        <v/>
      </c>
      <c r="F576" s="199">
        <f>SUMIF('Final Calculation Sheet'!$G$4:$G$1000,"S M ENTERPRISES",'Final Calculation Sheet'!$AD$4:$AD$1000)</f>
        <v/>
      </c>
      <c r="G576" s="68">
        <f>IF(F576&lt;=0,"SETTLED","OUTSTANDING")</f>
        <v/>
      </c>
    </row>
    <row r="577" ht="16" customHeight="1">
      <c r="A577" s="200" t="inlineStr">
        <is>
          <t>SAHARA ENTERPRISES</t>
        </is>
      </c>
      <c r="B577" s="201">
        <f>COUNTIF('Final Calculation Sheet'!$G$4:$G$1000,"SAHARA ENTERPRISES")</f>
        <v/>
      </c>
      <c r="C577" s="202">
        <f>SUMIF('Final Calculation Sheet'!$G$4:$G$1000,"SAHARA ENTERPRISES",'Final Calculation Sheet'!$H$4:$H$1000)</f>
        <v/>
      </c>
      <c r="D577" s="202">
        <f>SUMIF('Final Calculation Sheet'!$G$4:$G$1000,"SAHARA ENTERPRISES",'Final Calculation Sheet'!$S$4:$S$1000)</f>
        <v/>
      </c>
      <c r="E577" s="202">
        <f>SUMIF('Final Calculation Sheet'!$G$4:$G$1000,"SAHARA ENTERPRISES",'Final Calculation Sheet'!$AC$4:$AC$1000)</f>
        <v/>
      </c>
      <c r="F577" s="202">
        <f>SUMIF('Final Calculation Sheet'!$G$4:$G$1000,"SAHARA ENTERPRISES",'Final Calculation Sheet'!$AD$4:$AD$1000)</f>
        <v/>
      </c>
      <c r="G577" s="203">
        <f>IF(F577&lt;=0,"SETTLED","OUTSTANDING")</f>
        <v/>
      </c>
    </row>
    <row r="578" ht="16" customHeight="1">
      <c r="A578" s="204" t="inlineStr">
        <is>
          <t>SHAR JAHAN TRADERS</t>
        </is>
      </c>
      <c r="B578" s="205">
        <f>COUNTIF('Final Calculation Sheet'!$G$4:$G$1000,"SHAR JAHAN TRADERS")</f>
        <v/>
      </c>
      <c r="C578" s="206">
        <f>SUMIF('Final Calculation Sheet'!$G$4:$G$1000,"SHAR JAHAN TRADERS",'Final Calculation Sheet'!$H$4:$H$1000)</f>
        <v/>
      </c>
      <c r="D578" s="206">
        <f>SUMIF('Final Calculation Sheet'!$G$4:$G$1000,"SHAR JAHAN TRADERS",'Final Calculation Sheet'!$S$4:$S$1000)</f>
        <v/>
      </c>
      <c r="E578" s="206">
        <f>SUMIF('Final Calculation Sheet'!$G$4:$G$1000,"SHAR JAHAN TRADERS",'Final Calculation Sheet'!$AC$4:$AC$1000)</f>
        <v/>
      </c>
      <c r="F578" s="206">
        <f>SUMIF('Final Calculation Sheet'!$G$4:$G$1000,"SHAR JAHAN TRADERS",'Final Calculation Sheet'!$AD$4:$AD$1000)</f>
        <v/>
      </c>
      <c r="G578" s="103">
        <f>IF(F578&lt;=0,"SETTLED","OUTSTANDING")</f>
        <v/>
      </c>
    </row>
    <row r="579" ht="16" customHeight="1">
      <c r="A579" s="207" t="inlineStr">
        <is>
          <t>STERLING ENTERPRISES</t>
        </is>
      </c>
      <c r="B579" s="208">
        <f>COUNTIF('Final Calculation Sheet'!$G$4:$G$1000,"STERLING ENTERPRISES")</f>
        <v/>
      </c>
      <c r="C579" s="209">
        <f>SUMIF('Final Calculation Sheet'!$G$4:$G$1000,"STERLING ENTERPRISES",'Final Calculation Sheet'!$H$4:$H$1000)</f>
        <v/>
      </c>
      <c r="D579" s="209">
        <f>SUMIF('Final Calculation Sheet'!$G$4:$G$1000,"STERLING ENTERPRISES",'Final Calculation Sheet'!$S$4:$S$1000)</f>
        <v/>
      </c>
      <c r="E579" s="209">
        <f>SUMIF('Final Calculation Sheet'!$G$4:$G$1000,"STERLING ENTERPRISES",'Final Calculation Sheet'!$AC$4:$AC$1000)</f>
        <v/>
      </c>
      <c r="F579" s="209">
        <f>SUMIF('Final Calculation Sheet'!$G$4:$G$1000,"STERLING ENTERPRISES",'Final Calculation Sheet'!$AD$4:$AD$1000)</f>
        <v/>
      </c>
      <c r="G579" s="210">
        <f>IF(F579&lt;=0,"SETTLED","OUTSTANDING")</f>
        <v/>
      </c>
    </row>
    <row r="580" ht="16" customHeight="1">
      <c r="A580" s="211" t="inlineStr">
        <is>
          <t>WATAN SCRAP TRADERS</t>
        </is>
      </c>
      <c r="B580" s="212">
        <f>COUNTIF('Final Calculation Sheet'!$G$4:$G$1000,"WATAN SCRAP TRADERS")</f>
        <v/>
      </c>
      <c r="C580" s="213">
        <f>SUMIF('Final Calculation Sheet'!$G$4:$G$1000,"WATAN SCRAP TRADERS",'Final Calculation Sheet'!$H$4:$H$1000)</f>
        <v/>
      </c>
      <c r="D580" s="213">
        <f>SUMIF('Final Calculation Sheet'!$G$4:$G$1000,"WATAN SCRAP TRADERS",'Final Calculation Sheet'!$S$4:$S$1000)</f>
        <v/>
      </c>
      <c r="E580" s="213">
        <f>SUMIF('Final Calculation Sheet'!$G$4:$G$1000,"WATAN SCRAP TRADERS",'Final Calculation Sheet'!$AC$4:$AC$1000)</f>
        <v/>
      </c>
      <c r="F580" s="213">
        <f>SUMIF('Final Calculation Sheet'!$G$4:$G$1000,"WATAN SCRAP TRADERS",'Final Calculation Sheet'!$AD$4:$AD$1000)</f>
        <v/>
      </c>
      <c r="G580" s="121">
        <f>IF(F580&lt;=0,"SETTLED","OUTSTANDING")</f>
        <v/>
      </c>
    </row>
    <row r="581" ht="18" customHeight="1">
      <c r="A581" s="225" t="inlineStr">
        <is>
          <t>∑  ALL BUYERS</t>
        </is>
      </c>
      <c r="B581" s="226">
        <f>SUM(B568:B580)</f>
        <v/>
      </c>
      <c r="C581" s="227">
        <f>SUM(C568:C580)</f>
        <v/>
      </c>
      <c r="D581" s="227">
        <f>SUM(D568:D580)</f>
        <v/>
      </c>
      <c r="E581" s="227">
        <f>SUM(E568:E580)</f>
        <v/>
      </c>
      <c r="F581" s="227">
        <f>SUM(F568:F580)</f>
        <v/>
      </c>
      <c r="G581" s="228">
        <f>IF(F581&lt;=0,"SETTLED","OUTSTANDING")</f>
        <v/>
      </c>
    </row>
  </sheetData>
  <mergeCells count="17">
    <mergeCell ref="A350:O350"/>
    <mergeCell ref="A522:O522"/>
    <mergeCell ref="A2:O2"/>
    <mergeCell ref="A393:O393"/>
    <mergeCell ref="A436:O436"/>
    <mergeCell ref="A221:O221"/>
    <mergeCell ref="A49:O49"/>
    <mergeCell ref="A264:O264"/>
    <mergeCell ref="A566:O566"/>
    <mergeCell ref="A1:O1"/>
    <mergeCell ref="A178:O178"/>
    <mergeCell ref="A307:O307"/>
    <mergeCell ref="A6:O6"/>
    <mergeCell ref="A135:O135"/>
    <mergeCell ref="A479:O479"/>
    <mergeCell ref="A92:O92"/>
    <mergeCell ref="A3:O3"/>
  </mergeCells>
  <conditionalFormatting sqref="G568:G581">
    <cfRule type="cellIs" priority="1" operator="equal" dxfId="0">
      <formula>"SETTLED"</formula>
    </cfRule>
    <cfRule type="cellIs" priority="2" operator="equal" dxfId="1">
      <formula>"OUTSTANDING"</formula>
    </cfRule>
  </conditionalFormatting>
  <hyperlinks>
    <hyperlink ref="A568" location="'Collapsible - Lots Across'!A6" tooltip="Jump to AL HAMD TRADE CORPORATION" display="AL HAMD TRADE CORPORATION"/>
    <hyperlink ref="A569" location="'Collapsible - Lots Across'!A49" tooltip="Jump to F R KHANS ENTERPRISES" display="F R KHANS ENTERPRISES"/>
    <hyperlink ref="A570" location="'Collapsible - Lots Across'!A92" tooltip="Jump to HIND TRADERS" display="HIND TRADERS"/>
    <hyperlink ref="A571" location="'Collapsible - Lots Across'!A135" tooltip="Jump to KASHYAP TRADING CO" display="KASHYAP TRADING CO"/>
    <hyperlink ref="A572" location="'Collapsible - Lots Across'!A178" tooltip="Jump to M I SCRAP TRADERS" display="M I SCRAP TRADERS"/>
    <hyperlink ref="A573" location="'Collapsible - Lots Across'!A221" tooltip="Jump to NATIONAL ENTERPRISES" display="NATIONAL ENTERPRISES"/>
    <hyperlink ref="A574" location="'Collapsible - Lots Across'!A264" tooltip="Jump to NATIONAL SCRAP AND BUILDING MATERIAL SUPPLIER" display="NATIONAL SCRAP AND BUILDING MATERIAL SUPPLIER"/>
    <hyperlink ref="A575" location="'Collapsible - Lots Across'!A307" tooltip="Jump to OMKAR STEELS" display="OMKAR STEELS"/>
    <hyperlink ref="A576" location="'Collapsible - Lots Across'!A350" tooltip="Jump to S M ENTERPRISES" display="S M ENTERPRISES"/>
    <hyperlink ref="A577" location="'Collapsible - Lots Across'!A393" tooltip="Jump to SAHARA ENTERPRISES" display="SAHARA ENTERPRISES"/>
    <hyperlink ref="A578" location="'Collapsible - Lots Across'!A436" tooltip="Jump to SHAR JAHAN TRADERS" display="SHAR JAHAN TRADERS"/>
    <hyperlink ref="A579" location="'Collapsible - Lots Across'!A479" tooltip="Jump to STERLING ENTERPRISES" display="STERLING ENTERPRISES"/>
    <hyperlink ref="A580" location="'Collapsible - Lots Across'!A522" tooltip="Jump to WATAN SCRAP TRADERS" display="WATAN SCRAP TRADERS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FFC000"/>
    <outlinePr summaryBelow="0" summaryRight="0"/>
    <pageSetUpPr fitToPage="1"/>
  </sheetPr>
  <dimension ref="A1:AG8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Row="1" outlineLevelCol="1"/>
  <cols>
    <col width="8.5" customWidth="1" min="1" max="1"/>
    <col outlineLevel="1" width="50" customWidth="1" min="2" max="2"/>
    <col outlineLevel="1" width="10" customWidth="1" min="3" max="3"/>
    <col outlineLevel="1" width="10" customWidth="1" min="4" max="4"/>
    <col outlineLevel="1" width="6.5" customWidth="1" min="5" max="5"/>
    <col outlineLevel="1" width="13.5" customWidth="1" min="6" max="6"/>
    <col width="13.5" customWidth="1" min="7" max="7"/>
    <col outlineLevel="1" width="13.5" customWidth="1" min="8" max="8"/>
    <col outlineLevel="1" width="13.5" customWidth="1" min="9" max="9"/>
    <col outlineLevel="1" width="13.5" customWidth="1" min="10" max="10"/>
    <col outlineLevel="1" width="13.5" customWidth="1" min="11" max="11"/>
    <col outlineLevel="1" width="13.5" customWidth="1" min="12" max="12"/>
    <col outlineLevel="1" width="13.5" customWidth="1" min="13" max="13"/>
    <col outlineLevel="1" width="13.5" customWidth="1" min="14" max="14"/>
    <col outlineLevel="1" width="13.5" customWidth="1" min="15" max="15"/>
    <col outlineLevel="1" width="12" customWidth="1" min="16" max="16"/>
    <col outlineLevel="1" width="13.5" customWidth="1" min="17" max="17"/>
    <col outlineLevel="1" width="13.5" customWidth="1" min="18" max="18"/>
    <col width="13.5" customWidth="1" min="19" max="19"/>
    <col outlineLevel="1" width="13.5" customWidth="1" min="20" max="20"/>
    <col outlineLevel="1" width="12" customWidth="1" min="21" max="21"/>
    <col width="13.5" customWidth="1" min="22" max="22"/>
    <col outlineLevel="1" width="13.5" customWidth="1" min="23" max="23"/>
    <col outlineLevel="1" width="12" customWidth="1" min="24" max="24"/>
    <col width="13.5" customWidth="1" min="25" max="25"/>
    <col outlineLevel="1" width="13.5" customWidth="1" min="26" max="26"/>
    <col outlineLevel="1" width="12" customWidth="1" min="27" max="27"/>
    <col width="13.5" customWidth="1" min="28" max="28"/>
    <col outlineLevel="1" width="13.5" customWidth="1" min="29" max="29"/>
    <col outlineLevel="1" width="14" customWidth="1" min="30" max="30"/>
    <col width="15" customWidth="1" min="31" max="31"/>
    <col outlineLevel="1" width="13" customWidth="1" min="32" max="32"/>
    <col outlineLevel="1" width="12" customWidth="1" min="33" max="33"/>
  </cols>
  <sheetData>
    <row r="1" ht="30" customHeight="1">
      <c r="A1" s="59" t="inlineStr">
        <is>
          <t>MSTC LIMITED  •  BUYER × LOT COLLAPSIBLE VIEW   (lots ↓ rows  |  fields → columns)</t>
        </is>
      </c>
    </row>
    <row r="2" ht="30" customHeight="1">
      <c r="A2" s="61" t="inlineStr">
        <is>
          <t>HOW TO USE  ▶  the − / + buttons in the left margin fold a buyer: its lots hide and the banner plus the ∑ totals row stay on screen   •   the − above a column category (LOT INFO, FINANCIALS …) folds those columns away, keeping the category's first column   •   every figure is a live link to 'Final Calculation Sheet'   •   for filtering use 'Ledger Filter - Lots Down' or 'Ledger Filter - Lots Across'</t>
        </is>
      </c>
    </row>
    <row r="3" ht="17" customHeight="1">
      <c r="A3" s="233" t="inlineStr">
        <is>
          <t>LOT INFORMATION</t>
        </is>
      </c>
      <c r="B3" s="384" t="n"/>
      <c r="C3" s="384" t="n"/>
      <c r="D3" s="384" t="n"/>
      <c r="E3" s="384" t="n"/>
      <c r="F3" s="384" t="n"/>
      <c r="G3" s="234" t="inlineStr">
        <is>
          <t>FINANCIALS</t>
        </is>
      </c>
      <c r="H3" s="385" t="n"/>
      <c r="I3" s="385" t="n"/>
      <c r="J3" s="385" t="n"/>
      <c r="K3" s="385" t="n"/>
      <c r="L3" s="385" t="n"/>
      <c r="M3" s="385" t="n"/>
      <c r="N3" s="385" t="n"/>
      <c r="O3" s="385" t="n"/>
      <c r="P3" s="385" t="n"/>
      <c r="Q3" s="385" t="n"/>
      <c r="R3" s="385" t="n"/>
      <c r="S3" s="235" t="inlineStr">
        <is>
          <t>SECURITY DEPOSIT</t>
        </is>
      </c>
      <c r="T3" s="386" t="n"/>
      <c r="U3" s="386" t="n"/>
      <c r="V3" s="236" t="inlineStr">
        <is>
          <t>FINAL PAYMENT</t>
        </is>
      </c>
      <c r="W3" s="387" t="n"/>
      <c r="X3" s="387" t="n"/>
      <c r="Y3" s="237" t="inlineStr">
        <is>
          <t>LPP</t>
        </is>
      </c>
      <c r="Z3" s="388" t="n"/>
      <c r="AA3" s="388" t="n"/>
      <c r="AB3" s="238" t="inlineStr">
        <is>
          <t>SUMMARY</t>
        </is>
      </c>
      <c r="AC3" s="389" t="n"/>
      <c r="AD3" s="389" t="n"/>
      <c r="AE3" s="239" t="inlineStr">
        <is>
          <t>DOCUMENT</t>
        </is>
      </c>
      <c r="AF3" s="390" t="n"/>
      <c r="AG3" s="390" t="n"/>
    </row>
    <row r="4" ht="42" customHeight="1">
      <c r="A4" s="233" t="inlineStr">
        <is>
          <t>Lot No.</t>
        </is>
      </c>
      <c r="B4" s="233" t="inlineStr">
        <is>
          <t>Lot Name</t>
        </is>
      </c>
      <c r="C4" s="233" t="inlineStr">
        <is>
          <t>Bid Sheet / Auction</t>
        </is>
      </c>
      <c r="D4" s="233" t="inlineStr">
        <is>
          <t>Quantity</t>
        </is>
      </c>
      <c r="E4" s="233" t="inlineStr">
        <is>
          <t>Unit</t>
        </is>
      </c>
      <c r="F4" s="233" t="inlineStr">
        <is>
          <t>Rate (₹)</t>
        </is>
      </c>
      <c r="G4" s="234" t="inlineStr">
        <is>
          <t>Mat. Value (₹)</t>
        </is>
      </c>
      <c r="H4" s="234" t="inlineStr">
        <is>
          <t>GST @ 18% (₹)</t>
        </is>
      </c>
      <c r="I4" s="234" t="inlineStr">
        <is>
          <t>Mat. Value + GST (₹)</t>
        </is>
      </c>
      <c r="J4" s="234" t="inlineStr">
        <is>
          <t>TCS @ 2% (₹)</t>
        </is>
      </c>
      <c r="K4" s="234" t="inlineStr">
        <is>
          <t>TDS u/s 194(O) (₹)</t>
        </is>
      </c>
      <c r="L4" s="234" t="inlineStr">
        <is>
          <t>Service Charge gross (₹)</t>
        </is>
      </c>
      <c r="M4" s="234" t="inlineStr">
        <is>
          <t>TDS u/s 194(H) (₹)</t>
        </is>
      </c>
      <c r="N4" s="234" t="inlineStr">
        <is>
          <t>Net Service Charge (₹)</t>
        </is>
      </c>
      <c r="O4" s="234" t="inlineStr">
        <is>
          <t>Svc Charge to MSTC (₹)</t>
        </is>
      </c>
      <c r="P4" s="234" t="inlineStr">
        <is>
          <t>GST TDS Rate</t>
        </is>
      </c>
      <c r="Q4" s="234" t="inlineStr">
        <is>
          <t>GST TDS (₹)</t>
        </is>
      </c>
      <c r="R4" s="234" t="inlineStr">
        <is>
          <t>Total Receivables (₹)</t>
        </is>
      </c>
      <c r="S4" s="235" t="inlineStr">
        <is>
          <t>SD Expected (₹)</t>
        </is>
      </c>
      <c r="T4" s="235" t="inlineStr">
        <is>
          <t>SD Received (₹)</t>
        </is>
      </c>
      <c r="U4" s="235" t="inlineStr">
        <is>
          <t>SD Receipt Date</t>
        </is>
      </c>
      <c r="V4" s="236" t="inlineStr">
        <is>
          <t>FP Expected (₹)</t>
        </is>
      </c>
      <c r="W4" s="236" t="inlineStr">
        <is>
          <t>FP Received (₹)</t>
        </is>
      </c>
      <c r="X4" s="236" t="inlineStr">
        <is>
          <t>FP Receipt Date</t>
        </is>
      </c>
      <c r="Y4" s="237" t="inlineStr">
        <is>
          <t>LPP Expected (₹)</t>
        </is>
      </c>
      <c r="Z4" s="237" t="inlineStr">
        <is>
          <t>LPP Received (₹)</t>
        </is>
      </c>
      <c r="AA4" s="237" t="inlineStr">
        <is>
          <t>LPP Receipt Date</t>
        </is>
      </c>
      <c r="AB4" s="238" t="inlineStr">
        <is>
          <t>Total Received (₹)</t>
        </is>
      </c>
      <c r="AC4" s="238" t="inlineStr">
        <is>
          <t>Outstanding (₹)</t>
        </is>
      </c>
      <c r="AD4" s="238" t="inlineStr">
        <is>
          <t>Payment Status</t>
        </is>
      </c>
      <c r="AE4" s="239" t="inlineStr">
        <is>
          <t>Invoice No.</t>
        </is>
      </c>
      <c r="AF4" s="239" t="inlineStr">
        <is>
          <t>SAP Document</t>
        </is>
      </c>
      <c r="AG4" s="239" t="inlineStr">
        <is>
          <t>Doc./Invoice Date</t>
        </is>
      </c>
    </row>
    <row r="5" ht="24" customHeight="1">
      <c r="A5" s="63">
        <f>"▼  AL HAMD TRADE CORPORATION   •   "&amp;COUNTIF('Final Calculation Sheet'!$G$4:$G$1000,"AL HAMD TRADE CORPORATION")&amp;" LOT(S)   •   MAT. VALUE ₹"&amp;TEXT(SUMIF('Final Calculation Sheet'!$G$4:$G$1000,"AL HAMD TRADE CORPORATION",'Final Calculation Sheet'!$H$4:$H$1000),"#,##0")&amp;"   •   RECEIVED ₹"&amp;TEXT(SUMIF('Final Calculation Sheet'!$G$4:$G$1000,"AL HAMD TRADE CORPORATION",'Final Calculation Sheet'!$AC$4:$AC$1000),"#,##0")&amp;"   •   OUTSTANDING ₹"&amp;TEXT(SUMIF('Final Calculation Sheet'!$G$4:$G$1000,"AL HAMD TRADE CORPORATION",'Final Calculation Sheet'!$AD$4:$AD$1000),"#,##0")</f>
        <v/>
      </c>
      <c r="B5" s="64" t="n"/>
      <c r="C5" s="64" t="n"/>
      <c r="D5" s="64" t="n"/>
      <c r="E5" s="64" t="n"/>
      <c r="F5" s="64" t="n"/>
      <c r="G5" s="64" t="n"/>
      <c r="H5" s="64" t="n"/>
      <c r="I5" s="64" t="n"/>
      <c r="J5" s="64" t="n"/>
      <c r="K5" s="64" t="n"/>
      <c r="L5" s="64" t="n"/>
      <c r="M5" s="64" t="n"/>
      <c r="N5" s="64" t="n"/>
      <c r="O5" s="64" t="n"/>
      <c r="P5" s="64" t="n"/>
      <c r="Q5" s="64" t="n"/>
      <c r="R5" s="64" t="n"/>
      <c r="S5" s="64" t="n"/>
      <c r="T5" s="64" t="n"/>
      <c r="U5" s="64" t="n"/>
      <c r="V5" s="64" t="n"/>
      <c r="W5" s="64" t="n"/>
      <c r="X5" s="64" t="n"/>
      <c r="Y5" s="64" t="n"/>
      <c r="Z5" s="64" t="n"/>
      <c r="AA5" s="64" t="n"/>
      <c r="AB5" s="64" t="n"/>
      <c r="AC5" s="64" t="n"/>
      <c r="AD5" s="64" t="n"/>
      <c r="AE5" s="64" t="n"/>
      <c r="AF5" s="64" t="n"/>
      <c r="AG5" s="64" t="n"/>
    </row>
    <row r="6" outlineLevel="1" ht="15" customHeight="1">
      <c r="A6" s="248">
        <f>IF('Final Calculation Sheet'!$F$4="","",'Final Calculation Sheet'!$F$4)</f>
        <v/>
      </c>
      <c r="B6" s="247">
        <f>IF('Final Calculation Sheet'!$B$4="","",'Final Calculation Sheet'!$B$4)</f>
        <v/>
      </c>
      <c r="C6" s="248">
        <f>IF('Final Calculation Sheet'!$D$4="","",'Final Calculation Sheet'!$D$4)</f>
        <v/>
      </c>
      <c r="D6" s="249">
        <f>IF('Final Calculation Sheet'!$A$4="","",'Final Calculation Sheet'!$A$4)</f>
        <v/>
      </c>
      <c r="E6" s="250">
        <f>IF('Final Calculation Sheet'!$E$4="","",'Final Calculation Sheet'!$E$4)</f>
        <v/>
      </c>
      <c r="F6" s="248">
        <f>IF('Final Calculation Sheet'!$C$4="","",'Final Calculation Sheet'!$C$4)</f>
        <v/>
      </c>
      <c r="G6" s="248">
        <f>IF('Final Calculation Sheet'!$H$4="","",'Final Calculation Sheet'!$H$4)</f>
        <v/>
      </c>
      <c r="H6" s="248">
        <f>IF('Final Calculation Sheet'!$I$4="","",'Final Calculation Sheet'!$I$4)</f>
        <v/>
      </c>
      <c r="I6" s="248">
        <f>IF('Final Calculation Sheet'!$J$4="","",'Final Calculation Sheet'!$J$4)</f>
        <v/>
      </c>
      <c r="J6" s="248">
        <f>IF('Final Calculation Sheet'!$K$4="","",'Final Calculation Sheet'!$K$4)</f>
        <v/>
      </c>
      <c r="K6" s="251">
        <f>IF('Final Calculation Sheet'!$L$4="","",'Final Calculation Sheet'!$L$4)</f>
        <v/>
      </c>
      <c r="L6" s="251">
        <f>IF('Final Calculation Sheet'!$M$4="","",'Final Calculation Sheet'!$M$4)</f>
        <v/>
      </c>
      <c r="M6" s="251">
        <f>IF('Final Calculation Sheet'!$N$4="","",'Final Calculation Sheet'!$N$4)</f>
        <v/>
      </c>
      <c r="N6" s="251">
        <f>IF('Final Calculation Sheet'!$O$4="","",'Final Calculation Sheet'!$O$4)</f>
        <v/>
      </c>
      <c r="O6" s="248">
        <f>IF('Final Calculation Sheet'!$P$4="","",'Final Calculation Sheet'!$P$4)</f>
        <v/>
      </c>
      <c r="P6" s="252">
        <f>IF('Final Calculation Sheet'!$Q$4="","",'Final Calculation Sheet'!$Q$4)</f>
        <v/>
      </c>
      <c r="Q6" s="248">
        <f>IF('Final Calculation Sheet'!$R$4="","",'Final Calculation Sheet'!$R$4)</f>
        <v/>
      </c>
      <c r="R6" s="248">
        <f>IF('Final Calculation Sheet'!$S$4="","",'Final Calculation Sheet'!$S$4)</f>
        <v/>
      </c>
      <c r="S6" s="248">
        <f>IF('Final Calculation Sheet'!$T$4="","",'Final Calculation Sheet'!$T$4)</f>
        <v/>
      </c>
      <c r="T6" s="248">
        <f>IF('Final Calculation Sheet'!$U$4="","",'Final Calculation Sheet'!$U$4)</f>
        <v/>
      </c>
      <c r="U6" s="250">
        <f>IF('Final Calculation Sheet'!$V$4="","",'Final Calculation Sheet'!$V$4)</f>
        <v/>
      </c>
      <c r="V6" s="248">
        <f>IF('Final Calculation Sheet'!$W$4="","",'Final Calculation Sheet'!$W$4)</f>
        <v/>
      </c>
      <c r="W6" s="248">
        <f>IF('Final Calculation Sheet'!$X$4="","",'Final Calculation Sheet'!$X$4)</f>
        <v/>
      </c>
      <c r="X6" s="250">
        <f>IF('Final Calculation Sheet'!$Y$4="","",'Final Calculation Sheet'!$Y$4)</f>
        <v/>
      </c>
      <c r="Y6" s="248">
        <f>IF('Final Calculation Sheet'!$Z$4="","",'Final Calculation Sheet'!$Z$4)</f>
        <v/>
      </c>
      <c r="Z6" s="248">
        <f>IF('Final Calculation Sheet'!$AA$4="","",'Final Calculation Sheet'!$AA$4)</f>
        <v/>
      </c>
      <c r="AA6" s="250">
        <f>IF('Final Calculation Sheet'!$AB$4="","",'Final Calculation Sheet'!$AB$4)</f>
        <v/>
      </c>
      <c r="AB6" s="248">
        <f>IF('Final Calculation Sheet'!$AC$4="","",'Final Calculation Sheet'!$AC$4)</f>
        <v/>
      </c>
      <c r="AC6" s="248">
        <f>IF('Final Calculation Sheet'!$AD$4="","",'Final Calculation Sheet'!$AD$4)</f>
        <v/>
      </c>
      <c r="AD6" s="250">
        <f>IF('Final Calculation Sheet'!$AD$4="","",IF('Final Calculation Sheet'!$AD$4&lt;=0,"SETTLED","OUTSTANDING"))</f>
        <v/>
      </c>
      <c r="AE6" s="250">
        <f>IF('Final Calculation Sheet'!$AE$4="","",'Final Calculation Sheet'!$AE$4)</f>
        <v/>
      </c>
      <c r="AF6" s="248">
        <f>IF('Final Calculation Sheet'!$AF$4="","",'Final Calculation Sheet'!$AF$4)</f>
        <v/>
      </c>
      <c r="AG6" s="250">
        <f>IF('Final Calculation Sheet'!$AG$4="","",'Final Calculation Sheet'!$AG$4)</f>
        <v/>
      </c>
    </row>
    <row r="7" ht="20" customHeight="1">
      <c r="A7" s="241" t="inlineStr">
        <is>
          <t>∑  AL HAMD TRADE CORPORATION — TOTALS</t>
        </is>
      </c>
      <c r="B7" s="391" t="inlineStr">
        <is>
          <t>–</t>
        </is>
      </c>
      <c r="C7" s="391" t="inlineStr">
        <is>
          <t>–</t>
        </is>
      </c>
      <c r="D7" s="244">
        <f>SUM(D6:D6)</f>
        <v/>
      </c>
      <c r="E7" s="391" t="inlineStr">
        <is>
          <t>–</t>
        </is>
      </c>
      <c r="F7" s="391" t="inlineStr">
        <is>
          <t>–</t>
        </is>
      </c>
      <c r="G7" s="245">
        <f>SUM(G6:G6)</f>
        <v/>
      </c>
      <c r="H7" s="245">
        <f>SUM(H6:H6)</f>
        <v/>
      </c>
      <c r="I7" s="245">
        <f>SUM(I6:I6)</f>
        <v/>
      </c>
      <c r="J7" s="245">
        <f>SUM(J6:J6)</f>
        <v/>
      </c>
      <c r="K7" s="246">
        <f>SUM(K6:K6)</f>
        <v/>
      </c>
      <c r="L7" s="246">
        <f>SUM(L6:L6)</f>
        <v/>
      </c>
      <c r="M7" s="246">
        <f>SUM(M6:M6)</f>
        <v/>
      </c>
      <c r="N7" s="246">
        <f>SUM(N6:N6)</f>
        <v/>
      </c>
      <c r="O7" s="245">
        <f>SUM(O6:O6)</f>
        <v/>
      </c>
      <c r="P7" s="391" t="inlineStr">
        <is>
          <t>–</t>
        </is>
      </c>
      <c r="Q7" s="245">
        <f>SUM(Q6:Q6)</f>
        <v/>
      </c>
      <c r="R7" s="245">
        <f>SUM(R6:R6)</f>
        <v/>
      </c>
      <c r="S7" s="245">
        <f>SUM(S6:S6)</f>
        <v/>
      </c>
      <c r="T7" s="245">
        <f>SUM(T6:T6)</f>
        <v/>
      </c>
      <c r="U7" s="391" t="inlineStr">
        <is>
          <t>–</t>
        </is>
      </c>
      <c r="V7" s="245">
        <f>SUM(V6:V6)</f>
        <v/>
      </c>
      <c r="W7" s="245">
        <f>SUM(W6:W6)</f>
        <v/>
      </c>
      <c r="X7" s="391" t="inlineStr">
        <is>
          <t>–</t>
        </is>
      </c>
      <c r="Y7" s="245">
        <f>SUM(Y6:Y6)</f>
        <v/>
      </c>
      <c r="Z7" s="245">
        <f>SUM(Z6:Z6)</f>
        <v/>
      </c>
      <c r="AA7" s="391" t="inlineStr">
        <is>
          <t>–</t>
        </is>
      </c>
      <c r="AB7" s="245">
        <f>SUM(AB6:AB6)</f>
        <v/>
      </c>
      <c r="AC7" s="245">
        <f>SUM(AC6:AC6)</f>
        <v/>
      </c>
      <c r="AD7" s="391" t="inlineStr">
        <is>
          <t>–</t>
        </is>
      </c>
      <c r="AE7" s="391" t="inlineStr">
        <is>
          <t>–</t>
        </is>
      </c>
      <c r="AF7" s="391" t="inlineStr">
        <is>
          <t>–</t>
        </is>
      </c>
      <c r="AG7" s="391" t="inlineStr">
        <is>
          <t>–</t>
        </is>
      </c>
    </row>
    <row r="8" ht="7" customHeight="1">
      <c r="A8" s="82" t="n"/>
      <c r="B8" s="82" t="n"/>
      <c r="C8" s="82" t="n"/>
      <c r="D8" s="82" t="n"/>
      <c r="E8" s="82" t="n"/>
      <c r="F8" s="82" t="n"/>
      <c r="G8" s="82" t="n"/>
      <c r="H8" s="82" t="n"/>
      <c r="I8" s="82" t="n"/>
      <c r="J8" s="82" t="n"/>
      <c r="K8" s="82" t="n"/>
      <c r="L8" s="82" t="n"/>
      <c r="M8" s="82" t="n"/>
      <c r="N8" s="82" t="n"/>
      <c r="O8" s="82" t="n"/>
      <c r="P8" s="82" t="n"/>
      <c r="Q8" s="82" t="n"/>
      <c r="R8" s="82" t="n"/>
      <c r="S8" s="82" t="n"/>
      <c r="T8" s="82" t="n"/>
      <c r="U8" s="82" t="n"/>
      <c r="V8" s="82" t="n"/>
      <c r="W8" s="82" t="n"/>
      <c r="X8" s="82" t="n"/>
      <c r="Y8" s="82" t="n"/>
      <c r="Z8" s="82" t="n"/>
      <c r="AA8" s="82" t="n"/>
      <c r="AB8" s="82" t="n"/>
      <c r="AC8" s="82" t="n"/>
      <c r="AD8" s="82" t="n"/>
      <c r="AE8" s="82" t="n"/>
      <c r="AF8" s="82" t="n"/>
      <c r="AG8" s="82" t="n"/>
    </row>
    <row r="9" ht="24" customHeight="1">
      <c r="A9" s="83">
        <f>"▼  F R KHANS ENTERPRISES   •   "&amp;COUNTIF('Final Calculation Sheet'!$G$4:$G$1000,"F R KHANS ENTERPRISES")&amp;" LOT(S)   •   MAT. VALUE ₹"&amp;TEXT(SUMIF('Final Calculation Sheet'!$G$4:$G$1000,"F R KHANS ENTERPRISES",'Final Calculation Sheet'!$H$4:$H$1000),"#,##0")&amp;"   •   RECEIVED ₹"&amp;TEXT(SUMIF('Final Calculation Sheet'!$G$4:$G$1000,"F R KHANS ENTERPRISES",'Final Calculation Sheet'!$AC$4:$AC$1000),"#,##0")&amp;"   •   OUTSTANDING ₹"&amp;TEXT(SUMIF('Final Calculation Sheet'!$G$4:$G$1000,"F R KHANS ENTERPRISES",'Final Calculation Sheet'!$AD$4:$AD$1000),"#,##0")</f>
        <v/>
      </c>
      <c r="B9" s="64" t="n"/>
      <c r="C9" s="64" t="n"/>
      <c r="D9" s="64" t="n"/>
      <c r="E9" s="64" t="n"/>
      <c r="F9" s="64" t="n"/>
      <c r="G9" s="64" t="n"/>
      <c r="H9" s="64" t="n"/>
      <c r="I9" s="64" t="n"/>
      <c r="J9" s="64" t="n"/>
      <c r="K9" s="64" t="n"/>
      <c r="L9" s="64" t="n"/>
      <c r="M9" s="64" t="n"/>
      <c r="N9" s="64" t="n"/>
      <c r="O9" s="64" t="n"/>
      <c r="P9" s="64" t="n"/>
      <c r="Q9" s="64" t="n"/>
      <c r="R9" s="64" t="n"/>
      <c r="S9" s="64" t="n"/>
      <c r="T9" s="64" t="n"/>
      <c r="U9" s="64" t="n"/>
      <c r="V9" s="64" t="n"/>
      <c r="W9" s="64" t="n"/>
      <c r="X9" s="64" t="n"/>
      <c r="Y9" s="64" t="n"/>
      <c r="Z9" s="64" t="n"/>
      <c r="AA9" s="64" t="n"/>
      <c r="AB9" s="64" t="n"/>
      <c r="AC9" s="64" t="n"/>
      <c r="AD9" s="64" t="n"/>
      <c r="AE9" s="64" t="n"/>
      <c r="AF9" s="64" t="n"/>
      <c r="AG9" s="64" t="n"/>
    </row>
    <row r="10" outlineLevel="1" ht="15" customHeight="1">
      <c r="A10" s="260">
        <f>IF('Final Calculation Sheet'!$F$6="","",'Final Calculation Sheet'!$F$6)</f>
        <v/>
      </c>
      <c r="B10" s="259">
        <f>IF('Final Calculation Sheet'!$B$6="","",'Final Calculation Sheet'!$B$6)</f>
        <v/>
      </c>
      <c r="C10" s="260">
        <f>IF('Final Calculation Sheet'!$D$6="","",'Final Calculation Sheet'!$D$6)</f>
        <v/>
      </c>
      <c r="D10" s="261">
        <f>IF('Final Calculation Sheet'!$A$6="","",'Final Calculation Sheet'!$A$6)</f>
        <v/>
      </c>
      <c r="E10" s="262">
        <f>IF('Final Calculation Sheet'!$E$6="","",'Final Calculation Sheet'!$E$6)</f>
        <v/>
      </c>
      <c r="F10" s="260">
        <f>IF('Final Calculation Sheet'!$C$6="","",'Final Calculation Sheet'!$C$6)</f>
        <v/>
      </c>
      <c r="G10" s="260">
        <f>IF('Final Calculation Sheet'!$H$6="","",'Final Calculation Sheet'!$H$6)</f>
        <v/>
      </c>
      <c r="H10" s="260">
        <f>IF('Final Calculation Sheet'!$I$6="","",'Final Calculation Sheet'!$I$6)</f>
        <v/>
      </c>
      <c r="I10" s="260">
        <f>IF('Final Calculation Sheet'!$J$6="","",'Final Calculation Sheet'!$J$6)</f>
        <v/>
      </c>
      <c r="J10" s="260">
        <f>IF('Final Calculation Sheet'!$K$6="","",'Final Calculation Sheet'!$K$6)</f>
        <v/>
      </c>
      <c r="K10" s="263">
        <f>IF('Final Calculation Sheet'!$L$6="","",'Final Calculation Sheet'!$L$6)</f>
        <v/>
      </c>
      <c r="L10" s="263">
        <f>IF('Final Calculation Sheet'!$M$6="","",'Final Calculation Sheet'!$M$6)</f>
        <v/>
      </c>
      <c r="M10" s="263">
        <f>IF('Final Calculation Sheet'!$N$6="","",'Final Calculation Sheet'!$N$6)</f>
        <v/>
      </c>
      <c r="N10" s="263">
        <f>IF('Final Calculation Sheet'!$O$6="","",'Final Calculation Sheet'!$O$6)</f>
        <v/>
      </c>
      <c r="O10" s="260">
        <f>IF('Final Calculation Sheet'!$P$6="","",'Final Calculation Sheet'!$P$6)</f>
        <v/>
      </c>
      <c r="P10" s="264">
        <f>IF('Final Calculation Sheet'!$Q$6="","",'Final Calculation Sheet'!$Q$6)</f>
        <v/>
      </c>
      <c r="Q10" s="260">
        <f>IF('Final Calculation Sheet'!$R$6="","",'Final Calculation Sheet'!$R$6)</f>
        <v/>
      </c>
      <c r="R10" s="260">
        <f>IF('Final Calculation Sheet'!$S$6="","",'Final Calculation Sheet'!$S$6)</f>
        <v/>
      </c>
      <c r="S10" s="260">
        <f>IF('Final Calculation Sheet'!$T$6="","",'Final Calculation Sheet'!$T$6)</f>
        <v/>
      </c>
      <c r="T10" s="260">
        <f>IF('Final Calculation Sheet'!$U$6="","",'Final Calculation Sheet'!$U$6)</f>
        <v/>
      </c>
      <c r="U10" s="262">
        <f>IF('Final Calculation Sheet'!$V$6="","",'Final Calculation Sheet'!$V$6)</f>
        <v/>
      </c>
      <c r="V10" s="260">
        <f>IF('Final Calculation Sheet'!$W$6="","",'Final Calculation Sheet'!$W$6)</f>
        <v/>
      </c>
      <c r="W10" s="260">
        <f>IF('Final Calculation Sheet'!$X$6="","",'Final Calculation Sheet'!$X$6)</f>
        <v/>
      </c>
      <c r="X10" s="262">
        <f>IF('Final Calculation Sheet'!$Y$6="","",'Final Calculation Sheet'!$Y$6)</f>
        <v/>
      </c>
      <c r="Y10" s="260">
        <f>IF('Final Calculation Sheet'!$Z$6="","",'Final Calculation Sheet'!$Z$6)</f>
        <v/>
      </c>
      <c r="Z10" s="260">
        <f>IF('Final Calculation Sheet'!$AA$6="","",'Final Calculation Sheet'!$AA$6)</f>
        <v/>
      </c>
      <c r="AA10" s="262">
        <f>IF('Final Calculation Sheet'!$AB$6="","",'Final Calculation Sheet'!$AB$6)</f>
        <v/>
      </c>
      <c r="AB10" s="260">
        <f>IF('Final Calculation Sheet'!$AC$6="","",'Final Calculation Sheet'!$AC$6)</f>
        <v/>
      </c>
      <c r="AC10" s="260">
        <f>IF('Final Calculation Sheet'!$AD$6="","",'Final Calculation Sheet'!$AD$6)</f>
        <v/>
      </c>
      <c r="AD10" s="262">
        <f>IF('Final Calculation Sheet'!$AD$6="","",IF('Final Calculation Sheet'!$AD$6&lt;=0,"SETTLED","OUTSTANDING"))</f>
        <v/>
      </c>
      <c r="AE10" s="262">
        <f>IF('Final Calculation Sheet'!$AE$6="","",'Final Calculation Sheet'!$AE$6)</f>
        <v/>
      </c>
      <c r="AF10" s="260">
        <f>IF('Final Calculation Sheet'!$AF$6="","",'Final Calculation Sheet'!$AF$6)</f>
        <v/>
      </c>
      <c r="AG10" s="262">
        <f>IF('Final Calculation Sheet'!$AG$6="","",'Final Calculation Sheet'!$AG$6)</f>
        <v/>
      </c>
    </row>
    <row r="11" outlineLevel="1" ht="15" customHeight="1">
      <c r="A11" s="266">
        <f>IF('Final Calculation Sheet'!$F$7="","",'Final Calculation Sheet'!$F$7)</f>
        <v/>
      </c>
      <c r="B11" s="265">
        <f>IF('Final Calculation Sheet'!$B$7="","",'Final Calculation Sheet'!$B$7)</f>
        <v/>
      </c>
      <c r="C11" s="266">
        <f>IF('Final Calculation Sheet'!$D$7="","",'Final Calculation Sheet'!$D$7)</f>
        <v/>
      </c>
      <c r="D11" s="267">
        <f>IF('Final Calculation Sheet'!$A$7="","",'Final Calculation Sheet'!$A$7)</f>
        <v/>
      </c>
      <c r="E11" s="268">
        <f>IF('Final Calculation Sheet'!$E$7="","",'Final Calculation Sheet'!$E$7)</f>
        <v/>
      </c>
      <c r="F11" s="266">
        <f>IF('Final Calculation Sheet'!$C$7="","",'Final Calculation Sheet'!$C$7)</f>
        <v/>
      </c>
      <c r="G11" s="266">
        <f>IF('Final Calculation Sheet'!$H$7="","",'Final Calculation Sheet'!$H$7)</f>
        <v/>
      </c>
      <c r="H11" s="266">
        <f>IF('Final Calculation Sheet'!$I$7="","",'Final Calculation Sheet'!$I$7)</f>
        <v/>
      </c>
      <c r="I11" s="266">
        <f>IF('Final Calculation Sheet'!$J$7="","",'Final Calculation Sheet'!$J$7)</f>
        <v/>
      </c>
      <c r="J11" s="266">
        <f>IF('Final Calculation Sheet'!$K$7="","",'Final Calculation Sheet'!$K$7)</f>
        <v/>
      </c>
      <c r="K11" s="269">
        <f>IF('Final Calculation Sheet'!$L$7="","",'Final Calculation Sheet'!$L$7)</f>
        <v/>
      </c>
      <c r="L11" s="269">
        <f>IF('Final Calculation Sheet'!$M$7="","",'Final Calculation Sheet'!$M$7)</f>
        <v/>
      </c>
      <c r="M11" s="269">
        <f>IF('Final Calculation Sheet'!$N$7="","",'Final Calculation Sheet'!$N$7)</f>
        <v/>
      </c>
      <c r="N11" s="269">
        <f>IF('Final Calculation Sheet'!$O$7="","",'Final Calculation Sheet'!$O$7)</f>
        <v/>
      </c>
      <c r="O11" s="266">
        <f>IF('Final Calculation Sheet'!$P$7="","",'Final Calculation Sheet'!$P$7)</f>
        <v/>
      </c>
      <c r="P11" s="270">
        <f>IF('Final Calculation Sheet'!$Q$7="","",'Final Calculation Sheet'!$Q$7)</f>
        <v/>
      </c>
      <c r="Q11" s="266">
        <f>IF('Final Calculation Sheet'!$R$7="","",'Final Calculation Sheet'!$R$7)</f>
        <v/>
      </c>
      <c r="R11" s="266">
        <f>IF('Final Calculation Sheet'!$S$7="","",'Final Calculation Sheet'!$S$7)</f>
        <v/>
      </c>
      <c r="S11" s="266">
        <f>IF('Final Calculation Sheet'!$T$7="","",'Final Calculation Sheet'!$T$7)</f>
        <v/>
      </c>
      <c r="T11" s="266">
        <f>IF('Final Calculation Sheet'!$U$7="","",'Final Calculation Sheet'!$U$7)</f>
        <v/>
      </c>
      <c r="U11" s="268">
        <f>IF('Final Calculation Sheet'!$V$7="","",'Final Calculation Sheet'!$V$7)</f>
        <v/>
      </c>
      <c r="V11" s="266">
        <f>IF('Final Calculation Sheet'!$W$7="","",'Final Calculation Sheet'!$W$7)</f>
        <v/>
      </c>
      <c r="W11" s="266">
        <f>IF('Final Calculation Sheet'!$X$7="","",'Final Calculation Sheet'!$X$7)</f>
        <v/>
      </c>
      <c r="X11" s="268">
        <f>IF('Final Calculation Sheet'!$Y$7="","",'Final Calculation Sheet'!$Y$7)</f>
        <v/>
      </c>
      <c r="Y11" s="266">
        <f>IF('Final Calculation Sheet'!$Z$7="","",'Final Calculation Sheet'!$Z$7)</f>
        <v/>
      </c>
      <c r="Z11" s="266">
        <f>IF('Final Calculation Sheet'!$AA$7="","",'Final Calculation Sheet'!$AA$7)</f>
        <v/>
      </c>
      <c r="AA11" s="268">
        <f>IF('Final Calculation Sheet'!$AB$7="","",'Final Calculation Sheet'!$AB$7)</f>
        <v/>
      </c>
      <c r="AB11" s="266">
        <f>IF('Final Calculation Sheet'!$AC$7="","",'Final Calculation Sheet'!$AC$7)</f>
        <v/>
      </c>
      <c r="AC11" s="266">
        <f>IF('Final Calculation Sheet'!$AD$7="","",'Final Calculation Sheet'!$AD$7)</f>
        <v/>
      </c>
      <c r="AD11" s="268">
        <f>IF('Final Calculation Sheet'!$AD$7="","",IF('Final Calculation Sheet'!$AD$7&lt;=0,"SETTLED","OUTSTANDING"))</f>
        <v/>
      </c>
      <c r="AE11" s="268">
        <f>IF('Final Calculation Sheet'!$AE$7="","",'Final Calculation Sheet'!$AE$7)</f>
        <v/>
      </c>
      <c r="AF11" s="266">
        <f>IF('Final Calculation Sheet'!$AF$7="","",'Final Calculation Sheet'!$AF$7)</f>
        <v/>
      </c>
      <c r="AG11" s="268">
        <f>IF('Final Calculation Sheet'!$AG$7="","",'Final Calculation Sheet'!$AG$7)</f>
        <v/>
      </c>
    </row>
    <row r="12" ht="20" customHeight="1">
      <c r="A12" s="253" t="inlineStr">
        <is>
          <t>∑  F R KHANS ENTERPRISES — TOTALS</t>
        </is>
      </c>
      <c r="B12" s="392" t="inlineStr">
        <is>
          <t>–</t>
        </is>
      </c>
      <c r="C12" s="392" t="inlineStr">
        <is>
          <t>–</t>
        </is>
      </c>
      <c r="D12" s="256">
        <f>SUM(D10:D11)</f>
        <v/>
      </c>
      <c r="E12" s="392" t="inlineStr">
        <is>
          <t>–</t>
        </is>
      </c>
      <c r="F12" s="392" t="inlineStr">
        <is>
          <t>–</t>
        </is>
      </c>
      <c r="G12" s="257">
        <f>SUM(G10:G11)</f>
        <v/>
      </c>
      <c r="H12" s="257">
        <f>SUM(H10:H11)</f>
        <v/>
      </c>
      <c r="I12" s="257">
        <f>SUM(I10:I11)</f>
        <v/>
      </c>
      <c r="J12" s="257">
        <f>SUM(J10:J11)</f>
        <v/>
      </c>
      <c r="K12" s="258">
        <f>SUM(K10:K11)</f>
        <v/>
      </c>
      <c r="L12" s="258">
        <f>SUM(L10:L11)</f>
        <v/>
      </c>
      <c r="M12" s="258">
        <f>SUM(M10:M11)</f>
        <v/>
      </c>
      <c r="N12" s="258">
        <f>SUM(N10:N11)</f>
        <v/>
      </c>
      <c r="O12" s="257">
        <f>SUM(O10:O11)</f>
        <v/>
      </c>
      <c r="P12" s="392" t="inlineStr">
        <is>
          <t>–</t>
        </is>
      </c>
      <c r="Q12" s="257">
        <f>SUM(Q10:Q11)</f>
        <v/>
      </c>
      <c r="R12" s="257">
        <f>SUM(R10:R11)</f>
        <v/>
      </c>
      <c r="S12" s="257">
        <f>SUM(S10:S11)</f>
        <v/>
      </c>
      <c r="T12" s="257">
        <f>SUM(T10:T11)</f>
        <v/>
      </c>
      <c r="U12" s="392" t="inlineStr">
        <is>
          <t>–</t>
        </is>
      </c>
      <c r="V12" s="257">
        <f>SUM(V10:V11)</f>
        <v/>
      </c>
      <c r="W12" s="257">
        <f>SUM(W10:W11)</f>
        <v/>
      </c>
      <c r="X12" s="392" t="inlineStr">
        <is>
          <t>–</t>
        </is>
      </c>
      <c r="Y12" s="257">
        <f>SUM(Y10:Y11)</f>
        <v/>
      </c>
      <c r="Z12" s="257">
        <f>SUM(Z10:Z11)</f>
        <v/>
      </c>
      <c r="AA12" s="392" t="inlineStr">
        <is>
          <t>–</t>
        </is>
      </c>
      <c r="AB12" s="257">
        <f>SUM(AB10:AB11)</f>
        <v/>
      </c>
      <c r="AC12" s="257">
        <f>SUM(AC10:AC11)</f>
        <v/>
      </c>
      <c r="AD12" s="392" t="inlineStr">
        <is>
          <t>–</t>
        </is>
      </c>
      <c r="AE12" s="392" t="inlineStr">
        <is>
          <t>–</t>
        </is>
      </c>
      <c r="AF12" s="392" t="inlineStr">
        <is>
          <t>–</t>
        </is>
      </c>
      <c r="AG12" s="392" t="inlineStr">
        <is>
          <t>–</t>
        </is>
      </c>
    </row>
    <row r="13" ht="7" customHeight="1">
      <c r="A13" s="82" t="n"/>
      <c r="B13" s="82" t="n"/>
      <c r="C13" s="82" t="n"/>
      <c r="D13" s="82" t="n"/>
      <c r="E13" s="82" t="n"/>
      <c r="F13" s="82" t="n"/>
      <c r="G13" s="82" t="n"/>
      <c r="H13" s="82" t="n"/>
      <c r="I13" s="82" t="n"/>
      <c r="J13" s="82" t="n"/>
      <c r="K13" s="82" t="n"/>
      <c r="L13" s="82" t="n"/>
      <c r="M13" s="82" t="n"/>
      <c r="N13" s="82" t="n"/>
      <c r="O13" s="82" t="n"/>
      <c r="P13" s="82" t="n"/>
      <c r="Q13" s="82" t="n"/>
      <c r="R13" s="82" t="n"/>
      <c r="S13" s="82" t="n"/>
      <c r="T13" s="82" t="n"/>
      <c r="U13" s="82" t="n"/>
      <c r="V13" s="82" t="n"/>
      <c r="W13" s="82" t="n"/>
      <c r="X13" s="82" t="n"/>
      <c r="Y13" s="82" t="n"/>
      <c r="Z13" s="82" t="n"/>
      <c r="AA13" s="82" t="n"/>
      <c r="AB13" s="82" t="n"/>
      <c r="AC13" s="82" t="n"/>
      <c r="AD13" s="82" t="n"/>
      <c r="AE13" s="82" t="n"/>
      <c r="AF13" s="82" t="n"/>
      <c r="AG13" s="82" t="n"/>
    </row>
    <row r="14" ht="24" customHeight="1">
      <c r="A14" s="99">
        <f>"▼  HIND TRADERS   •   "&amp;COUNTIF('Final Calculation Sheet'!$G$4:$G$1000,"HIND TRADERS")&amp;" LOT(S)   •   MAT. VALUE ₹"&amp;TEXT(SUMIF('Final Calculation Sheet'!$G$4:$G$1000,"HIND TRADERS",'Final Calculation Sheet'!$H$4:$H$1000),"#,##0")&amp;"   •   RECEIVED ₹"&amp;TEXT(SUMIF('Final Calculation Sheet'!$G$4:$G$1000,"HIND TRADERS",'Final Calculation Sheet'!$AC$4:$AC$1000),"#,##0")&amp;"   •   OUTSTANDING ₹"&amp;TEXT(SUMIF('Final Calculation Sheet'!$G$4:$G$1000,"HIND TRADERS",'Final Calculation Sheet'!$AD$4:$AD$1000),"#,##0")</f>
        <v/>
      </c>
      <c r="B14" s="64" t="n"/>
      <c r="C14" s="64" t="n"/>
      <c r="D14" s="64" t="n"/>
      <c r="E14" s="64" t="n"/>
      <c r="F14" s="64" t="n"/>
      <c r="G14" s="64" t="n"/>
      <c r="H14" s="64" t="n"/>
      <c r="I14" s="64" t="n"/>
      <c r="J14" s="64" t="n"/>
      <c r="K14" s="64" t="n"/>
      <c r="L14" s="64" t="n"/>
      <c r="M14" s="64" t="n"/>
      <c r="N14" s="64" t="n"/>
      <c r="O14" s="64" t="n"/>
      <c r="P14" s="64" t="n"/>
      <c r="Q14" s="64" t="n"/>
      <c r="R14" s="64" t="n"/>
      <c r="S14" s="64" t="n"/>
      <c r="T14" s="64" t="n"/>
      <c r="U14" s="64" t="n"/>
      <c r="V14" s="64" t="n"/>
      <c r="W14" s="64" t="n"/>
      <c r="X14" s="64" t="n"/>
      <c r="Y14" s="64" t="n"/>
      <c r="Z14" s="64" t="n"/>
      <c r="AA14" s="64" t="n"/>
      <c r="AB14" s="64" t="n"/>
      <c r="AC14" s="64" t="n"/>
      <c r="AD14" s="64" t="n"/>
      <c r="AE14" s="64" t="n"/>
      <c r="AF14" s="64" t="n"/>
      <c r="AG14" s="64" t="n"/>
    </row>
    <row r="15" outlineLevel="1" ht="15" customHeight="1">
      <c r="A15" s="278">
        <f>IF('Final Calculation Sheet'!$F$15="","",'Final Calculation Sheet'!$F$15)</f>
        <v/>
      </c>
      <c r="B15" s="277">
        <f>IF('Final Calculation Sheet'!$B$15="","",'Final Calculation Sheet'!$B$15)</f>
        <v/>
      </c>
      <c r="C15" s="278">
        <f>IF('Final Calculation Sheet'!$D$15="","",'Final Calculation Sheet'!$D$15)</f>
        <v/>
      </c>
      <c r="D15" s="279">
        <f>IF('Final Calculation Sheet'!$A$15="","",'Final Calculation Sheet'!$A$15)</f>
        <v/>
      </c>
      <c r="E15" s="280">
        <f>IF('Final Calculation Sheet'!$E$15="","",'Final Calculation Sheet'!$E$15)</f>
        <v/>
      </c>
      <c r="F15" s="278">
        <f>IF('Final Calculation Sheet'!$C$15="","",'Final Calculation Sheet'!$C$15)</f>
        <v/>
      </c>
      <c r="G15" s="278">
        <f>IF('Final Calculation Sheet'!$H$15="","",'Final Calculation Sheet'!$H$15)</f>
        <v/>
      </c>
      <c r="H15" s="278">
        <f>IF('Final Calculation Sheet'!$I$15="","",'Final Calculation Sheet'!$I$15)</f>
        <v/>
      </c>
      <c r="I15" s="278">
        <f>IF('Final Calculation Sheet'!$J$15="","",'Final Calculation Sheet'!$J$15)</f>
        <v/>
      </c>
      <c r="J15" s="278">
        <f>IF('Final Calculation Sheet'!$K$15="","",'Final Calculation Sheet'!$K$15)</f>
        <v/>
      </c>
      <c r="K15" s="281">
        <f>IF('Final Calculation Sheet'!$L$15="","",'Final Calculation Sheet'!$L$15)</f>
        <v/>
      </c>
      <c r="L15" s="281">
        <f>IF('Final Calculation Sheet'!$M$15="","",'Final Calculation Sheet'!$M$15)</f>
        <v/>
      </c>
      <c r="M15" s="281">
        <f>IF('Final Calculation Sheet'!$N$15="","",'Final Calculation Sheet'!$N$15)</f>
        <v/>
      </c>
      <c r="N15" s="281">
        <f>IF('Final Calculation Sheet'!$O$15="","",'Final Calculation Sheet'!$O$15)</f>
        <v/>
      </c>
      <c r="O15" s="278">
        <f>IF('Final Calculation Sheet'!$P$15="","",'Final Calculation Sheet'!$P$15)</f>
        <v/>
      </c>
      <c r="P15" s="282">
        <f>IF('Final Calculation Sheet'!$Q$15="","",'Final Calculation Sheet'!$Q$15)</f>
        <v/>
      </c>
      <c r="Q15" s="278">
        <f>IF('Final Calculation Sheet'!$R$15="","",'Final Calculation Sheet'!$R$15)</f>
        <v/>
      </c>
      <c r="R15" s="278">
        <f>IF('Final Calculation Sheet'!$S$15="","",'Final Calculation Sheet'!$S$15)</f>
        <v/>
      </c>
      <c r="S15" s="278">
        <f>IF('Final Calculation Sheet'!$T$15="","",'Final Calculation Sheet'!$T$15)</f>
        <v/>
      </c>
      <c r="T15" s="278">
        <f>IF('Final Calculation Sheet'!$U$15="","",'Final Calculation Sheet'!$U$15)</f>
        <v/>
      </c>
      <c r="U15" s="280">
        <f>IF('Final Calculation Sheet'!$V$15="","",'Final Calculation Sheet'!$V$15)</f>
        <v/>
      </c>
      <c r="V15" s="278">
        <f>IF('Final Calculation Sheet'!$W$15="","",'Final Calculation Sheet'!$W$15)</f>
        <v/>
      </c>
      <c r="W15" s="278">
        <f>IF('Final Calculation Sheet'!$X$15="","",'Final Calculation Sheet'!$X$15)</f>
        <v/>
      </c>
      <c r="X15" s="280">
        <f>IF('Final Calculation Sheet'!$Y$15="","",'Final Calculation Sheet'!$Y$15)</f>
        <v/>
      </c>
      <c r="Y15" s="278">
        <f>IF('Final Calculation Sheet'!$Z$15="","",'Final Calculation Sheet'!$Z$15)</f>
        <v/>
      </c>
      <c r="Z15" s="278">
        <f>IF('Final Calculation Sheet'!$AA$15="","",'Final Calculation Sheet'!$AA$15)</f>
        <v/>
      </c>
      <c r="AA15" s="280">
        <f>IF('Final Calculation Sheet'!$AB$15="","",'Final Calculation Sheet'!$AB$15)</f>
        <v/>
      </c>
      <c r="AB15" s="278">
        <f>IF('Final Calculation Sheet'!$AC$15="","",'Final Calculation Sheet'!$AC$15)</f>
        <v/>
      </c>
      <c r="AC15" s="278">
        <f>IF('Final Calculation Sheet'!$AD$15="","",'Final Calculation Sheet'!$AD$15)</f>
        <v/>
      </c>
      <c r="AD15" s="280">
        <f>IF('Final Calculation Sheet'!$AD$15="","",IF('Final Calculation Sheet'!$AD$15&lt;=0,"SETTLED","OUTSTANDING"))</f>
        <v/>
      </c>
      <c r="AE15" s="280">
        <f>IF('Final Calculation Sheet'!$AE$15="","",'Final Calculation Sheet'!$AE$15)</f>
        <v/>
      </c>
      <c r="AF15" s="278">
        <f>IF('Final Calculation Sheet'!$AF$15="","",'Final Calculation Sheet'!$AF$15)</f>
        <v/>
      </c>
      <c r="AG15" s="280">
        <f>IF('Final Calculation Sheet'!$AG$15="","",'Final Calculation Sheet'!$AG$15)</f>
        <v/>
      </c>
    </row>
    <row r="16" ht="20" customHeight="1">
      <c r="A16" s="271" t="inlineStr">
        <is>
          <t>∑  HIND TRADERS — TOTALS</t>
        </is>
      </c>
      <c r="B16" s="393" t="inlineStr">
        <is>
          <t>–</t>
        </is>
      </c>
      <c r="C16" s="393" t="inlineStr">
        <is>
          <t>–</t>
        </is>
      </c>
      <c r="D16" s="274">
        <f>SUM(D15:D15)</f>
        <v/>
      </c>
      <c r="E16" s="393" t="inlineStr">
        <is>
          <t>–</t>
        </is>
      </c>
      <c r="F16" s="393" t="inlineStr">
        <is>
          <t>–</t>
        </is>
      </c>
      <c r="G16" s="275">
        <f>SUM(G15:G15)</f>
        <v/>
      </c>
      <c r="H16" s="275">
        <f>SUM(H15:H15)</f>
        <v/>
      </c>
      <c r="I16" s="275">
        <f>SUM(I15:I15)</f>
        <v/>
      </c>
      <c r="J16" s="275">
        <f>SUM(J15:J15)</f>
        <v/>
      </c>
      <c r="K16" s="276">
        <f>SUM(K15:K15)</f>
        <v/>
      </c>
      <c r="L16" s="276">
        <f>SUM(L15:L15)</f>
        <v/>
      </c>
      <c r="M16" s="276">
        <f>SUM(M15:M15)</f>
        <v/>
      </c>
      <c r="N16" s="276">
        <f>SUM(N15:N15)</f>
        <v/>
      </c>
      <c r="O16" s="275">
        <f>SUM(O15:O15)</f>
        <v/>
      </c>
      <c r="P16" s="393" t="inlineStr">
        <is>
          <t>–</t>
        </is>
      </c>
      <c r="Q16" s="275">
        <f>SUM(Q15:Q15)</f>
        <v/>
      </c>
      <c r="R16" s="275">
        <f>SUM(R15:R15)</f>
        <v/>
      </c>
      <c r="S16" s="275">
        <f>SUM(S15:S15)</f>
        <v/>
      </c>
      <c r="T16" s="275">
        <f>SUM(T15:T15)</f>
        <v/>
      </c>
      <c r="U16" s="393" t="inlineStr">
        <is>
          <t>–</t>
        </is>
      </c>
      <c r="V16" s="275">
        <f>SUM(V15:V15)</f>
        <v/>
      </c>
      <c r="W16" s="275">
        <f>SUM(W15:W15)</f>
        <v/>
      </c>
      <c r="X16" s="393" t="inlineStr">
        <is>
          <t>–</t>
        </is>
      </c>
      <c r="Y16" s="275">
        <f>SUM(Y15:Y15)</f>
        <v/>
      </c>
      <c r="Z16" s="275">
        <f>SUM(Z15:Z15)</f>
        <v/>
      </c>
      <c r="AA16" s="393" t="inlineStr">
        <is>
          <t>–</t>
        </is>
      </c>
      <c r="AB16" s="275">
        <f>SUM(AB15:AB15)</f>
        <v/>
      </c>
      <c r="AC16" s="275">
        <f>SUM(AC15:AC15)</f>
        <v/>
      </c>
      <c r="AD16" s="393" t="inlineStr">
        <is>
          <t>–</t>
        </is>
      </c>
      <c r="AE16" s="393" t="inlineStr">
        <is>
          <t>–</t>
        </is>
      </c>
      <c r="AF16" s="393" t="inlineStr">
        <is>
          <t>–</t>
        </is>
      </c>
      <c r="AG16" s="393" t="inlineStr">
        <is>
          <t>–</t>
        </is>
      </c>
    </row>
    <row r="17" ht="7" customHeight="1">
      <c r="A17" s="82" t="n"/>
      <c r="B17" s="82" t="n"/>
      <c r="C17" s="82" t="n"/>
      <c r="D17" s="82" t="n"/>
      <c r="E17" s="82" t="n"/>
      <c r="F17" s="82" t="n"/>
      <c r="G17" s="82" t="n"/>
      <c r="H17" s="82" t="n"/>
      <c r="I17" s="82" t="n"/>
      <c r="J17" s="82" t="n"/>
      <c r="K17" s="82" t="n"/>
      <c r="L17" s="82" t="n"/>
      <c r="M17" s="82" t="n"/>
      <c r="N17" s="82" t="n"/>
      <c r="O17" s="82" t="n"/>
      <c r="P17" s="82" t="n"/>
      <c r="Q17" s="82" t="n"/>
      <c r="R17" s="82" t="n"/>
      <c r="S17" s="82" t="n"/>
      <c r="T17" s="82" t="n"/>
      <c r="U17" s="82" t="n"/>
      <c r="V17" s="82" t="n"/>
      <c r="W17" s="82" t="n"/>
      <c r="X17" s="82" t="n"/>
      <c r="Y17" s="82" t="n"/>
      <c r="Z17" s="82" t="n"/>
      <c r="AA17" s="82" t="n"/>
      <c r="AB17" s="82" t="n"/>
      <c r="AC17" s="82" t="n"/>
      <c r="AD17" s="82" t="n"/>
      <c r="AE17" s="82" t="n"/>
      <c r="AF17" s="82" t="n"/>
      <c r="AG17" s="82" t="n"/>
    </row>
    <row r="18" ht="24" customHeight="1">
      <c r="A18" s="108">
        <f>"▼  KASHYAP TRADING CO   •   "&amp;COUNTIF('Final Calculation Sheet'!$G$4:$G$1000,"KASHYAP TRADING CO")&amp;" LOT(S)   •   MAT. VALUE ₹"&amp;TEXT(SUMIF('Final Calculation Sheet'!$G$4:$G$1000,"KASHYAP TRADING CO",'Final Calculation Sheet'!$H$4:$H$1000),"#,##0")&amp;"   •   RECEIVED ₹"&amp;TEXT(SUMIF('Final Calculation Sheet'!$G$4:$G$1000,"KASHYAP TRADING CO",'Final Calculation Sheet'!$AC$4:$AC$1000),"#,##0")&amp;"   •   OUTSTANDING ₹"&amp;TEXT(SUMIF('Final Calculation Sheet'!$G$4:$G$1000,"KASHYAP TRADING CO",'Final Calculation Sheet'!$AD$4:$AD$1000),"#,##0")</f>
        <v/>
      </c>
      <c r="B18" s="64" t="n"/>
      <c r="C18" s="64" t="n"/>
      <c r="D18" s="64" t="n"/>
      <c r="E18" s="64" t="n"/>
      <c r="F18" s="64" t="n"/>
      <c r="G18" s="64" t="n"/>
      <c r="H18" s="64" t="n"/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</row>
    <row r="19" outlineLevel="1" ht="15" customHeight="1">
      <c r="A19" s="290">
        <f>IF('Final Calculation Sheet'!$F$38="","",'Final Calculation Sheet'!$F$38)</f>
        <v/>
      </c>
      <c r="B19" s="289">
        <f>IF('Final Calculation Sheet'!$B$38="","",'Final Calculation Sheet'!$B$38)</f>
        <v/>
      </c>
      <c r="C19" s="290">
        <f>IF('Final Calculation Sheet'!$D$38="","",'Final Calculation Sheet'!$D$38)</f>
        <v/>
      </c>
      <c r="D19" s="291">
        <f>IF('Final Calculation Sheet'!$A$38="","",'Final Calculation Sheet'!$A$38)</f>
        <v/>
      </c>
      <c r="E19" s="292">
        <f>IF('Final Calculation Sheet'!$E$38="","",'Final Calculation Sheet'!$E$38)</f>
        <v/>
      </c>
      <c r="F19" s="290">
        <f>IF('Final Calculation Sheet'!$C$38="","",'Final Calculation Sheet'!$C$38)</f>
        <v/>
      </c>
      <c r="G19" s="290">
        <f>IF('Final Calculation Sheet'!$H$38="","",'Final Calculation Sheet'!$H$38)</f>
        <v/>
      </c>
      <c r="H19" s="290">
        <f>IF('Final Calculation Sheet'!$I$38="","",'Final Calculation Sheet'!$I$38)</f>
        <v/>
      </c>
      <c r="I19" s="290">
        <f>IF('Final Calculation Sheet'!$J$38="","",'Final Calculation Sheet'!$J$38)</f>
        <v/>
      </c>
      <c r="J19" s="290">
        <f>IF('Final Calculation Sheet'!$K$38="","",'Final Calculation Sheet'!$K$38)</f>
        <v/>
      </c>
      <c r="K19" s="293">
        <f>IF('Final Calculation Sheet'!$L$38="","",'Final Calculation Sheet'!$L$38)</f>
        <v/>
      </c>
      <c r="L19" s="293">
        <f>IF('Final Calculation Sheet'!$M$38="","",'Final Calculation Sheet'!$M$38)</f>
        <v/>
      </c>
      <c r="M19" s="293">
        <f>IF('Final Calculation Sheet'!$N$38="","",'Final Calculation Sheet'!$N$38)</f>
        <v/>
      </c>
      <c r="N19" s="293">
        <f>IF('Final Calculation Sheet'!$O$38="","",'Final Calculation Sheet'!$O$38)</f>
        <v/>
      </c>
      <c r="O19" s="290">
        <f>IF('Final Calculation Sheet'!$P$38="","",'Final Calculation Sheet'!$P$38)</f>
        <v/>
      </c>
      <c r="P19" s="294">
        <f>IF('Final Calculation Sheet'!$Q$38="","",'Final Calculation Sheet'!$Q$38)</f>
        <v/>
      </c>
      <c r="Q19" s="290">
        <f>IF('Final Calculation Sheet'!$R$38="","",'Final Calculation Sheet'!$R$38)</f>
        <v/>
      </c>
      <c r="R19" s="290">
        <f>IF('Final Calculation Sheet'!$S$38="","",'Final Calculation Sheet'!$S$38)</f>
        <v/>
      </c>
      <c r="S19" s="290">
        <f>IF('Final Calculation Sheet'!$T$38="","",'Final Calculation Sheet'!$T$38)</f>
        <v/>
      </c>
      <c r="T19" s="290">
        <f>IF('Final Calculation Sheet'!$U$38="","",'Final Calculation Sheet'!$U$38)</f>
        <v/>
      </c>
      <c r="U19" s="292">
        <f>IF('Final Calculation Sheet'!$V$38="","",'Final Calculation Sheet'!$V$38)</f>
        <v/>
      </c>
      <c r="V19" s="290">
        <f>IF('Final Calculation Sheet'!$W$38="","",'Final Calculation Sheet'!$W$38)</f>
        <v/>
      </c>
      <c r="W19" s="290">
        <f>IF('Final Calculation Sheet'!$X$38="","",'Final Calculation Sheet'!$X$38)</f>
        <v/>
      </c>
      <c r="X19" s="292">
        <f>IF('Final Calculation Sheet'!$Y$38="","",'Final Calculation Sheet'!$Y$38)</f>
        <v/>
      </c>
      <c r="Y19" s="290">
        <f>IF('Final Calculation Sheet'!$Z$38="","",'Final Calculation Sheet'!$Z$38)</f>
        <v/>
      </c>
      <c r="Z19" s="290">
        <f>IF('Final Calculation Sheet'!$AA$38="","",'Final Calculation Sheet'!$AA$38)</f>
        <v/>
      </c>
      <c r="AA19" s="292">
        <f>IF('Final Calculation Sheet'!$AB$38="","",'Final Calculation Sheet'!$AB$38)</f>
        <v/>
      </c>
      <c r="AB19" s="290">
        <f>IF('Final Calculation Sheet'!$AC$38="","",'Final Calculation Sheet'!$AC$38)</f>
        <v/>
      </c>
      <c r="AC19" s="290">
        <f>IF('Final Calculation Sheet'!$AD$38="","",'Final Calculation Sheet'!$AD$38)</f>
        <v/>
      </c>
      <c r="AD19" s="292">
        <f>IF('Final Calculation Sheet'!$AD$38="","",IF('Final Calculation Sheet'!$AD$38&lt;=0,"SETTLED","OUTSTANDING"))</f>
        <v/>
      </c>
      <c r="AE19" s="292">
        <f>IF('Final Calculation Sheet'!$AE$38="","",'Final Calculation Sheet'!$AE$38)</f>
        <v/>
      </c>
      <c r="AF19" s="290">
        <f>IF('Final Calculation Sheet'!$AF$38="","",'Final Calculation Sheet'!$AF$38)</f>
        <v/>
      </c>
      <c r="AG19" s="292">
        <f>IF('Final Calculation Sheet'!$AG$38="","",'Final Calculation Sheet'!$AG$38)</f>
        <v/>
      </c>
    </row>
    <row r="20" ht="20" customHeight="1">
      <c r="A20" s="283" t="inlineStr">
        <is>
          <t>∑  KASHYAP TRADING CO — TOTALS</t>
        </is>
      </c>
      <c r="B20" s="394" t="inlineStr">
        <is>
          <t>–</t>
        </is>
      </c>
      <c r="C20" s="394" t="inlineStr">
        <is>
          <t>–</t>
        </is>
      </c>
      <c r="D20" s="286">
        <f>SUM(D19:D19)</f>
        <v/>
      </c>
      <c r="E20" s="394" t="inlineStr">
        <is>
          <t>–</t>
        </is>
      </c>
      <c r="F20" s="394" t="inlineStr">
        <is>
          <t>–</t>
        </is>
      </c>
      <c r="G20" s="287">
        <f>SUM(G19:G19)</f>
        <v/>
      </c>
      <c r="H20" s="287">
        <f>SUM(H19:H19)</f>
        <v/>
      </c>
      <c r="I20" s="287">
        <f>SUM(I19:I19)</f>
        <v/>
      </c>
      <c r="J20" s="287">
        <f>SUM(J19:J19)</f>
        <v/>
      </c>
      <c r="K20" s="288">
        <f>SUM(K19:K19)</f>
        <v/>
      </c>
      <c r="L20" s="288">
        <f>SUM(L19:L19)</f>
        <v/>
      </c>
      <c r="M20" s="288">
        <f>SUM(M19:M19)</f>
        <v/>
      </c>
      <c r="N20" s="288">
        <f>SUM(N19:N19)</f>
        <v/>
      </c>
      <c r="O20" s="287">
        <f>SUM(O19:O19)</f>
        <v/>
      </c>
      <c r="P20" s="394" t="inlineStr">
        <is>
          <t>–</t>
        </is>
      </c>
      <c r="Q20" s="287">
        <f>SUM(Q19:Q19)</f>
        <v/>
      </c>
      <c r="R20" s="287">
        <f>SUM(R19:R19)</f>
        <v/>
      </c>
      <c r="S20" s="287">
        <f>SUM(S19:S19)</f>
        <v/>
      </c>
      <c r="T20" s="287">
        <f>SUM(T19:T19)</f>
        <v/>
      </c>
      <c r="U20" s="394" t="inlineStr">
        <is>
          <t>–</t>
        </is>
      </c>
      <c r="V20" s="287">
        <f>SUM(V19:V19)</f>
        <v/>
      </c>
      <c r="W20" s="287">
        <f>SUM(W19:W19)</f>
        <v/>
      </c>
      <c r="X20" s="394" t="inlineStr">
        <is>
          <t>–</t>
        </is>
      </c>
      <c r="Y20" s="287">
        <f>SUM(Y19:Y19)</f>
        <v/>
      </c>
      <c r="Z20" s="287">
        <f>SUM(Z19:Z19)</f>
        <v/>
      </c>
      <c r="AA20" s="394" t="inlineStr">
        <is>
          <t>–</t>
        </is>
      </c>
      <c r="AB20" s="287">
        <f>SUM(AB19:AB19)</f>
        <v/>
      </c>
      <c r="AC20" s="287">
        <f>SUM(AC19:AC19)</f>
        <v/>
      </c>
      <c r="AD20" s="394" t="inlineStr">
        <is>
          <t>–</t>
        </is>
      </c>
      <c r="AE20" s="394" t="inlineStr">
        <is>
          <t>–</t>
        </is>
      </c>
      <c r="AF20" s="394" t="inlineStr">
        <is>
          <t>–</t>
        </is>
      </c>
      <c r="AG20" s="394" t="inlineStr">
        <is>
          <t>–</t>
        </is>
      </c>
    </row>
    <row r="21" ht="7" customHeight="1">
      <c r="A21" s="82" t="n"/>
      <c r="B21" s="82" t="n"/>
      <c r="C21" s="82" t="n"/>
      <c r="D21" s="82" t="n"/>
      <c r="E21" s="82" t="n"/>
      <c r="F21" s="82" t="n"/>
      <c r="G21" s="82" t="n"/>
      <c r="H21" s="82" t="n"/>
      <c r="I21" s="82" t="n"/>
      <c r="J21" s="82" t="n"/>
      <c r="K21" s="82" t="n"/>
      <c r="L21" s="82" t="n"/>
      <c r="M21" s="82" t="n"/>
      <c r="N21" s="82" t="n"/>
      <c r="O21" s="82" t="n"/>
      <c r="P21" s="82" t="n"/>
      <c r="Q21" s="82" t="n"/>
      <c r="R21" s="82" t="n"/>
      <c r="S21" s="82" t="n"/>
      <c r="T21" s="82" t="n"/>
      <c r="U21" s="82" t="n"/>
      <c r="V21" s="82" t="n"/>
      <c r="W21" s="82" t="n"/>
      <c r="X21" s="82" t="n"/>
      <c r="Y21" s="82" t="n"/>
      <c r="Z21" s="82" t="n"/>
      <c r="AA21" s="82" t="n"/>
      <c r="AB21" s="82" t="n"/>
      <c r="AC21" s="82" t="n"/>
      <c r="AD21" s="82" t="n"/>
      <c r="AE21" s="82" t="n"/>
      <c r="AF21" s="82" t="n"/>
      <c r="AG21" s="82" t="n"/>
    </row>
    <row r="22" ht="24" customHeight="1">
      <c r="A22" s="117">
        <f>"▼  M I SCRAP TRADERS   •   "&amp;COUNTIF('Final Calculation Sheet'!$G$4:$G$1000,"M I SCRAP TRADERS")&amp;" LOT(S)   •   MAT. VALUE ₹"&amp;TEXT(SUMIF('Final Calculation Sheet'!$G$4:$G$1000,"M I SCRAP TRADERS",'Final Calculation Sheet'!$H$4:$H$1000),"#,##0")&amp;"   •   RECEIVED ₹"&amp;TEXT(SUMIF('Final Calculation Sheet'!$G$4:$G$1000,"M I SCRAP TRADERS",'Final Calculation Sheet'!$AC$4:$AC$1000),"#,##0")&amp;"   •   OUTSTANDING ₹"&amp;TEXT(SUMIF('Final Calculation Sheet'!$G$4:$G$1000,"M I SCRAP TRADERS",'Final Calculation Sheet'!$AD$4:$AD$1000),"#,##0")</f>
        <v/>
      </c>
      <c r="B22" s="64" t="n"/>
      <c r="C22" s="64" t="n"/>
      <c r="D22" s="64" t="n"/>
      <c r="E22" s="64" t="n"/>
      <c r="F22" s="64" t="n"/>
      <c r="G22" s="64" t="n"/>
      <c r="H22" s="64" t="n"/>
      <c r="I22" s="64" t="n"/>
      <c r="J22" s="64" t="n"/>
      <c r="K22" s="64" t="n"/>
      <c r="L22" s="64" t="n"/>
      <c r="M22" s="64" t="n"/>
      <c r="N22" s="64" t="n"/>
      <c r="O22" s="64" t="n"/>
      <c r="P22" s="64" t="n"/>
      <c r="Q22" s="64" t="n"/>
      <c r="R22" s="64" t="n"/>
      <c r="S22" s="64" t="n"/>
      <c r="T22" s="64" t="n"/>
      <c r="U22" s="64" t="n"/>
      <c r="V22" s="64" t="n"/>
      <c r="W22" s="64" t="n"/>
      <c r="X22" s="64" t="n"/>
      <c r="Y22" s="64" t="n"/>
      <c r="Z22" s="64" t="n"/>
      <c r="AA22" s="64" t="n"/>
      <c r="AB22" s="64" t="n"/>
      <c r="AC22" s="64" t="n"/>
      <c r="AD22" s="64" t="n"/>
      <c r="AE22" s="64" t="n"/>
      <c r="AF22" s="64" t="n"/>
      <c r="AG22" s="64" t="n"/>
    </row>
    <row r="23" outlineLevel="1" ht="15" customHeight="1">
      <c r="A23" s="302">
        <f>IF('Final Calculation Sheet'!$F$27="","",'Final Calculation Sheet'!$F$27)</f>
        <v/>
      </c>
      <c r="B23" s="301">
        <f>IF('Final Calculation Sheet'!$B$27="","",'Final Calculation Sheet'!$B$27)</f>
        <v/>
      </c>
      <c r="C23" s="302">
        <f>IF('Final Calculation Sheet'!$D$27="","",'Final Calculation Sheet'!$D$27)</f>
        <v/>
      </c>
      <c r="D23" s="303">
        <f>IF('Final Calculation Sheet'!$A$27="","",'Final Calculation Sheet'!$A$27)</f>
        <v/>
      </c>
      <c r="E23" s="304">
        <f>IF('Final Calculation Sheet'!$E$27="","",'Final Calculation Sheet'!$E$27)</f>
        <v/>
      </c>
      <c r="F23" s="302">
        <f>IF('Final Calculation Sheet'!$C$27="","",'Final Calculation Sheet'!$C$27)</f>
        <v/>
      </c>
      <c r="G23" s="302">
        <f>IF('Final Calculation Sheet'!$H$27="","",'Final Calculation Sheet'!$H$27)</f>
        <v/>
      </c>
      <c r="H23" s="302">
        <f>IF('Final Calculation Sheet'!$I$27="","",'Final Calculation Sheet'!$I$27)</f>
        <v/>
      </c>
      <c r="I23" s="302">
        <f>IF('Final Calculation Sheet'!$J$27="","",'Final Calculation Sheet'!$J$27)</f>
        <v/>
      </c>
      <c r="J23" s="302">
        <f>IF('Final Calculation Sheet'!$K$27="","",'Final Calculation Sheet'!$K$27)</f>
        <v/>
      </c>
      <c r="K23" s="305">
        <f>IF('Final Calculation Sheet'!$L$27="","",'Final Calculation Sheet'!$L$27)</f>
        <v/>
      </c>
      <c r="L23" s="305">
        <f>IF('Final Calculation Sheet'!$M$27="","",'Final Calculation Sheet'!$M$27)</f>
        <v/>
      </c>
      <c r="M23" s="305">
        <f>IF('Final Calculation Sheet'!$N$27="","",'Final Calculation Sheet'!$N$27)</f>
        <v/>
      </c>
      <c r="N23" s="305">
        <f>IF('Final Calculation Sheet'!$O$27="","",'Final Calculation Sheet'!$O$27)</f>
        <v/>
      </c>
      <c r="O23" s="302">
        <f>IF('Final Calculation Sheet'!$P$27="","",'Final Calculation Sheet'!$P$27)</f>
        <v/>
      </c>
      <c r="P23" s="306">
        <f>IF('Final Calculation Sheet'!$Q$27="","",'Final Calculation Sheet'!$Q$27)</f>
        <v/>
      </c>
      <c r="Q23" s="302">
        <f>IF('Final Calculation Sheet'!$R$27="","",'Final Calculation Sheet'!$R$27)</f>
        <v/>
      </c>
      <c r="R23" s="302">
        <f>IF('Final Calculation Sheet'!$S$27="","",'Final Calculation Sheet'!$S$27)</f>
        <v/>
      </c>
      <c r="S23" s="302">
        <f>IF('Final Calculation Sheet'!$T$27="","",'Final Calculation Sheet'!$T$27)</f>
        <v/>
      </c>
      <c r="T23" s="302">
        <f>IF('Final Calculation Sheet'!$U$27="","",'Final Calculation Sheet'!$U$27)</f>
        <v/>
      </c>
      <c r="U23" s="304">
        <f>IF('Final Calculation Sheet'!$V$27="","",'Final Calculation Sheet'!$V$27)</f>
        <v/>
      </c>
      <c r="V23" s="302">
        <f>IF('Final Calculation Sheet'!$W$27="","",'Final Calculation Sheet'!$W$27)</f>
        <v/>
      </c>
      <c r="W23" s="302">
        <f>IF('Final Calculation Sheet'!$X$27="","",'Final Calculation Sheet'!$X$27)</f>
        <v/>
      </c>
      <c r="X23" s="304">
        <f>IF('Final Calculation Sheet'!$Y$27="","",'Final Calculation Sheet'!$Y$27)</f>
        <v/>
      </c>
      <c r="Y23" s="302">
        <f>IF('Final Calculation Sheet'!$Z$27="","",'Final Calculation Sheet'!$Z$27)</f>
        <v/>
      </c>
      <c r="Z23" s="302">
        <f>IF('Final Calculation Sheet'!$AA$27="","",'Final Calculation Sheet'!$AA$27)</f>
        <v/>
      </c>
      <c r="AA23" s="304">
        <f>IF('Final Calculation Sheet'!$AB$27="","",'Final Calculation Sheet'!$AB$27)</f>
        <v/>
      </c>
      <c r="AB23" s="302">
        <f>IF('Final Calculation Sheet'!$AC$27="","",'Final Calculation Sheet'!$AC$27)</f>
        <v/>
      </c>
      <c r="AC23" s="302">
        <f>IF('Final Calculation Sheet'!$AD$27="","",'Final Calculation Sheet'!$AD$27)</f>
        <v/>
      </c>
      <c r="AD23" s="304">
        <f>IF('Final Calculation Sheet'!$AD$27="","",IF('Final Calculation Sheet'!$AD$27&lt;=0,"SETTLED","OUTSTANDING"))</f>
        <v/>
      </c>
      <c r="AE23" s="304">
        <f>IF('Final Calculation Sheet'!$AE$27="","",'Final Calculation Sheet'!$AE$27)</f>
        <v/>
      </c>
      <c r="AF23" s="302">
        <f>IF('Final Calculation Sheet'!$AF$27="","",'Final Calculation Sheet'!$AF$27)</f>
        <v/>
      </c>
      <c r="AG23" s="304">
        <f>IF('Final Calculation Sheet'!$AG$27="","",'Final Calculation Sheet'!$AG$27)</f>
        <v/>
      </c>
    </row>
    <row r="24" ht="20" customHeight="1">
      <c r="A24" s="295" t="inlineStr">
        <is>
          <t>∑  M I SCRAP TRADERS — TOTALS</t>
        </is>
      </c>
      <c r="B24" s="395" t="inlineStr">
        <is>
          <t>–</t>
        </is>
      </c>
      <c r="C24" s="395" t="inlineStr">
        <is>
          <t>–</t>
        </is>
      </c>
      <c r="D24" s="298">
        <f>SUM(D23:D23)</f>
        <v/>
      </c>
      <c r="E24" s="395" t="inlineStr">
        <is>
          <t>–</t>
        </is>
      </c>
      <c r="F24" s="395" t="inlineStr">
        <is>
          <t>–</t>
        </is>
      </c>
      <c r="G24" s="299">
        <f>SUM(G23:G23)</f>
        <v/>
      </c>
      <c r="H24" s="299">
        <f>SUM(H23:H23)</f>
        <v/>
      </c>
      <c r="I24" s="299">
        <f>SUM(I23:I23)</f>
        <v/>
      </c>
      <c r="J24" s="299">
        <f>SUM(J23:J23)</f>
        <v/>
      </c>
      <c r="K24" s="300">
        <f>SUM(K23:K23)</f>
        <v/>
      </c>
      <c r="L24" s="300">
        <f>SUM(L23:L23)</f>
        <v/>
      </c>
      <c r="M24" s="300">
        <f>SUM(M23:M23)</f>
        <v/>
      </c>
      <c r="N24" s="300">
        <f>SUM(N23:N23)</f>
        <v/>
      </c>
      <c r="O24" s="299">
        <f>SUM(O23:O23)</f>
        <v/>
      </c>
      <c r="P24" s="395" t="inlineStr">
        <is>
          <t>–</t>
        </is>
      </c>
      <c r="Q24" s="299">
        <f>SUM(Q23:Q23)</f>
        <v/>
      </c>
      <c r="R24" s="299">
        <f>SUM(R23:R23)</f>
        <v/>
      </c>
      <c r="S24" s="299">
        <f>SUM(S23:S23)</f>
        <v/>
      </c>
      <c r="T24" s="299">
        <f>SUM(T23:T23)</f>
        <v/>
      </c>
      <c r="U24" s="395" t="inlineStr">
        <is>
          <t>–</t>
        </is>
      </c>
      <c r="V24" s="299">
        <f>SUM(V23:V23)</f>
        <v/>
      </c>
      <c r="W24" s="299">
        <f>SUM(W23:W23)</f>
        <v/>
      </c>
      <c r="X24" s="395" t="inlineStr">
        <is>
          <t>–</t>
        </is>
      </c>
      <c r="Y24" s="299">
        <f>SUM(Y23:Y23)</f>
        <v/>
      </c>
      <c r="Z24" s="299">
        <f>SUM(Z23:Z23)</f>
        <v/>
      </c>
      <c r="AA24" s="395" t="inlineStr">
        <is>
          <t>–</t>
        </is>
      </c>
      <c r="AB24" s="299">
        <f>SUM(AB23:AB23)</f>
        <v/>
      </c>
      <c r="AC24" s="299">
        <f>SUM(AC23:AC23)</f>
        <v/>
      </c>
      <c r="AD24" s="395" t="inlineStr">
        <is>
          <t>–</t>
        </is>
      </c>
      <c r="AE24" s="395" t="inlineStr">
        <is>
          <t>–</t>
        </is>
      </c>
      <c r="AF24" s="395" t="inlineStr">
        <is>
          <t>–</t>
        </is>
      </c>
      <c r="AG24" s="395" t="inlineStr">
        <is>
          <t>–</t>
        </is>
      </c>
    </row>
    <row r="25" ht="7" customHeight="1">
      <c r="A25" s="82" t="n"/>
      <c r="B25" s="82" t="n"/>
      <c r="C25" s="82" t="n"/>
      <c r="D25" s="82" t="n"/>
      <c r="E25" s="82" t="n"/>
      <c r="F25" s="82" t="n"/>
      <c r="G25" s="82" t="n"/>
      <c r="H25" s="82" t="n"/>
      <c r="I25" s="82" t="n"/>
      <c r="J25" s="82" t="n"/>
      <c r="K25" s="82" t="n"/>
      <c r="L25" s="82" t="n"/>
      <c r="M25" s="82" t="n"/>
      <c r="N25" s="82" t="n"/>
      <c r="O25" s="82" t="n"/>
      <c r="P25" s="82" t="n"/>
      <c r="Q25" s="82" t="n"/>
      <c r="R25" s="82" t="n"/>
      <c r="S25" s="82" t="n"/>
      <c r="T25" s="82" t="n"/>
      <c r="U25" s="82" t="n"/>
      <c r="V25" s="82" t="n"/>
      <c r="W25" s="82" t="n"/>
      <c r="X25" s="82" t="n"/>
      <c r="Y25" s="82" t="n"/>
      <c r="Z25" s="82" t="n"/>
      <c r="AA25" s="82" t="n"/>
      <c r="AB25" s="82" t="n"/>
      <c r="AC25" s="82" t="n"/>
      <c r="AD25" s="82" t="n"/>
      <c r="AE25" s="82" t="n"/>
      <c r="AF25" s="82" t="n"/>
      <c r="AG25" s="82" t="n"/>
    </row>
    <row r="26" ht="24" customHeight="1">
      <c r="A26" s="126">
        <f>"▼  NATIONAL ENTERPRISES   •   "&amp;COUNTIF('Final Calculation Sheet'!$G$4:$G$1000,"NATIONAL ENTERPRISES")&amp;" LOT(S)   •   MAT. VALUE ₹"&amp;TEXT(SUMIF('Final Calculation Sheet'!$G$4:$G$1000,"NATIONAL ENTERPRISES",'Final Calculation Sheet'!$H$4:$H$1000),"#,##0")&amp;"   •   RECEIVED ₹"&amp;TEXT(SUMIF('Final Calculation Sheet'!$G$4:$G$1000,"NATIONAL ENTERPRISES",'Final Calculation Sheet'!$AC$4:$AC$1000),"#,##0")&amp;"   •   OUTSTANDING ₹"&amp;TEXT(SUMIF('Final Calculation Sheet'!$G$4:$G$1000,"NATIONAL ENTERPRISES",'Final Calculation Sheet'!$AD$4:$AD$1000),"#,##0")</f>
        <v/>
      </c>
      <c r="B26" s="64" t="n"/>
      <c r="C26" s="64" t="n"/>
      <c r="D26" s="64" t="n"/>
      <c r="E26" s="64" t="n"/>
      <c r="F26" s="64" t="n"/>
      <c r="G26" s="64" t="n"/>
      <c r="H26" s="64" t="n"/>
      <c r="I26" s="64" t="n"/>
      <c r="J26" s="64" t="n"/>
      <c r="K26" s="64" t="n"/>
      <c r="L26" s="64" t="n"/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64" t="n"/>
      <c r="AE26" s="64" t="n"/>
      <c r="AF26" s="64" t="n"/>
      <c r="AG26" s="64" t="n"/>
    </row>
    <row r="27" outlineLevel="1" ht="15" customHeight="1">
      <c r="A27" s="314">
        <f>IF('Final Calculation Sheet'!$F$5="","",'Final Calculation Sheet'!$F$5)</f>
        <v/>
      </c>
      <c r="B27" s="313">
        <f>IF('Final Calculation Sheet'!$B$5="","",'Final Calculation Sheet'!$B$5)</f>
        <v/>
      </c>
      <c r="C27" s="314">
        <f>IF('Final Calculation Sheet'!$D$5="","",'Final Calculation Sheet'!$D$5)</f>
        <v/>
      </c>
      <c r="D27" s="315">
        <f>IF('Final Calculation Sheet'!$A$5="","",'Final Calculation Sheet'!$A$5)</f>
        <v/>
      </c>
      <c r="E27" s="316">
        <f>IF('Final Calculation Sheet'!$E$5="","",'Final Calculation Sheet'!$E$5)</f>
        <v/>
      </c>
      <c r="F27" s="314">
        <f>IF('Final Calculation Sheet'!$C$5="","",'Final Calculation Sheet'!$C$5)</f>
        <v/>
      </c>
      <c r="G27" s="314">
        <f>IF('Final Calculation Sheet'!$H$5="","",'Final Calculation Sheet'!$H$5)</f>
        <v/>
      </c>
      <c r="H27" s="314">
        <f>IF('Final Calculation Sheet'!$I$5="","",'Final Calculation Sheet'!$I$5)</f>
        <v/>
      </c>
      <c r="I27" s="314">
        <f>IF('Final Calculation Sheet'!$J$5="","",'Final Calculation Sheet'!$J$5)</f>
        <v/>
      </c>
      <c r="J27" s="314">
        <f>IF('Final Calculation Sheet'!$K$5="","",'Final Calculation Sheet'!$K$5)</f>
        <v/>
      </c>
      <c r="K27" s="317">
        <f>IF('Final Calculation Sheet'!$L$5="","",'Final Calculation Sheet'!$L$5)</f>
        <v/>
      </c>
      <c r="L27" s="317">
        <f>IF('Final Calculation Sheet'!$M$5="","",'Final Calculation Sheet'!$M$5)</f>
        <v/>
      </c>
      <c r="M27" s="317">
        <f>IF('Final Calculation Sheet'!$N$5="","",'Final Calculation Sheet'!$N$5)</f>
        <v/>
      </c>
      <c r="N27" s="317">
        <f>IF('Final Calculation Sheet'!$O$5="","",'Final Calculation Sheet'!$O$5)</f>
        <v/>
      </c>
      <c r="O27" s="314">
        <f>IF('Final Calculation Sheet'!$P$5="","",'Final Calculation Sheet'!$P$5)</f>
        <v/>
      </c>
      <c r="P27" s="318">
        <f>IF('Final Calculation Sheet'!$Q$5="","",'Final Calculation Sheet'!$Q$5)</f>
        <v/>
      </c>
      <c r="Q27" s="314">
        <f>IF('Final Calculation Sheet'!$R$5="","",'Final Calculation Sheet'!$R$5)</f>
        <v/>
      </c>
      <c r="R27" s="314">
        <f>IF('Final Calculation Sheet'!$S$5="","",'Final Calculation Sheet'!$S$5)</f>
        <v/>
      </c>
      <c r="S27" s="314">
        <f>IF('Final Calculation Sheet'!$T$5="","",'Final Calculation Sheet'!$T$5)</f>
        <v/>
      </c>
      <c r="T27" s="314">
        <f>IF('Final Calculation Sheet'!$U$5="","",'Final Calculation Sheet'!$U$5)</f>
        <v/>
      </c>
      <c r="U27" s="316">
        <f>IF('Final Calculation Sheet'!$V$5="","",'Final Calculation Sheet'!$V$5)</f>
        <v/>
      </c>
      <c r="V27" s="314">
        <f>IF('Final Calculation Sheet'!$W$5="","",'Final Calculation Sheet'!$W$5)</f>
        <v/>
      </c>
      <c r="W27" s="314">
        <f>IF('Final Calculation Sheet'!$X$5="","",'Final Calculation Sheet'!$X$5)</f>
        <v/>
      </c>
      <c r="X27" s="316">
        <f>IF('Final Calculation Sheet'!$Y$5="","",'Final Calculation Sheet'!$Y$5)</f>
        <v/>
      </c>
      <c r="Y27" s="314">
        <f>IF('Final Calculation Sheet'!$Z$5="","",'Final Calculation Sheet'!$Z$5)</f>
        <v/>
      </c>
      <c r="Z27" s="314">
        <f>IF('Final Calculation Sheet'!$AA$5="","",'Final Calculation Sheet'!$AA$5)</f>
        <v/>
      </c>
      <c r="AA27" s="316">
        <f>IF('Final Calculation Sheet'!$AB$5="","",'Final Calculation Sheet'!$AB$5)</f>
        <v/>
      </c>
      <c r="AB27" s="314">
        <f>IF('Final Calculation Sheet'!$AC$5="","",'Final Calculation Sheet'!$AC$5)</f>
        <v/>
      </c>
      <c r="AC27" s="314">
        <f>IF('Final Calculation Sheet'!$AD$5="","",'Final Calculation Sheet'!$AD$5)</f>
        <v/>
      </c>
      <c r="AD27" s="316">
        <f>IF('Final Calculation Sheet'!$AD$5="","",IF('Final Calculation Sheet'!$AD$5&lt;=0,"SETTLED","OUTSTANDING"))</f>
        <v/>
      </c>
      <c r="AE27" s="316">
        <f>IF('Final Calculation Sheet'!$AE$5="","",'Final Calculation Sheet'!$AE$5)</f>
        <v/>
      </c>
      <c r="AF27" s="314">
        <f>IF('Final Calculation Sheet'!$AF$5="","",'Final Calculation Sheet'!$AF$5)</f>
        <v/>
      </c>
      <c r="AG27" s="316">
        <f>IF('Final Calculation Sheet'!$AG$5="","",'Final Calculation Sheet'!$AG$5)</f>
        <v/>
      </c>
    </row>
    <row r="28" outlineLevel="1" ht="15" customHeight="1">
      <c r="A28" s="320">
        <f>IF('Final Calculation Sheet'!$F$10="","",'Final Calculation Sheet'!$F$10)</f>
        <v/>
      </c>
      <c r="B28" s="319">
        <f>IF('Final Calculation Sheet'!$B$10="","",'Final Calculation Sheet'!$B$10)</f>
        <v/>
      </c>
      <c r="C28" s="320">
        <f>IF('Final Calculation Sheet'!$D$10="","",'Final Calculation Sheet'!$D$10)</f>
        <v/>
      </c>
      <c r="D28" s="321">
        <f>IF('Final Calculation Sheet'!$A$10="","",'Final Calculation Sheet'!$A$10)</f>
        <v/>
      </c>
      <c r="E28" s="322">
        <f>IF('Final Calculation Sheet'!$E$10="","",'Final Calculation Sheet'!$E$10)</f>
        <v/>
      </c>
      <c r="F28" s="320">
        <f>IF('Final Calculation Sheet'!$C$10="","",'Final Calculation Sheet'!$C$10)</f>
        <v/>
      </c>
      <c r="G28" s="320">
        <f>IF('Final Calculation Sheet'!$H$10="","",'Final Calculation Sheet'!$H$10)</f>
        <v/>
      </c>
      <c r="H28" s="320">
        <f>IF('Final Calculation Sheet'!$I$10="","",'Final Calculation Sheet'!$I$10)</f>
        <v/>
      </c>
      <c r="I28" s="320">
        <f>IF('Final Calculation Sheet'!$J$10="","",'Final Calculation Sheet'!$J$10)</f>
        <v/>
      </c>
      <c r="J28" s="320">
        <f>IF('Final Calculation Sheet'!$K$10="","",'Final Calculation Sheet'!$K$10)</f>
        <v/>
      </c>
      <c r="K28" s="323">
        <f>IF('Final Calculation Sheet'!$L$10="","",'Final Calculation Sheet'!$L$10)</f>
        <v/>
      </c>
      <c r="L28" s="323">
        <f>IF('Final Calculation Sheet'!$M$10="","",'Final Calculation Sheet'!$M$10)</f>
        <v/>
      </c>
      <c r="M28" s="323">
        <f>IF('Final Calculation Sheet'!$N$10="","",'Final Calculation Sheet'!$N$10)</f>
        <v/>
      </c>
      <c r="N28" s="323">
        <f>IF('Final Calculation Sheet'!$O$10="","",'Final Calculation Sheet'!$O$10)</f>
        <v/>
      </c>
      <c r="O28" s="320">
        <f>IF('Final Calculation Sheet'!$P$10="","",'Final Calculation Sheet'!$P$10)</f>
        <v/>
      </c>
      <c r="P28" s="324">
        <f>IF('Final Calculation Sheet'!$Q$10="","",'Final Calculation Sheet'!$Q$10)</f>
        <v/>
      </c>
      <c r="Q28" s="320">
        <f>IF('Final Calculation Sheet'!$R$10="","",'Final Calculation Sheet'!$R$10)</f>
        <v/>
      </c>
      <c r="R28" s="320">
        <f>IF('Final Calculation Sheet'!$S$10="","",'Final Calculation Sheet'!$S$10)</f>
        <v/>
      </c>
      <c r="S28" s="320">
        <f>IF('Final Calculation Sheet'!$T$10="","",'Final Calculation Sheet'!$T$10)</f>
        <v/>
      </c>
      <c r="T28" s="320">
        <f>IF('Final Calculation Sheet'!$U$10="","",'Final Calculation Sheet'!$U$10)</f>
        <v/>
      </c>
      <c r="U28" s="322">
        <f>IF('Final Calculation Sheet'!$V$10="","",'Final Calculation Sheet'!$V$10)</f>
        <v/>
      </c>
      <c r="V28" s="320">
        <f>IF('Final Calculation Sheet'!$W$10="","",'Final Calculation Sheet'!$W$10)</f>
        <v/>
      </c>
      <c r="W28" s="320">
        <f>IF('Final Calculation Sheet'!$X$10="","",'Final Calculation Sheet'!$X$10)</f>
        <v/>
      </c>
      <c r="X28" s="322">
        <f>IF('Final Calculation Sheet'!$Y$10="","",'Final Calculation Sheet'!$Y$10)</f>
        <v/>
      </c>
      <c r="Y28" s="320">
        <f>IF('Final Calculation Sheet'!$Z$10="","",'Final Calculation Sheet'!$Z$10)</f>
        <v/>
      </c>
      <c r="Z28" s="320">
        <f>IF('Final Calculation Sheet'!$AA$10="","",'Final Calculation Sheet'!$AA$10)</f>
        <v/>
      </c>
      <c r="AA28" s="322">
        <f>IF('Final Calculation Sheet'!$AB$10="","",'Final Calculation Sheet'!$AB$10)</f>
        <v/>
      </c>
      <c r="AB28" s="320">
        <f>IF('Final Calculation Sheet'!$AC$10="","",'Final Calculation Sheet'!$AC$10)</f>
        <v/>
      </c>
      <c r="AC28" s="320">
        <f>IF('Final Calculation Sheet'!$AD$10="","",'Final Calculation Sheet'!$AD$10)</f>
        <v/>
      </c>
      <c r="AD28" s="322">
        <f>IF('Final Calculation Sheet'!$AD$10="","",IF('Final Calculation Sheet'!$AD$10&lt;=0,"SETTLED","OUTSTANDING"))</f>
        <v/>
      </c>
      <c r="AE28" s="322">
        <f>IF('Final Calculation Sheet'!$AE$10="","",'Final Calculation Sheet'!$AE$10)</f>
        <v/>
      </c>
      <c r="AF28" s="320">
        <f>IF('Final Calculation Sheet'!$AF$10="","",'Final Calculation Sheet'!$AF$10)</f>
        <v/>
      </c>
      <c r="AG28" s="322">
        <f>IF('Final Calculation Sheet'!$AG$10="","",'Final Calculation Sheet'!$AG$10)</f>
        <v/>
      </c>
    </row>
    <row r="29" outlineLevel="1" ht="15" customHeight="1">
      <c r="A29" s="314">
        <f>IF('Final Calculation Sheet'!$F$11="","",'Final Calculation Sheet'!$F$11)</f>
        <v/>
      </c>
      <c r="B29" s="313">
        <f>IF('Final Calculation Sheet'!$B$11="","",'Final Calculation Sheet'!$B$11)</f>
        <v/>
      </c>
      <c r="C29" s="314">
        <f>IF('Final Calculation Sheet'!$D$11="","",'Final Calculation Sheet'!$D$11)</f>
        <v/>
      </c>
      <c r="D29" s="315">
        <f>IF('Final Calculation Sheet'!$A$11="","",'Final Calculation Sheet'!$A$11)</f>
        <v/>
      </c>
      <c r="E29" s="316">
        <f>IF('Final Calculation Sheet'!$E$11="","",'Final Calculation Sheet'!$E$11)</f>
        <v/>
      </c>
      <c r="F29" s="314">
        <f>IF('Final Calculation Sheet'!$C$11="","",'Final Calculation Sheet'!$C$11)</f>
        <v/>
      </c>
      <c r="G29" s="314">
        <f>IF('Final Calculation Sheet'!$H$11="","",'Final Calculation Sheet'!$H$11)</f>
        <v/>
      </c>
      <c r="H29" s="314">
        <f>IF('Final Calculation Sheet'!$I$11="","",'Final Calculation Sheet'!$I$11)</f>
        <v/>
      </c>
      <c r="I29" s="314">
        <f>IF('Final Calculation Sheet'!$J$11="","",'Final Calculation Sheet'!$J$11)</f>
        <v/>
      </c>
      <c r="J29" s="314">
        <f>IF('Final Calculation Sheet'!$K$11="","",'Final Calculation Sheet'!$K$11)</f>
        <v/>
      </c>
      <c r="K29" s="317">
        <f>IF('Final Calculation Sheet'!$L$11="","",'Final Calculation Sheet'!$L$11)</f>
        <v/>
      </c>
      <c r="L29" s="317">
        <f>IF('Final Calculation Sheet'!$M$11="","",'Final Calculation Sheet'!$M$11)</f>
        <v/>
      </c>
      <c r="M29" s="317">
        <f>IF('Final Calculation Sheet'!$N$11="","",'Final Calculation Sheet'!$N$11)</f>
        <v/>
      </c>
      <c r="N29" s="317">
        <f>IF('Final Calculation Sheet'!$O$11="","",'Final Calculation Sheet'!$O$11)</f>
        <v/>
      </c>
      <c r="O29" s="314">
        <f>IF('Final Calculation Sheet'!$P$11="","",'Final Calculation Sheet'!$P$11)</f>
        <v/>
      </c>
      <c r="P29" s="318">
        <f>IF('Final Calculation Sheet'!$Q$11="","",'Final Calculation Sheet'!$Q$11)</f>
        <v/>
      </c>
      <c r="Q29" s="314">
        <f>IF('Final Calculation Sheet'!$R$11="","",'Final Calculation Sheet'!$R$11)</f>
        <v/>
      </c>
      <c r="R29" s="314">
        <f>IF('Final Calculation Sheet'!$S$11="","",'Final Calculation Sheet'!$S$11)</f>
        <v/>
      </c>
      <c r="S29" s="314">
        <f>IF('Final Calculation Sheet'!$T$11="","",'Final Calculation Sheet'!$T$11)</f>
        <v/>
      </c>
      <c r="T29" s="314">
        <f>IF('Final Calculation Sheet'!$U$11="","",'Final Calculation Sheet'!$U$11)</f>
        <v/>
      </c>
      <c r="U29" s="316">
        <f>IF('Final Calculation Sheet'!$V$11="","",'Final Calculation Sheet'!$V$11)</f>
        <v/>
      </c>
      <c r="V29" s="314">
        <f>IF('Final Calculation Sheet'!$W$11="","",'Final Calculation Sheet'!$W$11)</f>
        <v/>
      </c>
      <c r="W29" s="314">
        <f>IF('Final Calculation Sheet'!$X$11="","",'Final Calculation Sheet'!$X$11)</f>
        <v/>
      </c>
      <c r="X29" s="316">
        <f>IF('Final Calculation Sheet'!$Y$11="","",'Final Calculation Sheet'!$Y$11)</f>
        <v/>
      </c>
      <c r="Y29" s="314">
        <f>IF('Final Calculation Sheet'!$Z$11="","",'Final Calculation Sheet'!$Z$11)</f>
        <v/>
      </c>
      <c r="Z29" s="314">
        <f>IF('Final Calculation Sheet'!$AA$11="","",'Final Calculation Sheet'!$AA$11)</f>
        <v/>
      </c>
      <c r="AA29" s="316">
        <f>IF('Final Calculation Sheet'!$AB$11="","",'Final Calculation Sheet'!$AB$11)</f>
        <v/>
      </c>
      <c r="AB29" s="314">
        <f>IF('Final Calculation Sheet'!$AC$11="","",'Final Calculation Sheet'!$AC$11)</f>
        <v/>
      </c>
      <c r="AC29" s="314">
        <f>IF('Final Calculation Sheet'!$AD$11="","",'Final Calculation Sheet'!$AD$11)</f>
        <v/>
      </c>
      <c r="AD29" s="316">
        <f>IF('Final Calculation Sheet'!$AD$11="","",IF('Final Calculation Sheet'!$AD$11&lt;=0,"SETTLED","OUTSTANDING"))</f>
        <v/>
      </c>
      <c r="AE29" s="316">
        <f>IF('Final Calculation Sheet'!$AE$11="","",'Final Calculation Sheet'!$AE$11)</f>
        <v/>
      </c>
      <c r="AF29" s="314">
        <f>IF('Final Calculation Sheet'!$AF$11="","",'Final Calculation Sheet'!$AF$11)</f>
        <v/>
      </c>
      <c r="AG29" s="316">
        <f>IF('Final Calculation Sheet'!$AG$11="","",'Final Calculation Sheet'!$AG$11)</f>
        <v/>
      </c>
    </row>
    <row r="30" outlineLevel="1" ht="15" customHeight="1">
      <c r="A30" s="320">
        <f>IF('Final Calculation Sheet'!$F$12="","",'Final Calculation Sheet'!$F$12)</f>
        <v/>
      </c>
      <c r="B30" s="319">
        <f>IF('Final Calculation Sheet'!$B$12="","",'Final Calculation Sheet'!$B$12)</f>
        <v/>
      </c>
      <c r="C30" s="320">
        <f>IF('Final Calculation Sheet'!$D$12="","",'Final Calculation Sheet'!$D$12)</f>
        <v/>
      </c>
      <c r="D30" s="321">
        <f>IF('Final Calculation Sheet'!$A$12="","",'Final Calculation Sheet'!$A$12)</f>
        <v/>
      </c>
      <c r="E30" s="322">
        <f>IF('Final Calculation Sheet'!$E$12="","",'Final Calculation Sheet'!$E$12)</f>
        <v/>
      </c>
      <c r="F30" s="320">
        <f>IF('Final Calculation Sheet'!$C$12="","",'Final Calculation Sheet'!$C$12)</f>
        <v/>
      </c>
      <c r="G30" s="320">
        <f>IF('Final Calculation Sheet'!$H$12="","",'Final Calculation Sheet'!$H$12)</f>
        <v/>
      </c>
      <c r="H30" s="320">
        <f>IF('Final Calculation Sheet'!$I$12="","",'Final Calculation Sheet'!$I$12)</f>
        <v/>
      </c>
      <c r="I30" s="320">
        <f>IF('Final Calculation Sheet'!$J$12="","",'Final Calculation Sheet'!$J$12)</f>
        <v/>
      </c>
      <c r="J30" s="320">
        <f>IF('Final Calculation Sheet'!$K$12="","",'Final Calculation Sheet'!$K$12)</f>
        <v/>
      </c>
      <c r="K30" s="323">
        <f>IF('Final Calculation Sheet'!$L$12="","",'Final Calculation Sheet'!$L$12)</f>
        <v/>
      </c>
      <c r="L30" s="323">
        <f>IF('Final Calculation Sheet'!$M$12="","",'Final Calculation Sheet'!$M$12)</f>
        <v/>
      </c>
      <c r="M30" s="323">
        <f>IF('Final Calculation Sheet'!$N$12="","",'Final Calculation Sheet'!$N$12)</f>
        <v/>
      </c>
      <c r="N30" s="323">
        <f>IF('Final Calculation Sheet'!$O$12="","",'Final Calculation Sheet'!$O$12)</f>
        <v/>
      </c>
      <c r="O30" s="320">
        <f>IF('Final Calculation Sheet'!$P$12="","",'Final Calculation Sheet'!$P$12)</f>
        <v/>
      </c>
      <c r="P30" s="324">
        <f>IF('Final Calculation Sheet'!$Q$12="","",'Final Calculation Sheet'!$Q$12)</f>
        <v/>
      </c>
      <c r="Q30" s="320">
        <f>IF('Final Calculation Sheet'!$R$12="","",'Final Calculation Sheet'!$R$12)</f>
        <v/>
      </c>
      <c r="R30" s="320">
        <f>IF('Final Calculation Sheet'!$S$12="","",'Final Calculation Sheet'!$S$12)</f>
        <v/>
      </c>
      <c r="S30" s="320">
        <f>IF('Final Calculation Sheet'!$T$12="","",'Final Calculation Sheet'!$T$12)</f>
        <v/>
      </c>
      <c r="T30" s="320">
        <f>IF('Final Calculation Sheet'!$U$12="","",'Final Calculation Sheet'!$U$12)</f>
        <v/>
      </c>
      <c r="U30" s="322">
        <f>IF('Final Calculation Sheet'!$V$12="","",'Final Calculation Sheet'!$V$12)</f>
        <v/>
      </c>
      <c r="V30" s="320">
        <f>IF('Final Calculation Sheet'!$W$12="","",'Final Calculation Sheet'!$W$12)</f>
        <v/>
      </c>
      <c r="W30" s="320">
        <f>IF('Final Calculation Sheet'!$X$12="","",'Final Calculation Sheet'!$X$12)</f>
        <v/>
      </c>
      <c r="X30" s="322">
        <f>IF('Final Calculation Sheet'!$Y$12="","",'Final Calculation Sheet'!$Y$12)</f>
        <v/>
      </c>
      <c r="Y30" s="320">
        <f>IF('Final Calculation Sheet'!$Z$12="","",'Final Calculation Sheet'!$Z$12)</f>
        <v/>
      </c>
      <c r="Z30" s="320">
        <f>IF('Final Calculation Sheet'!$AA$12="","",'Final Calculation Sheet'!$AA$12)</f>
        <v/>
      </c>
      <c r="AA30" s="322">
        <f>IF('Final Calculation Sheet'!$AB$12="","",'Final Calculation Sheet'!$AB$12)</f>
        <v/>
      </c>
      <c r="AB30" s="320">
        <f>IF('Final Calculation Sheet'!$AC$12="","",'Final Calculation Sheet'!$AC$12)</f>
        <v/>
      </c>
      <c r="AC30" s="320">
        <f>IF('Final Calculation Sheet'!$AD$12="","",'Final Calculation Sheet'!$AD$12)</f>
        <v/>
      </c>
      <c r="AD30" s="322">
        <f>IF('Final Calculation Sheet'!$AD$12="","",IF('Final Calculation Sheet'!$AD$12&lt;=0,"SETTLED","OUTSTANDING"))</f>
        <v/>
      </c>
      <c r="AE30" s="322">
        <f>IF('Final Calculation Sheet'!$AE$12="","",'Final Calculation Sheet'!$AE$12)</f>
        <v/>
      </c>
      <c r="AF30" s="320">
        <f>IF('Final Calculation Sheet'!$AF$12="","",'Final Calculation Sheet'!$AF$12)</f>
        <v/>
      </c>
      <c r="AG30" s="322">
        <f>IF('Final Calculation Sheet'!$AG$12="","",'Final Calculation Sheet'!$AG$12)</f>
        <v/>
      </c>
    </row>
    <row r="31" outlineLevel="1" ht="15" customHeight="1">
      <c r="A31" s="314">
        <f>IF('Final Calculation Sheet'!$F$18="","",'Final Calculation Sheet'!$F$18)</f>
        <v/>
      </c>
      <c r="B31" s="313">
        <f>IF('Final Calculation Sheet'!$B$18="","",'Final Calculation Sheet'!$B$18)</f>
        <v/>
      </c>
      <c r="C31" s="314">
        <f>IF('Final Calculation Sheet'!$D$18="","",'Final Calculation Sheet'!$D$18)</f>
        <v/>
      </c>
      <c r="D31" s="315">
        <f>IF('Final Calculation Sheet'!$A$18="","",'Final Calculation Sheet'!$A$18)</f>
        <v/>
      </c>
      <c r="E31" s="316">
        <f>IF('Final Calculation Sheet'!$E$18="","",'Final Calculation Sheet'!$E$18)</f>
        <v/>
      </c>
      <c r="F31" s="314">
        <f>IF('Final Calculation Sheet'!$C$18="","",'Final Calculation Sheet'!$C$18)</f>
        <v/>
      </c>
      <c r="G31" s="314">
        <f>IF('Final Calculation Sheet'!$H$18="","",'Final Calculation Sheet'!$H$18)</f>
        <v/>
      </c>
      <c r="H31" s="314">
        <f>IF('Final Calculation Sheet'!$I$18="","",'Final Calculation Sheet'!$I$18)</f>
        <v/>
      </c>
      <c r="I31" s="314">
        <f>IF('Final Calculation Sheet'!$J$18="","",'Final Calculation Sheet'!$J$18)</f>
        <v/>
      </c>
      <c r="J31" s="314">
        <f>IF('Final Calculation Sheet'!$K$18="","",'Final Calculation Sheet'!$K$18)</f>
        <v/>
      </c>
      <c r="K31" s="317">
        <f>IF('Final Calculation Sheet'!$L$18="","",'Final Calculation Sheet'!$L$18)</f>
        <v/>
      </c>
      <c r="L31" s="317">
        <f>IF('Final Calculation Sheet'!$M$18="","",'Final Calculation Sheet'!$M$18)</f>
        <v/>
      </c>
      <c r="M31" s="317">
        <f>IF('Final Calculation Sheet'!$N$18="","",'Final Calculation Sheet'!$N$18)</f>
        <v/>
      </c>
      <c r="N31" s="317">
        <f>IF('Final Calculation Sheet'!$O$18="","",'Final Calculation Sheet'!$O$18)</f>
        <v/>
      </c>
      <c r="O31" s="314">
        <f>IF('Final Calculation Sheet'!$P$18="","",'Final Calculation Sheet'!$P$18)</f>
        <v/>
      </c>
      <c r="P31" s="318">
        <f>IF('Final Calculation Sheet'!$Q$18="","",'Final Calculation Sheet'!$Q$18)</f>
        <v/>
      </c>
      <c r="Q31" s="314">
        <f>IF('Final Calculation Sheet'!$R$18="","",'Final Calculation Sheet'!$R$18)</f>
        <v/>
      </c>
      <c r="R31" s="314">
        <f>IF('Final Calculation Sheet'!$S$18="","",'Final Calculation Sheet'!$S$18)</f>
        <v/>
      </c>
      <c r="S31" s="314">
        <f>IF('Final Calculation Sheet'!$T$18="","",'Final Calculation Sheet'!$T$18)</f>
        <v/>
      </c>
      <c r="T31" s="314">
        <f>IF('Final Calculation Sheet'!$U$18="","",'Final Calculation Sheet'!$U$18)</f>
        <v/>
      </c>
      <c r="U31" s="316">
        <f>IF('Final Calculation Sheet'!$V$18="","",'Final Calculation Sheet'!$V$18)</f>
        <v/>
      </c>
      <c r="V31" s="314">
        <f>IF('Final Calculation Sheet'!$W$18="","",'Final Calculation Sheet'!$W$18)</f>
        <v/>
      </c>
      <c r="W31" s="314">
        <f>IF('Final Calculation Sheet'!$X$18="","",'Final Calculation Sheet'!$X$18)</f>
        <v/>
      </c>
      <c r="X31" s="316">
        <f>IF('Final Calculation Sheet'!$Y$18="","",'Final Calculation Sheet'!$Y$18)</f>
        <v/>
      </c>
      <c r="Y31" s="314">
        <f>IF('Final Calculation Sheet'!$Z$18="","",'Final Calculation Sheet'!$Z$18)</f>
        <v/>
      </c>
      <c r="Z31" s="314">
        <f>IF('Final Calculation Sheet'!$AA$18="","",'Final Calculation Sheet'!$AA$18)</f>
        <v/>
      </c>
      <c r="AA31" s="316">
        <f>IF('Final Calculation Sheet'!$AB$18="","",'Final Calculation Sheet'!$AB$18)</f>
        <v/>
      </c>
      <c r="AB31" s="314">
        <f>IF('Final Calculation Sheet'!$AC$18="","",'Final Calculation Sheet'!$AC$18)</f>
        <v/>
      </c>
      <c r="AC31" s="314">
        <f>IF('Final Calculation Sheet'!$AD$18="","",'Final Calculation Sheet'!$AD$18)</f>
        <v/>
      </c>
      <c r="AD31" s="316">
        <f>IF('Final Calculation Sheet'!$AD$18="","",IF('Final Calculation Sheet'!$AD$18&lt;=0,"SETTLED","OUTSTANDING"))</f>
        <v/>
      </c>
      <c r="AE31" s="316">
        <f>IF('Final Calculation Sheet'!$AE$18="","",'Final Calculation Sheet'!$AE$18)</f>
        <v/>
      </c>
      <c r="AF31" s="314">
        <f>IF('Final Calculation Sheet'!$AF$18="","",'Final Calculation Sheet'!$AF$18)</f>
        <v/>
      </c>
      <c r="AG31" s="316">
        <f>IF('Final Calculation Sheet'!$AG$18="","",'Final Calculation Sheet'!$AG$18)</f>
        <v/>
      </c>
    </row>
    <row r="32" outlineLevel="1" ht="15" customHeight="1">
      <c r="A32" s="320">
        <f>IF('Final Calculation Sheet'!$F$19="","",'Final Calculation Sheet'!$F$19)</f>
        <v/>
      </c>
      <c r="B32" s="319">
        <f>IF('Final Calculation Sheet'!$B$19="","",'Final Calculation Sheet'!$B$19)</f>
        <v/>
      </c>
      <c r="C32" s="320">
        <f>IF('Final Calculation Sheet'!$D$19="","",'Final Calculation Sheet'!$D$19)</f>
        <v/>
      </c>
      <c r="D32" s="321">
        <f>IF('Final Calculation Sheet'!$A$19="","",'Final Calculation Sheet'!$A$19)</f>
        <v/>
      </c>
      <c r="E32" s="322">
        <f>IF('Final Calculation Sheet'!$E$19="","",'Final Calculation Sheet'!$E$19)</f>
        <v/>
      </c>
      <c r="F32" s="320">
        <f>IF('Final Calculation Sheet'!$C$19="","",'Final Calculation Sheet'!$C$19)</f>
        <v/>
      </c>
      <c r="G32" s="320">
        <f>IF('Final Calculation Sheet'!$H$19="","",'Final Calculation Sheet'!$H$19)</f>
        <v/>
      </c>
      <c r="H32" s="320">
        <f>IF('Final Calculation Sheet'!$I$19="","",'Final Calculation Sheet'!$I$19)</f>
        <v/>
      </c>
      <c r="I32" s="320">
        <f>IF('Final Calculation Sheet'!$J$19="","",'Final Calculation Sheet'!$J$19)</f>
        <v/>
      </c>
      <c r="J32" s="320">
        <f>IF('Final Calculation Sheet'!$K$19="","",'Final Calculation Sheet'!$K$19)</f>
        <v/>
      </c>
      <c r="K32" s="323">
        <f>IF('Final Calculation Sheet'!$L$19="","",'Final Calculation Sheet'!$L$19)</f>
        <v/>
      </c>
      <c r="L32" s="323">
        <f>IF('Final Calculation Sheet'!$M$19="","",'Final Calculation Sheet'!$M$19)</f>
        <v/>
      </c>
      <c r="M32" s="323">
        <f>IF('Final Calculation Sheet'!$N$19="","",'Final Calculation Sheet'!$N$19)</f>
        <v/>
      </c>
      <c r="N32" s="323">
        <f>IF('Final Calculation Sheet'!$O$19="","",'Final Calculation Sheet'!$O$19)</f>
        <v/>
      </c>
      <c r="O32" s="320">
        <f>IF('Final Calculation Sheet'!$P$19="","",'Final Calculation Sheet'!$P$19)</f>
        <v/>
      </c>
      <c r="P32" s="324">
        <f>IF('Final Calculation Sheet'!$Q$19="","",'Final Calculation Sheet'!$Q$19)</f>
        <v/>
      </c>
      <c r="Q32" s="320">
        <f>IF('Final Calculation Sheet'!$R$19="","",'Final Calculation Sheet'!$R$19)</f>
        <v/>
      </c>
      <c r="R32" s="320">
        <f>IF('Final Calculation Sheet'!$S$19="","",'Final Calculation Sheet'!$S$19)</f>
        <v/>
      </c>
      <c r="S32" s="320">
        <f>IF('Final Calculation Sheet'!$T$19="","",'Final Calculation Sheet'!$T$19)</f>
        <v/>
      </c>
      <c r="T32" s="320">
        <f>IF('Final Calculation Sheet'!$U$19="","",'Final Calculation Sheet'!$U$19)</f>
        <v/>
      </c>
      <c r="U32" s="322">
        <f>IF('Final Calculation Sheet'!$V$19="","",'Final Calculation Sheet'!$V$19)</f>
        <v/>
      </c>
      <c r="V32" s="320">
        <f>IF('Final Calculation Sheet'!$W$19="","",'Final Calculation Sheet'!$W$19)</f>
        <v/>
      </c>
      <c r="W32" s="320">
        <f>IF('Final Calculation Sheet'!$X$19="","",'Final Calculation Sheet'!$X$19)</f>
        <v/>
      </c>
      <c r="X32" s="322">
        <f>IF('Final Calculation Sheet'!$Y$19="","",'Final Calculation Sheet'!$Y$19)</f>
        <v/>
      </c>
      <c r="Y32" s="320">
        <f>IF('Final Calculation Sheet'!$Z$19="","",'Final Calculation Sheet'!$Z$19)</f>
        <v/>
      </c>
      <c r="Z32" s="320">
        <f>IF('Final Calculation Sheet'!$AA$19="","",'Final Calculation Sheet'!$AA$19)</f>
        <v/>
      </c>
      <c r="AA32" s="322">
        <f>IF('Final Calculation Sheet'!$AB$19="","",'Final Calculation Sheet'!$AB$19)</f>
        <v/>
      </c>
      <c r="AB32" s="320">
        <f>IF('Final Calculation Sheet'!$AC$19="","",'Final Calculation Sheet'!$AC$19)</f>
        <v/>
      </c>
      <c r="AC32" s="320">
        <f>IF('Final Calculation Sheet'!$AD$19="","",'Final Calculation Sheet'!$AD$19)</f>
        <v/>
      </c>
      <c r="AD32" s="322">
        <f>IF('Final Calculation Sheet'!$AD$19="","",IF('Final Calculation Sheet'!$AD$19&lt;=0,"SETTLED","OUTSTANDING"))</f>
        <v/>
      </c>
      <c r="AE32" s="322">
        <f>IF('Final Calculation Sheet'!$AE$19="","",'Final Calculation Sheet'!$AE$19)</f>
        <v/>
      </c>
      <c r="AF32" s="320">
        <f>IF('Final Calculation Sheet'!$AF$19="","",'Final Calculation Sheet'!$AF$19)</f>
        <v/>
      </c>
      <c r="AG32" s="322">
        <f>IF('Final Calculation Sheet'!$AG$19="","",'Final Calculation Sheet'!$AG$19)</f>
        <v/>
      </c>
    </row>
    <row r="33" outlineLevel="1" ht="15" customHeight="1">
      <c r="A33" s="314">
        <f>IF('Final Calculation Sheet'!$F$22="","",'Final Calculation Sheet'!$F$22)</f>
        <v/>
      </c>
      <c r="B33" s="313">
        <f>IF('Final Calculation Sheet'!$B$22="","",'Final Calculation Sheet'!$B$22)</f>
        <v/>
      </c>
      <c r="C33" s="314">
        <f>IF('Final Calculation Sheet'!$D$22="","",'Final Calculation Sheet'!$D$22)</f>
        <v/>
      </c>
      <c r="D33" s="315">
        <f>IF('Final Calculation Sheet'!$A$22="","",'Final Calculation Sheet'!$A$22)</f>
        <v/>
      </c>
      <c r="E33" s="316">
        <f>IF('Final Calculation Sheet'!$E$22="","",'Final Calculation Sheet'!$E$22)</f>
        <v/>
      </c>
      <c r="F33" s="314">
        <f>IF('Final Calculation Sheet'!$C$22="","",'Final Calculation Sheet'!$C$22)</f>
        <v/>
      </c>
      <c r="G33" s="314">
        <f>IF('Final Calculation Sheet'!$H$22="","",'Final Calculation Sheet'!$H$22)</f>
        <v/>
      </c>
      <c r="H33" s="314">
        <f>IF('Final Calculation Sheet'!$I$22="","",'Final Calculation Sheet'!$I$22)</f>
        <v/>
      </c>
      <c r="I33" s="314">
        <f>IF('Final Calculation Sheet'!$J$22="","",'Final Calculation Sheet'!$J$22)</f>
        <v/>
      </c>
      <c r="J33" s="314">
        <f>IF('Final Calculation Sheet'!$K$22="","",'Final Calculation Sheet'!$K$22)</f>
        <v/>
      </c>
      <c r="K33" s="317">
        <f>IF('Final Calculation Sheet'!$L$22="","",'Final Calculation Sheet'!$L$22)</f>
        <v/>
      </c>
      <c r="L33" s="317">
        <f>IF('Final Calculation Sheet'!$M$22="","",'Final Calculation Sheet'!$M$22)</f>
        <v/>
      </c>
      <c r="M33" s="317">
        <f>IF('Final Calculation Sheet'!$N$22="","",'Final Calculation Sheet'!$N$22)</f>
        <v/>
      </c>
      <c r="N33" s="317">
        <f>IF('Final Calculation Sheet'!$O$22="","",'Final Calculation Sheet'!$O$22)</f>
        <v/>
      </c>
      <c r="O33" s="314">
        <f>IF('Final Calculation Sheet'!$P$22="","",'Final Calculation Sheet'!$P$22)</f>
        <v/>
      </c>
      <c r="P33" s="318">
        <f>IF('Final Calculation Sheet'!$Q$22="","",'Final Calculation Sheet'!$Q$22)</f>
        <v/>
      </c>
      <c r="Q33" s="314">
        <f>IF('Final Calculation Sheet'!$R$22="","",'Final Calculation Sheet'!$R$22)</f>
        <v/>
      </c>
      <c r="R33" s="314">
        <f>IF('Final Calculation Sheet'!$S$22="","",'Final Calculation Sheet'!$S$22)</f>
        <v/>
      </c>
      <c r="S33" s="314">
        <f>IF('Final Calculation Sheet'!$T$22="","",'Final Calculation Sheet'!$T$22)</f>
        <v/>
      </c>
      <c r="T33" s="314">
        <f>IF('Final Calculation Sheet'!$U$22="","",'Final Calculation Sheet'!$U$22)</f>
        <v/>
      </c>
      <c r="U33" s="316">
        <f>IF('Final Calculation Sheet'!$V$22="","",'Final Calculation Sheet'!$V$22)</f>
        <v/>
      </c>
      <c r="V33" s="314">
        <f>IF('Final Calculation Sheet'!$W$22="","",'Final Calculation Sheet'!$W$22)</f>
        <v/>
      </c>
      <c r="W33" s="314">
        <f>IF('Final Calculation Sheet'!$X$22="","",'Final Calculation Sheet'!$X$22)</f>
        <v/>
      </c>
      <c r="X33" s="316">
        <f>IF('Final Calculation Sheet'!$Y$22="","",'Final Calculation Sheet'!$Y$22)</f>
        <v/>
      </c>
      <c r="Y33" s="314">
        <f>IF('Final Calculation Sheet'!$Z$22="","",'Final Calculation Sheet'!$Z$22)</f>
        <v/>
      </c>
      <c r="Z33" s="314">
        <f>IF('Final Calculation Sheet'!$AA$22="","",'Final Calculation Sheet'!$AA$22)</f>
        <v/>
      </c>
      <c r="AA33" s="316">
        <f>IF('Final Calculation Sheet'!$AB$22="","",'Final Calculation Sheet'!$AB$22)</f>
        <v/>
      </c>
      <c r="AB33" s="314">
        <f>IF('Final Calculation Sheet'!$AC$22="","",'Final Calculation Sheet'!$AC$22)</f>
        <v/>
      </c>
      <c r="AC33" s="314">
        <f>IF('Final Calculation Sheet'!$AD$22="","",'Final Calculation Sheet'!$AD$22)</f>
        <v/>
      </c>
      <c r="AD33" s="316">
        <f>IF('Final Calculation Sheet'!$AD$22="","",IF('Final Calculation Sheet'!$AD$22&lt;=0,"SETTLED","OUTSTANDING"))</f>
        <v/>
      </c>
      <c r="AE33" s="316">
        <f>IF('Final Calculation Sheet'!$AE$22="","",'Final Calculation Sheet'!$AE$22)</f>
        <v/>
      </c>
      <c r="AF33" s="314">
        <f>IF('Final Calculation Sheet'!$AF$22="","",'Final Calculation Sheet'!$AF$22)</f>
        <v/>
      </c>
      <c r="AG33" s="316">
        <f>IF('Final Calculation Sheet'!$AG$22="","",'Final Calculation Sheet'!$AG$22)</f>
        <v/>
      </c>
    </row>
    <row r="34" outlineLevel="1" ht="15" customHeight="1">
      <c r="A34" s="320">
        <f>IF('Final Calculation Sheet'!$F$24="","",'Final Calculation Sheet'!$F$24)</f>
        <v/>
      </c>
      <c r="B34" s="319">
        <f>IF('Final Calculation Sheet'!$B$24="","",'Final Calculation Sheet'!$B$24)</f>
        <v/>
      </c>
      <c r="C34" s="320">
        <f>IF('Final Calculation Sheet'!$D$24="","",'Final Calculation Sheet'!$D$24)</f>
        <v/>
      </c>
      <c r="D34" s="321">
        <f>IF('Final Calculation Sheet'!$A$24="","",'Final Calculation Sheet'!$A$24)</f>
        <v/>
      </c>
      <c r="E34" s="322">
        <f>IF('Final Calculation Sheet'!$E$24="","",'Final Calculation Sheet'!$E$24)</f>
        <v/>
      </c>
      <c r="F34" s="320">
        <f>IF('Final Calculation Sheet'!$C$24="","",'Final Calculation Sheet'!$C$24)</f>
        <v/>
      </c>
      <c r="G34" s="320">
        <f>IF('Final Calculation Sheet'!$H$24="","",'Final Calculation Sheet'!$H$24)</f>
        <v/>
      </c>
      <c r="H34" s="320">
        <f>IF('Final Calculation Sheet'!$I$24="","",'Final Calculation Sheet'!$I$24)</f>
        <v/>
      </c>
      <c r="I34" s="320">
        <f>IF('Final Calculation Sheet'!$J$24="","",'Final Calculation Sheet'!$J$24)</f>
        <v/>
      </c>
      <c r="J34" s="320">
        <f>IF('Final Calculation Sheet'!$K$24="","",'Final Calculation Sheet'!$K$24)</f>
        <v/>
      </c>
      <c r="K34" s="323">
        <f>IF('Final Calculation Sheet'!$L$24="","",'Final Calculation Sheet'!$L$24)</f>
        <v/>
      </c>
      <c r="L34" s="323">
        <f>IF('Final Calculation Sheet'!$M$24="","",'Final Calculation Sheet'!$M$24)</f>
        <v/>
      </c>
      <c r="M34" s="323">
        <f>IF('Final Calculation Sheet'!$N$24="","",'Final Calculation Sheet'!$N$24)</f>
        <v/>
      </c>
      <c r="N34" s="323">
        <f>IF('Final Calculation Sheet'!$O$24="","",'Final Calculation Sheet'!$O$24)</f>
        <v/>
      </c>
      <c r="O34" s="320">
        <f>IF('Final Calculation Sheet'!$P$24="","",'Final Calculation Sheet'!$P$24)</f>
        <v/>
      </c>
      <c r="P34" s="324">
        <f>IF('Final Calculation Sheet'!$Q$24="","",'Final Calculation Sheet'!$Q$24)</f>
        <v/>
      </c>
      <c r="Q34" s="320">
        <f>IF('Final Calculation Sheet'!$R$24="","",'Final Calculation Sheet'!$R$24)</f>
        <v/>
      </c>
      <c r="R34" s="320">
        <f>IF('Final Calculation Sheet'!$S$24="","",'Final Calculation Sheet'!$S$24)</f>
        <v/>
      </c>
      <c r="S34" s="320">
        <f>IF('Final Calculation Sheet'!$T$24="","",'Final Calculation Sheet'!$T$24)</f>
        <v/>
      </c>
      <c r="T34" s="320">
        <f>IF('Final Calculation Sheet'!$U$24="","",'Final Calculation Sheet'!$U$24)</f>
        <v/>
      </c>
      <c r="U34" s="322">
        <f>IF('Final Calculation Sheet'!$V$24="","",'Final Calculation Sheet'!$V$24)</f>
        <v/>
      </c>
      <c r="V34" s="320">
        <f>IF('Final Calculation Sheet'!$W$24="","",'Final Calculation Sheet'!$W$24)</f>
        <v/>
      </c>
      <c r="W34" s="320">
        <f>IF('Final Calculation Sheet'!$X$24="","",'Final Calculation Sheet'!$X$24)</f>
        <v/>
      </c>
      <c r="X34" s="322">
        <f>IF('Final Calculation Sheet'!$Y$24="","",'Final Calculation Sheet'!$Y$24)</f>
        <v/>
      </c>
      <c r="Y34" s="320">
        <f>IF('Final Calculation Sheet'!$Z$24="","",'Final Calculation Sheet'!$Z$24)</f>
        <v/>
      </c>
      <c r="Z34" s="320">
        <f>IF('Final Calculation Sheet'!$AA$24="","",'Final Calculation Sheet'!$AA$24)</f>
        <v/>
      </c>
      <c r="AA34" s="322">
        <f>IF('Final Calculation Sheet'!$AB$24="","",'Final Calculation Sheet'!$AB$24)</f>
        <v/>
      </c>
      <c r="AB34" s="320">
        <f>IF('Final Calculation Sheet'!$AC$24="","",'Final Calculation Sheet'!$AC$24)</f>
        <v/>
      </c>
      <c r="AC34" s="320">
        <f>IF('Final Calculation Sheet'!$AD$24="","",'Final Calculation Sheet'!$AD$24)</f>
        <v/>
      </c>
      <c r="AD34" s="322">
        <f>IF('Final Calculation Sheet'!$AD$24="","",IF('Final Calculation Sheet'!$AD$24&lt;=0,"SETTLED","OUTSTANDING"))</f>
        <v/>
      </c>
      <c r="AE34" s="322">
        <f>IF('Final Calculation Sheet'!$AE$24="","",'Final Calculation Sheet'!$AE$24)</f>
        <v/>
      </c>
      <c r="AF34" s="320">
        <f>IF('Final Calculation Sheet'!$AF$24="","",'Final Calculation Sheet'!$AF$24)</f>
        <v/>
      </c>
      <c r="AG34" s="322">
        <f>IF('Final Calculation Sheet'!$AG$24="","",'Final Calculation Sheet'!$AG$24)</f>
        <v/>
      </c>
    </row>
    <row r="35" outlineLevel="1" ht="15" customHeight="1">
      <c r="A35" s="314">
        <f>IF('Final Calculation Sheet'!$F$26="","",'Final Calculation Sheet'!$F$26)</f>
        <v/>
      </c>
      <c r="B35" s="313">
        <f>IF('Final Calculation Sheet'!$B$26="","",'Final Calculation Sheet'!$B$26)</f>
        <v/>
      </c>
      <c r="C35" s="314">
        <f>IF('Final Calculation Sheet'!$D$26="","",'Final Calculation Sheet'!$D$26)</f>
        <v/>
      </c>
      <c r="D35" s="315">
        <f>IF('Final Calculation Sheet'!$A$26="","",'Final Calculation Sheet'!$A$26)</f>
        <v/>
      </c>
      <c r="E35" s="316">
        <f>IF('Final Calculation Sheet'!$E$26="","",'Final Calculation Sheet'!$E$26)</f>
        <v/>
      </c>
      <c r="F35" s="314">
        <f>IF('Final Calculation Sheet'!$C$26="","",'Final Calculation Sheet'!$C$26)</f>
        <v/>
      </c>
      <c r="G35" s="314">
        <f>IF('Final Calculation Sheet'!$H$26="","",'Final Calculation Sheet'!$H$26)</f>
        <v/>
      </c>
      <c r="H35" s="314">
        <f>IF('Final Calculation Sheet'!$I$26="","",'Final Calculation Sheet'!$I$26)</f>
        <v/>
      </c>
      <c r="I35" s="314">
        <f>IF('Final Calculation Sheet'!$J$26="","",'Final Calculation Sheet'!$J$26)</f>
        <v/>
      </c>
      <c r="J35" s="314">
        <f>IF('Final Calculation Sheet'!$K$26="","",'Final Calculation Sheet'!$K$26)</f>
        <v/>
      </c>
      <c r="K35" s="317">
        <f>IF('Final Calculation Sheet'!$L$26="","",'Final Calculation Sheet'!$L$26)</f>
        <v/>
      </c>
      <c r="L35" s="317">
        <f>IF('Final Calculation Sheet'!$M$26="","",'Final Calculation Sheet'!$M$26)</f>
        <v/>
      </c>
      <c r="M35" s="317">
        <f>IF('Final Calculation Sheet'!$N$26="","",'Final Calculation Sheet'!$N$26)</f>
        <v/>
      </c>
      <c r="N35" s="317">
        <f>IF('Final Calculation Sheet'!$O$26="","",'Final Calculation Sheet'!$O$26)</f>
        <v/>
      </c>
      <c r="O35" s="314">
        <f>IF('Final Calculation Sheet'!$P$26="","",'Final Calculation Sheet'!$P$26)</f>
        <v/>
      </c>
      <c r="P35" s="318">
        <f>IF('Final Calculation Sheet'!$Q$26="","",'Final Calculation Sheet'!$Q$26)</f>
        <v/>
      </c>
      <c r="Q35" s="314">
        <f>IF('Final Calculation Sheet'!$R$26="","",'Final Calculation Sheet'!$R$26)</f>
        <v/>
      </c>
      <c r="R35" s="314">
        <f>IF('Final Calculation Sheet'!$S$26="","",'Final Calculation Sheet'!$S$26)</f>
        <v/>
      </c>
      <c r="S35" s="314">
        <f>IF('Final Calculation Sheet'!$T$26="","",'Final Calculation Sheet'!$T$26)</f>
        <v/>
      </c>
      <c r="T35" s="314">
        <f>IF('Final Calculation Sheet'!$U$26="","",'Final Calculation Sheet'!$U$26)</f>
        <v/>
      </c>
      <c r="U35" s="316">
        <f>IF('Final Calculation Sheet'!$V$26="","",'Final Calculation Sheet'!$V$26)</f>
        <v/>
      </c>
      <c r="V35" s="314">
        <f>IF('Final Calculation Sheet'!$W$26="","",'Final Calculation Sheet'!$W$26)</f>
        <v/>
      </c>
      <c r="W35" s="314">
        <f>IF('Final Calculation Sheet'!$X$26="","",'Final Calculation Sheet'!$X$26)</f>
        <v/>
      </c>
      <c r="X35" s="316">
        <f>IF('Final Calculation Sheet'!$Y$26="","",'Final Calculation Sheet'!$Y$26)</f>
        <v/>
      </c>
      <c r="Y35" s="314">
        <f>IF('Final Calculation Sheet'!$Z$26="","",'Final Calculation Sheet'!$Z$26)</f>
        <v/>
      </c>
      <c r="Z35" s="314">
        <f>IF('Final Calculation Sheet'!$AA$26="","",'Final Calculation Sheet'!$AA$26)</f>
        <v/>
      </c>
      <c r="AA35" s="316">
        <f>IF('Final Calculation Sheet'!$AB$26="","",'Final Calculation Sheet'!$AB$26)</f>
        <v/>
      </c>
      <c r="AB35" s="314">
        <f>IF('Final Calculation Sheet'!$AC$26="","",'Final Calculation Sheet'!$AC$26)</f>
        <v/>
      </c>
      <c r="AC35" s="314">
        <f>IF('Final Calculation Sheet'!$AD$26="","",'Final Calculation Sheet'!$AD$26)</f>
        <v/>
      </c>
      <c r="AD35" s="316">
        <f>IF('Final Calculation Sheet'!$AD$26="","",IF('Final Calculation Sheet'!$AD$26&lt;=0,"SETTLED","OUTSTANDING"))</f>
        <v/>
      </c>
      <c r="AE35" s="316">
        <f>IF('Final Calculation Sheet'!$AE$26="","",'Final Calculation Sheet'!$AE$26)</f>
        <v/>
      </c>
      <c r="AF35" s="314">
        <f>IF('Final Calculation Sheet'!$AF$26="","",'Final Calculation Sheet'!$AF$26)</f>
        <v/>
      </c>
      <c r="AG35" s="316">
        <f>IF('Final Calculation Sheet'!$AG$26="","",'Final Calculation Sheet'!$AG$26)</f>
        <v/>
      </c>
    </row>
    <row r="36" outlineLevel="1" ht="15" customHeight="1">
      <c r="A36" s="320">
        <f>IF('Final Calculation Sheet'!$F$30="","",'Final Calculation Sheet'!$F$30)</f>
        <v/>
      </c>
      <c r="B36" s="319">
        <f>IF('Final Calculation Sheet'!$B$30="","",'Final Calculation Sheet'!$B$30)</f>
        <v/>
      </c>
      <c r="C36" s="320">
        <f>IF('Final Calculation Sheet'!$D$30="","",'Final Calculation Sheet'!$D$30)</f>
        <v/>
      </c>
      <c r="D36" s="321">
        <f>IF('Final Calculation Sheet'!$A$30="","",'Final Calculation Sheet'!$A$30)</f>
        <v/>
      </c>
      <c r="E36" s="322">
        <f>IF('Final Calculation Sheet'!$E$30="","",'Final Calculation Sheet'!$E$30)</f>
        <v/>
      </c>
      <c r="F36" s="320">
        <f>IF('Final Calculation Sheet'!$C$30="","",'Final Calculation Sheet'!$C$30)</f>
        <v/>
      </c>
      <c r="G36" s="320">
        <f>IF('Final Calculation Sheet'!$H$30="","",'Final Calculation Sheet'!$H$30)</f>
        <v/>
      </c>
      <c r="H36" s="320">
        <f>IF('Final Calculation Sheet'!$I$30="","",'Final Calculation Sheet'!$I$30)</f>
        <v/>
      </c>
      <c r="I36" s="320">
        <f>IF('Final Calculation Sheet'!$J$30="","",'Final Calculation Sheet'!$J$30)</f>
        <v/>
      </c>
      <c r="J36" s="320">
        <f>IF('Final Calculation Sheet'!$K$30="","",'Final Calculation Sheet'!$K$30)</f>
        <v/>
      </c>
      <c r="K36" s="323">
        <f>IF('Final Calculation Sheet'!$L$30="","",'Final Calculation Sheet'!$L$30)</f>
        <v/>
      </c>
      <c r="L36" s="323">
        <f>IF('Final Calculation Sheet'!$M$30="","",'Final Calculation Sheet'!$M$30)</f>
        <v/>
      </c>
      <c r="M36" s="323">
        <f>IF('Final Calculation Sheet'!$N$30="","",'Final Calculation Sheet'!$N$30)</f>
        <v/>
      </c>
      <c r="N36" s="323">
        <f>IF('Final Calculation Sheet'!$O$30="","",'Final Calculation Sheet'!$O$30)</f>
        <v/>
      </c>
      <c r="O36" s="320">
        <f>IF('Final Calculation Sheet'!$P$30="","",'Final Calculation Sheet'!$P$30)</f>
        <v/>
      </c>
      <c r="P36" s="324">
        <f>IF('Final Calculation Sheet'!$Q$30="","",'Final Calculation Sheet'!$Q$30)</f>
        <v/>
      </c>
      <c r="Q36" s="320">
        <f>IF('Final Calculation Sheet'!$R$30="","",'Final Calculation Sheet'!$R$30)</f>
        <v/>
      </c>
      <c r="R36" s="320">
        <f>IF('Final Calculation Sheet'!$S$30="","",'Final Calculation Sheet'!$S$30)</f>
        <v/>
      </c>
      <c r="S36" s="320">
        <f>IF('Final Calculation Sheet'!$T$30="","",'Final Calculation Sheet'!$T$30)</f>
        <v/>
      </c>
      <c r="T36" s="320">
        <f>IF('Final Calculation Sheet'!$U$30="","",'Final Calculation Sheet'!$U$30)</f>
        <v/>
      </c>
      <c r="U36" s="322">
        <f>IF('Final Calculation Sheet'!$V$30="","",'Final Calculation Sheet'!$V$30)</f>
        <v/>
      </c>
      <c r="V36" s="320">
        <f>IF('Final Calculation Sheet'!$W$30="","",'Final Calculation Sheet'!$W$30)</f>
        <v/>
      </c>
      <c r="W36" s="320">
        <f>IF('Final Calculation Sheet'!$X$30="","",'Final Calculation Sheet'!$X$30)</f>
        <v/>
      </c>
      <c r="X36" s="322">
        <f>IF('Final Calculation Sheet'!$Y$30="","",'Final Calculation Sheet'!$Y$30)</f>
        <v/>
      </c>
      <c r="Y36" s="320">
        <f>IF('Final Calculation Sheet'!$Z$30="","",'Final Calculation Sheet'!$Z$30)</f>
        <v/>
      </c>
      <c r="Z36" s="320">
        <f>IF('Final Calculation Sheet'!$AA$30="","",'Final Calculation Sheet'!$AA$30)</f>
        <v/>
      </c>
      <c r="AA36" s="322">
        <f>IF('Final Calculation Sheet'!$AB$30="","",'Final Calculation Sheet'!$AB$30)</f>
        <v/>
      </c>
      <c r="AB36" s="320">
        <f>IF('Final Calculation Sheet'!$AC$30="","",'Final Calculation Sheet'!$AC$30)</f>
        <v/>
      </c>
      <c r="AC36" s="320">
        <f>IF('Final Calculation Sheet'!$AD$30="","",'Final Calculation Sheet'!$AD$30)</f>
        <v/>
      </c>
      <c r="AD36" s="322">
        <f>IF('Final Calculation Sheet'!$AD$30="","",IF('Final Calculation Sheet'!$AD$30&lt;=0,"SETTLED","OUTSTANDING"))</f>
        <v/>
      </c>
      <c r="AE36" s="322">
        <f>IF('Final Calculation Sheet'!$AE$30="","",'Final Calculation Sheet'!$AE$30)</f>
        <v/>
      </c>
      <c r="AF36" s="320">
        <f>IF('Final Calculation Sheet'!$AF$30="","",'Final Calculation Sheet'!$AF$30)</f>
        <v/>
      </c>
      <c r="AG36" s="322">
        <f>IF('Final Calculation Sheet'!$AG$30="","",'Final Calculation Sheet'!$AG$30)</f>
        <v/>
      </c>
    </row>
    <row r="37" outlineLevel="1" ht="15" customHeight="1">
      <c r="A37" s="314">
        <f>IF('Final Calculation Sheet'!$F$32="","",'Final Calculation Sheet'!$F$32)</f>
        <v/>
      </c>
      <c r="B37" s="313">
        <f>IF('Final Calculation Sheet'!$B$32="","",'Final Calculation Sheet'!$B$32)</f>
        <v/>
      </c>
      <c r="C37" s="314">
        <f>IF('Final Calculation Sheet'!$D$32="","",'Final Calculation Sheet'!$D$32)</f>
        <v/>
      </c>
      <c r="D37" s="315">
        <f>IF('Final Calculation Sheet'!$A$32="","",'Final Calculation Sheet'!$A$32)</f>
        <v/>
      </c>
      <c r="E37" s="316">
        <f>IF('Final Calculation Sheet'!$E$32="","",'Final Calculation Sheet'!$E$32)</f>
        <v/>
      </c>
      <c r="F37" s="314">
        <f>IF('Final Calculation Sheet'!$C$32="","",'Final Calculation Sheet'!$C$32)</f>
        <v/>
      </c>
      <c r="G37" s="314">
        <f>IF('Final Calculation Sheet'!$H$32="","",'Final Calculation Sheet'!$H$32)</f>
        <v/>
      </c>
      <c r="H37" s="314">
        <f>IF('Final Calculation Sheet'!$I$32="","",'Final Calculation Sheet'!$I$32)</f>
        <v/>
      </c>
      <c r="I37" s="314">
        <f>IF('Final Calculation Sheet'!$J$32="","",'Final Calculation Sheet'!$J$32)</f>
        <v/>
      </c>
      <c r="J37" s="314">
        <f>IF('Final Calculation Sheet'!$K$32="","",'Final Calculation Sheet'!$K$32)</f>
        <v/>
      </c>
      <c r="K37" s="317">
        <f>IF('Final Calculation Sheet'!$L$32="","",'Final Calculation Sheet'!$L$32)</f>
        <v/>
      </c>
      <c r="L37" s="317">
        <f>IF('Final Calculation Sheet'!$M$32="","",'Final Calculation Sheet'!$M$32)</f>
        <v/>
      </c>
      <c r="M37" s="317">
        <f>IF('Final Calculation Sheet'!$N$32="","",'Final Calculation Sheet'!$N$32)</f>
        <v/>
      </c>
      <c r="N37" s="317">
        <f>IF('Final Calculation Sheet'!$O$32="","",'Final Calculation Sheet'!$O$32)</f>
        <v/>
      </c>
      <c r="O37" s="314">
        <f>IF('Final Calculation Sheet'!$P$32="","",'Final Calculation Sheet'!$P$32)</f>
        <v/>
      </c>
      <c r="P37" s="318">
        <f>IF('Final Calculation Sheet'!$Q$32="","",'Final Calculation Sheet'!$Q$32)</f>
        <v/>
      </c>
      <c r="Q37" s="314">
        <f>IF('Final Calculation Sheet'!$R$32="","",'Final Calculation Sheet'!$R$32)</f>
        <v/>
      </c>
      <c r="R37" s="314">
        <f>IF('Final Calculation Sheet'!$S$32="","",'Final Calculation Sheet'!$S$32)</f>
        <v/>
      </c>
      <c r="S37" s="314">
        <f>IF('Final Calculation Sheet'!$T$32="","",'Final Calculation Sheet'!$T$32)</f>
        <v/>
      </c>
      <c r="T37" s="314">
        <f>IF('Final Calculation Sheet'!$U$32="","",'Final Calculation Sheet'!$U$32)</f>
        <v/>
      </c>
      <c r="U37" s="316">
        <f>IF('Final Calculation Sheet'!$V$32="","",'Final Calculation Sheet'!$V$32)</f>
        <v/>
      </c>
      <c r="V37" s="314">
        <f>IF('Final Calculation Sheet'!$W$32="","",'Final Calculation Sheet'!$W$32)</f>
        <v/>
      </c>
      <c r="W37" s="314">
        <f>IF('Final Calculation Sheet'!$X$32="","",'Final Calculation Sheet'!$X$32)</f>
        <v/>
      </c>
      <c r="X37" s="316">
        <f>IF('Final Calculation Sheet'!$Y$32="","",'Final Calculation Sheet'!$Y$32)</f>
        <v/>
      </c>
      <c r="Y37" s="314">
        <f>IF('Final Calculation Sheet'!$Z$32="","",'Final Calculation Sheet'!$Z$32)</f>
        <v/>
      </c>
      <c r="Z37" s="314">
        <f>IF('Final Calculation Sheet'!$AA$32="","",'Final Calculation Sheet'!$AA$32)</f>
        <v/>
      </c>
      <c r="AA37" s="316">
        <f>IF('Final Calculation Sheet'!$AB$32="","",'Final Calculation Sheet'!$AB$32)</f>
        <v/>
      </c>
      <c r="AB37" s="314">
        <f>IF('Final Calculation Sheet'!$AC$32="","",'Final Calculation Sheet'!$AC$32)</f>
        <v/>
      </c>
      <c r="AC37" s="314">
        <f>IF('Final Calculation Sheet'!$AD$32="","",'Final Calculation Sheet'!$AD$32)</f>
        <v/>
      </c>
      <c r="AD37" s="316">
        <f>IF('Final Calculation Sheet'!$AD$32="","",IF('Final Calculation Sheet'!$AD$32&lt;=0,"SETTLED","OUTSTANDING"))</f>
        <v/>
      </c>
      <c r="AE37" s="316">
        <f>IF('Final Calculation Sheet'!$AE$32="","",'Final Calculation Sheet'!$AE$32)</f>
        <v/>
      </c>
      <c r="AF37" s="314">
        <f>IF('Final Calculation Sheet'!$AF$32="","",'Final Calculation Sheet'!$AF$32)</f>
        <v/>
      </c>
      <c r="AG37" s="316">
        <f>IF('Final Calculation Sheet'!$AG$32="","",'Final Calculation Sheet'!$AG$32)</f>
        <v/>
      </c>
    </row>
    <row r="38" outlineLevel="1" ht="15" customHeight="1">
      <c r="A38" s="320">
        <f>IF('Final Calculation Sheet'!$F$33="","",'Final Calculation Sheet'!$F$33)</f>
        <v/>
      </c>
      <c r="B38" s="319">
        <f>IF('Final Calculation Sheet'!$B$33="","",'Final Calculation Sheet'!$B$33)</f>
        <v/>
      </c>
      <c r="C38" s="320">
        <f>IF('Final Calculation Sheet'!$D$33="","",'Final Calculation Sheet'!$D$33)</f>
        <v/>
      </c>
      <c r="D38" s="321">
        <f>IF('Final Calculation Sheet'!$A$33="","",'Final Calculation Sheet'!$A$33)</f>
        <v/>
      </c>
      <c r="E38" s="322">
        <f>IF('Final Calculation Sheet'!$E$33="","",'Final Calculation Sheet'!$E$33)</f>
        <v/>
      </c>
      <c r="F38" s="320">
        <f>IF('Final Calculation Sheet'!$C$33="","",'Final Calculation Sheet'!$C$33)</f>
        <v/>
      </c>
      <c r="G38" s="320">
        <f>IF('Final Calculation Sheet'!$H$33="","",'Final Calculation Sheet'!$H$33)</f>
        <v/>
      </c>
      <c r="H38" s="320">
        <f>IF('Final Calculation Sheet'!$I$33="","",'Final Calculation Sheet'!$I$33)</f>
        <v/>
      </c>
      <c r="I38" s="320">
        <f>IF('Final Calculation Sheet'!$J$33="","",'Final Calculation Sheet'!$J$33)</f>
        <v/>
      </c>
      <c r="J38" s="320">
        <f>IF('Final Calculation Sheet'!$K$33="","",'Final Calculation Sheet'!$K$33)</f>
        <v/>
      </c>
      <c r="K38" s="323">
        <f>IF('Final Calculation Sheet'!$L$33="","",'Final Calculation Sheet'!$L$33)</f>
        <v/>
      </c>
      <c r="L38" s="323">
        <f>IF('Final Calculation Sheet'!$M$33="","",'Final Calculation Sheet'!$M$33)</f>
        <v/>
      </c>
      <c r="M38" s="323">
        <f>IF('Final Calculation Sheet'!$N$33="","",'Final Calculation Sheet'!$N$33)</f>
        <v/>
      </c>
      <c r="N38" s="323">
        <f>IF('Final Calculation Sheet'!$O$33="","",'Final Calculation Sheet'!$O$33)</f>
        <v/>
      </c>
      <c r="O38" s="320">
        <f>IF('Final Calculation Sheet'!$P$33="","",'Final Calculation Sheet'!$P$33)</f>
        <v/>
      </c>
      <c r="P38" s="324">
        <f>IF('Final Calculation Sheet'!$Q$33="","",'Final Calculation Sheet'!$Q$33)</f>
        <v/>
      </c>
      <c r="Q38" s="320">
        <f>IF('Final Calculation Sheet'!$R$33="","",'Final Calculation Sheet'!$R$33)</f>
        <v/>
      </c>
      <c r="R38" s="320">
        <f>IF('Final Calculation Sheet'!$S$33="","",'Final Calculation Sheet'!$S$33)</f>
        <v/>
      </c>
      <c r="S38" s="320">
        <f>IF('Final Calculation Sheet'!$T$33="","",'Final Calculation Sheet'!$T$33)</f>
        <v/>
      </c>
      <c r="T38" s="320">
        <f>IF('Final Calculation Sheet'!$U$33="","",'Final Calculation Sheet'!$U$33)</f>
        <v/>
      </c>
      <c r="U38" s="322">
        <f>IF('Final Calculation Sheet'!$V$33="","",'Final Calculation Sheet'!$V$33)</f>
        <v/>
      </c>
      <c r="V38" s="320">
        <f>IF('Final Calculation Sheet'!$W$33="","",'Final Calculation Sheet'!$W$33)</f>
        <v/>
      </c>
      <c r="W38" s="320">
        <f>IF('Final Calculation Sheet'!$X$33="","",'Final Calculation Sheet'!$X$33)</f>
        <v/>
      </c>
      <c r="X38" s="322">
        <f>IF('Final Calculation Sheet'!$Y$33="","",'Final Calculation Sheet'!$Y$33)</f>
        <v/>
      </c>
      <c r="Y38" s="320">
        <f>IF('Final Calculation Sheet'!$Z$33="","",'Final Calculation Sheet'!$Z$33)</f>
        <v/>
      </c>
      <c r="Z38" s="320">
        <f>IF('Final Calculation Sheet'!$AA$33="","",'Final Calculation Sheet'!$AA$33)</f>
        <v/>
      </c>
      <c r="AA38" s="322">
        <f>IF('Final Calculation Sheet'!$AB$33="","",'Final Calculation Sheet'!$AB$33)</f>
        <v/>
      </c>
      <c r="AB38" s="320">
        <f>IF('Final Calculation Sheet'!$AC$33="","",'Final Calculation Sheet'!$AC$33)</f>
        <v/>
      </c>
      <c r="AC38" s="320">
        <f>IF('Final Calculation Sheet'!$AD$33="","",'Final Calculation Sheet'!$AD$33)</f>
        <v/>
      </c>
      <c r="AD38" s="322">
        <f>IF('Final Calculation Sheet'!$AD$33="","",IF('Final Calculation Sheet'!$AD$33&lt;=0,"SETTLED","OUTSTANDING"))</f>
        <v/>
      </c>
      <c r="AE38" s="322">
        <f>IF('Final Calculation Sheet'!$AE$33="","",'Final Calculation Sheet'!$AE$33)</f>
        <v/>
      </c>
      <c r="AF38" s="320">
        <f>IF('Final Calculation Sheet'!$AF$33="","",'Final Calculation Sheet'!$AF$33)</f>
        <v/>
      </c>
      <c r="AG38" s="322">
        <f>IF('Final Calculation Sheet'!$AG$33="","",'Final Calculation Sheet'!$AG$33)</f>
        <v/>
      </c>
    </row>
    <row r="39" outlineLevel="1" ht="15" customHeight="1">
      <c r="A39" s="314">
        <f>IF('Final Calculation Sheet'!$F$37="","",'Final Calculation Sheet'!$F$37)</f>
        <v/>
      </c>
      <c r="B39" s="313">
        <f>IF('Final Calculation Sheet'!$B$37="","",'Final Calculation Sheet'!$B$37)</f>
        <v/>
      </c>
      <c r="C39" s="314">
        <f>IF('Final Calculation Sheet'!$D$37="","",'Final Calculation Sheet'!$D$37)</f>
        <v/>
      </c>
      <c r="D39" s="315">
        <f>IF('Final Calculation Sheet'!$A$37="","",'Final Calculation Sheet'!$A$37)</f>
        <v/>
      </c>
      <c r="E39" s="316">
        <f>IF('Final Calculation Sheet'!$E$37="","",'Final Calculation Sheet'!$E$37)</f>
        <v/>
      </c>
      <c r="F39" s="314">
        <f>IF('Final Calculation Sheet'!$C$37="","",'Final Calculation Sheet'!$C$37)</f>
        <v/>
      </c>
      <c r="G39" s="314">
        <f>IF('Final Calculation Sheet'!$H$37="","",'Final Calculation Sheet'!$H$37)</f>
        <v/>
      </c>
      <c r="H39" s="314">
        <f>IF('Final Calculation Sheet'!$I$37="","",'Final Calculation Sheet'!$I$37)</f>
        <v/>
      </c>
      <c r="I39" s="314">
        <f>IF('Final Calculation Sheet'!$J$37="","",'Final Calculation Sheet'!$J$37)</f>
        <v/>
      </c>
      <c r="J39" s="314">
        <f>IF('Final Calculation Sheet'!$K$37="","",'Final Calculation Sheet'!$K$37)</f>
        <v/>
      </c>
      <c r="K39" s="317">
        <f>IF('Final Calculation Sheet'!$L$37="","",'Final Calculation Sheet'!$L$37)</f>
        <v/>
      </c>
      <c r="L39" s="317">
        <f>IF('Final Calculation Sheet'!$M$37="","",'Final Calculation Sheet'!$M$37)</f>
        <v/>
      </c>
      <c r="M39" s="317">
        <f>IF('Final Calculation Sheet'!$N$37="","",'Final Calculation Sheet'!$N$37)</f>
        <v/>
      </c>
      <c r="N39" s="317">
        <f>IF('Final Calculation Sheet'!$O$37="","",'Final Calculation Sheet'!$O$37)</f>
        <v/>
      </c>
      <c r="O39" s="314">
        <f>IF('Final Calculation Sheet'!$P$37="","",'Final Calculation Sheet'!$P$37)</f>
        <v/>
      </c>
      <c r="P39" s="318">
        <f>IF('Final Calculation Sheet'!$Q$37="","",'Final Calculation Sheet'!$Q$37)</f>
        <v/>
      </c>
      <c r="Q39" s="314">
        <f>IF('Final Calculation Sheet'!$R$37="","",'Final Calculation Sheet'!$R$37)</f>
        <v/>
      </c>
      <c r="R39" s="314">
        <f>IF('Final Calculation Sheet'!$S$37="","",'Final Calculation Sheet'!$S$37)</f>
        <v/>
      </c>
      <c r="S39" s="314">
        <f>IF('Final Calculation Sheet'!$T$37="","",'Final Calculation Sheet'!$T$37)</f>
        <v/>
      </c>
      <c r="T39" s="314">
        <f>IF('Final Calculation Sheet'!$U$37="","",'Final Calculation Sheet'!$U$37)</f>
        <v/>
      </c>
      <c r="U39" s="316">
        <f>IF('Final Calculation Sheet'!$V$37="","",'Final Calculation Sheet'!$V$37)</f>
        <v/>
      </c>
      <c r="V39" s="314">
        <f>IF('Final Calculation Sheet'!$W$37="","",'Final Calculation Sheet'!$W$37)</f>
        <v/>
      </c>
      <c r="W39" s="314">
        <f>IF('Final Calculation Sheet'!$X$37="","",'Final Calculation Sheet'!$X$37)</f>
        <v/>
      </c>
      <c r="X39" s="316">
        <f>IF('Final Calculation Sheet'!$Y$37="","",'Final Calculation Sheet'!$Y$37)</f>
        <v/>
      </c>
      <c r="Y39" s="314">
        <f>IF('Final Calculation Sheet'!$Z$37="","",'Final Calculation Sheet'!$Z$37)</f>
        <v/>
      </c>
      <c r="Z39" s="314">
        <f>IF('Final Calculation Sheet'!$AA$37="","",'Final Calculation Sheet'!$AA$37)</f>
        <v/>
      </c>
      <c r="AA39" s="316">
        <f>IF('Final Calculation Sheet'!$AB$37="","",'Final Calculation Sheet'!$AB$37)</f>
        <v/>
      </c>
      <c r="AB39" s="314">
        <f>IF('Final Calculation Sheet'!$AC$37="","",'Final Calculation Sheet'!$AC$37)</f>
        <v/>
      </c>
      <c r="AC39" s="314">
        <f>IF('Final Calculation Sheet'!$AD$37="","",'Final Calculation Sheet'!$AD$37)</f>
        <v/>
      </c>
      <c r="AD39" s="316">
        <f>IF('Final Calculation Sheet'!$AD$37="","",IF('Final Calculation Sheet'!$AD$37&lt;=0,"SETTLED","OUTSTANDING"))</f>
        <v/>
      </c>
      <c r="AE39" s="316">
        <f>IF('Final Calculation Sheet'!$AE$37="","",'Final Calculation Sheet'!$AE$37)</f>
        <v/>
      </c>
      <c r="AF39" s="314">
        <f>IF('Final Calculation Sheet'!$AF$37="","",'Final Calculation Sheet'!$AF$37)</f>
        <v/>
      </c>
      <c r="AG39" s="316">
        <f>IF('Final Calculation Sheet'!$AG$37="","",'Final Calculation Sheet'!$AG$37)</f>
        <v/>
      </c>
    </row>
    <row r="40" ht="20" customHeight="1">
      <c r="A40" s="307" t="inlineStr">
        <is>
          <t>∑  NATIONAL ENTERPRISES — TOTALS</t>
        </is>
      </c>
      <c r="B40" s="396" t="inlineStr">
        <is>
          <t>–</t>
        </is>
      </c>
      <c r="C40" s="396" t="inlineStr">
        <is>
          <t>–</t>
        </is>
      </c>
      <c r="D40" s="310">
        <f>SUM(D27:D39)</f>
        <v/>
      </c>
      <c r="E40" s="396" t="inlineStr">
        <is>
          <t>–</t>
        </is>
      </c>
      <c r="F40" s="396" t="inlineStr">
        <is>
          <t>–</t>
        </is>
      </c>
      <c r="G40" s="311">
        <f>SUM(G27:G39)</f>
        <v/>
      </c>
      <c r="H40" s="311">
        <f>SUM(H27:H39)</f>
        <v/>
      </c>
      <c r="I40" s="311">
        <f>SUM(I27:I39)</f>
        <v/>
      </c>
      <c r="J40" s="311">
        <f>SUM(J27:J39)</f>
        <v/>
      </c>
      <c r="K40" s="312">
        <f>SUM(K27:K39)</f>
        <v/>
      </c>
      <c r="L40" s="312">
        <f>SUM(L27:L39)</f>
        <v/>
      </c>
      <c r="M40" s="312">
        <f>SUM(M27:M39)</f>
        <v/>
      </c>
      <c r="N40" s="312">
        <f>SUM(N27:N39)</f>
        <v/>
      </c>
      <c r="O40" s="311">
        <f>SUM(O27:O39)</f>
        <v/>
      </c>
      <c r="P40" s="396" t="inlineStr">
        <is>
          <t>–</t>
        </is>
      </c>
      <c r="Q40" s="311">
        <f>SUM(Q27:Q39)</f>
        <v/>
      </c>
      <c r="R40" s="311">
        <f>SUM(R27:R39)</f>
        <v/>
      </c>
      <c r="S40" s="311">
        <f>SUM(S27:S39)</f>
        <v/>
      </c>
      <c r="T40" s="311">
        <f>SUM(T27:T39)</f>
        <v/>
      </c>
      <c r="U40" s="396" t="inlineStr">
        <is>
          <t>–</t>
        </is>
      </c>
      <c r="V40" s="311">
        <f>SUM(V27:V39)</f>
        <v/>
      </c>
      <c r="W40" s="311">
        <f>SUM(W27:W39)</f>
        <v/>
      </c>
      <c r="X40" s="396" t="inlineStr">
        <is>
          <t>–</t>
        </is>
      </c>
      <c r="Y40" s="311">
        <f>SUM(Y27:Y39)</f>
        <v/>
      </c>
      <c r="Z40" s="311">
        <f>SUM(Z27:Z39)</f>
        <v/>
      </c>
      <c r="AA40" s="396" t="inlineStr">
        <is>
          <t>–</t>
        </is>
      </c>
      <c r="AB40" s="311">
        <f>SUM(AB27:AB39)</f>
        <v/>
      </c>
      <c r="AC40" s="311">
        <f>SUM(AC27:AC39)</f>
        <v/>
      </c>
      <c r="AD40" s="396" t="inlineStr">
        <is>
          <t>–</t>
        </is>
      </c>
      <c r="AE40" s="396" t="inlineStr">
        <is>
          <t>–</t>
        </is>
      </c>
      <c r="AF40" s="396" t="inlineStr">
        <is>
          <t>–</t>
        </is>
      </c>
      <c r="AG40" s="396" t="inlineStr">
        <is>
          <t>–</t>
        </is>
      </c>
    </row>
    <row r="41" ht="7" customHeight="1">
      <c r="A41" s="82" t="n"/>
      <c r="B41" s="82" t="n"/>
      <c r="C41" s="82" t="n"/>
      <c r="D41" s="82" t="n"/>
      <c r="E41" s="82" t="n"/>
      <c r="F41" s="82" t="n"/>
      <c r="G41" s="82" t="n"/>
      <c r="H41" s="82" t="n"/>
      <c r="I41" s="82" t="n"/>
      <c r="J41" s="82" t="n"/>
      <c r="K41" s="82" t="n"/>
      <c r="L41" s="82" t="n"/>
      <c r="M41" s="82" t="n"/>
      <c r="N41" s="82" t="n"/>
      <c r="O41" s="82" t="n"/>
      <c r="P41" s="82" t="n"/>
      <c r="Q41" s="82" t="n"/>
      <c r="R41" s="82" t="n"/>
      <c r="S41" s="82" t="n"/>
      <c r="T41" s="82" t="n"/>
      <c r="U41" s="82" t="n"/>
      <c r="V41" s="82" t="n"/>
      <c r="W41" s="82" t="n"/>
      <c r="X41" s="82" t="n"/>
      <c r="Y41" s="82" t="n"/>
      <c r="Z41" s="82" t="n"/>
      <c r="AA41" s="82" t="n"/>
      <c r="AB41" s="82" t="n"/>
      <c r="AC41" s="82" t="n"/>
      <c r="AD41" s="82" t="n"/>
      <c r="AE41" s="82" t="n"/>
      <c r="AF41" s="82" t="n"/>
      <c r="AG41" s="82" t="n"/>
    </row>
    <row r="42" ht="24" customHeight="1">
      <c r="A42" s="142">
        <f>"▼  NATIONAL SCRAP AND BUILDING MATERIAL SUPPLIER   •   "&amp;COUNTIF('Final Calculation Sheet'!$G$4:$G$1000,"NATIONAL SCRAP AND BUILDING MATERIAL SUPPLIER")&amp;" LOT(S)   •   MAT. VALUE ₹"&amp;TEXT(SUMIF('Final Calculation Sheet'!$G$4:$G$1000,"NATIONAL SCRAP AND BUILDING MATERIAL SUPPLIER",'Final Calculation Sheet'!$H$4:$H$1000),"#,##0")&amp;"   •   RECEIVED ₹"&amp;TEXT(SUMIF('Final Calculation Sheet'!$G$4:$G$1000,"NATIONAL SCRAP AND BUILDING MATERIAL SUPPLIER",'Final Calculation Sheet'!$AC$4:$AC$1000),"#,##0")&amp;"   •   OUTSTANDING ₹"&amp;TEXT(SUMIF('Final Calculation Sheet'!$G$4:$G$1000,"NATIONAL SCRAP AND BUILDING MATERIAL SUPPLIER",'Final Calculation Sheet'!$AD$4:$AD$1000),"#,##0")</f>
        <v/>
      </c>
      <c r="B42" s="64" t="n"/>
      <c r="C42" s="64" t="n"/>
      <c r="D42" s="64" t="n"/>
      <c r="E42" s="64" t="n"/>
      <c r="F42" s="64" t="n"/>
      <c r="G42" s="64" t="n"/>
      <c r="H42" s="64" t="n"/>
      <c r="I42" s="64" t="n"/>
      <c r="J42" s="64" t="n"/>
      <c r="K42" s="64" t="n"/>
      <c r="L42" s="64" t="n"/>
      <c r="M42" s="64" t="n"/>
      <c r="N42" s="64" t="n"/>
      <c r="O42" s="64" t="n"/>
      <c r="P42" s="64" t="n"/>
      <c r="Q42" s="64" t="n"/>
      <c r="R42" s="64" t="n"/>
      <c r="S42" s="64" t="n"/>
      <c r="T42" s="64" t="n"/>
      <c r="U42" s="64" t="n"/>
      <c r="V42" s="64" t="n"/>
      <c r="W42" s="64" t="n"/>
      <c r="X42" s="64" t="n"/>
      <c r="Y42" s="64" t="n"/>
      <c r="Z42" s="64" t="n"/>
      <c r="AA42" s="64" t="n"/>
      <c r="AB42" s="64" t="n"/>
      <c r="AC42" s="64" t="n"/>
      <c r="AD42" s="64" t="n"/>
      <c r="AE42" s="64" t="n"/>
      <c r="AF42" s="64" t="n"/>
      <c r="AG42" s="64" t="n"/>
    </row>
    <row r="43" outlineLevel="1" ht="15" customHeight="1">
      <c r="A43" s="332">
        <f>IF('Final Calculation Sheet'!$F$21="","",'Final Calculation Sheet'!$F$21)</f>
        <v/>
      </c>
      <c r="B43" s="331">
        <f>IF('Final Calculation Sheet'!$B$21="","",'Final Calculation Sheet'!$B$21)</f>
        <v/>
      </c>
      <c r="C43" s="332">
        <f>IF('Final Calculation Sheet'!$D$21="","",'Final Calculation Sheet'!$D$21)</f>
        <v/>
      </c>
      <c r="D43" s="333">
        <f>IF('Final Calculation Sheet'!$A$21="","",'Final Calculation Sheet'!$A$21)</f>
        <v/>
      </c>
      <c r="E43" s="334">
        <f>IF('Final Calculation Sheet'!$E$21="","",'Final Calculation Sheet'!$E$21)</f>
        <v/>
      </c>
      <c r="F43" s="332">
        <f>IF('Final Calculation Sheet'!$C$21="","",'Final Calculation Sheet'!$C$21)</f>
        <v/>
      </c>
      <c r="G43" s="332">
        <f>IF('Final Calculation Sheet'!$H$21="","",'Final Calculation Sheet'!$H$21)</f>
        <v/>
      </c>
      <c r="H43" s="332">
        <f>IF('Final Calculation Sheet'!$I$21="","",'Final Calculation Sheet'!$I$21)</f>
        <v/>
      </c>
      <c r="I43" s="332">
        <f>IF('Final Calculation Sheet'!$J$21="","",'Final Calculation Sheet'!$J$21)</f>
        <v/>
      </c>
      <c r="J43" s="332">
        <f>IF('Final Calculation Sheet'!$K$21="","",'Final Calculation Sheet'!$K$21)</f>
        <v/>
      </c>
      <c r="K43" s="335">
        <f>IF('Final Calculation Sheet'!$L$21="","",'Final Calculation Sheet'!$L$21)</f>
        <v/>
      </c>
      <c r="L43" s="335">
        <f>IF('Final Calculation Sheet'!$M$21="","",'Final Calculation Sheet'!$M$21)</f>
        <v/>
      </c>
      <c r="M43" s="335">
        <f>IF('Final Calculation Sheet'!$N$21="","",'Final Calculation Sheet'!$N$21)</f>
        <v/>
      </c>
      <c r="N43" s="335">
        <f>IF('Final Calculation Sheet'!$O$21="","",'Final Calculation Sheet'!$O$21)</f>
        <v/>
      </c>
      <c r="O43" s="332">
        <f>IF('Final Calculation Sheet'!$P$21="","",'Final Calculation Sheet'!$P$21)</f>
        <v/>
      </c>
      <c r="P43" s="336">
        <f>IF('Final Calculation Sheet'!$Q$21="","",'Final Calculation Sheet'!$Q$21)</f>
        <v/>
      </c>
      <c r="Q43" s="332">
        <f>IF('Final Calculation Sheet'!$R$21="","",'Final Calculation Sheet'!$R$21)</f>
        <v/>
      </c>
      <c r="R43" s="332">
        <f>IF('Final Calculation Sheet'!$S$21="","",'Final Calculation Sheet'!$S$21)</f>
        <v/>
      </c>
      <c r="S43" s="332">
        <f>IF('Final Calculation Sheet'!$T$21="","",'Final Calculation Sheet'!$T$21)</f>
        <v/>
      </c>
      <c r="T43" s="332">
        <f>IF('Final Calculation Sheet'!$U$21="","",'Final Calculation Sheet'!$U$21)</f>
        <v/>
      </c>
      <c r="U43" s="334">
        <f>IF('Final Calculation Sheet'!$V$21="","",'Final Calculation Sheet'!$V$21)</f>
        <v/>
      </c>
      <c r="V43" s="332">
        <f>IF('Final Calculation Sheet'!$W$21="","",'Final Calculation Sheet'!$W$21)</f>
        <v/>
      </c>
      <c r="W43" s="332">
        <f>IF('Final Calculation Sheet'!$X$21="","",'Final Calculation Sheet'!$X$21)</f>
        <v/>
      </c>
      <c r="X43" s="334">
        <f>IF('Final Calculation Sheet'!$Y$21="","",'Final Calculation Sheet'!$Y$21)</f>
        <v/>
      </c>
      <c r="Y43" s="332">
        <f>IF('Final Calculation Sheet'!$Z$21="","",'Final Calculation Sheet'!$Z$21)</f>
        <v/>
      </c>
      <c r="Z43" s="332">
        <f>IF('Final Calculation Sheet'!$AA$21="","",'Final Calculation Sheet'!$AA$21)</f>
        <v/>
      </c>
      <c r="AA43" s="334">
        <f>IF('Final Calculation Sheet'!$AB$21="","",'Final Calculation Sheet'!$AB$21)</f>
        <v/>
      </c>
      <c r="AB43" s="332">
        <f>IF('Final Calculation Sheet'!$AC$21="","",'Final Calculation Sheet'!$AC$21)</f>
        <v/>
      </c>
      <c r="AC43" s="332">
        <f>IF('Final Calculation Sheet'!$AD$21="","",'Final Calculation Sheet'!$AD$21)</f>
        <v/>
      </c>
      <c r="AD43" s="334">
        <f>IF('Final Calculation Sheet'!$AD$21="","",IF('Final Calculation Sheet'!$AD$21&lt;=0,"SETTLED","OUTSTANDING"))</f>
        <v/>
      </c>
      <c r="AE43" s="334">
        <f>IF('Final Calculation Sheet'!$AE$21="","",'Final Calculation Sheet'!$AE$21)</f>
        <v/>
      </c>
      <c r="AF43" s="332">
        <f>IF('Final Calculation Sheet'!$AF$21="","",'Final Calculation Sheet'!$AF$21)</f>
        <v/>
      </c>
      <c r="AG43" s="334">
        <f>IF('Final Calculation Sheet'!$AG$21="","",'Final Calculation Sheet'!$AG$21)</f>
        <v/>
      </c>
    </row>
    <row r="44" ht="20" customHeight="1">
      <c r="A44" s="325" t="inlineStr">
        <is>
          <t>∑  NATIONAL SCRAP AND BUILDING MATERIAL SUPPLIER — TOTALS</t>
        </is>
      </c>
      <c r="B44" s="397" t="inlineStr">
        <is>
          <t>–</t>
        </is>
      </c>
      <c r="C44" s="397" t="inlineStr">
        <is>
          <t>–</t>
        </is>
      </c>
      <c r="D44" s="328">
        <f>SUM(D43:D43)</f>
        <v/>
      </c>
      <c r="E44" s="397" t="inlineStr">
        <is>
          <t>–</t>
        </is>
      </c>
      <c r="F44" s="397" t="inlineStr">
        <is>
          <t>–</t>
        </is>
      </c>
      <c r="G44" s="329">
        <f>SUM(G43:G43)</f>
        <v/>
      </c>
      <c r="H44" s="329">
        <f>SUM(H43:H43)</f>
        <v/>
      </c>
      <c r="I44" s="329">
        <f>SUM(I43:I43)</f>
        <v/>
      </c>
      <c r="J44" s="329">
        <f>SUM(J43:J43)</f>
        <v/>
      </c>
      <c r="K44" s="330">
        <f>SUM(K43:K43)</f>
        <v/>
      </c>
      <c r="L44" s="330">
        <f>SUM(L43:L43)</f>
        <v/>
      </c>
      <c r="M44" s="330">
        <f>SUM(M43:M43)</f>
        <v/>
      </c>
      <c r="N44" s="330">
        <f>SUM(N43:N43)</f>
        <v/>
      </c>
      <c r="O44" s="329">
        <f>SUM(O43:O43)</f>
        <v/>
      </c>
      <c r="P44" s="397" t="inlineStr">
        <is>
          <t>–</t>
        </is>
      </c>
      <c r="Q44" s="329">
        <f>SUM(Q43:Q43)</f>
        <v/>
      </c>
      <c r="R44" s="329">
        <f>SUM(R43:R43)</f>
        <v/>
      </c>
      <c r="S44" s="329">
        <f>SUM(S43:S43)</f>
        <v/>
      </c>
      <c r="T44" s="329">
        <f>SUM(T43:T43)</f>
        <v/>
      </c>
      <c r="U44" s="397" t="inlineStr">
        <is>
          <t>–</t>
        </is>
      </c>
      <c r="V44" s="329">
        <f>SUM(V43:V43)</f>
        <v/>
      </c>
      <c r="W44" s="329">
        <f>SUM(W43:W43)</f>
        <v/>
      </c>
      <c r="X44" s="397" t="inlineStr">
        <is>
          <t>–</t>
        </is>
      </c>
      <c r="Y44" s="329">
        <f>SUM(Y43:Y43)</f>
        <v/>
      </c>
      <c r="Z44" s="329">
        <f>SUM(Z43:Z43)</f>
        <v/>
      </c>
      <c r="AA44" s="397" t="inlineStr">
        <is>
          <t>–</t>
        </is>
      </c>
      <c r="AB44" s="329">
        <f>SUM(AB43:AB43)</f>
        <v/>
      </c>
      <c r="AC44" s="329">
        <f>SUM(AC43:AC43)</f>
        <v/>
      </c>
      <c r="AD44" s="397" t="inlineStr">
        <is>
          <t>–</t>
        </is>
      </c>
      <c r="AE44" s="397" t="inlineStr">
        <is>
          <t>–</t>
        </is>
      </c>
      <c r="AF44" s="397" t="inlineStr">
        <is>
          <t>–</t>
        </is>
      </c>
      <c r="AG44" s="397" t="inlineStr">
        <is>
          <t>–</t>
        </is>
      </c>
    </row>
    <row r="45" ht="7" customHeight="1">
      <c r="A45" s="82" t="n"/>
      <c r="B45" s="82" t="n"/>
      <c r="C45" s="82" t="n"/>
      <c r="D45" s="82" t="n"/>
      <c r="E45" s="82" t="n"/>
      <c r="F45" s="82" t="n"/>
      <c r="G45" s="82" t="n"/>
      <c r="H45" s="82" t="n"/>
      <c r="I45" s="82" t="n"/>
      <c r="J45" s="82" t="n"/>
      <c r="K45" s="82" t="n"/>
      <c r="L45" s="82" t="n"/>
      <c r="M45" s="82" t="n"/>
      <c r="N45" s="82" t="n"/>
      <c r="O45" s="82" t="n"/>
      <c r="P45" s="82" t="n"/>
      <c r="Q45" s="82" t="n"/>
      <c r="R45" s="82" t="n"/>
      <c r="S45" s="82" t="n"/>
      <c r="T45" s="82" t="n"/>
      <c r="U45" s="82" t="n"/>
      <c r="V45" s="82" t="n"/>
      <c r="W45" s="82" t="n"/>
      <c r="X45" s="82" t="n"/>
      <c r="Y45" s="82" t="n"/>
      <c r="Z45" s="82" t="n"/>
      <c r="AA45" s="82" t="n"/>
      <c r="AB45" s="82" t="n"/>
      <c r="AC45" s="82" t="n"/>
      <c r="AD45" s="82" t="n"/>
      <c r="AE45" s="82" t="n"/>
      <c r="AF45" s="82" t="n"/>
      <c r="AG45" s="82" t="n"/>
    </row>
    <row r="46" ht="24" customHeight="1">
      <c r="A46" s="151">
        <f>"▼  OMKAR STEELS   •   "&amp;COUNTIF('Final Calculation Sheet'!$G$4:$G$1000,"OMKAR STEELS")&amp;" LOT(S)   •   MAT. VALUE ₹"&amp;TEXT(SUMIF('Final Calculation Sheet'!$G$4:$G$1000,"OMKAR STEELS",'Final Calculation Sheet'!$H$4:$H$1000),"#,##0")&amp;"   •   RECEIVED ₹"&amp;TEXT(SUMIF('Final Calculation Sheet'!$G$4:$G$1000,"OMKAR STEELS",'Final Calculation Sheet'!$AC$4:$AC$1000),"#,##0")&amp;"   •   OUTSTANDING ₹"&amp;TEXT(SUMIF('Final Calculation Sheet'!$G$4:$G$1000,"OMKAR STEELS",'Final Calculation Sheet'!$AD$4:$AD$1000),"#,##0")</f>
        <v/>
      </c>
      <c r="B46" s="64" t="n"/>
      <c r="C46" s="64" t="n"/>
      <c r="D46" s="64" t="n"/>
      <c r="E46" s="64" t="n"/>
      <c r="F46" s="64" t="n"/>
      <c r="G46" s="64" t="n"/>
      <c r="H46" s="64" t="n"/>
      <c r="I46" s="64" t="n"/>
      <c r="J46" s="64" t="n"/>
      <c r="K46" s="64" t="n"/>
      <c r="L46" s="64" t="n"/>
      <c r="M46" s="64" t="n"/>
      <c r="N46" s="64" t="n"/>
      <c r="O46" s="64" t="n"/>
      <c r="P46" s="64" t="n"/>
      <c r="Q46" s="64" t="n"/>
      <c r="R46" s="64" t="n"/>
      <c r="S46" s="64" t="n"/>
      <c r="T46" s="64" t="n"/>
      <c r="U46" s="64" t="n"/>
      <c r="V46" s="64" t="n"/>
      <c r="W46" s="64" t="n"/>
      <c r="X46" s="64" t="n"/>
      <c r="Y46" s="64" t="n"/>
      <c r="Z46" s="64" t="n"/>
      <c r="AA46" s="64" t="n"/>
      <c r="AB46" s="64" t="n"/>
      <c r="AC46" s="64" t="n"/>
      <c r="AD46" s="64" t="n"/>
      <c r="AE46" s="64" t="n"/>
      <c r="AF46" s="64" t="n"/>
      <c r="AG46" s="64" t="n"/>
    </row>
    <row r="47" outlineLevel="1" ht="15" customHeight="1">
      <c r="A47" s="344">
        <f>IF('Final Calculation Sheet'!$F$8="","",'Final Calculation Sheet'!$F$8)</f>
        <v/>
      </c>
      <c r="B47" s="343">
        <f>IF('Final Calculation Sheet'!$B$8="","",'Final Calculation Sheet'!$B$8)</f>
        <v/>
      </c>
      <c r="C47" s="344">
        <f>IF('Final Calculation Sheet'!$D$8="","",'Final Calculation Sheet'!$D$8)</f>
        <v/>
      </c>
      <c r="D47" s="345">
        <f>IF('Final Calculation Sheet'!$A$8="","",'Final Calculation Sheet'!$A$8)</f>
        <v/>
      </c>
      <c r="E47" s="346">
        <f>IF('Final Calculation Sheet'!$E$8="","",'Final Calculation Sheet'!$E$8)</f>
        <v/>
      </c>
      <c r="F47" s="344">
        <f>IF('Final Calculation Sheet'!$C$8="","",'Final Calculation Sheet'!$C$8)</f>
        <v/>
      </c>
      <c r="G47" s="344">
        <f>IF('Final Calculation Sheet'!$H$8="","",'Final Calculation Sheet'!$H$8)</f>
        <v/>
      </c>
      <c r="H47" s="344">
        <f>IF('Final Calculation Sheet'!$I$8="","",'Final Calculation Sheet'!$I$8)</f>
        <v/>
      </c>
      <c r="I47" s="344">
        <f>IF('Final Calculation Sheet'!$J$8="","",'Final Calculation Sheet'!$J$8)</f>
        <v/>
      </c>
      <c r="J47" s="344">
        <f>IF('Final Calculation Sheet'!$K$8="","",'Final Calculation Sheet'!$K$8)</f>
        <v/>
      </c>
      <c r="K47" s="347">
        <f>IF('Final Calculation Sheet'!$L$8="","",'Final Calculation Sheet'!$L$8)</f>
        <v/>
      </c>
      <c r="L47" s="347">
        <f>IF('Final Calculation Sheet'!$M$8="","",'Final Calculation Sheet'!$M$8)</f>
        <v/>
      </c>
      <c r="M47" s="347">
        <f>IF('Final Calculation Sheet'!$N$8="","",'Final Calculation Sheet'!$N$8)</f>
        <v/>
      </c>
      <c r="N47" s="347">
        <f>IF('Final Calculation Sheet'!$O$8="","",'Final Calculation Sheet'!$O$8)</f>
        <v/>
      </c>
      <c r="O47" s="344">
        <f>IF('Final Calculation Sheet'!$P$8="","",'Final Calculation Sheet'!$P$8)</f>
        <v/>
      </c>
      <c r="P47" s="348">
        <f>IF('Final Calculation Sheet'!$Q$8="","",'Final Calculation Sheet'!$Q$8)</f>
        <v/>
      </c>
      <c r="Q47" s="344">
        <f>IF('Final Calculation Sheet'!$R$8="","",'Final Calculation Sheet'!$R$8)</f>
        <v/>
      </c>
      <c r="R47" s="344">
        <f>IF('Final Calculation Sheet'!$S$8="","",'Final Calculation Sheet'!$S$8)</f>
        <v/>
      </c>
      <c r="S47" s="344">
        <f>IF('Final Calculation Sheet'!$T$8="","",'Final Calculation Sheet'!$T$8)</f>
        <v/>
      </c>
      <c r="T47" s="344">
        <f>IF('Final Calculation Sheet'!$U$8="","",'Final Calculation Sheet'!$U$8)</f>
        <v/>
      </c>
      <c r="U47" s="346">
        <f>IF('Final Calculation Sheet'!$V$8="","",'Final Calculation Sheet'!$V$8)</f>
        <v/>
      </c>
      <c r="V47" s="344">
        <f>IF('Final Calculation Sheet'!$W$8="","",'Final Calculation Sheet'!$W$8)</f>
        <v/>
      </c>
      <c r="W47" s="344">
        <f>IF('Final Calculation Sheet'!$X$8="","",'Final Calculation Sheet'!$X$8)</f>
        <v/>
      </c>
      <c r="X47" s="346">
        <f>IF('Final Calculation Sheet'!$Y$8="","",'Final Calculation Sheet'!$Y$8)</f>
        <v/>
      </c>
      <c r="Y47" s="344">
        <f>IF('Final Calculation Sheet'!$Z$8="","",'Final Calculation Sheet'!$Z$8)</f>
        <v/>
      </c>
      <c r="Z47" s="344">
        <f>IF('Final Calculation Sheet'!$AA$8="","",'Final Calculation Sheet'!$AA$8)</f>
        <v/>
      </c>
      <c r="AA47" s="346">
        <f>IF('Final Calculation Sheet'!$AB$8="","",'Final Calculation Sheet'!$AB$8)</f>
        <v/>
      </c>
      <c r="AB47" s="344">
        <f>IF('Final Calculation Sheet'!$AC$8="","",'Final Calculation Sheet'!$AC$8)</f>
        <v/>
      </c>
      <c r="AC47" s="344">
        <f>IF('Final Calculation Sheet'!$AD$8="","",'Final Calculation Sheet'!$AD$8)</f>
        <v/>
      </c>
      <c r="AD47" s="346">
        <f>IF('Final Calculation Sheet'!$AD$8="","",IF('Final Calculation Sheet'!$AD$8&lt;=0,"SETTLED","OUTSTANDING"))</f>
        <v/>
      </c>
      <c r="AE47" s="346">
        <f>IF('Final Calculation Sheet'!$AE$8="","",'Final Calculation Sheet'!$AE$8)</f>
        <v/>
      </c>
      <c r="AF47" s="344">
        <f>IF('Final Calculation Sheet'!$AF$8="","",'Final Calculation Sheet'!$AF$8)</f>
        <v/>
      </c>
      <c r="AG47" s="346">
        <f>IF('Final Calculation Sheet'!$AG$8="","",'Final Calculation Sheet'!$AG$8)</f>
        <v/>
      </c>
    </row>
    <row r="48" outlineLevel="1" ht="15" customHeight="1">
      <c r="A48" s="350">
        <f>IF('Final Calculation Sheet'!$F$20="","",'Final Calculation Sheet'!$F$20)</f>
        <v/>
      </c>
      <c r="B48" s="349">
        <f>IF('Final Calculation Sheet'!$B$20="","",'Final Calculation Sheet'!$B$20)</f>
        <v/>
      </c>
      <c r="C48" s="350">
        <f>IF('Final Calculation Sheet'!$D$20="","",'Final Calculation Sheet'!$D$20)</f>
        <v/>
      </c>
      <c r="D48" s="351">
        <f>IF('Final Calculation Sheet'!$A$20="","",'Final Calculation Sheet'!$A$20)</f>
        <v/>
      </c>
      <c r="E48" s="352">
        <f>IF('Final Calculation Sheet'!$E$20="","",'Final Calculation Sheet'!$E$20)</f>
        <v/>
      </c>
      <c r="F48" s="350">
        <f>IF('Final Calculation Sheet'!$C$20="","",'Final Calculation Sheet'!$C$20)</f>
        <v/>
      </c>
      <c r="G48" s="350">
        <f>IF('Final Calculation Sheet'!$H$20="","",'Final Calculation Sheet'!$H$20)</f>
        <v/>
      </c>
      <c r="H48" s="350">
        <f>IF('Final Calculation Sheet'!$I$20="","",'Final Calculation Sheet'!$I$20)</f>
        <v/>
      </c>
      <c r="I48" s="350">
        <f>IF('Final Calculation Sheet'!$J$20="","",'Final Calculation Sheet'!$J$20)</f>
        <v/>
      </c>
      <c r="J48" s="350">
        <f>IF('Final Calculation Sheet'!$K$20="","",'Final Calculation Sheet'!$K$20)</f>
        <v/>
      </c>
      <c r="K48" s="353">
        <f>IF('Final Calculation Sheet'!$L$20="","",'Final Calculation Sheet'!$L$20)</f>
        <v/>
      </c>
      <c r="L48" s="353">
        <f>IF('Final Calculation Sheet'!$M$20="","",'Final Calculation Sheet'!$M$20)</f>
        <v/>
      </c>
      <c r="M48" s="353">
        <f>IF('Final Calculation Sheet'!$N$20="","",'Final Calculation Sheet'!$N$20)</f>
        <v/>
      </c>
      <c r="N48" s="353">
        <f>IF('Final Calculation Sheet'!$O$20="","",'Final Calculation Sheet'!$O$20)</f>
        <v/>
      </c>
      <c r="O48" s="350">
        <f>IF('Final Calculation Sheet'!$P$20="","",'Final Calculation Sheet'!$P$20)</f>
        <v/>
      </c>
      <c r="P48" s="354">
        <f>IF('Final Calculation Sheet'!$Q$20="","",'Final Calculation Sheet'!$Q$20)</f>
        <v/>
      </c>
      <c r="Q48" s="350">
        <f>IF('Final Calculation Sheet'!$R$20="","",'Final Calculation Sheet'!$R$20)</f>
        <v/>
      </c>
      <c r="R48" s="350">
        <f>IF('Final Calculation Sheet'!$S$20="","",'Final Calculation Sheet'!$S$20)</f>
        <v/>
      </c>
      <c r="S48" s="350">
        <f>IF('Final Calculation Sheet'!$T$20="","",'Final Calculation Sheet'!$T$20)</f>
        <v/>
      </c>
      <c r="T48" s="350">
        <f>IF('Final Calculation Sheet'!$U$20="","",'Final Calculation Sheet'!$U$20)</f>
        <v/>
      </c>
      <c r="U48" s="352">
        <f>IF('Final Calculation Sheet'!$V$20="","",'Final Calculation Sheet'!$V$20)</f>
        <v/>
      </c>
      <c r="V48" s="350">
        <f>IF('Final Calculation Sheet'!$W$20="","",'Final Calculation Sheet'!$W$20)</f>
        <v/>
      </c>
      <c r="W48" s="350">
        <f>IF('Final Calculation Sheet'!$X$20="","",'Final Calculation Sheet'!$X$20)</f>
        <v/>
      </c>
      <c r="X48" s="352">
        <f>IF('Final Calculation Sheet'!$Y$20="","",'Final Calculation Sheet'!$Y$20)</f>
        <v/>
      </c>
      <c r="Y48" s="350">
        <f>IF('Final Calculation Sheet'!$Z$20="","",'Final Calculation Sheet'!$Z$20)</f>
        <v/>
      </c>
      <c r="Z48" s="350">
        <f>IF('Final Calculation Sheet'!$AA$20="","",'Final Calculation Sheet'!$AA$20)</f>
        <v/>
      </c>
      <c r="AA48" s="352">
        <f>IF('Final Calculation Sheet'!$AB$20="","",'Final Calculation Sheet'!$AB$20)</f>
        <v/>
      </c>
      <c r="AB48" s="350">
        <f>IF('Final Calculation Sheet'!$AC$20="","",'Final Calculation Sheet'!$AC$20)</f>
        <v/>
      </c>
      <c r="AC48" s="350">
        <f>IF('Final Calculation Sheet'!$AD$20="","",'Final Calculation Sheet'!$AD$20)</f>
        <v/>
      </c>
      <c r="AD48" s="352">
        <f>IF('Final Calculation Sheet'!$AD$20="","",IF('Final Calculation Sheet'!$AD$20&lt;=0,"SETTLED","OUTSTANDING"))</f>
        <v/>
      </c>
      <c r="AE48" s="352">
        <f>IF('Final Calculation Sheet'!$AE$20="","",'Final Calculation Sheet'!$AE$20)</f>
        <v/>
      </c>
      <c r="AF48" s="350">
        <f>IF('Final Calculation Sheet'!$AF$20="","",'Final Calculation Sheet'!$AF$20)</f>
        <v/>
      </c>
      <c r="AG48" s="352">
        <f>IF('Final Calculation Sheet'!$AG$20="","",'Final Calculation Sheet'!$AG$20)</f>
        <v/>
      </c>
    </row>
    <row r="49" ht="20" customHeight="1">
      <c r="A49" s="337" t="inlineStr">
        <is>
          <t>∑  OMKAR STEELS — TOTALS</t>
        </is>
      </c>
      <c r="B49" s="398" t="inlineStr">
        <is>
          <t>–</t>
        </is>
      </c>
      <c r="C49" s="398" t="inlineStr">
        <is>
          <t>–</t>
        </is>
      </c>
      <c r="D49" s="340">
        <f>SUM(D47:D48)</f>
        <v/>
      </c>
      <c r="E49" s="398" t="inlineStr">
        <is>
          <t>–</t>
        </is>
      </c>
      <c r="F49" s="398" t="inlineStr">
        <is>
          <t>–</t>
        </is>
      </c>
      <c r="G49" s="341">
        <f>SUM(G47:G48)</f>
        <v/>
      </c>
      <c r="H49" s="341">
        <f>SUM(H47:H48)</f>
        <v/>
      </c>
      <c r="I49" s="341">
        <f>SUM(I47:I48)</f>
        <v/>
      </c>
      <c r="J49" s="341">
        <f>SUM(J47:J48)</f>
        <v/>
      </c>
      <c r="K49" s="342">
        <f>SUM(K47:K48)</f>
        <v/>
      </c>
      <c r="L49" s="342">
        <f>SUM(L47:L48)</f>
        <v/>
      </c>
      <c r="M49" s="342">
        <f>SUM(M47:M48)</f>
        <v/>
      </c>
      <c r="N49" s="342">
        <f>SUM(N47:N48)</f>
        <v/>
      </c>
      <c r="O49" s="341">
        <f>SUM(O47:O48)</f>
        <v/>
      </c>
      <c r="P49" s="398" t="inlineStr">
        <is>
          <t>–</t>
        </is>
      </c>
      <c r="Q49" s="341">
        <f>SUM(Q47:Q48)</f>
        <v/>
      </c>
      <c r="R49" s="341">
        <f>SUM(R47:R48)</f>
        <v/>
      </c>
      <c r="S49" s="341">
        <f>SUM(S47:S48)</f>
        <v/>
      </c>
      <c r="T49" s="341">
        <f>SUM(T47:T48)</f>
        <v/>
      </c>
      <c r="U49" s="398" t="inlineStr">
        <is>
          <t>–</t>
        </is>
      </c>
      <c r="V49" s="341">
        <f>SUM(V47:V48)</f>
        <v/>
      </c>
      <c r="W49" s="341">
        <f>SUM(W47:W48)</f>
        <v/>
      </c>
      <c r="X49" s="398" t="inlineStr">
        <is>
          <t>–</t>
        </is>
      </c>
      <c r="Y49" s="341">
        <f>SUM(Y47:Y48)</f>
        <v/>
      </c>
      <c r="Z49" s="341">
        <f>SUM(Z47:Z48)</f>
        <v/>
      </c>
      <c r="AA49" s="398" t="inlineStr">
        <is>
          <t>–</t>
        </is>
      </c>
      <c r="AB49" s="341">
        <f>SUM(AB47:AB48)</f>
        <v/>
      </c>
      <c r="AC49" s="341">
        <f>SUM(AC47:AC48)</f>
        <v/>
      </c>
      <c r="AD49" s="398" t="inlineStr">
        <is>
          <t>–</t>
        </is>
      </c>
      <c r="AE49" s="398" t="inlineStr">
        <is>
          <t>–</t>
        </is>
      </c>
      <c r="AF49" s="398" t="inlineStr">
        <is>
          <t>–</t>
        </is>
      </c>
      <c r="AG49" s="398" t="inlineStr">
        <is>
          <t>–</t>
        </is>
      </c>
    </row>
    <row r="50" ht="7" customHeight="1">
      <c r="A50" s="82" t="n"/>
      <c r="B50" s="82" t="n"/>
      <c r="C50" s="82" t="n"/>
      <c r="D50" s="82" t="n"/>
      <c r="E50" s="82" t="n"/>
      <c r="F50" s="82" t="n"/>
      <c r="G50" s="82" t="n"/>
      <c r="H50" s="82" t="n"/>
      <c r="I50" s="82" t="n"/>
      <c r="J50" s="82" t="n"/>
      <c r="K50" s="82" t="n"/>
      <c r="L50" s="82" t="n"/>
      <c r="M50" s="82" t="n"/>
      <c r="N50" s="82" t="n"/>
      <c r="O50" s="82" t="n"/>
      <c r="P50" s="82" t="n"/>
      <c r="Q50" s="82" t="n"/>
      <c r="R50" s="82" t="n"/>
      <c r="S50" s="82" t="n"/>
      <c r="T50" s="82" t="n"/>
      <c r="U50" s="82" t="n"/>
      <c r="V50" s="82" t="n"/>
      <c r="W50" s="82" t="n"/>
      <c r="X50" s="82" t="n"/>
      <c r="Y50" s="82" t="n"/>
      <c r="Z50" s="82" t="n"/>
      <c r="AA50" s="82" t="n"/>
      <c r="AB50" s="82" t="n"/>
      <c r="AC50" s="82" t="n"/>
      <c r="AD50" s="82" t="n"/>
      <c r="AE50" s="82" t="n"/>
      <c r="AF50" s="82" t="n"/>
      <c r="AG50" s="82" t="n"/>
    </row>
    <row r="51" ht="24" customHeight="1">
      <c r="A51" s="63">
        <f>"▼  S M ENTERPRISES   •   "&amp;COUNTIF('Final Calculation Sheet'!$G$4:$G$1000,"S M ENTERPRISES")&amp;" LOT(S)   •   MAT. VALUE ₹"&amp;TEXT(SUMIF('Final Calculation Sheet'!$G$4:$G$1000,"S M ENTERPRISES",'Final Calculation Sheet'!$H$4:$H$1000),"#,##0")&amp;"   •   RECEIVED ₹"&amp;TEXT(SUMIF('Final Calculation Sheet'!$G$4:$G$1000,"S M ENTERPRISES",'Final Calculation Sheet'!$AC$4:$AC$1000),"#,##0")&amp;"   •   OUTSTANDING ₹"&amp;TEXT(SUMIF('Final Calculation Sheet'!$G$4:$G$1000,"S M ENTERPRISES",'Final Calculation Sheet'!$AD$4:$AD$1000),"#,##0")</f>
        <v/>
      </c>
      <c r="B51" s="64" t="n"/>
      <c r="C51" s="64" t="n"/>
      <c r="D51" s="64" t="n"/>
      <c r="E51" s="64" t="n"/>
      <c r="F51" s="64" t="n"/>
      <c r="G51" s="64" t="n"/>
      <c r="H51" s="64" t="n"/>
      <c r="I51" s="64" t="n"/>
      <c r="J51" s="64" t="n"/>
      <c r="K51" s="64" t="n"/>
      <c r="L51" s="64" t="n"/>
      <c r="M51" s="64" t="n"/>
      <c r="N51" s="64" t="n"/>
      <c r="O51" s="64" t="n"/>
      <c r="P51" s="64" t="n"/>
      <c r="Q51" s="64" t="n"/>
      <c r="R51" s="64" t="n"/>
      <c r="S51" s="64" t="n"/>
      <c r="T51" s="64" t="n"/>
      <c r="U51" s="64" t="n"/>
      <c r="V51" s="64" t="n"/>
      <c r="W51" s="64" t="n"/>
      <c r="X51" s="64" t="n"/>
      <c r="Y51" s="64" t="n"/>
      <c r="Z51" s="64" t="n"/>
      <c r="AA51" s="64" t="n"/>
      <c r="AB51" s="64" t="n"/>
      <c r="AC51" s="64" t="n"/>
      <c r="AD51" s="64" t="n"/>
      <c r="AE51" s="64" t="n"/>
      <c r="AF51" s="64" t="n"/>
      <c r="AG51" s="64" t="n"/>
    </row>
    <row r="52" outlineLevel="1" ht="15" customHeight="1">
      <c r="A52" s="248">
        <f>IF('Final Calculation Sheet'!$F$39="","",'Final Calculation Sheet'!$F$39)</f>
        <v/>
      </c>
      <c r="B52" s="247">
        <f>IF('Final Calculation Sheet'!$B$39="","",'Final Calculation Sheet'!$B$39)</f>
        <v/>
      </c>
      <c r="C52" s="248">
        <f>IF('Final Calculation Sheet'!$D$39="","",'Final Calculation Sheet'!$D$39)</f>
        <v/>
      </c>
      <c r="D52" s="249">
        <f>IF('Final Calculation Sheet'!$A$39="","",'Final Calculation Sheet'!$A$39)</f>
        <v/>
      </c>
      <c r="E52" s="250">
        <f>IF('Final Calculation Sheet'!$E$39="","",'Final Calculation Sheet'!$E$39)</f>
        <v/>
      </c>
      <c r="F52" s="248">
        <f>IF('Final Calculation Sheet'!$C$39="","",'Final Calculation Sheet'!$C$39)</f>
        <v/>
      </c>
      <c r="G52" s="248">
        <f>IF('Final Calculation Sheet'!$H$39="","",'Final Calculation Sheet'!$H$39)</f>
        <v/>
      </c>
      <c r="H52" s="248">
        <f>IF('Final Calculation Sheet'!$I$39="","",'Final Calculation Sheet'!$I$39)</f>
        <v/>
      </c>
      <c r="I52" s="248">
        <f>IF('Final Calculation Sheet'!$J$39="","",'Final Calculation Sheet'!$J$39)</f>
        <v/>
      </c>
      <c r="J52" s="248">
        <f>IF('Final Calculation Sheet'!$K$39="","",'Final Calculation Sheet'!$K$39)</f>
        <v/>
      </c>
      <c r="K52" s="251">
        <f>IF('Final Calculation Sheet'!$L$39="","",'Final Calculation Sheet'!$L$39)</f>
        <v/>
      </c>
      <c r="L52" s="251">
        <f>IF('Final Calculation Sheet'!$M$39="","",'Final Calculation Sheet'!$M$39)</f>
        <v/>
      </c>
      <c r="M52" s="251">
        <f>IF('Final Calculation Sheet'!$N$39="","",'Final Calculation Sheet'!$N$39)</f>
        <v/>
      </c>
      <c r="N52" s="251">
        <f>IF('Final Calculation Sheet'!$O$39="","",'Final Calculation Sheet'!$O$39)</f>
        <v/>
      </c>
      <c r="O52" s="248">
        <f>IF('Final Calculation Sheet'!$P$39="","",'Final Calculation Sheet'!$P$39)</f>
        <v/>
      </c>
      <c r="P52" s="252">
        <f>IF('Final Calculation Sheet'!$Q$39="","",'Final Calculation Sheet'!$Q$39)</f>
        <v/>
      </c>
      <c r="Q52" s="248">
        <f>IF('Final Calculation Sheet'!$R$39="","",'Final Calculation Sheet'!$R$39)</f>
        <v/>
      </c>
      <c r="R52" s="248">
        <f>IF('Final Calculation Sheet'!$S$39="","",'Final Calculation Sheet'!$S$39)</f>
        <v/>
      </c>
      <c r="S52" s="248">
        <f>IF('Final Calculation Sheet'!$T$39="","",'Final Calculation Sheet'!$T$39)</f>
        <v/>
      </c>
      <c r="T52" s="248">
        <f>IF('Final Calculation Sheet'!$U$39="","",'Final Calculation Sheet'!$U$39)</f>
        <v/>
      </c>
      <c r="U52" s="250">
        <f>IF('Final Calculation Sheet'!$V$39="","",'Final Calculation Sheet'!$V$39)</f>
        <v/>
      </c>
      <c r="V52" s="248">
        <f>IF('Final Calculation Sheet'!$W$39="","",'Final Calculation Sheet'!$W$39)</f>
        <v/>
      </c>
      <c r="W52" s="248">
        <f>IF('Final Calculation Sheet'!$X$39="","",'Final Calculation Sheet'!$X$39)</f>
        <v/>
      </c>
      <c r="X52" s="250">
        <f>IF('Final Calculation Sheet'!$Y$39="","",'Final Calculation Sheet'!$Y$39)</f>
        <v/>
      </c>
      <c r="Y52" s="248">
        <f>IF('Final Calculation Sheet'!$Z$39="","",'Final Calculation Sheet'!$Z$39)</f>
        <v/>
      </c>
      <c r="Z52" s="248">
        <f>IF('Final Calculation Sheet'!$AA$39="","",'Final Calculation Sheet'!$AA$39)</f>
        <v/>
      </c>
      <c r="AA52" s="250">
        <f>IF('Final Calculation Sheet'!$AB$39="","",'Final Calculation Sheet'!$AB$39)</f>
        <v/>
      </c>
      <c r="AB52" s="248">
        <f>IF('Final Calculation Sheet'!$AC$39="","",'Final Calculation Sheet'!$AC$39)</f>
        <v/>
      </c>
      <c r="AC52" s="248">
        <f>IF('Final Calculation Sheet'!$AD$39="","",'Final Calculation Sheet'!$AD$39)</f>
        <v/>
      </c>
      <c r="AD52" s="250">
        <f>IF('Final Calculation Sheet'!$AD$39="","",IF('Final Calculation Sheet'!$AD$39&lt;=0,"SETTLED","OUTSTANDING"))</f>
        <v/>
      </c>
      <c r="AE52" s="250">
        <f>IF('Final Calculation Sheet'!$AE$39="","",'Final Calculation Sheet'!$AE$39)</f>
        <v/>
      </c>
      <c r="AF52" s="248">
        <f>IF('Final Calculation Sheet'!$AF$39="","",'Final Calculation Sheet'!$AF$39)</f>
        <v/>
      </c>
      <c r="AG52" s="250">
        <f>IF('Final Calculation Sheet'!$AG$39="","",'Final Calculation Sheet'!$AG$39)</f>
        <v/>
      </c>
    </row>
    <row r="53" outlineLevel="1" ht="15" customHeight="1">
      <c r="A53" s="356">
        <f>IF('Final Calculation Sheet'!$F$40="","",'Final Calculation Sheet'!$F$40)</f>
        <v/>
      </c>
      <c r="B53" s="355">
        <f>IF('Final Calculation Sheet'!$B$40="","",'Final Calculation Sheet'!$B$40)</f>
        <v/>
      </c>
      <c r="C53" s="356">
        <f>IF('Final Calculation Sheet'!$D$40="","",'Final Calculation Sheet'!$D$40)</f>
        <v/>
      </c>
      <c r="D53" s="357">
        <f>IF('Final Calculation Sheet'!$A$40="","",'Final Calculation Sheet'!$A$40)</f>
        <v/>
      </c>
      <c r="E53" s="358">
        <f>IF('Final Calculation Sheet'!$E$40="","",'Final Calculation Sheet'!$E$40)</f>
        <v/>
      </c>
      <c r="F53" s="356">
        <f>IF('Final Calculation Sheet'!$C$40="","",'Final Calculation Sheet'!$C$40)</f>
        <v/>
      </c>
      <c r="G53" s="356">
        <f>IF('Final Calculation Sheet'!$H$40="","",'Final Calculation Sheet'!$H$40)</f>
        <v/>
      </c>
      <c r="H53" s="356">
        <f>IF('Final Calculation Sheet'!$I$40="","",'Final Calculation Sheet'!$I$40)</f>
        <v/>
      </c>
      <c r="I53" s="356">
        <f>IF('Final Calculation Sheet'!$J$40="","",'Final Calculation Sheet'!$J$40)</f>
        <v/>
      </c>
      <c r="J53" s="356">
        <f>IF('Final Calculation Sheet'!$K$40="","",'Final Calculation Sheet'!$K$40)</f>
        <v/>
      </c>
      <c r="K53" s="359">
        <f>IF('Final Calculation Sheet'!$L$40="","",'Final Calculation Sheet'!$L$40)</f>
        <v/>
      </c>
      <c r="L53" s="359">
        <f>IF('Final Calculation Sheet'!$M$40="","",'Final Calculation Sheet'!$M$40)</f>
        <v/>
      </c>
      <c r="M53" s="359">
        <f>IF('Final Calculation Sheet'!$N$40="","",'Final Calculation Sheet'!$N$40)</f>
        <v/>
      </c>
      <c r="N53" s="359">
        <f>IF('Final Calculation Sheet'!$O$40="","",'Final Calculation Sheet'!$O$40)</f>
        <v/>
      </c>
      <c r="O53" s="356">
        <f>IF('Final Calculation Sheet'!$P$40="","",'Final Calculation Sheet'!$P$40)</f>
        <v/>
      </c>
      <c r="P53" s="360">
        <f>IF('Final Calculation Sheet'!$Q$40="","",'Final Calculation Sheet'!$Q$40)</f>
        <v/>
      </c>
      <c r="Q53" s="356">
        <f>IF('Final Calculation Sheet'!$R$40="","",'Final Calculation Sheet'!$R$40)</f>
        <v/>
      </c>
      <c r="R53" s="356">
        <f>IF('Final Calculation Sheet'!$S$40="","",'Final Calculation Sheet'!$S$40)</f>
        <v/>
      </c>
      <c r="S53" s="356">
        <f>IF('Final Calculation Sheet'!$T$40="","",'Final Calculation Sheet'!$T$40)</f>
        <v/>
      </c>
      <c r="T53" s="356">
        <f>IF('Final Calculation Sheet'!$U$40="","",'Final Calculation Sheet'!$U$40)</f>
        <v/>
      </c>
      <c r="U53" s="358">
        <f>IF('Final Calculation Sheet'!$V$40="","",'Final Calculation Sheet'!$V$40)</f>
        <v/>
      </c>
      <c r="V53" s="356">
        <f>IF('Final Calculation Sheet'!$W$40="","",'Final Calculation Sheet'!$W$40)</f>
        <v/>
      </c>
      <c r="W53" s="356">
        <f>IF('Final Calculation Sheet'!$X$40="","",'Final Calculation Sheet'!$X$40)</f>
        <v/>
      </c>
      <c r="X53" s="358">
        <f>IF('Final Calculation Sheet'!$Y$40="","",'Final Calculation Sheet'!$Y$40)</f>
        <v/>
      </c>
      <c r="Y53" s="356">
        <f>IF('Final Calculation Sheet'!$Z$40="","",'Final Calculation Sheet'!$Z$40)</f>
        <v/>
      </c>
      <c r="Z53" s="356">
        <f>IF('Final Calculation Sheet'!$AA$40="","",'Final Calculation Sheet'!$AA$40)</f>
        <v/>
      </c>
      <c r="AA53" s="358">
        <f>IF('Final Calculation Sheet'!$AB$40="","",'Final Calculation Sheet'!$AB$40)</f>
        <v/>
      </c>
      <c r="AB53" s="356">
        <f>IF('Final Calculation Sheet'!$AC$40="","",'Final Calculation Sheet'!$AC$40)</f>
        <v/>
      </c>
      <c r="AC53" s="356">
        <f>IF('Final Calculation Sheet'!$AD$40="","",'Final Calculation Sheet'!$AD$40)</f>
        <v/>
      </c>
      <c r="AD53" s="358">
        <f>IF('Final Calculation Sheet'!$AD$40="","",IF('Final Calculation Sheet'!$AD$40&lt;=0,"SETTLED","OUTSTANDING"))</f>
        <v/>
      </c>
      <c r="AE53" s="358">
        <f>IF('Final Calculation Sheet'!$AE$40="","",'Final Calculation Sheet'!$AE$40)</f>
        <v/>
      </c>
      <c r="AF53" s="356">
        <f>IF('Final Calculation Sheet'!$AF$40="","",'Final Calculation Sheet'!$AF$40)</f>
        <v/>
      </c>
      <c r="AG53" s="358">
        <f>IF('Final Calculation Sheet'!$AG$40="","",'Final Calculation Sheet'!$AG$40)</f>
        <v/>
      </c>
    </row>
    <row r="54" ht="20" customHeight="1">
      <c r="A54" s="241" t="inlineStr">
        <is>
          <t>∑  S M ENTERPRISES — TOTALS</t>
        </is>
      </c>
      <c r="B54" s="391" t="inlineStr">
        <is>
          <t>–</t>
        </is>
      </c>
      <c r="C54" s="391" t="inlineStr">
        <is>
          <t>–</t>
        </is>
      </c>
      <c r="D54" s="244">
        <f>SUM(D52:D53)</f>
        <v/>
      </c>
      <c r="E54" s="391" t="inlineStr">
        <is>
          <t>–</t>
        </is>
      </c>
      <c r="F54" s="391" t="inlineStr">
        <is>
          <t>–</t>
        </is>
      </c>
      <c r="G54" s="245">
        <f>SUM(G52:G53)</f>
        <v/>
      </c>
      <c r="H54" s="245">
        <f>SUM(H52:H53)</f>
        <v/>
      </c>
      <c r="I54" s="245">
        <f>SUM(I52:I53)</f>
        <v/>
      </c>
      <c r="J54" s="245">
        <f>SUM(J52:J53)</f>
        <v/>
      </c>
      <c r="K54" s="246">
        <f>SUM(K52:K53)</f>
        <v/>
      </c>
      <c r="L54" s="246">
        <f>SUM(L52:L53)</f>
        <v/>
      </c>
      <c r="M54" s="246">
        <f>SUM(M52:M53)</f>
        <v/>
      </c>
      <c r="N54" s="246">
        <f>SUM(N52:N53)</f>
        <v/>
      </c>
      <c r="O54" s="245">
        <f>SUM(O52:O53)</f>
        <v/>
      </c>
      <c r="P54" s="391" t="inlineStr">
        <is>
          <t>–</t>
        </is>
      </c>
      <c r="Q54" s="245">
        <f>SUM(Q52:Q53)</f>
        <v/>
      </c>
      <c r="R54" s="245">
        <f>SUM(R52:R53)</f>
        <v/>
      </c>
      <c r="S54" s="245">
        <f>SUM(S52:S53)</f>
        <v/>
      </c>
      <c r="T54" s="245">
        <f>SUM(T52:T53)</f>
        <v/>
      </c>
      <c r="U54" s="391" t="inlineStr">
        <is>
          <t>–</t>
        </is>
      </c>
      <c r="V54" s="245">
        <f>SUM(V52:V53)</f>
        <v/>
      </c>
      <c r="W54" s="245">
        <f>SUM(W52:W53)</f>
        <v/>
      </c>
      <c r="X54" s="391" t="inlineStr">
        <is>
          <t>–</t>
        </is>
      </c>
      <c r="Y54" s="245">
        <f>SUM(Y52:Y53)</f>
        <v/>
      </c>
      <c r="Z54" s="245">
        <f>SUM(Z52:Z53)</f>
        <v/>
      </c>
      <c r="AA54" s="391" t="inlineStr">
        <is>
          <t>–</t>
        </is>
      </c>
      <c r="AB54" s="245">
        <f>SUM(AB52:AB53)</f>
        <v/>
      </c>
      <c r="AC54" s="245">
        <f>SUM(AC52:AC53)</f>
        <v/>
      </c>
      <c r="AD54" s="391" t="inlineStr">
        <is>
          <t>–</t>
        </is>
      </c>
      <c r="AE54" s="391" t="inlineStr">
        <is>
          <t>–</t>
        </is>
      </c>
      <c r="AF54" s="391" t="inlineStr">
        <is>
          <t>–</t>
        </is>
      </c>
      <c r="AG54" s="391" t="inlineStr">
        <is>
          <t>–</t>
        </is>
      </c>
    </row>
    <row r="55" ht="7" customHeight="1">
      <c r="A55" s="82" t="n"/>
      <c r="B55" s="82" t="n"/>
      <c r="C55" s="82" t="n"/>
      <c r="D55" s="82" t="n"/>
      <c r="E55" s="82" t="n"/>
      <c r="F55" s="82" t="n"/>
      <c r="G55" s="82" t="n"/>
      <c r="H55" s="82" t="n"/>
      <c r="I55" s="82" t="n"/>
      <c r="J55" s="82" t="n"/>
      <c r="K55" s="82" t="n"/>
      <c r="L55" s="82" t="n"/>
      <c r="M55" s="82" t="n"/>
      <c r="N55" s="82" t="n"/>
      <c r="O55" s="82" t="n"/>
      <c r="P55" s="82" t="n"/>
      <c r="Q55" s="82" t="n"/>
      <c r="R55" s="82" t="n"/>
      <c r="S55" s="82" t="n"/>
      <c r="T55" s="82" t="n"/>
      <c r="U55" s="82" t="n"/>
      <c r="V55" s="82" t="n"/>
      <c r="W55" s="82" t="n"/>
      <c r="X55" s="82" t="n"/>
      <c r="Y55" s="82" t="n"/>
      <c r="Z55" s="82" t="n"/>
      <c r="AA55" s="82" t="n"/>
      <c r="AB55" s="82" t="n"/>
      <c r="AC55" s="82" t="n"/>
      <c r="AD55" s="82" t="n"/>
      <c r="AE55" s="82" t="n"/>
      <c r="AF55" s="82" t="n"/>
      <c r="AG55" s="82" t="n"/>
    </row>
    <row r="56" ht="24" customHeight="1">
      <c r="A56" s="83">
        <f>"▼  SAHARA ENTERPRISES   •   "&amp;COUNTIF('Final Calculation Sheet'!$G$4:$G$1000,"SAHARA ENTERPRISES")&amp;" LOT(S)   •   MAT. VALUE ₹"&amp;TEXT(SUMIF('Final Calculation Sheet'!$G$4:$G$1000,"SAHARA ENTERPRISES",'Final Calculation Sheet'!$H$4:$H$1000),"#,##0")&amp;"   •   RECEIVED ₹"&amp;TEXT(SUMIF('Final Calculation Sheet'!$G$4:$G$1000,"SAHARA ENTERPRISES",'Final Calculation Sheet'!$AC$4:$AC$1000),"#,##0")&amp;"   •   OUTSTANDING ₹"&amp;TEXT(SUMIF('Final Calculation Sheet'!$G$4:$G$1000,"SAHARA ENTERPRISES",'Final Calculation Sheet'!$AD$4:$AD$1000),"#,##0")</f>
        <v/>
      </c>
      <c r="B56" s="64" t="n"/>
      <c r="C56" s="64" t="n"/>
      <c r="D56" s="64" t="n"/>
      <c r="E56" s="64" t="n"/>
      <c r="F56" s="64" t="n"/>
      <c r="G56" s="64" t="n"/>
      <c r="H56" s="64" t="n"/>
      <c r="I56" s="64" t="n"/>
      <c r="J56" s="64" t="n"/>
      <c r="K56" s="64" t="n"/>
      <c r="L56" s="64" t="n"/>
      <c r="M56" s="64" t="n"/>
      <c r="N56" s="64" t="n"/>
      <c r="O56" s="64" t="n"/>
      <c r="P56" s="64" t="n"/>
      <c r="Q56" s="64" t="n"/>
      <c r="R56" s="64" t="n"/>
      <c r="S56" s="64" t="n"/>
      <c r="T56" s="64" t="n"/>
      <c r="U56" s="64" t="n"/>
      <c r="V56" s="64" t="n"/>
      <c r="W56" s="64" t="n"/>
      <c r="X56" s="64" t="n"/>
      <c r="Y56" s="64" t="n"/>
      <c r="Z56" s="64" t="n"/>
      <c r="AA56" s="64" t="n"/>
      <c r="AB56" s="64" t="n"/>
      <c r="AC56" s="64" t="n"/>
      <c r="AD56" s="64" t="n"/>
      <c r="AE56" s="64" t="n"/>
      <c r="AF56" s="64" t="n"/>
      <c r="AG56" s="64" t="n"/>
    </row>
    <row r="57" outlineLevel="1" ht="15" customHeight="1">
      <c r="A57" s="260">
        <f>IF('Final Calculation Sheet'!$F$31="","",'Final Calculation Sheet'!$F$31)</f>
        <v/>
      </c>
      <c r="B57" s="259">
        <f>IF('Final Calculation Sheet'!$B$31="","",'Final Calculation Sheet'!$B$31)</f>
        <v/>
      </c>
      <c r="C57" s="260">
        <f>IF('Final Calculation Sheet'!$D$31="","",'Final Calculation Sheet'!$D$31)</f>
        <v/>
      </c>
      <c r="D57" s="261">
        <f>IF('Final Calculation Sheet'!$A$31="","",'Final Calculation Sheet'!$A$31)</f>
        <v/>
      </c>
      <c r="E57" s="262">
        <f>IF('Final Calculation Sheet'!$E$31="","",'Final Calculation Sheet'!$E$31)</f>
        <v/>
      </c>
      <c r="F57" s="260">
        <f>IF('Final Calculation Sheet'!$C$31="","",'Final Calculation Sheet'!$C$31)</f>
        <v/>
      </c>
      <c r="G57" s="260">
        <f>IF('Final Calculation Sheet'!$H$31="","",'Final Calculation Sheet'!$H$31)</f>
        <v/>
      </c>
      <c r="H57" s="260">
        <f>IF('Final Calculation Sheet'!$I$31="","",'Final Calculation Sheet'!$I$31)</f>
        <v/>
      </c>
      <c r="I57" s="260">
        <f>IF('Final Calculation Sheet'!$J$31="","",'Final Calculation Sheet'!$J$31)</f>
        <v/>
      </c>
      <c r="J57" s="260">
        <f>IF('Final Calculation Sheet'!$K$31="","",'Final Calculation Sheet'!$K$31)</f>
        <v/>
      </c>
      <c r="K57" s="263">
        <f>IF('Final Calculation Sheet'!$L$31="","",'Final Calculation Sheet'!$L$31)</f>
        <v/>
      </c>
      <c r="L57" s="263">
        <f>IF('Final Calculation Sheet'!$M$31="","",'Final Calculation Sheet'!$M$31)</f>
        <v/>
      </c>
      <c r="M57" s="263">
        <f>IF('Final Calculation Sheet'!$N$31="","",'Final Calculation Sheet'!$N$31)</f>
        <v/>
      </c>
      <c r="N57" s="263">
        <f>IF('Final Calculation Sheet'!$O$31="","",'Final Calculation Sheet'!$O$31)</f>
        <v/>
      </c>
      <c r="O57" s="260">
        <f>IF('Final Calculation Sheet'!$P$31="","",'Final Calculation Sheet'!$P$31)</f>
        <v/>
      </c>
      <c r="P57" s="264">
        <f>IF('Final Calculation Sheet'!$Q$31="","",'Final Calculation Sheet'!$Q$31)</f>
        <v/>
      </c>
      <c r="Q57" s="260">
        <f>IF('Final Calculation Sheet'!$R$31="","",'Final Calculation Sheet'!$R$31)</f>
        <v/>
      </c>
      <c r="R57" s="260">
        <f>IF('Final Calculation Sheet'!$S$31="","",'Final Calculation Sheet'!$S$31)</f>
        <v/>
      </c>
      <c r="S57" s="260">
        <f>IF('Final Calculation Sheet'!$T$31="","",'Final Calculation Sheet'!$T$31)</f>
        <v/>
      </c>
      <c r="T57" s="260">
        <f>IF('Final Calculation Sheet'!$U$31="","",'Final Calculation Sheet'!$U$31)</f>
        <v/>
      </c>
      <c r="U57" s="262">
        <f>IF('Final Calculation Sheet'!$V$31="","",'Final Calculation Sheet'!$V$31)</f>
        <v/>
      </c>
      <c r="V57" s="260">
        <f>IF('Final Calculation Sheet'!$W$31="","",'Final Calculation Sheet'!$W$31)</f>
        <v/>
      </c>
      <c r="W57" s="260">
        <f>IF('Final Calculation Sheet'!$X$31="","",'Final Calculation Sheet'!$X$31)</f>
        <v/>
      </c>
      <c r="X57" s="262">
        <f>IF('Final Calculation Sheet'!$Y$31="","",'Final Calculation Sheet'!$Y$31)</f>
        <v/>
      </c>
      <c r="Y57" s="260">
        <f>IF('Final Calculation Sheet'!$Z$31="","",'Final Calculation Sheet'!$Z$31)</f>
        <v/>
      </c>
      <c r="Z57" s="260">
        <f>IF('Final Calculation Sheet'!$AA$31="","",'Final Calculation Sheet'!$AA$31)</f>
        <v/>
      </c>
      <c r="AA57" s="262">
        <f>IF('Final Calculation Sheet'!$AB$31="","",'Final Calculation Sheet'!$AB$31)</f>
        <v/>
      </c>
      <c r="AB57" s="260">
        <f>IF('Final Calculation Sheet'!$AC$31="","",'Final Calculation Sheet'!$AC$31)</f>
        <v/>
      </c>
      <c r="AC57" s="260">
        <f>IF('Final Calculation Sheet'!$AD$31="","",'Final Calculation Sheet'!$AD$31)</f>
        <v/>
      </c>
      <c r="AD57" s="262">
        <f>IF('Final Calculation Sheet'!$AD$31="","",IF('Final Calculation Sheet'!$AD$31&lt;=0,"SETTLED","OUTSTANDING"))</f>
        <v/>
      </c>
      <c r="AE57" s="262">
        <f>IF('Final Calculation Sheet'!$AE$31="","",'Final Calculation Sheet'!$AE$31)</f>
        <v/>
      </c>
      <c r="AF57" s="260">
        <f>IF('Final Calculation Sheet'!$AF$31="","",'Final Calculation Sheet'!$AF$31)</f>
        <v/>
      </c>
      <c r="AG57" s="262">
        <f>IF('Final Calculation Sheet'!$AG$31="","",'Final Calculation Sheet'!$AG$31)</f>
        <v/>
      </c>
    </row>
    <row r="58" ht="20" customHeight="1">
      <c r="A58" s="253" t="inlineStr">
        <is>
          <t>∑  SAHARA ENTERPRISES — TOTALS</t>
        </is>
      </c>
      <c r="B58" s="392" t="inlineStr">
        <is>
          <t>–</t>
        </is>
      </c>
      <c r="C58" s="392" t="inlineStr">
        <is>
          <t>–</t>
        </is>
      </c>
      <c r="D58" s="256">
        <f>SUM(D57:D57)</f>
        <v/>
      </c>
      <c r="E58" s="392" t="inlineStr">
        <is>
          <t>–</t>
        </is>
      </c>
      <c r="F58" s="392" t="inlineStr">
        <is>
          <t>–</t>
        </is>
      </c>
      <c r="G58" s="257">
        <f>SUM(G57:G57)</f>
        <v/>
      </c>
      <c r="H58" s="257">
        <f>SUM(H57:H57)</f>
        <v/>
      </c>
      <c r="I58" s="257">
        <f>SUM(I57:I57)</f>
        <v/>
      </c>
      <c r="J58" s="257">
        <f>SUM(J57:J57)</f>
        <v/>
      </c>
      <c r="K58" s="258">
        <f>SUM(K57:K57)</f>
        <v/>
      </c>
      <c r="L58" s="258">
        <f>SUM(L57:L57)</f>
        <v/>
      </c>
      <c r="M58" s="258">
        <f>SUM(M57:M57)</f>
        <v/>
      </c>
      <c r="N58" s="258">
        <f>SUM(N57:N57)</f>
        <v/>
      </c>
      <c r="O58" s="257">
        <f>SUM(O57:O57)</f>
        <v/>
      </c>
      <c r="P58" s="392" t="inlineStr">
        <is>
          <t>–</t>
        </is>
      </c>
      <c r="Q58" s="257">
        <f>SUM(Q57:Q57)</f>
        <v/>
      </c>
      <c r="R58" s="257">
        <f>SUM(R57:R57)</f>
        <v/>
      </c>
      <c r="S58" s="257">
        <f>SUM(S57:S57)</f>
        <v/>
      </c>
      <c r="T58" s="257">
        <f>SUM(T57:T57)</f>
        <v/>
      </c>
      <c r="U58" s="392" t="inlineStr">
        <is>
          <t>–</t>
        </is>
      </c>
      <c r="V58" s="257">
        <f>SUM(V57:V57)</f>
        <v/>
      </c>
      <c r="W58" s="257">
        <f>SUM(W57:W57)</f>
        <v/>
      </c>
      <c r="X58" s="392" t="inlineStr">
        <is>
          <t>–</t>
        </is>
      </c>
      <c r="Y58" s="257">
        <f>SUM(Y57:Y57)</f>
        <v/>
      </c>
      <c r="Z58" s="257">
        <f>SUM(Z57:Z57)</f>
        <v/>
      </c>
      <c r="AA58" s="392" t="inlineStr">
        <is>
          <t>–</t>
        </is>
      </c>
      <c r="AB58" s="257">
        <f>SUM(AB57:AB57)</f>
        <v/>
      </c>
      <c r="AC58" s="257">
        <f>SUM(AC57:AC57)</f>
        <v/>
      </c>
      <c r="AD58" s="392" t="inlineStr">
        <is>
          <t>–</t>
        </is>
      </c>
      <c r="AE58" s="392" t="inlineStr">
        <is>
          <t>–</t>
        </is>
      </c>
      <c r="AF58" s="392" t="inlineStr">
        <is>
          <t>–</t>
        </is>
      </c>
      <c r="AG58" s="392" t="inlineStr">
        <is>
          <t>–</t>
        </is>
      </c>
    </row>
    <row r="59" ht="7" customHeight="1">
      <c r="A59" s="82" t="n"/>
      <c r="B59" s="82" t="n"/>
      <c r="C59" s="82" t="n"/>
      <c r="D59" s="82" t="n"/>
      <c r="E59" s="82" t="n"/>
      <c r="F59" s="82" t="n"/>
      <c r="G59" s="82" t="n"/>
      <c r="H59" s="82" t="n"/>
      <c r="I59" s="82" t="n"/>
      <c r="J59" s="82" t="n"/>
      <c r="K59" s="82" t="n"/>
      <c r="L59" s="82" t="n"/>
      <c r="M59" s="82" t="n"/>
      <c r="N59" s="82" t="n"/>
      <c r="O59" s="82" t="n"/>
      <c r="P59" s="82" t="n"/>
      <c r="Q59" s="82" t="n"/>
      <c r="R59" s="82" t="n"/>
      <c r="S59" s="82" t="n"/>
      <c r="T59" s="82" t="n"/>
      <c r="U59" s="82" t="n"/>
      <c r="V59" s="82" t="n"/>
      <c r="W59" s="82" t="n"/>
      <c r="X59" s="82" t="n"/>
      <c r="Y59" s="82" t="n"/>
      <c r="Z59" s="82" t="n"/>
      <c r="AA59" s="82" t="n"/>
      <c r="AB59" s="82" t="n"/>
      <c r="AC59" s="82" t="n"/>
      <c r="AD59" s="82" t="n"/>
      <c r="AE59" s="82" t="n"/>
      <c r="AF59" s="82" t="n"/>
      <c r="AG59" s="82" t="n"/>
    </row>
    <row r="60" ht="24" customHeight="1">
      <c r="A60" s="99">
        <f>"▼  SHAR JAHAN TRADERS   •   "&amp;COUNTIF('Final Calculation Sheet'!$G$4:$G$1000,"SHAR JAHAN TRADERS")&amp;" LOT(S)   •   MAT. VALUE ₹"&amp;TEXT(SUMIF('Final Calculation Sheet'!$G$4:$G$1000,"SHAR JAHAN TRADERS",'Final Calculation Sheet'!$H$4:$H$1000),"#,##0")&amp;"   •   RECEIVED ₹"&amp;TEXT(SUMIF('Final Calculation Sheet'!$G$4:$G$1000,"SHAR JAHAN TRADERS",'Final Calculation Sheet'!$AC$4:$AC$1000),"#,##0")&amp;"   •   OUTSTANDING ₹"&amp;TEXT(SUMIF('Final Calculation Sheet'!$G$4:$G$1000,"SHAR JAHAN TRADERS",'Final Calculation Sheet'!$AD$4:$AD$1000),"#,##0")</f>
        <v/>
      </c>
      <c r="B60" s="64" t="n"/>
      <c r="C60" s="64" t="n"/>
      <c r="D60" s="64" t="n"/>
      <c r="E60" s="64" t="n"/>
      <c r="F60" s="64" t="n"/>
      <c r="G60" s="64" t="n"/>
      <c r="H60" s="64" t="n"/>
      <c r="I60" s="64" t="n"/>
      <c r="J60" s="64" t="n"/>
      <c r="K60" s="64" t="n"/>
      <c r="L60" s="64" t="n"/>
      <c r="M60" s="64" t="n"/>
      <c r="N60" s="64" t="n"/>
      <c r="O60" s="64" t="n"/>
      <c r="P60" s="64" t="n"/>
      <c r="Q60" s="64" t="n"/>
      <c r="R60" s="64" t="n"/>
      <c r="S60" s="64" t="n"/>
      <c r="T60" s="64" t="n"/>
      <c r="U60" s="64" t="n"/>
      <c r="V60" s="64" t="n"/>
      <c r="W60" s="64" t="n"/>
      <c r="X60" s="64" t="n"/>
      <c r="Y60" s="64" t="n"/>
      <c r="Z60" s="64" t="n"/>
      <c r="AA60" s="64" t="n"/>
      <c r="AB60" s="64" t="n"/>
      <c r="AC60" s="64" t="n"/>
      <c r="AD60" s="64" t="n"/>
      <c r="AE60" s="64" t="n"/>
      <c r="AF60" s="64" t="n"/>
      <c r="AG60" s="64" t="n"/>
    </row>
    <row r="61" outlineLevel="1" ht="15" customHeight="1">
      <c r="A61" s="278">
        <f>IF('Final Calculation Sheet'!$F$9="","",'Final Calculation Sheet'!$F$9)</f>
        <v/>
      </c>
      <c r="B61" s="277">
        <f>IF('Final Calculation Sheet'!$B$9="","",'Final Calculation Sheet'!$B$9)</f>
        <v/>
      </c>
      <c r="C61" s="278">
        <f>IF('Final Calculation Sheet'!$D$9="","",'Final Calculation Sheet'!$D$9)</f>
        <v/>
      </c>
      <c r="D61" s="279">
        <f>IF('Final Calculation Sheet'!$A$9="","",'Final Calculation Sheet'!$A$9)</f>
        <v/>
      </c>
      <c r="E61" s="280">
        <f>IF('Final Calculation Sheet'!$E$9="","",'Final Calculation Sheet'!$E$9)</f>
        <v/>
      </c>
      <c r="F61" s="278">
        <f>IF('Final Calculation Sheet'!$C$9="","",'Final Calculation Sheet'!$C$9)</f>
        <v/>
      </c>
      <c r="G61" s="278">
        <f>IF('Final Calculation Sheet'!$H$9="","",'Final Calculation Sheet'!$H$9)</f>
        <v/>
      </c>
      <c r="H61" s="278">
        <f>IF('Final Calculation Sheet'!$I$9="","",'Final Calculation Sheet'!$I$9)</f>
        <v/>
      </c>
      <c r="I61" s="278">
        <f>IF('Final Calculation Sheet'!$J$9="","",'Final Calculation Sheet'!$J$9)</f>
        <v/>
      </c>
      <c r="J61" s="278">
        <f>IF('Final Calculation Sheet'!$K$9="","",'Final Calculation Sheet'!$K$9)</f>
        <v/>
      </c>
      <c r="K61" s="281">
        <f>IF('Final Calculation Sheet'!$L$9="","",'Final Calculation Sheet'!$L$9)</f>
        <v/>
      </c>
      <c r="L61" s="281">
        <f>IF('Final Calculation Sheet'!$M$9="","",'Final Calculation Sheet'!$M$9)</f>
        <v/>
      </c>
      <c r="M61" s="281">
        <f>IF('Final Calculation Sheet'!$N$9="","",'Final Calculation Sheet'!$N$9)</f>
        <v/>
      </c>
      <c r="N61" s="281">
        <f>IF('Final Calculation Sheet'!$O$9="","",'Final Calculation Sheet'!$O$9)</f>
        <v/>
      </c>
      <c r="O61" s="278">
        <f>IF('Final Calculation Sheet'!$P$9="","",'Final Calculation Sheet'!$P$9)</f>
        <v/>
      </c>
      <c r="P61" s="282">
        <f>IF('Final Calculation Sheet'!$Q$9="","",'Final Calculation Sheet'!$Q$9)</f>
        <v/>
      </c>
      <c r="Q61" s="278">
        <f>IF('Final Calculation Sheet'!$R$9="","",'Final Calculation Sheet'!$R$9)</f>
        <v/>
      </c>
      <c r="R61" s="278">
        <f>IF('Final Calculation Sheet'!$S$9="","",'Final Calculation Sheet'!$S$9)</f>
        <v/>
      </c>
      <c r="S61" s="278">
        <f>IF('Final Calculation Sheet'!$T$9="","",'Final Calculation Sheet'!$T$9)</f>
        <v/>
      </c>
      <c r="T61" s="278">
        <f>IF('Final Calculation Sheet'!$U$9="","",'Final Calculation Sheet'!$U$9)</f>
        <v/>
      </c>
      <c r="U61" s="280">
        <f>IF('Final Calculation Sheet'!$V$9="","",'Final Calculation Sheet'!$V$9)</f>
        <v/>
      </c>
      <c r="V61" s="278">
        <f>IF('Final Calculation Sheet'!$W$9="","",'Final Calculation Sheet'!$W$9)</f>
        <v/>
      </c>
      <c r="W61" s="278">
        <f>IF('Final Calculation Sheet'!$X$9="","",'Final Calculation Sheet'!$X$9)</f>
        <v/>
      </c>
      <c r="X61" s="280">
        <f>IF('Final Calculation Sheet'!$Y$9="","",'Final Calculation Sheet'!$Y$9)</f>
        <v/>
      </c>
      <c r="Y61" s="278">
        <f>IF('Final Calculation Sheet'!$Z$9="","",'Final Calculation Sheet'!$Z$9)</f>
        <v/>
      </c>
      <c r="Z61" s="278">
        <f>IF('Final Calculation Sheet'!$AA$9="","",'Final Calculation Sheet'!$AA$9)</f>
        <v/>
      </c>
      <c r="AA61" s="280">
        <f>IF('Final Calculation Sheet'!$AB$9="","",'Final Calculation Sheet'!$AB$9)</f>
        <v/>
      </c>
      <c r="AB61" s="278">
        <f>IF('Final Calculation Sheet'!$AC$9="","",'Final Calculation Sheet'!$AC$9)</f>
        <v/>
      </c>
      <c r="AC61" s="278">
        <f>IF('Final Calculation Sheet'!$AD$9="","",'Final Calculation Sheet'!$AD$9)</f>
        <v/>
      </c>
      <c r="AD61" s="280">
        <f>IF('Final Calculation Sheet'!$AD$9="","",IF('Final Calculation Sheet'!$AD$9&lt;=0,"SETTLED","OUTSTANDING"))</f>
        <v/>
      </c>
      <c r="AE61" s="280">
        <f>IF('Final Calculation Sheet'!$AE$9="","",'Final Calculation Sheet'!$AE$9)</f>
        <v/>
      </c>
      <c r="AF61" s="278">
        <f>IF('Final Calculation Sheet'!$AF$9="","",'Final Calculation Sheet'!$AF$9)</f>
        <v/>
      </c>
      <c r="AG61" s="280">
        <f>IF('Final Calculation Sheet'!$AG$9="","",'Final Calculation Sheet'!$AG$9)</f>
        <v/>
      </c>
    </row>
    <row r="62" outlineLevel="1" ht="15" customHeight="1">
      <c r="A62" s="362">
        <f>IF('Final Calculation Sheet'!$F$14="","",'Final Calculation Sheet'!$F$14)</f>
        <v/>
      </c>
      <c r="B62" s="361">
        <f>IF('Final Calculation Sheet'!$B$14="","",'Final Calculation Sheet'!$B$14)</f>
        <v/>
      </c>
      <c r="C62" s="362">
        <f>IF('Final Calculation Sheet'!$D$14="","",'Final Calculation Sheet'!$D$14)</f>
        <v/>
      </c>
      <c r="D62" s="363">
        <f>IF('Final Calculation Sheet'!$A$14="","",'Final Calculation Sheet'!$A$14)</f>
        <v/>
      </c>
      <c r="E62" s="364">
        <f>IF('Final Calculation Sheet'!$E$14="","",'Final Calculation Sheet'!$E$14)</f>
        <v/>
      </c>
      <c r="F62" s="362">
        <f>IF('Final Calculation Sheet'!$C$14="","",'Final Calculation Sheet'!$C$14)</f>
        <v/>
      </c>
      <c r="G62" s="362">
        <f>IF('Final Calculation Sheet'!$H$14="","",'Final Calculation Sheet'!$H$14)</f>
        <v/>
      </c>
      <c r="H62" s="362">
        <f>IF('Final Calculation Sheet'!$I$14="","",'Final Calculation Sheet'!$I$14)</f>
        <v/>
      </c>
      <c r="I62" s="362">
        <f>IF('Final Calculation Sheet'!$J$14="","",'Final Calculation Sheet'!$J$14)</f>
        <v/>
      </c>
      <c r="J62" s="362">
        <f>IF('Final Calculation Sheet'!$K$14="","",'Final Calculation Sheet'!$K$14)</f>
        <v/>
      </c>
      <c r="K62" s="365">
        <f>IF('Final Calculation Sheet'!$L$14="","",'Final Calculation Sheet'!$L$14)</f>
        <v/>
      </c>
      <c r="L62" s="365">
        <f>IF('Final Calculation Sheet'!$M$14="","",'Final Calculation Sheet'!$M$14)</f>
        <v/>
      </c>
      <c r="M62" s="365">
        <f>IF('Final Calculation Sheet'!$N$14="","",'Final Calculation Sheet'!$N$14)</f>
        <v/>
      </c>
      <c r="N62" s="365">
        <f>IF('Final Calculation Sheet'!$O$14="","",'Final Calculation Sheet'!$O$14)</f>
        <v/>
      </c>
      <c r="O62" s="362">
        <f>IF('Final Calculation Sheet'!$P$14="","",'Final Calculation Sheet'!$P$14)</f>
        <v/>
      </c>
      <c r="P62" s="366">
        <f>IF('Final Calculation Sheet'!$Q$14="","",'Final Calculation Sheet'!$Q$14)</f>
        <v/>
      </c>
      <c r="Q62" s="362">
        <f>IF('Final Calculation Sheet'!$R$14="","",'Final Calculation Sheet'!$R$14)</f>
        <v/>
      </c>
      <c r="R62" s="362">
        <f>IF('Final Calculation Sheet'!$S$14="","",'Final Calculation Sheet'!$S$14)</f>
        <v/>
      </c>
      <c r="S62" s="362">
        <f>IF('Final Calculation Sheet'!$T$14="","",'Final Calculation Sheet'!$T$14)</f>
        <v/>
      </c>
      <c r="T62" s="362">
        <f>IF('Final Calculation Sheet'!$U$14="","",'Final Calculation Sheet'!$U$14)</f>
        <v/>
      </c>
      <c r="U62" s="364">
        <f>IF('Final Calculation Sheet'!$V$14="","",'Final Calculation Sheet'!$V$14)</f>
        <v/>
      </c>
      <c r="V62" s="362">
        <f>IF('Final Calculation Sheet'!$W$14="","",'Final Calculation Sheet'!$W$14)</f>
        <v/>
      </c>
      <c r="W62" s="362">
        <f>IF('Final Calculation Sheet'!$X$14="","",'Final Calculation Sheet'!$X$14)</f>
        <v/>
      </c>
      <c r="X62" s="364">
        <f>IF('Final Calculation Sheet'!$Y$14="","",'Final Calculation Sheet'!$Y$14)</f>
        <v/>
      </c>
      <c r="Y62" s="362">
        <f>IF('Final Calculation Sheet'!$Z$14="","",'Final Calculation Sheet'!$Z$14)</f>
        <v/>
      </c>
      <c r="Z62" s="362">
        <f>IF('Final Calculation Sheet'!$AA$14="","",'Final Calculation Sheet'!$AA$14)</f>
        <v/>
      </c>
      <c r="AA62" s="364">
        <f>IF('Final Calculation Sheet'!$AB$14="","",'Final Calculation Sheet'!$AB$14)</f>
        <v/>
      </c>
      <c r="AB62" s="362">
        <f>IF('Final Calculation Sheet'!$AC$14="","",'Final Calculation Sheet'!$AC$14)</f>
        <v/>
      </c>
      <c r="AC62" s="362">
        <f>IF('Final Calculation Sheet'!$AD$14="","",'Final Calculation Sheet'!$AD$14)</f>
        <v/>
      </c>
      <c r="AD62" s="364">
        <f>IF('Final Calculation Sheet'!$AD$14="","",IF('Final Calculation Sheet'!$AD$14&lt;=0,"SETTLED","OUTSTANDING"))</f>
        <v/>
      </c>
      <c r="AE62" s="364">
        <f>IF('Final Calculation Sheet'!$AE$14="","",'Final Calculation Sheet'!$AE$14)</f>
        <v/>
      </c>
      <c r="AF62" s="362">
        <f>IF('Final Calculation Sheet'!$AF$14="","",'Final Calculation Sheet'!$AF$14)</f>
        <v/>
      </c>
      <c r="AG62" s="364">
        <f>IF('Final Calculation Sheet'!$AG$14="","",'Final Calculation Sheet'!$AG$14)</f>
        <v/>
      </c>
    </row>
    <row r="63" ht="20" customHeight="1">
      <c r="A63" s="271" t="inlineStr">
        <is>
          <t>∑  SHAR JAHAN TRADERS — TOTALS</t>
        </is>
      </c>
      <c r="B63" s="393" t="inlineStr">
        <is>
          <t>–</t>
        </is>
      </c>
      <c r="C63" s="393" t="inlineStr">
        <is>
          <t>–</t>
        </is>
      </c>
      <c r="D63" s="274">
        <f>SUM(D61:D62)</f>
        <v/>
      </c>
      <c r="E63" s="393" t="inlineStr">
        <is>
          <t>–</t>
        </is>
      </c>
      <c r="F63" s="393" t="inlineStr">
        <is>
          <t>–</t>
        </is>
      </c>
      <c r="G63" s="275">
        <f>SUM(G61:G62)</f>
        <v/>
      </c>
      <c r="H63" s="275">
        <f>SUM(H61:H62)</f>
        <v/>
      </c>
      <c r="I63" s="275">
        <f>SUM(I61:I62)</f>
        <v/>
      </c>
      <c r="J63" s="275">
        <f>SUM(J61:J62)</f>
        <v/>
      </c>
      <c r="K63" s="276">
        <f>SUM(K61:K62)</f>
        <v/>
      </c>
      <c r="L63" s="276">
        <f>SUM(L61:L62)</f>
        <v/>
      </c>
      <c r="M63" s="276">
        <f>SUM(M61:M62)</f>
        <v/>
      </c>
      <c r="N63" s="276">
        <f>SUM(N61:N62)</f>
        <v/>
      </c>
      <c r="O63" s="275">
        <f>SUM(O61:O62)</f>
        <v/>
      </c>
      <c r="P63" s="393" t="inlineStr">
        <is>
          <t>–</t>
        </is>
      </c>
      <c r="Q63" s="275">
        <f>SUM(Q61:Q62)</f>
        <v/>
      </c>
      <c r="R63" s="275">
        <f>SUM(R61:R62)</f>
        <v/>
      </c>
      <c r="S63" s="275">
        <f>SUM(S61:S62)</f>
        <v/>
      </c>
      <c r="T63" s="275">
        <f>SUM(T61:T62)</f>
        <v/>
      </c>
      <c r="U63" s="393" t="inlineStr">
        <is>
          <t>–</t>
        </is>
      </c>
      <c r="V63" s="275">
        <f>SUM(V61:V62)</f>
        <v/>
      </c>
      <c r="W63" s="275">
        <f>SUM(W61:W62)</f>
        <v/>
      </c>
      <c r="X63" s="393" t="inlineStr">
        <is>
          <t>–</t>
        </is>
      </c>
      <c r="Y63" s="275">
        <f>SUM(Y61:Y62)</f>
        <v/>
      </c>
      <c r="Z63" s="275">
        <f>SUM(Z61:Z62)</f>
        <v/>
      </c>
      <c r="AA63" s="393" t="inlineStr">
        <is>
          <t>–</t>
        </is>
      </c>
      <c r="AB63" s="275">
        <f>SUM(AB61:AB62)</f>
        <v/>
      </c>
      <c r="AC63" s="275">
        <f>SUM(AC61:AC62)</f>
        <v/>
      </c>
      <c r="AD63" s="393" t="inlineStr">
        <is>
          <t>–</t>
        </is>
      </c>
      <c r="AE63" s="393" t="inlineStr">
        <is>
          <t>–</t>
        </is>
      </c>
      <c r="AF63" s="393" t="inlineStr">
        <is>
          <t>–</t>
        </is>
      </c>
      <c r="AG63" s="393" t="inlineStr">
        <is>
          <t>–</t>
        </is>
      </c>
    </row>
    <row r="64" ht="7" customHeight="1">
      <c r="A64" s="82" t="n"/>
      <c r="B64" s="82" t="n"/>
      <c r="C64" s="82" t="n"/>
      <c r="D64" s="82" t="n"/>
      <c r="E64" s="82" t="n"/>
      <c r="F64" s="82" t="n"/>
      <c r="G64" s="82" t="n"/>
      <c r="H64" s="82" t="n"/>
      <c r="I64" s="82" t="n"/>
      <c r="J64" s="82" t="n"/>
      <c r="K64" s="82" t="n"/>
      <c r="L64" s="82" t="n"/>
      <c r="M64" s="82" t="n"/>
      <c r="N64" s="82" t="n"/>
      <c r="O64" s="82" t="n"/>
      <c r="P64" s="82" t="n"/>
      <c r="Q64" s="82" t="n"/>
      <c r="R64" s="82" t="n"/>
      <c r="S64" s="82" t="n"/>
      <c r="T64" s="82" t="n"/>
      <c r="U64" s="82" t="n"/>
      <c r="V64" s="82" t="n"/>
      <c r="W64" s="82" t="n"/>
      <c r="X64" s="82" t="n"/>
      <c r="Y64" s="82" t="n"/>
      <c r="Z64" s="82" t="n"/>
      <c r="AA64" s="82" t="n"/>
      <c r="AB64" s="82" t="n"/>
      <c r="AC64" s="82" t="n"/>
      <c r="AD64" s="82" t="n"/>
      <c r="AE64" s="82" t="n"/>
      <c r="AF64" s="82" t="n"/>
      <c r="AG64" s="82" t="n"/>
    </row>
    <row r="65" ht="24" customHeight="1">
      <c r="A65" s="108">
        <f>"▼  STERLING ENTERPRISES   •   "&amp;COUNTIF('Final Calculation Sheet'!$G$4:$G$1000,"STERLING ENTERPRISES")&amp;" LOT(S)   •   MAT. VALUE ₹"&amp;TEXT(SUMIF('Final Calculation Sheet'!$G$4:$G$1000,"STERLING ENTERPRISES",'Final Calculation Sheet'!$H$4:$H$1000),"#,##0")&amp;"   •   RECEIVED ₹"&amp;TEXT(SUMIF('Final Calculation Sheet'!$G$4:$G$1000,"STERLING ENTERPRISES",'Final Calculation Sheet'!$AC$4:$AC$1000),"#,##0")&amp;"   •   OUTSTANDING ₹"&amp;TEXT(SUMIF('Final Calculation Sheet'!$G$4:$G$1000,"STERLING ENTERPRISES",'Final Calculation Sheet'!$AD$4:$AD$1000),"#,##0")</f>
        <v/>
      </c>
      <c r="B65" s="64" t="n"/>
      <c r="C65" s="64" t="n"/>
      <c r="D65" s="64" t="n"/>
      <c r="E65" s="64" t="n"/>
      <c r="F65" s="64" t="n"/>
      <c r="G65" s="64" t="n"/>
      <c r="H65" s="64" t="n"/>
      <c r="I65" s="64" t="n"/>
      <c r="J65" s="64" t="n"/>
      <c r="K65" s="64" t="n"/>
      <c r="L65" s="64" t="n"/>
      <c r="M65" s="64" t="n"/>
      <c r="N65" s="64" t="n"/>
      <c r="O65" s="64" t="n"/>
      <c r="P65" s="64" t="n"/>
      <c r="Q65" s="64" t="n"/>
      <c r="R65" s="64" t="n"/>
      <c r="S65" s="64" t="n"/>
      <c r="T65" s="64" t="n"/>
      <c r="U65" s="64" t="n"/>
      <c r="V65" s="64" t="n"/>
      <c r="W65" s="64" t="n"/>
      <c r="X65" s="64" t="n"/>
      <c r="Y65" s="64" t="n"/>
      <c r="Z65" s="64" t="n"/>
      <c r="AA65" s="64" t="n"/>
      <c r="AB65" s="64" t="n"/>
      <c r="AC65" s="64" t="n"/>
      <c r="AD65" s="64" t="n"/>
      <c r="AE65" s="64" t="n"/>
      <c r="AF65" s="64" t="n"/>
      <c r="AG65" s="64" t="n"/>
    </row>
    <row r="66" outlineLevel="1" ht="15" customHeight="1">
      <c r="A66" s="290">
        <f>IF('Final Calculation Sheet'!$F$13="","",'Final Calculation Sheet'!$F$13)</f>
        <v/>
      </c>
      <c r="B66" s="289">
        <f>IF('Final Calculation Sheet'!$B$13="","",'Final Calculation Sheet'!$B$13)</f>
        <v/>
      </c>
      <c r="C66" s="290">
        <f>IF('Final Calculation Sheet'!$D$13="","",'Final Calculation Sheet'!$D$13)</f>
        <v/>
      </c>
      <c r="D66" s="291">
        <f>IF('Final Calculation Sheet'!$A$13="","",'Final Calculation Sheet'!$A$13)</f>
        <v/>
      </c>
      <c r="E66" s="292">
        <f>IF('Final Calculation Sheet'!$E$13="","",'Final Calculation Sheet'!$E$13)</f>
        <v/>
      </c>
      <c r="F66" s="290">
        <f>IF('Final Calculation Sheet'!$C$13="","",'Final Calculation Sheet'!$C$13)</f>
        <v/>
      </c>
      <c r="G66" s="290">
        <f>IF('Final Calculation Sheet'!$H$13="","",'Final Calculation Sheet'!$H$13)</f>
        <v/>
      </c>
      <c r="H66" s="290">
        <f>IF('Final Calculation Sheet'!$I$13="","",'Final Calculation Sheet'!$I$13)</f>
        <v/>
      </c>
      <c r="I66" s="290">
        <f>IF('Final Calculation Sheet'!$J$13="","",'Final Calculation Sheet'!$J$13)</f>
        <v/>
      </c>
      <c r="J66" s="290">
        <f>IF('Final Calculation Sheet'!$K$13="","",'Final Calculation Sheet'!$K$13)</f>
        <v/>
      </c>
      <c r="K66" s="293">
        <f>IF('Final Calculation Sheet'!$L$13="","",'Final Calculation Sheet'!$L$13)</f>
        <v/>
      </c>
      <c r="L66" s="293">
        <f>IF('Final Calculation Sheet'!$M$13="","",'Final Calculation Sheet'!$M$13)</f>
        <v/>
      </c>
      <c r="M66" s="293">
        <f>IF('Final Calculation Sheet'!$N$13="","",'Final Calculation Sheet'!$N$13)</f>
        <v/>
      </c>
      <c r="N66" s="293">
        <f>IF('Final Calculation Sheet'!$O$13="","",'Final Calculation Sheet'!$O$13)</f>
        <v/>
      </c>
      <c r="O66" s="290">
        <f>IF('Final Calculation Sheet'!$P$13="","",'Final Calculation Sheet'!$P$13)</f>
        <v/>
      </c>
      <c r="P66" s="294">
        <f>IF('Final Calculation Sheet'!$Q$13="","",'Final Calculation Sheet'!$Q$13)</f>
        <v/>
      </c>
      <c r="Q66" s="290">
        <f>IF('Final Calculation Sheet'!$R$13="","",'Final Calculation Sheet'!$R$13)</f>
        <v/>
      </c>
      <c r="R66" s="290">
        <f>IF('Final Calculation Sheet'!$S$13="","",'Final Calculation Sheet'!$S$13)</f>
        <v/>
      </c>
      <c r="S66" s="290">
        <f>IF('Final Calculation Sheet'!$T$13="","",'Final Calculation Sheet'!$T$13)</f>
        <v/>
      </c>
      <c r="T66" s="290">
        <f>IF('Final Calculation Sheet'!$U$13="","",'Final Calculation Sheet'!$U$13)</f>
        <v/>
      </c>
      <c r="U66" s="292">
        <f>IF('Final Calculation Sheet'!$V$13="","",'Final Calculation Sheet'!$V$13)</f>
        <v/>
      </c>
      <c r="V66" s="290">
        <f>IF('Final Calculation Sheet'!$W$13="","",'Final Calculation Sheet'!$W$13)</f>
        <v/>
      </c>
      <c r="W66" s="290">
        <f>IF('Final Calculation Sheet'!$X$13="","",'Final Calculation Sheet'!$X$13)</f>
        <v/>
      </c>
      <c r="X66" s="292">
        <f>IF('Final Calculation Sheet'!$Y$13="","",'Final Calculation Sheet'!$Y$13)</f>
        <v/>
      </c>
      <c r="Y66" s="290">
        <f>IF('Final Calculation Sheet'!$Z$13="","",'Final Calculation Sheet'!$Z$13)</f>
        <v/>
      </c>
      <c r="Z66" s="290">
        <f>IF('Final Calculation Sheet'!$AA$13="","",'Final Calculation Sheet'!$AA$13)</f>
        <v/>
      </c>
      <c r="AA66" s="292">
        <f>IF('Final Calculation Sheet'!$AB$13="","",'Final Calculation Sheet'!$AB$13)</f>
        <v/>
      </c>
      <c r="AB66" s="290">
        <f>IF('Final Calculation Sheet'!$AC$13="","",'Final Calculation Sheet'!$AC$13)</f>
        <v/>
      </c>
      <c r="AC66" s="290">
        <f>IF('Final Calculation Sheet'!$AD$13="","",'Final Calculation Sheet'!$AD$13)</f>
        <v/>
      </c>
      <c r="AD66" s="292">
        <f>IF('Final Calculation Sheet'!$AD$13="","",IF('Final Calculation Sheet'!$AD$13&lt;=0,"SETTLED","OUTSTANDING"))</f>
        <v/>
      </c>
      <c r="AE66" s="292">
        <f>IF('Final Calculation Sheet'!$AE$13="","",'Final Calculation Sheet'!$AE$13)</f>
        <v/>
      </c>
      <c r="AF66" s="290">
        <f>IF('Final Calculation Sheet'!$AF$13="","",'Final Calculation Sheet'!$AF$13)</f>
        <v/>
      </c>
      <c r="AG66" s="292">
        <f>IF('Final Calculation Sheet'!$AG$13="","",'Final Calculation Sheet'!$AG$13)</f>
        <v/>
      </c>
    </row>
    <row r="67" outlineLevel="1" ht="15" customHeight="1">
      <c r="A67" s="368">
        <f>IF('Final Calculation Sheet'!$F$16="","",'Final Calculation Sheet'!$F$16)</f>
        <v/>
      </c>
      <c r="B67" s="367">
        <f>IF('Final Calculation Sheet'!$B$16="","",'Final Calculation Sheet'!$B$16)</f>
        <v/>
      </c>
      <c r="C67" s="368">
        <f>IF('Final Calculation Sheet'!$D$16="","",'Final Calculation Sheet'!$D$16)</f>
        <v/>
      </c>
      <c r="D67" s="369">
        <f>IF('Final Calculation Sheet'!$A$16="","",'Final Calculation Sheet'!$A$16)</f>
        <v/>
      </c>
      <c r="E67" s="370">
        <f>IF('Final Calculation Sheet'!$E$16="","",'Final Calculation Sheet'!$E$16)</f>
        <v/>
      </c>
      <c r="F67" s="368">
        <f>IF('Final Calculation Sheet'!$C$16="","",'Final Calculation Sheet'!$C$16)</f>
        <v/>
      </c>
      <c r="G67" s="368">
        <f>IF('Final Calculation Sheet'!$H$16="","",'Final Calculation Sheet'!$H$16)</f>
        <v/>
      </c>
      <c r="H67" s="368">
        <f>IF('Final Calculation Sheet'!$I$16="","",'Final Calculation Sheet'!$I$16)</f>
        <v/>
      </c>
      <c r="I67" s="368">
        <f>IF('Final Calculation Sheet'!$J$16="","",'Final Calculation Sheet'!$J$16)</f>
        <v/>
      </c>
      <c r="J67" s="368">
        <f>IF('Final Calculation Sheet'!$K$16="","",'Final Calculation Sheet'!$K$16)</f>
        <v/>
      </c>
      <c r="K67" s="371">
        <f>IF('Final Calculation Sheet'!$L$16="","",'Final Calculation Sheet'!$L$16)</f>
        <v/>
      </c>
      <c r="L67" s="371">
        <f>IF('Final Calculation Sheet'!$M$16="","",'Final Calculation Sheet'!$M$16)</f>
        <v/>
      </c>
      <c r="M67" s="371">
        <f>IF('Final Calculation Sheet'!$N$16="","",'Final Calculation Sheet'!$N$16)</f>
        <v/>
      </c>
      <c r="N67" s="371">
        <f>IF('Final Calculation Sheet'!$O$16="","",'Final Calculation Sheet'!$O$16)</f>
        <v/>
      </c>
      <c r="O67" s="368">
        <f>IF('Final Calculation Sheet'!$P$16="","",'Final Calculation Sheet'!$P$16)</f>
        <v/>
      </c>
      <c r="P67" s="372">
        <f>IF('Final Calculation Sheet'!$Q$16="","",'Final Calculation Sheet'!$Q$16)</f>
        <v/>
      </c>
      <c r="Q67" s="368">
        <f>IF('Final Calculation Sheet'!$R$16="","",'Final Calculation Sheet'!$R$16)</f>
        <v/>
      </c>
      <c r="R67" s="368">
        <f>IF('Final Calculation Sheet'!$S$16="","",'Final Calculation Sheet'!$S$16)</f>
        <v/>
      </c>
      <c r="S67" s="368">
        <f>IF('Final Calculation Sheet'!$T$16="","",'Final Calculation Sheet'!$T$16)</f>
        <v/>
      </c>
      <c r="T67" s="368">
        <f>IF('Final Calculation Sheet'!$U$16="","",'Final Calculation Sheet'!$U$16)</f>
        <v/>
      </c>
      <c r="U67" s="370">
        <f>IF('Final Calculation Sheet'!$V$16="","",'Final Calculation Sheet'!$V$16)</f>
        <v/>
      </c>
      <c r="V67" s="368">
        <f>IF('Final Calculation Sheet'!$W$16="","",'Final Calculation Sheet'!$W$16)</f>
        <v/>
      </c>
      <c r="W67" s="368">
        <f>IF('Final Calculation Sheet'!$X$16="","",'Final Calculation Sheet'!$X$16)</f>
        <v/>
      </c>
      <c r="X67" s="370">
        <f>IF('Final Calculation Sheet'!$Y$16="","",'Final Calculation Sheet'!$Y$16)</f>
        <v/>
      </c>
      <c r="Y67" s="368">
        <f>IF('Final Calculation Sheet'!$Z$16="","",'Final Calculation Sheet'!$Z$16)</f>
        <v/>
      </c>
      <c r="Z67" s="368">
        <f>IF('Final Calculation Sheet'!$AA$16="","",'Final Calculation Sheet'!$AA$16)</f>
        <v/>
      </c>
      <c r="AA67" s="370">
        <f>IF('Final Calculation Sheet'!$AB$16="","",'Final Calculation Sheet'!$AB$16)</f>
        <v/>
      </c>
      <c r="AB67" s="368">
        <f>IF('Final Calculation Sheet'!$AC$16="","",'Final Calculation Sheet'!$AC$16)</f>
        <v/>
      </c>
      <c r="AC67" s="368">
        <f>IF('Final Calculation Sheet'!$AD$16="","",'Final Calculation Sheet'!$AD$16)</f>
        <v/>
      </c>
      <c r="AD67" s="370">
        <f>IF('Final Calculation Sheet'!$AD$16="","",IF('Final Calculation Sheet'!$AD$16&lt;=0,"SETTLED","OUTSTANDING"))</f>
        <v/>
      </c>
      <c r="AE67" s="370">
        <f>IF('Final Calculation Sheet'!$AE$16="","",'Final Calculation Sheet'!$AE$16)</f>
        <v/>
      </c>
      <c r="AF67" s="368">
        <f>IF('Final Calculation Sheet'!$AF$16="","",'Final Calculation Sheet'!$AF$16)</f>
        <v/>
      </c>
      <c r="AG67" s="370">
        <f>IF('Final Calculation Sheet'!$AG$16="","",'Final Calculation Sheet'!$AG$16)</f>
        <v/>
      </c>
    </row>
    <row r="68" outlineLevel="1" ht="15" customHeight="1">
      <c r="A68" s="290">
        <f>IF('Final Calculation Sheet'!$F$17="","",'Final Calculation Sheet'!$F$17)</f>
        <v/>
      </c>
      <c r="B68" s="289">
        <f>IF('Final Calculation Sheet'!$B$17="","",'Final Calculation Sheet'!$B$17)</f>
        <v/>
      </c>
      <c r="C68" s="290">
        <f>IF('Final Calculation Sheet'!$D$17="","",'Final Calculation Sheet'!$D$17)</f>
        <v/>
      </c>
      <c r="D68" s="291">
        <f>IF('Final Calculation Sheet'!$A$17="","",'Final Calculation Sheet'!$A$17)</f>
        <v/>
      </c>
      <c r="E68" s="292">
        <f>IF('Final Calculation Sheet'!$E$17="","",'Final Calculation Sheet'!$E$17)</f>
        <v/>
      </c>
      <c r="F68" s="290">
        <f>IF('Final Calculation Sheet'!$C$17="","",'Final Calculation Sheet'!$C$17)</f>
        <v/>
      </c>
      <c r="G68" s="290">
        <f>IF('Final Calculation Sheet'!$H$17="","",'Final Calculation Sheet'!$H$17)</f>
        <v/>
      </c>
      <c r="H68" s="290">
        <f>IF('Final Calculation Sheet'!$I$17="","",'Final Calculation Sheet'!$I$17)</f>
        <v/>
      </c>
      <c r="I68" s="290">
        <f>IF('Final Calculation Sheet'!$J$17="","",'Final Calculation Sheet'!$J$17)</f>
        <v/>
      </c>
      <c r="J68" s="290">
        <f>IF('Final Calculation Sheet'!$K$17="","",'Final Calculation Sheet'!$K$17)</f>
        <v/>
      </c>
      <c r="K68" s="293">
        <f>IF('Final Calculation Sheet'!$L$17="","",'Final Calculation Sheet'!$L$17)</f>
        <v/>
      </c>
      <c r="L68" s="293">
        <f>IF('Final Calculation Sheet'!$M$17="","",'Final Calculation Sheet'!$M$17)</f>
        <v/>
      </c>
      <c r="M68" s="293">
        <f>IF('Final Calculation Sheet'!$N$17="","",'Final Calculation Sheet'!$N$17)</f>
        <v/>
      </c>
      <c r="N68" s="293">
        <f>IF('Final Calculation Sheet'!$O$17="","",'Final Calculation Sheet'!$O$17)</f>
        <v/>
      </c>
      <c r="O68" s="290">
        <f>IF('Final Calculation Sheet'!$P$17="","",'Final Calculation Sheet'!$P$17)</f>
        <v/>
      </c>
      <c r="P68" s="294">
        <f>IF('Final Calculation Sheet'!$Q$17="","",'Final Calculation Sheet'!$Q$17)</f>
        <v/>
      </c>
      <c r="Q68" s="290">
        <f>IF('Final Calculation Sheet'!$R$17="","",'Final Calculation Sheet'!$R$17)</f>
        <v/>
      </c>
      <c r="R68" s="290">
        <f>IF('Final Calculation Sheet'!$S$17="","",'Final Calculation Sheet'!$S$17)</f>
        <v/>
      </c>
      <c r="S68" s="290">
        <f>IF('Final Calculation Sheet'!$T$17="","",'Final Calculation Sheet'!$T$17)</f>
        <v/>
      </c>
      <c r="T68" s="290">
        <f>IF('Final Calculation Sheet'!$U$17="","",'Final Calculation Sheet'!$U$17)</f>
        <v/>
      </c>
      <c r="U68" s="292">
        <f>IF('Final Calculation Sheet'!$V$17="","",'Final Calculation Sheet'!$V$17)</f>
        <v/>
      </c>
      <c r="V68" s="290">
        <f>IF('Final Calculation Sheet'!$W$17="","",'Final Calculation Sheet'!$W$17)</f>
        <v/>
      </c>
      <c r="W68" s="290">
        <f>IF('Final Calculation Sheet'!$X$17="","",'Final Calculation Sheet'!$X$17)</f>
        <v/>
      </c>
      <c r="X68" s="292">
        <f>IF('Final Calculation Sheet'!$Y$17="","",'Final Calculation Sheet'!$Y$17)</f>
        <v/>
      </c>
      <c r="Y68" s="290">
        <f>IF('Final Calculation Sheet'!$Z$17="","",'Final Calculation Sheet'!$Z$17)</f>
        <v/>
      </c>
      <c r="Z68" s="290">
        <f>IF('Final Calculation Sheet'!$AA$17="","",'Final Calculation Sheet'!$AA$17)</f>
        <v/>
      </c>
      <c r="AA68" s="292">
        <f>IF('Final Calculation Sheet'!$AB$17="","",'Final Calculation Sheet'!$AB$17)</f>
        <v/>
      </c>
      <c r="AB68" s="290">
        <f>IF('Final Calculation Sheet'!$AC$17="","",'Final Calculation Sheet'!$AC$17)</f>
        <v/>
      </c>
      <c r="AC68" s="290">
        <f>IF('Final Calculation Sheet'!$AD$17="","",'Final Calculation Sheet'!$AD$17)</f>
        <v/>
      </c>
      <c r="AD68" s="292">
        <f>IF('Final Calculation Sheet'!$AD$17="","",IF('Final Calculation Sheet'!$AD$17&lt;=0,"SETTLED","OUTSTANDING"))</f>
        <v/>
      </c>
      <c r="AE68" s="292">
        <f>IF('Final Calculation Sheet'!$AE$17="","",'Final Calculation Sheet'!$AE$17)</f>
        <v/>
      </c>
      <c r="AF68" s="290">
        <f>IF('Final Calculation Sheet'!$AF$17="","",'Final Calculation Sheet'!$AF$17)</f>
        <v/>
      </c>
      <c r="AG68" s="292">
        <f>IF('Final Calculation Sheet'!$AG$17="","",'Final Calculation Sheet'!$AG$17)</f>
        <v/>
      </c>
    </row>
    <row r="69" outlineLevel="1" ht="15" customHeight="1">
      <c r="A69" s="368">
        <f>IF('Final Calculation Sheet'!$F$23="","",'Final Calculation Sheet'!$F$23)</f>
        <v/>
      </c>
      <c r="B69" s="367">
        <f>IF('Final Calculation Sheet'!$B$23="","",'Final Calculation Sheet'!$B$23)</f>
        <v/>
      </c>
      <c r="C69" s="368">
        <f>IF('Final Calculation Sheet'!$D$23="","",'Final Calculation Sheet'!$D$23)</f>
        <v/>
      </c>
      <c r="D69" s="369">
        <f>IF('Final Calculation Sheet'!$A$23="","",'Final Calculation Sheet'!$A$23)</f>
        <v/>
      </c>
      <c r="E69" s="370">
        <f>IF('Final Calculation Sheet'!$E$23="","",'Final Calculation Sheet'!$E$23)</f>
        <v/>
      </c>
      <c r="F69" s="368">
        <f>IF('Final Calculation Sheet'!$C$23="","",'Final Calculation Sheet'!$C$23)</f>
        <v/>
      </c>
      <c r="G69" s="368">
        <f>IF('Final Calculation Sheet'!$H$23="","",'Final Calculation Sheet'!$H$23)</f>
        <v/>
      </c>
      <c r="H69" s="368">
        <f>IF('Final Calculation Sheet'!$I$23="","",'Final Calculation Sheet'!$I$23)</f>
        <v/>
      </c>
      <c r="I69" s="368">
        <f>IF('Final Calculation Sheet'!$J$23="","",'Final Calculation Sheet'!$J$23)</f>
        <v/>
      </c>
      <c r="J69" s="368">
        <f>IF('Final Calculation Sheet'!$K$23="","",'Final Calculation Sheet'!$K$23)</f>
        <v/>
      </c>
      <c r="K69" s="371">
        <f>IF('Final Calculation Sheet'!$L$23="","",'Final Calculation Sheet'!$L$23)</f>
        <v/>
      </c>
      <c r="L69" s="371">
        <f>IF('Final Calculation Sheet'!$M$23="","",'Final Calculation Sheet'!$M$23)</f>
        <v/>
      </c>
      <c r="M69" s="371">
        <f>IF('Final Calculation Sheet'!$N$23="","",'Final Calculation Sheet'!$N$23)</f>
        <v/>
      </c>
      <c r="N69" s="371">
        <f>IF('Final Calculation Sheet'!$O$23="","",'Final Calculation Sheet'!$O$23)</f>
        <v/>
      </c>
      <c r="O69" s="368">
        <f>IF('Final Calculation Sheet'!$P$23="","",'Final Calculation Sheet'!$P$23)</f>
        <v/>
      </c>
      <c r="P69" s="372">
        <f>IF('Final Calculation Sheet'!$Q$23="","",'Final Calculation Sheet'!$Q$23)</f>
        <v/>
      </c>
      <c r="Q69" s="368">
        <f>IF('Final Calculation Sheet'!$R$23="","",'Final Calculation Sheet'!$R$23)</f>
        <v/>
      </c>
      <c r="R69" s="368">
        <f>IF('Final Calculation Sheet'!$S$23="","",'Final Calculation Sheet'!$S$23)</f>
        <v/>
      </c>
      <c r="S69" s="368">
        <f>IF('Final Calculation Sheet'!$T$23="","",'Final Calculation Sheet'!$T$23)</f>
        <v/>
      </c>
      <c r="T69" s="368">
        <f>IF('Final Calculation Sheet'!$U$23="","",'Final Calculation Sheet'!$U$23)</f>
        <v/>
      </c>
      <c r="U69" s="370">
        <f>IF('Final Calculation Sheet'!$V$23="","",'Final Calculation Sheet'!$V$23)</f>
        <v/>
      </c>
      <c r="V69" s="368">
        <f>IF('Final Calculation Sheet'!$W$23="","",'Final Calculation Sheet'!$W$23)</f>
        <v/>
      </c>
      <c r="W69" s="368">
        <f>IF('Final Calculation Sheet'!$X$23="","",'Final Calculation Sheet'!$X$23)</f>
        <v/>
      </c>
      <c r="X69" s="370">
        <f>IF('Final Calculation Sheet'!$Y$23="","",'Final Calculation Sheet'!$Y$23)</f>
        <v/>
      </c>
      <c r="Y69" s="368">
        <f>IF('Final Calculation Sheet'!$Z$23="","",'Final Calculation Sheet'!$Z$23)</f>
        <v/>
      </c>
      <c r="Z69" s="368">
        <f>IF('Final Calculation Sheet'!$AA$23="","",'Final Calculation Sheet'!$AA$23)</f>
        <v/>
      </c>
      <c r="AA69" s="370">
        <f>IF('Final Calculation Sheet'!$AB$23="","",'Final Calculation Sheet'!$AB$23)</f>
        <v/>
      </c>
      <c r="AB69" s="368">
        <f>IF('Final Calculation Sheet'!$AC$23="","",'Final Calculation Sheet'!$AC$23)</f>
        <v/>
      </c>
      <c r="AC69" s="368">
        <f>IF('Final Calculation Sheet'!$AD$23="","",'Final Calculation Sheet'!$AD$23)</f>
        <v/>
      </c>
      <c r="AD69" s="370">
        <f>IF('Final Calculation Sheet'!$AD$23="","",IF('Final Calculation Sheet'!$AD$23&lt;=0,"SETTLED","OUTSTANDING"))</f>
        <v/>
      </c>
      <c r="AE69" s="370">
        <f>IF('Final Calculation Sheet'!$AE$23="","",'Final Calculation Sheet'!$AE$23)</f>
        <v/>
      </c>
      <c r="AF69" s="368">
        <f>IF('Final Calculation Sheet'!$AF$23="","",'Final Calculation Sheet'!$AF$23)</f>
        <v/>
      </c>
      <c r="AG69" s="370">
        <f>IF('Final Calculation Sheet'!$AG$23="","",'Final Calculation Sheet'!$AG$23)</f>
        <v/>
      </c>
    </row>
    <row r="70" outlineLevel="1" ht="15" customHeight="1">
      <c r="A70" s="290">
        <f>IF('Final Calculation Sheet'!$F$29="","",'Final Calculation Sheet'!$F$29)</f>
        <v/>
      </c>
      <c r="B70" s="289">
        <f>IF('Final Calculation Sheet'!$B$29="","",'Final Calculation Sheet'!$B$29)</f>
        <v/>
      </c>
      <c r="C70" s="290">
        <f>IF('Final Calculation Sheet'!$D$29="","",'Final Calculation Sheet'!$D$29)</f>
        <v/>
      </c>
      <c r="D70" s="291">
        <f>IF('Final Calculation Sheet'!$A$29="","",'Final Calculation Sheet'!$A$29)</f>
        <v/>
      </c>
      <c r="E70" s="292">
        <f>IF('Final Calculation Sheet'!$E$29="","",'Final Calculation Sheet'!$E$29)</f>
        <v/>
      </c>
      <c r="F70" s="290">
        <f>IF('Final Calculation Sheet'!$C$29="","",'Final Calculation Sheet'!$C$29)</f>
        <v/>
      </c>
      <c r="G70" s="290">
        <f>IF('Final Calculation Sheet'!$H$29="","",'Final Calculation Sheet'!$H$29)</f>
        <v/>
      </c>
      <c r="H70" s="290">
        <f>IF('Final Calculation Sheet'!$I$29="","",'Final Calculation Sheet'!$I$29)</f>
        <v/>
      </c>
      <c r="I70" s="290">
        <f>IF('Final Calculation Sheet'!$J$29="","",'Final Calculation Sheet'!$J$29)</f>
        <v/>
      </c>
      <c r="J70" s="290">
        <f>IF('Final Calculation Sheet'!$K$29="","",'Final Calculation Sheet'!$K$29)</f>
        <v/>
      </c>
      <c r="K70" s="293">
        <f>IF('Final Calculation Sheet'!$L$29="","",'Final Calculation Sheet'!$L$29)</f>
        <v/>
      </c>
      <c r="L70" s="293">
        <f>IF('Final Calculation Sheet'!$M$29="","",'Final Calculation Sheet'!$M$29)</f>
        <v/>
      </c>
      <c r="M70" s="293">
        <f>IF('Final Calculation Sheet'!$N$29="","",'Final Calculation Sheet'!$N$29)</f>
        <v/>
      </c>
      <c r="N70" s="293">
        <f>IF('Final Calculation Sheet'!$O$29="","",'Final Calculation Sheet'!$O$29)</f>
        <v/>
      </c>
      <c r="O70" s="290">
        <f>IF('Final Calculation Sheet'!$P$29="","",'Final Calculation Sheet'!$P$29)</f>
        <v/>
      </c>
      <c r="P70" s="294">
        <f>IF('Final Calculation Sheet'!$Q$29="","",'Final Calculation Sheet'!$Q$29)</f>
        <v/>
      </c>
      <c r="Q70" s="290">
        <f>IF('Final Calculation Sheet'!$R$29="","",'Final Calculation Sheet'!$R$29)</f>
        <v/>
      </c>
      <c r="R70" s="290">
        <f>IF('Final Calculation Sheet'!$S$29="","",'Final Calculation Sheet'!$S$29)</f>
        <v/>
      </c>
      <c r="S70" s="290">
        <f>IF('Final Calculation Sheet'!$T$29="","",'Final Calculation Sheet'!$T$29)</f>
        <v/>
      </c>
      <c r="T70" s="290">
        <f>IF('Final Calculation Sheet'!$U$29="","",'Final Calculation Sheet'!$U$29)</f>
        <v/>
      </c>
      <c r="U70" s="292">
        <f>IF('Final Calculation Sheet'!$V$29="","",'Final Calculation Sheet'!$V$29)</f>
        <v/>
      </c>
      <c r="V70" s="290">
        <f>IF('Final Calculation Sheet'!$W$29="","",'Final Calculation Sheet'!$W$29)</f>
        <v/>
      </c>
      <c r="W70" s="290">
        <f>IF('Final Calculation Sheet'!$X$29="","",'Final Calculation Sheet'!$X$29)</f>
        <v/>
      </c>
      <c r="X70" s="292">
        <f>IF('Final Calculation Sheet'!$Y$29="","",'Final Calculation Sheet'!$Y$29)</f>
        <v/>
      </c>
      <c r="Y70" s="290">
        <f>IF('Final Calculation Sheet'!$Z$29="","",'Final Calculation Sheet'!$Z$29)</f>
        <v/>
      </c>
      <c r="Z70" s="290">
        <f>IF('Final Calculation Sheet'!$AA$29="","",'Final Calculation Sheet'!$AA$29)</f>
        <v/>
      </c>
      <c r="AA70" s="292">
        <f>IF('Final Calculation Sheet'!$AB$29="","",'Final Calculation Sheet'!$AB$29)</f>
        <v/>
      </c>
      <c r="AB70" s="290">
        <f>IF('Final Calculation Sheet'!$AC$29="","",'Final Calculation Sheet'!$AC$29)</f>
        <v/>
      </c>
      <c r="AC70" s="290">
        <f>IF('Final Calculation Sheet'!$AD$29="","",'Final Calculation Sheet'!$AD$29)</f>
        <v/>
      </c>
      <c r="AD70" s="292">
        <f>IF('Final Calculation Sheet'!$AD$29="","",IF('Final Calculation Sheet'!$AD$29&lt;=0,"SETTLED","OUTSTANDING"))</f>
        <v/>
      </c>
      <c r="AE70" s="292">
        <f>IF('Final Calculation Sheet'!$AE$29="","",'Final Calculation Sheet'!$AE$29)</f>
        <v/>
      </c>
      <c r="AF70" s="290">
        <f>IF('Final Calculation Sheet'!$AF$29="","",'Final Calculation Sheet'!$AF$29)</f>
        <v/>
      </c>
      <c r="AG70" s="292">
        <f>IF('Final Calculation Sheet'!$AG$29="","",'Final Calculation Sheet'!$AG$29)</f>
        <v/>
      </c>
    </row>
    <row r="71" outlineLevel="1" ht="15" customHeight="1">
      <c r="A71" s="368">
        <f>IF('Final Calculation Sheet'!$F$34="","",'Final Calculation Sheet'!$F$34)</f>
        <v/>
      </c>
      <c r="B71" s="367">
        <f>IF('Final Calculation Sheet'!$B$34="","",'Final Calculation Sheet'!$B$34)</f>
        <v/>
      </c>
      <c r="C71" s="368">
        <f>IF('Final Calculation Sheet'!$D$34="","",'Final Calculation Sheet'!$D$34)</f>
        <v/>
      </c>
      <c r="D71" s="369">
        <f>IF('Final Calculation Sheet'!$A$34="","",'Final Calculation Sheet'!$A$34)</f>
        <v/>
      </c>
      <c r="E71" s="370">
        <f>IF('Final Calculation Sheet'!$E$34="","",'Final Calculation Sheet'!$E$34)</f>
        <v/>
      </c>
      <c r="F71" s="368">
        <f>IF('Final Calculation Sheet'!$C$34="","",'Final Calculation Sheet'!$C$34)</f>
        <v/>
      </c>
      <c r="G71" s="368">
        <f>IF('Final Calculation Sheet'!$H$34="","",'Final Calculation Sheet'!$H$34)</f>
        <v/>
      </c>
      <c r="H71" s="368">
        <f>IF('Final Calculation Sheet'!$I$34="","",'Final Calculation Sheet'!$I$34)</f>
        <v/>
      </c>
      <c r="I71" s="368">
        <f>IF('Final Calculation Sheet'!$J$34="","",'Final Calculation Sheet'!$J$34)</f>
        <v/>
      </c>
      <c r="J71" s="368">
        <f>IF('Final Calculation Sheet'!$K$34="","",'Final Calculation Sheet'!$K$34)</f>
        <v/>
      </c>
      <c r="K71" s="371">
        <f>IF('Final Calculation Sheet'!$L$34="","",'Final Calculation Sheet'!$L$34)</f>
        <v/>
      </c>
      <c r="L71" s="371">
        <f>IF('Final Calculation Sheet'!$M$34="","",'Final Calculation Sheet'!$M$34)</f>
        <v/>
      </c>
      <c r="M71" s="371">
        <f>IF('Final Calculation Sheet'!$N$34="","",'Final Calculation Sheet'!$N$34)</f>
        <v/>
      </c>
      <c r="N71" s="371">
        <f>IF('Final Calculation Sheet'!$O$34="","",'Final Calculation Sheet'!$O$34)</f>
        <v/>
      </c>
      <c r="O71" s="368">
        <f>IF('Final Calculation Sheet'!$P$34="","",'Final Calculation Sheet'!$P$34)</f>
        <v/>
      </c>
      <c r="P71" s="372">
        <f>IF('Final Calculation Sheet'!$Q$34="","",'Final Calculation Sheet'!$Q$34)</f>
        <v/>
      </c>
      <c r="Q71" s="368">
        <f>IF('Final Calculation Sheet'!$R$34="","",'Final Calculation Sheet'!$R$34)</f>
        <v/>
      </c>
      <c r="R71" s="368">
        <f>IF('Final Calculation Sheet'!$S$34="","",'Final Calculation Sheet'!$S$34)</f>
        <v/>
      </c>
      <c r="S71" s="368">
        <f>IF('Final Calculation Sheet'!$T$34="","",'Final Calculation Sheet'!$T$34)</f>
        <v/>
      </c>
      <c r="T71" s="368">
        <f>IF('Final Calculation Sheet'!$U$34="","",'Final Calculation Sheet'!$U$34)</f>
        <v/>
      </c>
      <c r="U71" s="370">
        <f>IF('Final Calculation Sheet'!$V$34="","",'Final Calculation Sheet'!$V$34)</f>
        <v/>
      </c>
      <c r="V71" s="368">
        <f>IF('Final Calculation Sheet'!$W$34="","",'Final Calculation Sheet'!$W$34)</f>
        <v/>
      </c>
      <c r="W71" s="368">
        <f>IF('Final Calculation Sheet'!$X$34="","",'Final Calculation Sheet'!$X$34)</f>
        <v/>
      </c>
      <c r="X71" s="370">
        <f>IF('Final Calculation Sheet'!$Y$34="","",'Final Calculation Sheet'!$Y$34)</f>
        <v/>
      </c>
      <c r="Y71" s="368">
        <f>IF('Final Calculation Sheet'!$Z$34="","",'Final Calculation Sheet'!$Z$34)</f>
        <v/>
      </c>
      <c r="Z71" s="368">
        <f>IF('Final Calculation Sheet'!$AA$34="","",'Final Calculation Sheet'!$AA$34)</f>
        <v/>
      </c>
      <c r="AA71" s="370">
        <f>IF('Final Calculation Sheet'!$AB$34="","",'Final Calculation Sheet'!$AB$34)</f>
        <v/>
      </c>
      <c r="AB71" s="368">
        <f>IF('Final Calculation Sheet'!$AC$34="","",'Final Calculation Sheet'!$AC$34)</f>
        <v/>
      </c>
      <c r="AC71" s="368">
        <f>IF('Final Calculation Sheet'!$AD$34="","",'Final Calculation Sheet'!$AD$34)</f>
        <v/>
      </c>
      <c r="AD71" s="370">
        <f>IF('Final Calculation Sheet'!$AD$34="","",IF('Final Calculation Sheet'!$AD$34&lt;=0,"SETTLED","OUTSTANDING"))</f>
        <v/>
      </c>
      <c r="AE71" s="370">
        <f>IF('Final Calculation Sheet'!$AE$34="","",'Final Calculation Sheet'!$AE$34)</f>
        <v/>
      </c>
      <c r="AF71" s="368">
        <f>IF('Final Calculation Sheet'!$AF$34="","",'Final Calculation Sheet'!$AF$34)</f>
        <v/>
      </c>
      <c r="AG71" s="370">
        <f>IF('Final Calculation Sheet'!$AG$34="","",'Final Calculation Sheet'!$AG$34)</f>
        <v/>
      </c>
    </row>
    <row r="72" outlineLevel="1" ht="15" customHeight="1">
      <c r="A72" s="290">
        <f>IF('Final Calculation Sheet'!$F$36="","",'Final Calculation Sheet'!$F$36)</f>
        <v/>
      </c>
      <c r="B72" s="289">
        <f>IF('Final Calculation Sheet'!$B$36="","",'Final Calculation Sheet'!$B$36)</f>
        <v/>
      </c>
      <c r="C72" s="290">
        <f>IF('Final Calculation Sheet'!$D$36="","",'Final Calculation Sheet'!$D$36)</f>
        <v/>
      </c>
      <c r="D72" s="291">
        <f>IF('Final Calculation Sheet'!$A$36="","",'Final Calculation Sheet'!$A$36)</f>
        <v/>
      </c>
      <c r="E72" s="292">
        <f>IF('Final Calculation Sheet'!$E$36="","",'Final Calculation Sheet'!$E$36)</f>
        <v/>
      </c>
      <c r="F72" s="290">
        <f>IF('Final Calculation Sheet'!$C$36="","",'Final Calculation Sheet'!$C$36)</f>
        <v/>
      </c>
      <c r="G72" s="290">
        <f>IF('Final Calculation Sheet'!$H$36="","",'Final Calculation Sheet'!$H$36)</f>
        <v/>
      </c>
      <c r="H72" s="290">
        <f>IF('Final Calculation Sheet'!$I$36="","",'Final Calculation Sheet'!$I$36)</f>
        <v/>
      </c>
      <c r="I72" s="290">
        <f>IF('Final Calculation Sheet'!$J$36="","",'Final Calculation Sheet'!$J$36)</f>
        <v/>
      </c>
      <c r="J72" s="290">
        <f>IF('Final Calculation Sheet'!$K$36="","",'Final Calculation Sheet'!$K$36)</f>
        <v/>
      </c>
      <c r="K72" s="293">
        <f>IF('Final Calculation Sheet'!$L$36="","",'Final Calculation Sheet'!$L$36)</f>
        <v/>
      </c>
      <c r="L72" s="293">
        <f>IF('Final Calculation Sheet'!$M$36="","",'Final Calculation Sheet'!$M$36)</f>
        <v/>
      </c>
      <c r="M72" s="293">
        <f>IF('Final Calculation Sheet'!$N$36="","",'Final Calculation Sheet'!$N$36)</f>
        <v/>
      </c>
      <c r="N72" s="293">
        <f>IF('Final Calculation Sheet'!$O$36="","",'Final Calculation Sheet'!$O$36)</f>
        <v/>
      </c>
      <c r="O72" s="290">
        <f>IF('Final Calculation Sheet'!$P$36="","",'Final Calculation Sheet'!$P$36)</f>
        <v/>
      </c>
      <c r="P72" s="294">
        <f>IF('Final Calculation Sheet'!$Q$36="","",'Final Calculation Sheet'!$Q$36)</f>
        <v/>
      </c>
      <c r="Q72" s="290">
        <f>IF('Final Calculation Sheet'!$R$36="","",'Final Calculation Sheet'!$R$36)</f>
        <v/>
      </c>
      <c r="R72" s="290">
        <f>IF('Final Calculation Sheet'!$S$36="","",'Final Calculation Sheet'!$S$36)</f>
        <v/>
      </c>
      <c r="S72" s="290">
        <f>IF('Final Calculation Sheet'!$T$36="","",'Final Calculation Sheet'!$T$36)</f>
        <v/>
      </c>
      <c r="T72" s="290">
        <f>IF('Final Calculation Sheet'!$U$36="","",'Final Calculation Sheet'!$U$36)</f>
        <v/>
      </c>
      <c r="U72" s="292">
        <f>IF('Final Calculation Sheet'!$V$36="","",'Final Calculation Sheet'!$V$36)</f>
        <v/>
      </c>
      <c r="V72" s="290">
        <f>IF('Final Calculation Sheet'!$W$36="","",'Final Calculation Sheet'!$W$36)</f>
        <v/>
      </c>
      <c r="W72" s="290">
        <f>IF('Final Calculation Sheet'!$X$36="","",'Final Calculation Sheet'!$X$36)</f>
        <v/>
      </c>
      <c r="X72" s="292">
        <f>IF('Final Calculation Sheet'!$Y$36="","",'Final Calculation Sheet'!$Y$36)</f>
        <v/>
      </c>
      <c r="Y72" s="290">
        <f>IF('Final Calculation Sheet'!$Z$36="","",'Final Calculation Sheet'!$Z$36)</f>
        <v/>
      </c>
      <c r="Z72" s="290">
        <f>IF('Final Calculation Sheet'!$AA$36="","",'Final Calculation Sheet'!$AA$36)</f>
        <v/>
      </c>
      <c r="AA72" s="292">
        <f>IF('Final Calculation Sheet'!$AB$36="","",'Final Calculation Sheet'!$AB$36)</f>
        <v/>
      </c>
      <c r="AB72" s="290">
        <f>IF('Final Calculation Sheet'!$AC$36="","",'Final Calculation Sheet'!$AC$36)</f>
        <v/>
      </c>
      <c r="AC72" s="290">
        <f>IF('Final Calculation Sheet'!$AD$36="","",'Final Calculation Sheet'!$AD$36)</f>
        <v/>
      </c>
      <c r="AD72" s="292">
        <f>IF('Final Calculation Sheet'!$AD$36="","",IF('Final Calculation Sheet'!$AD$36&lt;=0,"SETTLED","OUTSTANDING"))</f>
        <v/>
      </c>
      <c r="AE72" s="292">
        <f>IF('Final Calculation Sheet'!$AE$36="","",'Final Calculation Sheet'!$AE$36)</f>
        <v/>
      </c>
      <c r="AF72" s="290">
        <f>IF('Final Calculation Sheet'!$AF$36="","",'Final Calculation Sheet'!$AF$36)</f>
        <v/>
      </c>
      <c r="AG72" s="292">
        <f>IF('Final Calculation Sheet'!$AG$36="","",'Final Calculation Sheet'!$AG$36)</f>
        <v/>
      </c>
    </row>
    <row r="73" ht="20" customHeight="1">
      <c r="A73" s="283" t="inlineStr">
        <is>
          <t>∑  STERLING ENTERPRISES — TOTALS</t>
        </is>
      </c>
      <c r="B73" s="394" t="inlineStr">
        <is>
          <t>–</t>
        </is>
      </c>
      <c r="C73" s="394" t="inlineStr">
        <is>
          <t>–</t>
        </is>
      </c>
      <c r="D73" s="286">
        <f>SUM(D66:D72)</f>
        <v/>
      </c>
      <c r="E73" s="394" t="inlineStr">
        <is>
          <t>–</t>
        </is>
      </c>
      <c r="F73" s="394" t="inlineStr">
        <is>
          <t>–</t>
        </is>
      </c>
      <c r="G73" s="287">
        <f>SUM(G66:G72)</f>
        <v/>
      </c>
      <c r="H73" s="287">
        <f>SUM(H66:H72)</f>
        <v/>
      </c>
      <c r="I73" s="287">
        <f>SUM(I66:I72)</f>
        <v/>
      </c>
      <c r="J73" s="287">
        <f>SUM(J66:J72)</f>
        <v/>
      </c>
      <c r="K73" s="288">
        <f>SUM(K66:K72)</f>
        <v/>
      </c>
      <c r="L73" s="288">
        <f>SUM(L66:L72)</f>
        <v/>
      </c>
      <c r="M73" s="288">
        <f>SUM(M66:M72)</f>
        <v/>
      </c>
      <c r="N73" s="288">
        <f>SUM(N66:N72)</f>
        <v/>
      </c>
      <c r="O73" s="287">
        <f>SUM(O66:O72)</f>
        <v/>
      </c>
      <c r="P73" s="394" t="inlineStr">
        <is>
          <t>–</t>
        </is>
      </c>
      <c r="Q73" s="287">
        <f>SUM(Q66:Q72)</f>
        <v/>
      </c>
      <c r="R73" s="287">
        <f>SUM(R66:R72)</f>
        <v/>
      </c>
      <c r="S73" s="287">
        <f>SUM(S66:S72)</f>
        <v/>
      </c>
      <c r="T73" s="287">
        <f>SUM(T66:T72)</f>
        <v/>
      </c>
      <c r="U73" s="394" t="inlineStr">
        <is>
          <t>–</t>
        </is>
      </c>
      <c r="V73" s="287">
        <f>SUM(V66:V72)</f>
        <v/>
      </c>
      <c r="W73" s="287">
        <f>SUM(W66:W72)</f>
        <v/>
      </c>
      <c r="X73" s="394" t="inlineStr">
        <is>
          <t>–</t>
        </is>
      </c>
      <c r="Y73" s="287">
        <f>SUM(Y66:Y72)</f>
        <v/>
      </c>
      <c r="Z73" s="287">
        <f>SUM(Z66:Z72)</f>
        <v/>
      </c>
      <c r="AA73" s="394" t="inlineStr">
        <is>
          <t>–</t>
        </is>
      </c>
      <c r="AB73" s="287">
        <f>SUM(AB66:AB72)</f>
        <v/>
      </c>
      <c r="AC73" s="287">
        <f>SUM(AC66:AC72)</f>
        <v/>
      </c>
      <c r="AD73" s="394" t="inlineStr">
        <is>
          <t>–</t>
        </is>
      </c>
      <c r="AE73" s="394" t="inlineStr">
        <is>
          <t>–</t>
        </is>
      </c>
      <c r="AF73" s="394" t="inlineStr">
        <is>
          <t>–</t>
        </is>
      </c>
      <c r="AG73" s="394" t="inlineStr">
        <is>
          <t>–</t>
        </is>
      </c>
    </row>
    <row r="74" ht="7" customHeight="1">
      <c r="A74" s="82" t="n"/>
      <c r="B74" s="82" t="n"/>
      <c r="C74" s="82" t="n"/>
      <c r="D74" s="82" t="n"/>
      <c r="E74" s="82" t="n"/>
      <c r="F74" s="82" t="n"/>
      <c r="G74" s="82" t="n"/>
      <c r="H74" s="82" t="n"/>
      <c r="I74" s="82" t="n"/>
      <c r="J74" s="82" t="n"/>
      <c r="K74" s="82" t="n"/>
      <c r="L74" s="82" t="n"/>
      <c r="M74" s="82" t="n"/>
      <c r="N74" s="82" t="n"/>
      <c r="O74" s="82" t="n"/>
      <c r="P74" s="82" t="n"/>
      <c r="Q74" s="82" t="n"/>
      <c r="R74" s="82" t="n"/>
      <c r="S74" s="82" t="n"/>
      <c r="T74" s="82" t="n"/>
      <c r="U74" s="82" t="n"/>
      <c r="V74" s="82" t="n"/>
      <c r="W74" s="82" t="n"/>
      <c r="X74" s="82" t="n"/>
      <c r="Y74" s="82" t="n"/>
      <c r="Z74" s="82" t="n"/>
      <c r="AA74" s="82" t="n"/>
      <c r="AB74" s="82" t="n"/>
      <c r="AC74" s="82" t="n"/>
      <c r="AD74" s="82" t="n"/>
      <c r="AE74" s="82" t="n"/>
      <c r="AF74" s="82" t="n"/>
      <c r="AG74" s="82" t="n"/>
    </row>
    <row r="75" ht="24" customHeight="1">
      <c r="A75" s="117">
        <f>"▼  WATAN SCRAP TRADERS   •   "&amp;COUNTIF('Final Calculation Sheet'!$G$4:$G$1000,"WATAN SCRAP TRADERS")&amp;" LOT(S)   •   MAT. VALUE ₹"&amp;TEXT(SUMIF('Final Calculation Sheet'!$G$4:$G$1000,"WATAN SCRAP TRADERS",'Final Calculation Sheet'!$H$4:$H$1000),"#,##0")&amp;"   •   RECEIVED ₹"&amp;TEXT(SUMIF('Final Calculation Sheet'!$G$4:$G$1000,"WATAN SCRAP TRADERS",'Final Calculation Sheet'!$AC$4:$AC$1000),"#,##0")&amp;"   •   OUTSTANDING ₹"&amp;TEXT(SUMIF('Final Calculation Sheet'!$G$4:$G$1000,"WATAN SCRAP TRADERS",'Final Calculation Sheet'!$AD$4:$AD$1000),"#,##0")</f>
        <v/>
      </c>
      <c r="B75" s="64" t="n"/>
      <c r="C75" s="64" t="n"/>
      <c r="D75" s="64" t="n"/>
      <c r="E75" s="64" t="n"/>
      <c r="F75" s="64" t="n"/>
      <c r="G75" s="64" t="n"/>
      <c r="H75" s="64" t="n"/>
      <c r="I75" s="64" t="n"/>
      <c r="J75" s="64" t="n"/>
      <c r="K75" s="64" t="n"/>
      <c r="L75" s="64" t="n"/>
      <c r="M75" s="64" t="n"/>
      <c r="N75" s="64" t="n"/>
      <c r="O75" s="64" t="n"/>
      <c r="P75" s="64" t="n"/>
      <c r="Q75" s="64" t="n"/>
      <c r="R75" s="64" t="n"/>
      <c r="S75" s="64" t="n"/>
      <c r="T75" s="64" t="n"/>
      <c r="U75" s="64" t="n"/>
      <c r="V75" s="64" t="n"/>
      <c r="W75" s="64" t="n"/>
      <c r="X75" s="64" t="n"/>
      <c r="Y75" s="64" t="n"/>
      <c r="Z75" s="64" t="n"/>
      <c r="AA75" s="64" t="n"/>
      <c r="AB75" s="64" t="n"/>
      <c r="AC75" s="64" t="n"/>
      <c r="AD75" s="64" t="n"/>
      <c r="AE75" s="64" t="n"/>
      <c r="AF75" s="64" t="n"/>
      <c r="AG75" s="64" t="n"/>
    </row>
    <row r="76" outlineLevel="1" ht="15" customHeight="1">
      <c r="A76" s="302">
        <f>IF('Final Calculation Sheet'!$F$25="","",'Final Calculation Sheet'!$F$25)</f>
        <v/>
      </c>
      <c r="B76" s="301">
        <f>IF('Final Calculation Sheet'!$B$25="","",'Final Calculation Sheet'!$B$25)</f>
        <v/>
      </c>
      <c r="C76" s="302">
        <f>IF('Final Calculation Sheet'!$D$25="","",'Final Calculation Sheet'!$D$25)</f>
        <v/>
      </c>
      <c r="D76" s="303">
        <f>IF('Final Calculation Sheet'!$A$25="","",'Final Calculation Sheet'!$A$25)</f>
        <v/>
      </c>
      <c r="E76" s="304">
        <f>IF('Final Calculation Sheet'!$E$25="","",'Final Calculation Sheet'!$E$25)</f>
        <v/>
      </c>
      <c r="F76" s="302">
        <f>IF('Final Calculation Sheet'!$C$25="","",'Final Calculation Sheet'!$C$25)</f>
        <v/>
      </c>
      <c r="G76" s="302">
        <f>IF('Final Calculation Sheet'!$H$25="","",'Final Calculation Sheet'!$H$25)</f>
        <v/>
      </c>
      <c r="H76" s="302">
        <f>IF('Final Calculation Sheet'!$I$25="","",'Final Calculation Sheet'!$I$25)</f>
        <v/>
      </c>
      <c r="I76" s="302">
        <f>IF('Final Calculation Sheet'!$J$25="","",'Final Calculation Sheet'!$J$25)</f>
        <v/>
      </c>
      <c r="J76" s="302">
        <f>IF('Final Calculation Sheet'!$K$25="","",'Final Calculation Sheet'!$K$25)</f>
        <v/>
      </c>
      <c r="K76" s="305">
        <f>IF('Final Calculation Sheet'!$L$25="","",'Final Calculation Sheet'!$L$25)</f>
        <v/>
      </c>
      <c r="L76" s="305">
        <f>IF('Final Calculation Sheet'!$M$25="","",'Final Calculation Sheet'!$M$25)</f>
        <v/>
      </c>
      <c r="M76" s="305">
        <f>IF('Final Calculation Sheet'!$N$25="","",'Final Calculation Sheet'!$N$25)</f>
        <v/>
      </c>
      <c r="N76" s="305">
        <f>IF('Final Calculation Sheet'!$O$25="","",'Final Calculation Sheet'!$O$25)</f>
        <v/>
      </c>
      <c r="O76" s="302">
        <f>IF('Final Calculation Sheet'!$P$25="","",'Final Calculation Sheet'!$P$25)</f>
        <v/>
      </c>
      <c r="P76" s="306">
        <f>IF('Final Calculation Sheet'!$Q$25="","",'Final Calculation Sheet'!$Q$25)</f>
        <v/>
      </c>
      <c r="Q76" s="302">
        <f>IF('Final Calculation Sheet'!$R$25="","",'Final Calculation Sheet'!$R$25)</f>
        <v/>
      </c>
      <c r="R76" s="302">
        <f>IF('Final Calculation Sheet'!$S$25="","",'Final Calculation Sheet'!$S$25)</f>
        <v/>
      </c>
      <c r="S76" s="302">
        <f>IF('Final Calculation Sheet'!$T$25="","",'Final Calculation Sheet'!$T$25)</f>
        <v/>
      </c>
      <c r="T76" s="302">
        <f>IF('Final Calculation Sheet'!$U$25="","",'Final Calculation Sheet'!$U$25)</f>
        <v/>
      </c>
      <c r="U76" s="304">
        <f>IF('Final Calculation Sheet'!$V$25="","",'Final Calculation Sheet'!$V$25)</f>
        <v/>
      </c>
      <c r="V76" s="302">
        <f>IF('Final Calculation Sheet'!$W$25="","",'Final Calculation Sheet'!$W$25)</f>
        <v/>
      </c>
      <c r="W76" s="302">
        <f>IF('Final Calculation Sheet'!$X$25="","",'Final Calculation Sheet'!$X$25)</f>
        <v/>
      </c>
      <c r="X76" s="304">
        <f>IF('Final Calculation Sheet'!$Y$25="","",'Final Calculation Sheet'!$Y$25)</f>
        <v/>
      </c>
      <c r="Y76" s="302">
        <f>IF('Final Calculation Sheet'!$Z$25="","",'Final Calculation Sheet'!$Z$25)</f>
        <v/>
      </c>
      <c r="Z76" s="302">
        <f>IF('Final Calculation Sheet'!$AA$25="","",'Final Calculation Sheet'!$AA$25)</f>
        <v/>
      </c>
      <c r="AA76" s="304">
        <f>IF('Final Calculation Sheet'!$AB$25="","",'Final Calculation Sheet'!$AB$25)</f>
        <v/>
      </c>
      <c r="AB76" s="302">
        <f>IF('Final Calculation Sheet'!$AC$25="","",'Final Calculation Sheet'!$AC$25)</f>
        <v/>
      </c>
      <c r="AC76" s="302">
        <f>IF('Final Calculation Sheet'!$AD$25="","",'Final Calculation Sheet'!$AD$25)</f>
        <v/>
      </c>
      <c r="AD76" s="304">
        <f>IF('Final Calculation Sheet'!$AD$25="","",IF('Final Calculation Sheet'!$AD$25&lt;=0,"SETTLED","OUTSTANDING"))</f>
        <v/>
      </c>
      <c r="AE76" s="304">
        <f>IF('Final Calculation Sheet'!$AE$25="","",'Final Calculation Sheet'!$AE$25)</f>
        <v/>
      </c>
      <c r="AF76" s="302">
        <f>IF('Final Calculation Sheet'!$AF$25="","",'Final Calculation Sheet'!$AF$25)</f>
        <v/>
      </c>
      <c r="AG76" s="304">
        <f>IF('Final Calculation Sheet'!$AG$25="","",'Final Calculation Sheet'!$AG$25)</f>
        <v/>
      </c>
    </row>
    <row r="77" outlineLevel="1" ht="15" customHeight="1">
      <c r="A77" s="374">
        <f>IF('Final Calculation Sheet'!$F$28="","",'Final Calculation Sheet'!$F$28)</f>
        <v/>
      </c>
      <c r="B77" s="373">
        <f>IF('Final Calculation Sheet'!$B$28="","",'Final Calculation Sheet'!$B$28)</f>
        <v/>
      </c>
      <c r="C77" s="374">
        <f>IF('Final Calculation Sheet'!$D$28="","",'Final Calculation Sheet'!$D$28)</f>
        <v/>
      </c>
      <c r="D77" s="375">
        <f>IF('Final Calculation Sheet'!$A$28="","",'Final Calculation Sheet'!$A$28)</f>
        <v/>
      </c>
      <c r="E77" s="376">
        <f>IF('Final Calculation Sheet'!$E$28="","",'Final Calculation Sheet'!$E$28)</f>
        <v/>
      </c>
      <c r="F77" s="374">
        <f>IF('Final Calculation Sheet'!$C$28="","",'Final Calculation Sheet'!$C$28)</f>
        <v/>
      </c>
      <c r="G77" s="374">
        <f>IF('Final Calculation Sheet'!$H$28="","",'Final Calculation Sheet'!$H$28)</f>
        <v/>
      </c>
      <c r="H77" s="374">
        <f>IF('Final Calculation Sheet'!$I$28="","",'Final Calculation Sheet'!$I$28)</f>
        <v/>
      </c>
      <c r="I77" s="374">
        <f>IF('Final Calculation Sheet'!$J$28="","",'Final Calculation Sheet'!$J$28)</f>
        <v/>
      </c>
      <c r="J77" s="374">
        <f>IF('Final Calculation Sheet'!$K$28="","",'Final Calculation Sheet'!$K$28)</f>
        <v/>
      </c>
      <c r="K77" s="377">
        <f>IF('Final Calculation Sheet'!$L$28="","",'Final Calculation Sheet'!$L$28)</f>
        <v/>
      </c>
      <c r="L77" s="377">
        <f>IF('Final Calculation Sheet'!$M$28="","",'Final Calculation Sheet'!$M$28)</f>
        <v/>
      </c>
      <c r="M77" s="377">
        <f>IF('Final Calculation Sheet'!$N$28="","",'Final Calculation Sheet'!$N$28)</f>
        <v/>
      </c>
      <c r="N77" s="377">
        <f>IF('Final Calculation Sheet'!$O$28="","",'Final Calculation Sheet'!$O$28)</f>
        <v/>
      </c>
      <c r="O77" s="374">
        <f>IF('Final Calculation Sheet'!$P$28="","",'Final Calculation Sheet'!$P$28)</f>
        <v/>
      </c>
      <c r="P77" s="378">
        <f>IF('Final Calculation Sheet'!$Q$28="","",'Final Calculation Sheet'!$Q$28)</f>
        <v/>
      </c>
      <c r="Q77" s="374">
        <f>IF('Final Calculation Sheet'!$R$28="","",'Final Calculation Sheet'!$R$28)</f>
        <v/>
      </c>
      <c r="R77" s="374">
        <f>IF('Final Calculation Sheet'!$S$28="","",'Final Calculation Sheet'!$S$28)</f>
        <v/>
      </c>
      <c r="S77" s="374">
        <f>IF('Final Calculation Sheet'!$T$28="","",'Final Calculation Sheet'!$T$28)</f>
        <v/>
      </c>
      <c r="T77" s="374">
        <f>IF('Final Calculation Sheet'!$U$28="","",'Final Calculation Sheet'!$U$28)</f>
        <v/>
      </c>
      <c r="U77" s="376">
        <f>IF('Final Calculation Sheet'!$V$28="","",'Final Calculation Sheet'!$V$28)</f>
        <v/>
      </c>
      <c r="V77" s="374">
        <f>IF('Final Calculation Sheet'!$W$28="","",'Final Calculation Sheet'!$W$28)</f>
        <v/>
      </c>
      <c r="W77" s="374">
        <f>IF('Final Calculation Sheet'!$X$28="","",'Final Calculation Sheet'!$X$28)</f>
        <v/>
      </c>
      <c r="X77" s="376">
        <f>IF('Final Calculation Sheet'!$Y$28="","",'Final Calculation Sheet'!$Y$28)</f>
        <v/>
      </c>
      <c r="Y77" s="374">
        <f>IF('Final Calculation Sheet'!$Z$28="","",'Final Calculation Sheet'!$Z$28)</f>
        <v/>
      </c>
      <c r="Z77" s="374">
        <f>IF('Final Calculation Sheet'!$AA$28="","",'Final Calculation Sheet'!$AA$28)</f>
        <v/>
      </c>
      <c r="AA77" s="376">
        <f>IF('Final Calculation Sheet'!$AB$28="","",'Final Calculation Sheet'!$AB$28)</f>
        <v/>
      </c>
      <c r="AB77" s="374">
        <f>IF('Final Calculation Sheet'!$AC$28="","",'Final Calculation Sheet'!$AC$28)</f>
        <v/>
      </c>
      <c r="AC77" s="374">
        <f>IF('Final Calculation Sheet'!$AD$28="","",'Final Calculation Sheet'!$AD$28)</f>
        <v/>
      </c>
      <c r="AD77" s="376">
        <f>IF('Final Calculation Sheet'!$AD$28="","",IF('Final Calculation Sheet'!$AD$28&lt;=0,"SETTLED","OUTSTANDING"))</f>
        <v/>
      </c>
      <c r="AE77" s="376">
        <f>IF('Final Calculation Sheet'!$AE$28="","",'Final Calculation Sheet'!$AE$28)</f>
        <v/>
      </c>
      <c r="AF77" s="374">
        <f>IF('Final Calculation Sheet'!$AF$28="","",'Final Calculation Sheet'!$AF$28)</f>
        <v/>
      </c>
      <c r="AG77" s="376">
        <f>IF('Final Calculation Sheet'!$AG$28="","",'Final Calculation Sheet'!$AG$28)</f>
        <v/>
      </c>
    </row>
    <row r="78" outlineLevel="1" ht="15" customHeight="1">
      <c r="A78" s="302">
        <f>IF('Final Calculation Sheet'!$F$35="","",'Final Calculation Sheet'!$F$35)</f>
        <v/>
      </c>
      <c r="B78" s="301">
        <f>IF('Final Calculation Sheet'!$B$35="","",'Final Calculation Sheet'!$B$35)</f>
        <v/>
      </c>
      <c r="C78" s="302">
        <f>IF('Final Calculation Sheet'!$D$35="","",'Final Calculation Sheet'!$D$35)</f>
        <v/>
      </c>
      <c r="D78" s="303">
        <f>IF('Final Calculation Sheet'!$A$35="","",'Final Calculation Sheet'!$A$35)</f>
        <v/>
      </c>
      <c r="E78" s="304">
        <f>IF('Final Calculation Sheet'!$E$35="","",'Final Calculation Sheet'!$E$35)</f>
        <v/>
      </c>
      <c r="F78" s="302">
        <f>IF('Final Calculation Sheet'!$C$35="","",'Final Calculation Sheet'!$C$35)</f>
        <v/>
      </c>
      <c r="G78" s="302">
        <f>IF('Final Calculation Sheet'!$H$35="","",'Final Calculation Sheet'!$H$35)</f>
        <v/>
      </c>
      <c r="H78" s="302">
        <f>IF('Final Calculation Sheet'!$I$35="","",'Final Calculation Sheet'!$I$35)</f>
        <v/>
      </c>
      <c r="I78" s="302">
        <f>IF('Final Calculation Sheet'!$J$35="","",'Final Calculation Sheet'!$J$35)</f>
        <v/>
      </c>
      <c r="J78" s="302">
        <f>IF('Final Calculation Sheet'!$K$35="","",'Final Calculation Sheet'!$K$35)</f>
        <v/>
      </c>
      <c r="K78" s="305">
        <f>IF('Final Calculation Sheet'!$L$35="","",'Final Calculation Sheet'!$L$35)</f>
        <v/>
      </c>
      <c r="L78" s="305">
        <f>IF('Final Calculation Sheet'!$M$35="","",'Final Calculation Sheet'!$M$35)</f>
        <v/>
      </c>
      <c r="M78" s="305">
        <f>IF('Final Calculation Sheet'!$N$35="","",'Final Calculation Sheet'!$N$35)</f>
        <v/>
      </c>
      <c r="N78" s="305">
        <f>IF('Final Calculation Sheet'!$O$35="","",'Final Calculation Sheet'!$O$35)</f>
        <v/>
      </c>
      <c r="O78" s="302">
        <f>IF('Final Calculation Sheet'!$P$35="","",'Final Calculation Sheet'!$P$35)</f>
        <v/>
      </c>
      <c r="P78" s="306">
        <f>IF('Final Calculation Sheet'!$Q$35="","",'Final Calculation Sheet'!$Q$35)</f>
        <v/>
      </c>
      <c r="Q78" s="302">
        <f>IF('Final Calculation Sheet'!$R$35="","",'Final Calculation Sheet'!$R$35)</f>
        <v/>
      </c>
      <c r="R78" s="302">
        <f>IF('Final Calculation Sheet'!$S$35="","",'Final Calculation Sheet'!$S$35)</f>
        <v/>
      </c>
      <c r="S78" s="302">
        <f>IF('Final Calculation Sheet'!$T$35="","",'Final Calculation Sheet'!$T$35)</f>
        <v/>
      </c>
      <c r="T78" s="302">
        <f>IF('Final Calculation Sheet'!$U$35="","",'Final Calculation Sheet'!$U$35)</f>
        <v/>
      </c>
      <c r="U78" s="304">
        <f>IF('Final Calculation Sheet'!$V$35="","",'Final Calculation Sheet'!$V$35)</f>
        <v/>
      </c>
      <c r="V78" s="302">
        <f>IF('Final Calculation Sheet'!$W$35="","",'Final Calculation Sheet'!$W$35)</f>
        <v/>
      </c>
      <c r="W78" s="302">
        <f>IF('Final Calculation Sheet'!$X$35="","",'Final Calculation Sheet'!$X$35)</f>
        <v/>
      </c>
      <c r="X78" s="304">
        <f>IF('Final Calculation Sheet'!$Y$35="","",'Final Calculation Sheet'!$Y$35)</f>
        <v/>
      </c>
      <c r="Y78" s="302">
        <f>IF('Final Calculation Sheet'!$Z$35="","",'Final Calculation Sheet'!$Z$35)</f>
        <v/>
      </c>
      <c r="Z78" s="302">
        <f>IF('Final Calculation Sheet'!$AA$35="","",'Final Calculation Sheet'!$AA$35)</f>
        <v/>
      </c>
      <c r="AA78" s="304">
        <f>IF('Final Calculation Sheet'!$AB$35="","",'Final Calculation Sheet'!$AB$35)</f>
        <v/>
      </c>
      <c r="AB78" s="302">
        <f>IF('Final Calculation Sheet'!$AC$35="","",'Final Calculation Sheet'!$AC$35)</f>
        <v/>
      </c>
      <c r="AC78" s="302">
        <f>IF('Final Calculation Sheet'!$AD$35="","",'Final Calculation Sheet'!$AD$35)</f>
        <v/>
      </c>
      <c r="AD78" s="304">
        <f>IF('Final Calculation Sheet'!$AD$35="","",IF('Final Calculation Sheet'!$AD$35&lt;=0,"SETTLED","OUTSTANDING"))</f>
        <v/>
      </c>
      <c r="AE78" s="304">
        <f>IF('Final Calculation Sheet'!$AE$35="","",'Final Calculation Sheet'!$AE$35)</f>
        <v/>
      </c>
      <c r="AF78" s="302">
        <f>IF('Final Calculation Sheet'!$AF$35="","",'Final Calculation Sheet'!$AF$35)</f>
        <v/>
      </c>
      <c r="AG78" s="304">
        <f>IF('Final Calculation Sheet'!$AG$35="","",'Final Calculation Sheet'!$AG$35)</f>
        <v/>
      </c>
    </row>
    <row r="79" ht="20" customHeight="1">
      <c r="A79" s="295" t="inlineStr">
        <is>
          <t>∑  WATAN SCRAP TRADERS — TOTALS</t>
        </is>
      </c>
      <c r="B79" s="395" t="inlineStr">
        <is>
          <t>–</t>
        </is>
      </c>
      <c r="C79" s="395" t="inlineStr">
        <is>
          <t>–</t>
        </is>
      </c>
      <c r="D79" s="298">
        <f>SUM(D76:D78)</f>
        <v/>
      </c>
      <c r="E79" s="395" t="inlineStr">
        <is>
          <t>–</t>
        </is>
      </c>
      <c r="F79" s="395" t="inlineStr">
        <is>
          <t>–</t>
        </is>
      </c>
      <c r="G79" s="299">
        <f>SUM(G76:G78)</f>
        <v/>
      </c>
      <c r="H79" s="299">
        <f>SUM(H76:H78)</f>
        <v/>
      </c>
      <c r="I79" s="299">
        <f>SUM(I76:I78)</f>
        <v/>
      </c>
      <c r="J79" s="299">
        <f>SUM(J76:J78)</f>
        <v/>
      </c>
      <c r="K79" s="300">
        <f>SUM(K76:K78)</f>
        <v/>
      </c>
      <c r="L79" s="300">
        <f>SUM(L76:L78)</f>
        <v/>
      </c>
      <c r="M79" s="300">
        <f>SUM(M76:M78)</f>
        <v/>
      </c>
      <c r="N79" s="300">
        <f>SUM(N76:N78)</f>
        <v/>
      </c>
      <c r="O79" s="299">
        <f>SUM(O76:O78)</f>
        <v/>
      </c>
      <c r="P79" s="395" t="inlineStr">
        <is>
          <t>–</t>
        </is>
      </c>
      <c r="Q79" s="299">
        <f>SUM(Q76:Q78)</f>
        <v/>
      </c>
      <c r="R79" s="299">
        <f>SUM(R76:R78)</f>
        <v/>
      </c>
      <c r="S79" s="299">
        <f>SUM(S76:S78)</f>
        <v/>
      </c>
      <c r="T79" s="299">
        <f>SUM(T76:T78)</f>
        <v/>
      </c>
      <c r="U79" s="395" t="inlineStr">
        <is>
          <t>–</t>
        </is>
      </c>
      <c r="V79" s="299">
        <f>SUM(V76:V78)</f>
        <v/>
      </c>
      <c r="W79" s="299">
        <f>SUM(W76:W78)</f>
        <v/>
      </c>
      <c r="X79" s="395" t="inlineStr">
        <is>
          <t>–</t>
        </is>
      </c>
      <c r="Y79" s="299">
        <f>SUM(Y76:Y78)</f>
        <v/>
      </c>
      <c r="Z79" s="299">
        <f>SUM(Z76:Z78)</f>
        <v/>
      </c>
      <c r="AA79" s="395" t="inlineStr">
        <is>
          <t>–</t>
        </is>
      </c>
      <c r="AB79" s="299">
        <f>SUM(AB76:AB78)</f>
        <v/>
      </c>
      <c r="AC79" s="299">
        <f>SUM(AC76:AC78)</f>
        <v/>
      </c>
      <c r="AD79" s="395" t="inlineStr">
        <is>
          <t>–</t>
        </is>
      </c>
      <c r="AE79" s="395" t="inlineStr">
        <is>
          <t>–</t>
        </is>
      </c>
      <c r="AF79" s="395" t="inlineStr">
        <is>
          <t>–</t>
        </is>
      </c>
      <c r="AG79" s="395" t="inlineStr">
        <is>
          <t>–</t>
        </is>
      </c>
    </row>
    <row r="80" ht="7" customHeight="1">
      <c r="A80" s="82" t="n"/>
      <c r="B80" s="82" t="n"/>
      <c r="C80" s="82" t="n"/>
      <c r="D80" s="82" t="n"/>
      <c r="E80" s="82" t="n"/>
      <c r="F80" s="82" t="n"/>
      <c r="G80" s="82" t="n"/>
      <c r="H80" s="82" t="n"/>
      <c r="I80" s="82" t="n"/>
      <c r="J80" s="82" t="n"/>
      <c r="K80" s="82" t="n"/>
      <c r="L80" s="82" t="n"/>
      <c r="M80" s="82" t="n"/>
      <c r="N80" s="82" t="n"/>
      <c r="O80" s="82" t="n"/>
      <c r="P80" s="82" t="n"/>
      <c r="Q80" s="82" t="n"/>
      <c r="R80" s="82" t="n"/>
      <c r="S80" s="82" t="n"/>
      <c r="T80" s="82" t="n"/>
      <c r="U80" s="82" t="n"/>
      <c r="V80" s="82" t="n"/>
      <c r="W80" s="82" t="n"/>
      <c r="X80" s="82" t="n"/>
      <c r="Y80" s="82" t="n"/>
      <c r="Z80" s="82" t="n"/>
      <c r="AA80" s="82" t="n"/>
      <c r="AB80" s="82" t="n"/>
      <c r="AC80" s="82" t="n"/>
      <c r="AD80" s="82" t="n"/>
      <c r="AE80" s="82" t="n"/>
      <c r="AF80" s="82" t="n"/>
      <c r="AG80" s="82" t="n"/>
    </row>
  </sheetData>
  <mergeCells count="22">
    <mergeCell ref="A1:AG1"/>
    <mergeCell ref="A65:AG65"/>
    <mergeCell ref="A3:F3"/>
    <mergeCell ref="G3:R3"/>
    <mergeCell ref="A46:AG46"/>
    <mergeCell ref="A75:AG75"/>
    <mergeCell ref="A18:AG18"/>
    <mergeCell ref="A56:AG56"/>
    <mergeCell ref="A26:AG26"/>
    <mergeCell ref="A2:AG2"/>
    <mergeCell ref="A42:AG42"/>
    <mergeCell ref="A5:AG5"/>
    <mergeCell ref="A14:AG14"/>
    <mergeCell ref="A22:AG22"/>
    <mergeCell ref="AB3:AD3"/>
    <mergeCell ref="V3:X3"/>
    <mergeCell ref="Y3:AA3"/>
    <mergeCell ref="A9:AG9"/>
    <mergeCell ref="S3:U3"/>
    <mergeCell ref="A60:AG60"/>
    <mergeCell ref="AE3:AG3"/>
    <mergeCell ref="A51:AG51"/>
  </mergeCells>
  <conditionalFormatting sqref="AC6:AC80">
    <cfRule type="cellIs" priority="1" operator="greaterThan" dxfId="1">
      <formula>0</formula>
    </cfRule>
  </conditionalFormatting>
  <conditionalFormatting sqref="AD6:AD80">
    <cfRule type="cellIs" priority="2" operator="equal" dxfId="0">
      <formula>"SETTLED"</formula>
    </cfRule>
    <cfRule type="cellIs" priority="3" operator="equal" dxfId="1">
      <formula>"OUTSTANDING"</formula>
    </cfRule>
  </conditionalFormatting>
  <conditionalFormatting sqref="AE6:AE80">
    <cfRule type="expression" priority="4" dxfId="3">
      <formula>AND(ISNUMBER($A6),$AE6="")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E75B6"/>
    <outlinePr summaryBelow="0" summaryRight="0"/>
    <pageSetUpPr fitToPage="1"/>
  </sheetPr>
  <dimension ref="A1:AI5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Row="1" outlineLevelCol="1"/>
  <cols>
    <col width="30" customWidth="1" min="1" max="1"/>
    <col width="8.5" customWidth="1" min="2" max="2"/>
    <col width="50" customWidth="1" min="3" max="3"/>
    <col outlineLevel="1" width="10" customWidth="1" min="4" max="4"/>
    <col outlineLevel="1" width="10" customWidth="1" min="5" max="5"/>
    <col outlineLevel="1" width="6.5" customWidth="1" min="6" max="6"/>
    <col outlineLevel="1" width="13.5" customWidth="1" min="7" max="7"/>
    <col width="13.5" customWidth="1" min="8" max="8"/>
    <col outlineLevel="1" width="13.5" customWidth="1" min="9" max="9"/>
    <col outlineLevel="1" width="13.5" customWidth="1" min="10" max="10"/>
    <col outlineLevel="1" width="13.5" customWidth="1" min="11" max="11"/>
    <col outlineLevel="1" width="13.5" customWidth="1" min="12" max="12"/>
    <col outlineLevel="1" width="13.5" customWidth="1" min="13" max="13"/>
    <col outlineLevel="1" width="13.5" customWidth="1" min="14" max="14"/>
    <col outlineLevel="1" width="13.5" customWidth="1" min="15" max="15"/>
    <col outlineLevel="1" width="13.5" customWidth="1" min="16" max="16"/>
    <col outlineLevel="1" width="12" customWidth="1" min="17" max="17"/>
    <col outlineLevel="1" width="13.5" customWidth="1" min="18" max="18"/>
    <col outlineLevel="1" width="13.5" customWidth="1" min="19" max="19"/>
    <col width="13.5" customWidth="1" min="20" max="20"/>
    <col outlineLevel="1" width="13.5" customWidth="1" min="21" max="21"/>
    <col outlineLevel="1" width="12" customWidth="1" min="22" max="22"/>
    <col width="13.5" customWidth="1" min="23" max="23"/>
    <col outlineLevel="1" width="13.5" customWidth="1" min="24" max="24"/>
    <col outlineLevel="1" width="12" customWidth="1" min="25" max="25"/>
    <col width="13.5" customWidth="1" min="26" max="26"/>
    <col outlineLevel="1" width="13.5" customWidth="1" min="27" max="27"/>
    <col outlineLevel="1" width="12" customWidth="1" min="28" max="28"/>
    <col width="13.5" customWidth="1" min="29" max="29"/>
    <col outlineLevel="1" width="13.5" customWidth="1" min="30" max="30"/>
    <col outlineLevel="1" width="14" customWidth="1" min="31" max="31"/>
    <col width="15" customWidth="1" min="32" max="32"/>
    <col outlineLevel="1" width="13" customWidth="1" min="33" max="33"/>
    <col outlineLevel="1" width="12" customWidth="1" min="34" max="34"/>
    <col width="8" customWidth="1" min="35" max="35"/>
  </cols>
  <sheetData>
    <row r="1" ht="30" customHeight="1">
      <c r="A1" s="59" t="inlineStr">
        <is>
          <t>MSTC LIMITED  •  BUYER &amp; LOT LEDGER  (filter + fold)   (lots ↓ rows  |  fields → columns)</t>
        </is>
      </c>
    </row>
    <row r="2" ht="28" customHeight="1">
      <c r="A2" s="61" t="inlineStr">
        <is>
          <t>HOW TO USE  ▶  filter with the ▼ arrows in row 5 (buyer, lot no., bid sheet, unit, payment status …)   •   fold a buyer with the − button in the left margin — its coloured summary row stays on screen   •   fold a column category (FINANCIALS, SECURITY DEPOSIT …) with the − above its first column; that key column stays on screen   •   the KPI band in row 3 and the GRAND TOTAL row always follow the filter</t>
        </is>
      </c>
    </row>
    <row r="3" ht="22" customHeight="1">
      <c r="A3" s="229" t="inlineStr">
        <is>
          <t>LOTS VISIBLE  ▸</t>
        </is>
      </c>
      <c r="C3" s="230">
        <f>SUBTOTAL(103,$B$7:$B$55)</f>
        <v/>
      </c>
      <c r="E3" s="229" t="inlineStr">
        <is>
          <t>MAT. VALUE ₹  ▸</t>
        </is>
      </c>
      <c r="G3" s="231">
        <f>SUBTOTAL(109,$H$7:$H$55)</f>
        <v/>
      </c>
      <c r="I3" s="229" t="inlineStr">
        <is>
          <t>RECEIVABLES ₹  ▸</t>
        </is>
      </c>
      <c r="K3" s="231">
        <f>SUBTOTAL(109,$S$7:$S$55)</f>
        <v/>
      </c>
      <c r="M3" s="229" t="inlineStr">
        <is>
          <t>SD RECEIVED ₹  ▸</t>
        </is>
      </c>
      <c r="O3" s="231">
        <f>SUBTOTAL(109,$U$7:$U$55)</f>
        <v/>
      </c>
      <c r="Q3" s="229" t="inlineStr">
        <is>
          <t>FP RECEIVED ₹  ▸</t>
        </is>
      </c>
      <c r="S3" s="231">
        <f>SUBTOTAL(109,$X$7:$X$55)</f>
        <v/>
      </c>
      <c r="U3" s="229" t="inlineStr">
        <is>
          <t>TOTAL RECEIVED ₹  ▸</t>
        </is>
      </c>
      <c r="W3" s="231">
        <f>SUBTOTAL(109,$AC$7:$AC$55)</f>
        <v/>
      </c>
      <c r="Y3" s="229" t="inlineStr">
        <is>
          <t>OUTSTANDING ₹  ▸</t>
        </is>
      </c>
      <c r="AA3" s="231">
        <f>SUBTOTAL(109,$AD$7:$AD$55)</f>
        <v/>
      </c>
    </row>
    <row r="4" ht="17" customHeight="1">
      <c r="A4" s="232" t="inlineStr">
        <is>
          <t>IDENTITY</t>
        </is>
      </c>
      <c r="B4" s="71" t="n"/>
      <c r="C4" s="233" t="inlineStr">
        <is>
          <t>LOT INFO</t>
        </is>
      </c>
      <c r="D4" s="71" t="n"/>
      <c r="E4" s="71" t="n"/>
      <c r="F4" s="71" t="n"/>
      <c r="G4" s="71" t="n"/>
      <c r="H4" s="234" t="inlineStr">
        <is>
          <t>FINANCIALS</t>
        </is>
      </c>
      <c r="I4" s="71" t="n"/>
      <c r="J4" s="71" t="n"/>
      <c r="K4" s="71" t="n"/>
      <c r="L4" s="71" t="n"/>
      <c r="M4" s="71" t="n"/>
      <c r="N4" s="71" t="n"/>
      <c r="O4" s="71" t="n"/>
      <c r="P4" s="71" t="n"/>
      <c r="Q4" s="71" t="n"/>
      <c r="R4" s="71" t="n"/>
      <c r="S4" s="71" t="n"/>
      <c r="T4" s="235" t="inlineStr">
        <is>
          <t>SECURITY DEPOSIT</t>
        </is>
      </c>
      <c r="U4" s="71" t="n"/>
      <c r="V4" s="71" t="n"/>
      <c r="W4" s="236" t="inlineStr">
        <is>
          <t>FINAL PAYMENT</t>
        </is>
      </c>
      <c r="X4" s="71" t="n"/>
      <c r="Y4" s="71" t="n"/>
      <c r="Z4" s="237" t="inlineStr">
        <is>
          <t>LPP</t>
        </is>
      </c>
      <c r="AA4" s="71" t="n"/>
      <c r="AB4" s="71" t="n"/>
      <c r="AC4" s="238" t="inlineStr">
        <is>
          <t>SUMMARY</t>
        </is>
      </c>
      <c r="AD4" s="71" t="n"/>
      <c r="AE4" s="71" t="n"/>
      <c r="AF4" s="239" t="inlineStr">
        <is>
          <t>DOCUMENT</t>
        </is>
      </c>
      <c r="AG4" s="71" t="n"/>
      <c r="AH4" s="71" t="n"/>
      <c r="AI4" s="240" t="inlineStr">
        <is>
          <t>TRACE</t>
        </is>
      </c>
    </row>
    <row r="5" ht="42" customHeight="1">
      <c r="A5" s="232" t="inlineStr">
        <is>
          <t>Buyer</t>
        </is>
      </c>
      <c r="B5" s="232" t="inlineStr">
        <is>
          <t>Lot No.</t>
        </is>
      </c>
      <c r="C5" s="233" t="inlineStr">
        <is>
          <t>Lot Name</t>
        </is>
      </c>
      <c r="D5" s="233" t="inlineStr">
        <is>
          <t>Bid Sheet / Auction</t>
        </is>
      </c>
      <c r="E5" s="233" t="inlineStr">
        <is>
          <t>Quantity</t>
        </is>
      </c>
      <c r="F5" s="233" t="inlineStr">
        <is>
          <t>Unit</t>
        </is>
      </c>
      <c r="G5" s="233" t="inlineStr">
        <is>
          <t>Rate (₹)</t>
        </is>
      </c>
      <c r="H5" s="234" t="inlineStr">
        <is>
          <t>Mat. Value (₹)</t>
        </is>
      </c>
      <c r="I5" s="234" t="inlineStr">
        <is>
          <t>GST @ 18% (₹)</t>
        </is>
      </c>
      <c r="J5" s="234" t="inlineStr">
        <is>
          <t>Mat. Value + GST (₹)</t>
        </is>
      </c>
      <c r="K5" s="234" t="inlineStr">
        <is>
          <t>TCS @ 2% (₹)</t>
        </is>
      </c>
      <c r="L5" s="234" t="inlineStr">
        <is>
          <t>TDS u/s 194(O) (₹)</t>
        </is>
      </c>
      <c r="M5" s="234" t="inlineStr">
        <is>
          <t>Service Charge gross (₹)</t>
        </is>
      </c>
      <c r="N5" s="234" t="inlineStr">
        <is>
          <t>TDS u/s 194(H) (₹)</t>
        </is>
      </c>
      <c r="O5" s="234" t="inlineStr">
        <is>
          <t>Net Service Charge (₹)</t>
        </is>
      </c>
      <c r="P5" s="234" t="inlineStr">
        <is>
          <t>Svc Charge to MSTC (₹)</t>
        </is>
      </c>
      <c r="Q5" s="234" t="inlineStr">
        <is>
          <t>GST TDS Rate</t>
        </is>
      </c>
      <c r="R5" s="234" t="inlineStr">
        <is>
          <t>GST TDS (₹)</t>
        </is>
      </c>
      <c r="S5" s="234" t="inlineStr">
        <is>
          <t>Total Receivables (₹)</t>
        </is>
      </c>
      <c r="T5" s="235" t="inlineStr">
        <is>
          <t>SD Expected (₹)</t>
        </is>
      </c>
      <c r="U5" s="235" t="inlineStr">
        <is>
          <t>SD Received (₹)</t>
        </is>
      </c>
      <c r="V5" s="235" t="inlineStr">
        <is>
          <t>SD Receipt Date</t>
        </is>
      </c>
      <c r="W5" s="236" t="inlineStr">
        <is>
          <t>FP Expected (₹)</t>
        </is>
      </c>
      <c r="X5" s="236" t="inlineStr">
        <is>
          <t>FP Received (₹)</t>
        </is>
      </c>
      <c r="Y5" s="236" t="inlineStr">
        <is>
          <t>FP Receipt Date</t>
        </is>
      </c>
      <c r="Z5" s="237" t="inlineStr">
        <is>
          <t>LPP Expected (₹)</t>
        </is>
      </c>
      <c r="AA5" s="237" t="inlineStr">
        <is>
          <t>LPP Received (₹)</t>
        </is>
      </c>
      <c r="AB5" s="237" t="inlineStr">
        <is>
          <t>LPP Receipt Date</t>
        </is>
      </c>
      <c r="AC5" s="238" t="inlineStr">
        <is>
          <t>Total Received (₹)</t>
        </is>
      </c>
      <c r="AD5" s="238" t="inlineStr">
        <is>
          <t>Outstanding (₹)</t>
        </is>
      </c>
      <c r="AE5" s="238" t="inlineStr">
        <is>
          <t>Payment Status</t>
        </is>
      </c>
      <c r="AF5" s="239" t="inlineStr">
        <is>
          <t>Invoice No.</t>
        </is>
      </c>
      <c r="AG5" s="239" t="inlineStr">
        <is>
          <t>SAP Document</t>
        </is>
      </c>
      <c r="AH5" s="239" t="inlineStr">
        <is>
          <t>Doc./Invoice Date</t>
        </is>
      </c>
      <c r="AI5" s="240" t="inlineStr">
        <is>
          <t>Src Row</t>
        </is>
      </c>
    </row>
    <row r="6" ht="20" customHeight="1">
      <c r="A6" s="241" t="inlineStr">
        <is>
          <t>▼  AL HAMD TRADE CORPORATION</t>
        </is>
      </c>
      <c r="B6" s="242" t="n"/>
      <c r="C6" s="243" t="inlineStr">
        <is>
          <t>1 lot  —  click − to fold this buyer</t>
        </is>
      </c>
      <c r="D6" s="242" t="n"/>
      <c r="E6" s="244">
        <f>SUBTOTAL(109,E7:E7)</f>
        <v/>
      </c>
      <c r="F6" s="242" t="n"/>
      <c r="G6" s="242" t="n"/>
      <c r="H6" s="245">
        <f>SUBTOTAL(109,H7:H7)</f>
        <v/>
      </c>
      <c r="I6" s="245">
        <f>SUBTOTAL(109,I7:I7)</f>
        <v/>
      </c>
      <c r="J6" s="245">
        <f>SUBTOTAL(109,J7:J7)</f>
        <v/>
      </c>
      <c r="K6" s="245">
        <f>SUBTOTAL(109,K7:K7)</f>
        <v/>
      </c>
      <c r="L6" s="246">
        <f>SUBTOTAL(109,L7:L7)</f>
        <v/>
      </c>
      <c r="M6" s="246">
        <f>SUBTOTAL(109,M7:M7)</f>
        <v/>
      </c>
      <c r="N6" s="246">
        <f>SUBTOTAL(109,N7:N7)</f>
        <v/>
      </c>
      <c r="O6" s="246">
        <f>SUBTOTAL(109,O7:O7)</f>
        <v/>
      </c>
      <c r="P6" s="245">
        <f>SUBTOTAL(109,P7:P7)</f>
        <v/>
      </c>
      <c r="Q6" s="242" t="n"/>
      <c r="R6" s="245">
        <f>SUBTOTAL(109,R7:R7)</f>
        <v/>
      </c>
      <c r="S6" s="245">
        <f>SUBTOTAL(109,S7:S7)</f>
        <v/>
      </c>
      <c r="T6" s="245">
        <f>SUBTOTAL(109,T7:T7)</f>
        <v/>
      </c>
      <c r="U6" s="245">
        <f>SUBTOTAL(109,U7:U7)</f>
        <v/>
      </c>
      <c r="V6" s="242" t="n"/>
      <c r="W6" s="245">
        <f>SUBTOTAL(109,W7:W7)</f>
        <v/>
      </c>
      <c r="X6" s="245">
        <f>SUBTOTAL(109,X7:X7)</f>
        <v/>
      </c>
      <c r="Y6" s="242" t="n"/>
      <c r="Z6" s="245">
        <f>SUBTOTAL(109,Z7:Z7)</f>
        <v/>
      </c>
      <c r="AA6" s="245">
        <f>SUBTOTAL(109,AA7:AA7)</f>
        <v/>
      </c>
      <c r="AB6" s="242" t="n"/>
      <c r="AC6" s="245">
        <f>SUBTOTAL(109,AC7:AC7)</f>
        <v/>
      </c>
      <c r="AD6" s="245">
        <f>SUBTOTAL(109,AD7:AD7)</f>
        <v/>
      </c>
      <c r="AE6" s="242" t="n"/>
      <c r="AF6" s="242" t="n"/>
      <c r="AG6" s="242" t="n"/>
      <c r="AH6" s="242" t="n"/>
      <c r="AI6" s="242" t="n"/>
    </row>
    <row r="7" outlineLevel="1" ht="15" customHeight="1">
      <c r="A7" s="247">
        <f>IF('Final Calculation Sheet'!$G$4="","",'Final Calculation Sheet'!$G$4)</f>
        <v/>
      </c>
      <c r="B7" s="248">
        <f>IF('Final Calculation Sheet'!$F$4="","",'Final Calculation Sheet'!$F$4)</f>
        <v/>
      </c>
      <c r="C7" s="247">
        <f>IF('Final Calculation Sheet'!$B$4="","",'Final Calculation Sheet'!$B$4)</f>
        <v/>
      </c>
      <c r="D7" s="248">
        <f>IF('Final Calculation Sheet'!$D$4="","",'Final Calculation Sheet'!$D$4)</f>
        <v/>
      </c>
      <c r="E7" s="249">
        <f>IF('Final Calculation Sheet'!$A$4="","",'Final Calculation Sheet'!$A$4)</f>
        <v/>
      </c>
      <c r="F7" s="250">
        <f>IF('Final Calculation Sheet'!$E$4="","",'Final Calculation Sheet'!$E$4)</f>
        <v/>
      </c>
      <c r="G7" s="248">
        <f>IF('Final Calculation Sheet'!$C$4="","",'Final Calculation Sheet'!$C$4)</f>
        <v/>
      </c>
      <c r="H7" s="248">
        <f>IF('Final Calculation Sheet'!$H$4="","",'Final Calculation Sheet'!$H$4)</f>
        <v/>
      </c>
      <c r="I7" s="248">
        <f>IF('Final Calculation Sheet'!$I$4="","",'Final Calculation Sheet'!$I$4)</f>
        <v/>
      </c>
      <c r="J7" s="248">
        <f>IF('Final Calculation Sheet'!$J$4="","",'Final Calculation Sheet'!$J$4)</f>
        <v/>
      </c>
      <c r="K7" s="248">
        <f>IF('Final Calculation Sheet'!$K$4="","",'Final Calculation Sheet'!$K$4)</f>
        <v/>
      </c>
      <c r="L7" s="251">
        <f>IF('Final Calculation Sheet'!$L$4="","",'Final Calculation Sheet'!$L$4)</f>
        <v/>
      </c>
      <c r="M7" s="251">
        <f>IF('Final Calculation Sheet'!$M$4="","",'Final Calculation Sheet'!$M$4)</f>
        <v/>
      </c>
      <c r="N7" s="251">
        <f>IF('Final Calculation Sheet'!$N$4="","",'Final Calculation Sheet'!$N$4)</f>
        <v/>
      </c>
      <c r="O7" s="251">
        <f>IF('Final Calculation Sheet'!$O$4="","",'Final Calculation Sheet'!$O$4)</f>
        <v/>
      </c>
      <c r="P7" s="248">
        <f>IF('Final Calculation Sheet'!$P$4="","",'Final Calculation Sheet'!$P$4)</f>
        <v/>
      </c>
      <c r="Q7" s="252">
        <f>IF('Final Calculation Sheet'!$Q$4="","",'Final Calculation Sheet'!$Q$4)</f>
        <v/>
      </c>
      <c r="R7" s="248">
        <f>IF('Final Calculation Sheet'!$R$4="","",'Final Calculation Sheet'!$R$4)</f>
        <v/>
      </c>
      <c r="S7" s="248">
        <f>IF('Final Calculation Sheet'!$S$4="","",'Final Calculation Sheet'!$S$4)</f>
        <v/>
      </c>
      <c r="T7" s="248">
        <f>IF('Final Calculation Sheet'!$T$4="","",'Final Calculation Sheet'!$T$4)</f>
        <v/>
      </c>
      <c r="U7" s="248">
        <f>IF('Final Calculation Sheet'!$U$4="","",'Final Calculation Sheet'!$U$4)</f>
        <v/>
      </c>
      <c r="V7" s="250">
        <f>IF('Final Calculation Sheet'!$V$4="","",'Final Calculation Sheet'!$V$4)</f>
        <v/>
      </c>
      <c r="W7" s="248">
        <f>IF('Final Calculation Sheet'!$W$4="","",'Final Calculation Sheet'!$W$4)</f>
        <v/>
      </c>
      <c r="X7" s="248">
        <f>IF('Final Calculation Sheet'!$X$4="","",'Final Calculation Sheet'!$X$4)</f>
        <v/>
      </c>
      <c r="Y7" s="250">
        <f>IF('Final Calculation Sheet'!$Y$4="","",'Final Calculation Sheet'!$Y$4)</f>
        <v/>
      </c>
      <c r="Z7" s="248">
        <f>IF('Final Calculation Sheet'!$Z$4="","",'Final Calculation Sheet'!$Z$4)</f>
        <v/>
      </c>
      <c r="AA7" s="248">
        <f>IF('Final Calculation Sheet'!$AA$4="","",'Final Calculation Sheet'!$AA$4)</f>
        <v/>
      </c>
      <c r="AB7" s="250">
        <f>IF('Final Calculation Sheet'!$AB$4="","",'Final Calculation Sheet'!$AB$4)</f>
        <v/>
      </c>
      <c r="AC7" s="248">
        <f>IF('Final Calculation Sheet'!$AC$4="","",'Final Calculation Sheet'!$AC$4)</f>
        <v/>
      </c>
      <c r="AD7" s="248">
        <f>IF('Final Calculation Sheet'!$AD$4="","",'Final Calculation Sheet'!$AD$4)</f>
        <v/>
      </c>
      <c r="AE7" s="250">
        <f>IF('Final Calculation Sheet'!$AD$4="","",IF('Final Calculation Sheet'!$AD$4&lt;=0,"SETTLED","OUTSTANDING"))</f>
        <v/>
      </c>
      <c r="AF7" s="250">
        <f>IF('Final Calculation Sheet'!$AE$4="","",'Final Calculation Sheet'!$AE$4)</f>
        <v/>
      </c>
      <c r="AG7" s="248">
        <f>IF('Final Calculation Sheet'!$AF$4="","",'Final Calculation Sheet'!$AF$4)</f>
        <v/>
      </c>
      <c r="AH7" s="250">
        <f>IF('Final Calculation Sheet'!$AG$4="","",'Final Calculation Sheet'!$AG$4)</f>
        <v/>
      </c>
      <c r="AI7" s="248" t="n">
        <v>4</v>
      </c>
    </row>
    <row r="8" ht="20" customHeight="1">
      <c r="A8" s="253" t="inlineStr">
        <is>
          <t>▼  F R KHANS ENTERPRISES</t>
        </is>
      </c>
      <c r="B8" s="254" t="n"/>
      <c r="C8" s="255" t="inlineStr">
        <is>
          <t>2 lots  —  click − to fold this buyer</t>
        </is>
      </c>
      <c r="D8" s="254" t="n"/>
      <c r="E8" s="256">
        <f>SUBTOTAL(109,E9:E10)</f>
        <v/>
      </c>
      <c r="F8" s="254" t="n"/>
      <c r="G8" s="254" t="n"/>
      <c r="H8" s="257">
        <f>SUBTOTAL(109,H9:H10)</f>
        <v/>
      </c>
      <c r="I8" s="257">
        <f>SUBTOTAL(109,I9:I10)</f>
        <v/>
      </c>
      <c r="J8" s="257">
        <f>SUBTOTAL(109,J9:J10)</f>
        <v/>
      </c>
      <c r="K8" s="257">
        <f>SUBTOTAL(109,K9:K10)</f>
        <v/>
      </c>
      <c r="L8" s="258">
        <f>SUBTOTAL(109,L9:L10)</f>
        <v/>
      </c>
      <c r="M8" s="258">
        <f>SUBTOTAL(109,M9:M10)</f>
        <v/>
      </c>
      <c r="N8" s="258">
        <f>SUBTOTAL(109,N9:N10)</f>
        <v/>
      </c>
      <c r="O8" s="258">
        <f>SUBTOTAL(109,O9:O10)</f>
        <v/>
      </c>
      <c r="P8" s="257">
        <f>SUBTOTAL(109,P9:P10)</f>
        <v/>
      </c>
      <c r="Q8" s="254" t="n"/>
      <c r="R8" s="257">
        <f>SUBTOTAL(109,R9:R10)</f>
        <v/>
      </c>
      <c r="S8" s="257">
        <f>SUBTOTAL(109,S9:S10)</f>
        <v/>
      </c>
      <c r="T8" s="257">
        <f>SUBTOTAL(109,T9:T10)</f>
        <v/>
      </c>
      <c r="U8" s="257">
        <f>SUBTOTAL(109,U9:U10)</f>
        <v/>
      </c>
      <c r="V8" s="254" t="n"/>
      <c r="W8" s="257">
        <f>SUBTOTAL(109,W9:W10)</f>
        <v/>
      </c>
      <c r="X8" s="257">
        <f>SUBTOTAL(109,X9:X10)</f>
        <v/>
      </c>
      <c r="Y8" s="254" t="n"/>
      <c r="Z8" s="257">
        <f>SUBTOTAL(109,Z9:Z10)</f>
        <v/>
      </c>
      <c r="AA8" s="257">
        <f>SUBTOTAL(109,AA9:AA10)</f>
        <v/>
      </c>
      <c r="AB8" s="254" t="n"/>
      <c r="AC8" s="257">
        <f>SUBTOTAL(109,AC9:AC10)</f>
        <v/>
      </c>
      <c r="AD8" s="257">
        <f>SUBTOTAL(109,AD9:AD10)</f>
        <v/>
      </c>
      <c r="AE8" s="254" t="n"/>
      <c r="AF8" s="254" t="n"/>
      <c r="AG8" s="254" t="n"/>
      <c r="AH8" s="254" t="n"/>
      <c r="AI8" s="254" t="n"/>
    </row>
    <row r="9" outlineLevel="1" ht="15" customHeight="1">
      <c r="A9" s="259">
        <f>IF('Final Calculation Sheet'!$G$6="","",'Final Calculation Sheet'!$G$6)</f>
        <v/>
      </c>
      <c r="B9" s="260">
        <f>IF('Final Calculation Sheet'!$F$6="","",'Final Calculation Sheet'!$F$6)</f>
        <v/>
      </c>
      <c r="C9" s="259">
        <f>IF('Final Calculation Sheet'!$B$6="","",'Final Calculation Sheet'!$B$6)</f>
        <v/>
      </c>
      <c r="D9" s="260">
        <f>IF('Final Calculation Sheet'!$D$6="","",'Final Calculation Sheet'!$D$6)</f>
        <v/>
      </c>
      <c r="E9" s="261">
        <f>IF('Final Calculation Sheet'!$A$6="","",'Final Calculation Sheet'!$A$6)</f>
        <v/>
      </c>
      <c r="F9" s="262">
        <f>IF('Final Calculation Sheet'!$E$6="","",'Final Calculation Sheet'!$E$6)</f>
        <v/>
      </c>
      <c r="G9" s="260">
        <f>IF('Final Calculation Sheet'!$C$6="","",'Final Calculation Sheet'!$C$6)</f>
        <v/>
      </c>
      <c r="H9" s="260">
        <f>IF('Final Calculation Sheet'!$H$6="","",'Final Calculation Sheet'!$H$6)</f>
        <v/>
      </c>
      <c r="I9" s="260">
        <f>IF('Final Calculation Sheet'!$I$6="","",'Final Calculation Sheet'!$I$6)</f>
        <v/>
      </c>
      <c r="J9" s="260">
        <f>IF('Final Calculation Sheet'!$J$6="","",'Final Calculation Sheet'!$J$6)</f>
        <v/>
      </c>
      <c r="K9" s="260">
        <f>IF('Final Calculation Sheet'!$K$6="","",'Final Calculation Sheet'!$K$6)</f>
        <v/>
      </c>
      <c r="L9" s="263">
        <f>IF('Final Calculation Sheet'!$L$6="","",'Final Calculation Sheet'!$L$6)</f>
        <v/>
      </c>
      <c r="M9" s="263">
        <f>IF('Final Calculation Sheet'!$M$6="","",'Final Calculation Sheet'!$M$6)</f>
        <v/>
      </c>
      <c r="N9" s="263">
        <f>IF('Final Calculation Sheet'!$N$6="","",'Final Calculation Sheet'!$N$6)</f>
        <v/>
      </c>
      <c r="O9" s="263">
        <f>IF('Final Calculation Sheet'!$O$6="","",'Final Calculation Sheet'!$O$6)</f>
        <v/>
      </c>
      <c r="P9" s="260">
        <f>IF('Final Calculation Sheet'!$P$6="","",'Final Calculation Sheet'!$P$6)</f>
        <v/>
      </c>
      <c r="Q9" s="264">
        <f>IF('Final Calculation Sheet'!$Q$6="","",'Final Calculation Sheet'!$Q$6)</f>
        <v/>
      </c>
      <c r="R9" s="260">
        <f>IF('Final Calculation Sheet'!$R$6="","",'Final Calculation Sheet'!$R$6)</f>
        <v/>
      </c>
      <c r="S9" s="260">
        <f>IF('Final Calculation Sheet'!$S$6="","",'Final Calculation Sheet'!$S$6)</f>
        <v/>
      </c>
      <c r="T9" s="260">
        <f>IF('Final Calculation Sheet'!$T$6="","",'Final Calculation Sheet'!$T$6)</f>
        <v/>
      </c>
      <c r="U9" s="260">
        <f>IF('Final Calculation Sheet'!$U$6="","",'Final Calculation Sheet'!$U$6)</f>
        <v/>
      </c>
      <c r="V9" s="262">
        <f>IF('Final Calculation Sheet'!$V$6="","",'Final Calculation Sheet'!$V$6)</f>
        <v/>
      </c>
      <c r="W9" s="260">
        <f>IF('Final Calculation Sheet'!$W$6="","",'Final Calculation Sheet'!$W$6)</f>
        <v/>
      </c>
      <c r="X9" s="260">
        <f>IF('Final Calculation Sheet'!$X$6="","",'Final Calculation Sheet'!$X$6)</f>
        <v/>
      </c>
      <c r="Y9" s="262">
        <f>IF('Final Calculation Sheet'!$Y$6="","",'Final Calculation Sheet'!$Y$6)</f>
        <v/>
      </c>
      <c r="Z9" s="260">
        <f>IF('Final Calculation Sheet'!$Z$6="","",'Final Calculation Sheet'!$Z$6)</f>
        <v/>
      </c>
      <c r="AA9" s="260">
        <f>IF('Final Calculation Sheet'!$AA$6="","",'Final Calculation Sheet'!$AA$6)</f>
        <v/>
      </c>
      <c r="AB9" s="262">
        <f>IF('Final Calculation Sheet'!$AB$6="","",'Final Calculation Sheet'!$AB$6)</f>
        <v/>
      </c>
      <c r="AC9" s="260">
        <f>IF('Final Calculation Sheet'!$AC$6="","",'Final Calculation Sheet'!$AC$6)</f>
        <v/>
      </c>
      <c r="AD9" s="260">
        <f>IF('Final Calculation Sheet'!$AD$6="","",'Final Calculation Sheet'!$AD$6)</f>
        <v/>
      </c>
      <c r="AE9" s="262">
        <f>IF('Final Calculation Sheet'!$AD$6="","",IF('Final Calculation Sheet'!$AD$6&lt;=0,"SETTLED","OUTSTANDING"))</f>
        <v/>
      </c>
      <c r="AF9" s="262">
        <f>IF('Final Calculation Sheet'!$AE$6="","",'Final Calculation Sheet'!$AE$6)</f>
        <v/>
      </c>
      <c r="AG9" s="260">
        <f>IF('Final Calculation Sheet'!$AF$6="","",'Final Calculation Sheet'!$AF$6)</f>
        <v/>
      </c>
      <c r="AH9" s="262">
        <f>IF('Final Calculation Sheet'!$AG$6="","",'Final Calculation Sheet'!$AG$6)</f>
        <v/>
      </c>
      <c r="AI9" s="260" t="n">
        <v>6</v>
      </c>
    </row>
    <row r="10" outlineLevel="1" ht="15" customHeight="1">
      <c r="A10" s="265">
        <f>IF('Final Calculation Sheet'!$G$7="","",'Final Calculation Sheet'!$G$7)</f>
        <v/>
      </c>
      <c r="B10" s="266">
        <f>IF('Final Calculation Sheet'!$F$7="","",'Final Calculation Sheet'!$F$7)</f>
        <v/>
      </c>
      <c r="C10" s="265">
        <f>IF('Final Calculation Sheet'!$B$7="","",'Final Calculation Sheet'!$B$7)</f>
        <v/>
      </c>
      <c r="D10" s="266">
        <f>IF('Final Calculation Sheet'!$D$7="","",'Final Calculation Sheet'!$D$7)</f>
        <v/>
      </c>
      <c r="E10" s="267">
        <f>IF('Final Calculation Sheet'!$A$7="","",'Final Calculation Sheet'!$A$7)</f>
        <v/>
      </c>
      <c r="F10" s="268">
        <f>IF('Final Calculation Sheet'!$E$7="","",'Final Calculation Sheet'!$E$7)</f>
        <v/>
      </c>
      <c r="G10" s="266">
        <f>IF('Final Calculation Sheet'!$C$7="","",'Final Calculation Sheet'!$C$7)</f>
        <v/>
      </c>
      <c r="H10" s="266">
        <f>IF('Final Calculation Sheet'!$H$7="","",'Final Calculation Sheet'!$H$7)</f>
        <v/>
      </c>
      <c r="I10" s="266">
        <f>IF('Final Calculation Sheet'!$I$7="","",'Final Calculation Sheet'!$I$7)</f>
        <v/>
      </c>
      <c r="J10" s="266">
        <f>IF('Final Calculation Sheet'!$J$7="","",'Final Calculation Sheet'!$J$7)</f>
        <v/>
      </c>
      <c r="K10" s="266">
        <f>IF('Final Calculation Sheet'!$K$7="","",'Final Calculation Sheet'!$K$7)</f>
        <v/>
      </c>
      <c r="L10" s="269">
        <f>IF('Final Calculation Sheet'!$L$7="","",'Final Calculation Sheet'!$L$7)</f>
        <v/>
      </c>
      <c r="M10" s="269">
        <f>IF('Final Calculation Sheet'!$M$7="","",'Final Calculation Sheet'!$M$7)</f>
        <v/>
      </c>
      <c r="N10" s="269">
        <f>IF('Final Calculation Sheet'!$N$7="","",'Final Calculation Sheet'!$N$7)</f>
        <v/>
      </c>
      <c r="O10" s="269">
        <f>IF('Final Calculation Sheet'!$O$7="","",'Final Calculation Sheet'!$O$7)</f>
        <v/>
      </c>
      <c r="P10" s="266">
        <f>IF('Final Calculation Sheet'!$P$7="","",'Final Calculation Sheet'!$P$7)</f>
        <v/>
      </c>
      <c r="Q10" s="270">
        <f>IF('Final Calculation Sheet'!$Q$7="","",'Final Calculation Sheet'!$Q$7)</f>
        <v/>
      </c>
      <c r="R10" s="266">
        <f>IF('Final Calculation Sheet'!$R$7="","",'Final Calculation Sheet'!$R$7)</f>
        <v/>
      </c>
      <c r="S10" s="266">
        <f>IF('Final Calculation Sheet'!$S$7="","",'Final Calculation Sheet'!$S$7)</f>
        <v/>
      </c>
      <c r="T10" s="266">
        <f>IF('Final Calculation Sheet'!$T$7="","",'Final Calculation Sheet'!$T$7)</f>
        <v/>
      </c>
      <c r="U10" s="266">
        <f>IF('Final Calculation Sheet'!$U$7="","",'Final Calculation Sheet'!$U$7)</f>
        <v/>
      </c>
      <c r="V10" s="268">
        <f>IF('Final Calculation Sheet'!$V$7="","",'Final Calculation Sheet'!$V$7)</f>
        <v/>
      </c>
      <c r="W10" s="266">
        <f>IF('Final Calculation Sheet'!$W$7="","",'Final Calculation Sheet'!$W$7)</f>
        <v/>
      </c>
      <c r="X10" s="266">
        <f>IF('Final Calculation Sheet'!$X$7="","",'Final Calculation Sheet'!$X$7)</f>
        <v/>
      </c>
      <c r="Y10" s="268">
        <f>IF('Final Calculation Sheet'!$Y$7="","",'Final Calculation Sheet'!$Y$7)</f>
        <v/>
      </c>
      <c r="Z10" s="266">
        <f>IF('Final Calculation Sheet'!$Z$7="","",'Final Calculation Sheet'!$Z$7)</f>
        <v/>
      </c>
      <c r="AA10" s="266">
        <f>IF('Final Calculation Sheet'!$AA$7="","",'Final Calculation Sheet'!$AA$7)</f>
        <v/>
      </c>
      <c r="AB10" s="268">
        <f>IF('Final Calculation Sheet'!$AB$7="","",'Final Calculation Sheet'!$AB$7)</f>
        <v/>
      </c>
      <c r="AC10" s="266">
        <f>IF('Final Calculation Sheet'!$AC$7="","",'Final Calculation Sheet'!$AC$7)</f>
        <v/>
      </c>
      <c r="AD10" s="266">
        <f>IF('Final Calculation Sheet'!$AD$7="","",'Final Calculation Sheet'!$AD$7)</f>
        <v/>
      </c>
      <c r="AE10" s="268">
        <f>IF('Final Calculation Sheet'!$AD$7="","",IF('Final Calculation Sheet'!$AD$7&lt;=0,"SETTLED","OUTSTANDING"))</f>
        <v/>
      </c>
      <c r="AF10" s="268">
        <f>IF('Final Calculation Sheet'!$AE$7="","",'Final Calculation Sheet'!$AE$7)</f>
        <v/>
      </c>
      <c r="AG10" s="266">
        <f>IF('Final Calculation Sheet'!$AF$7="","",'Final Calculation Sheet'!$AF$7)</f>
        <v/>
      </c>
      <c r="AH10" s="268">
        <f>IF('Final Calculation Sheet'!$AG$7="","",'Final Calculation Sheet'!$AG$7)</f>
        <v/>
      </c>
      <c r="AI10" s="266" t="n">
        <v>7</v>
      </c>
    </row>
    <row r="11" ht="20" customHeight="1">
      <c r="A11" s="271" t="inlineStr">
        <is>
          <t>▼  HIND TRADERS</t>
        </is>
      </c>
      <c r="B11" s="272" t="n"/>
      <c r="C11" s="273" t="inlineStr">
        <is>
          <t>1 lot  —  click − to fold this buyer</t>
        </is>
      </c>
      <c r="D11" s="272" t="n"/>
      <c r="E11" s="274">
        <f>SUBTOTAL(109,E12:E12)</f>
        <v/>
      </c>
      <c r="F11" s="272" t="n"/>
      <c r="G11" s="272" t="n"/>
      <c r="H11" s="275">
        <f>SUBTOTAL(109,H12:H12)</f>
        <v/>
      </c>
      <c r="I11" s="275">
        <f>SUBTOTAL(109,I12:I12)</f>
        <v/>
      </c>
      <c r="J11" s="275">
        <f>SUBTOTAL(109,J12:J12)</f>
        <v/>
      </c>
      <c r="K11" s="275">
        <f>SUBTOTAL(109,K12:K12)</f>
        <v/>
      </c>
      <c r="L11" s="276">
        <f>SUBTOTAL(109,L12:L12)</f>
        <v/>
      </c>
      <c r="M11" s="276">
        <f>SUBTOTAL(109,M12:M12)</f>
        <v/>
      </c>
      <c r="N11" s="276">
        <f>SUBTOTAL(109,N12:N12)</f>
        <v/>
      </c>
      <c r="O11" s="276">
        <f>SUBTOTAL(109,O12:O12)</f>
        <v/>
      </c>
      <c r="P11" s="275">
        <f>SUBTOTAL(109,P12:P12)</f>
        <v/>
      </c>
      <c r="Q11" s="272" t="n"/>
      <c r="R11" s="275">
        <f>SUBTOTAL(109,R12:R12)</f>
        <v/>
      </c>
      <c r="S11" s="275">
        <f>SUBTOTAL(109,S12:S12)</f>
        <v/>
      </c>
      <c r="T11" s="275">
        <f>SUBTOTAL(109,T12:T12)</f>
        <v/>
      </c>
      <c r="U11" s="275">
        <f>SUBTOTAL(109,U12:U12)</f>
        <v/>
      </c>
      <c r="V11" s="272" t="n"/>
      <c r="W11" s="275">
        <f>SUBTOTAL(109,W12:W12)</f>
        <v/>
      </c>
      <c r="X11" s="275">
        <f>SUBTOTAL(109,X12:X12)</f>
        <v/>
      </c>
      <c r="Y11" s="272" t="n"/>
      <c r="Z11" s="275">
        <f>SUBTOTAL(109,Z12:Z12)</f>
        <v/>
      </c>
      <c r="AA11" s="275">
        <f>SUBTOTAL(109,AA12:AA12)</f>
        <v/>
      </c>
      <c r="AB11" s="272" t="n"/>
      <c r="AC11" s="275">
        <f>SUBTOTAL(109,AC12:AC12)</f>
        <v/>
      </c>
      <c r="AD11" s="275">
        <f>SUBTOTAL(109,AD12:AD12)</f>
        <v/>
      </c>
      <c r="AE11" s="272" t="n"/>
      <c r="AF11" s="272" t="n"/>
      <c r="AG11" s="272" t="n"/>
      <c r="AH11" s="272" t="n"/>
      <c r="AI11" s="272" t="n"/>
    </row>
    <row r="12" outlineLevel="1" ht="15" customHeight="1">
      <c r="A12" s="277">
        <f>IF('Final Calculation Sheet'!$G$15="","",'Final Calculation Sheet'!$G$15)</f>
        <v/>
      </c>
      <c r="B12" s="278">
        <f>IF('Final Calculation Sheet'!$F$15="","",'Final Calculation Sheet'!$F$15)</f>
        <v/>
      </c>
      <c r="C12" s="277">
        <f>IF('Final Calculation Sheet'!$B$15="","",'Final Calculation Sheet'!$B$15)</f>
        <v/>
      </c>
      <c r="D12" s="278">
        <f>IF('Final Calculation Sheet'!$D$15="","",'Final Calculation Sheet'!$D$15)</f>
        <v/>
      </c>
      <c r="E12" s="279">
        <f>IF('Final Calculation Sheet'!$A$15="","",'Final Calculation Sheet'!$A$15)</f>
        <v/>
      </c>
      <c r="F12" s="280">
        <f>IF('Final Calculation Sheet'!$E$15="","",'Final Calculation Sheet'!$E$15)</f>
        <v/>
      </c>
      <c r="G12" s="278">
        <f>IF('Final Calculation Sheet'!$C$15="","",'Final Calculation Sheet'!$C$15)</f>
        <v/>
      </c>
      <c r="H12" s="278">
        <f>IF('Final Calculation Sheet'!$H$15="","",'Final Calculation Sheet'!$H$15)</f>
        <v/>
      </c>
      <c r="I12" s="278">
        <f>IF('Final Calculation Sheet'!$I$15="","",'Final Calculation Sheet'!$I$15)</f>
        <v/>
      </c>
      <c r="J12" s="278">
        <f>IF('Final Calculation Sheet'!$J$15="","",'Final Calculation Sheet'!$J$15)</f>
        <v/>
      </c>
      <c r="K12" s="278">
        <f>IF('Final Calculation Sheet'!$K$15="","",'Final Calculation Sheet'!$K$15)</f>
        <v/>
      </c>
      <c r="L12" s="281">
        <f>IF('Final Calculation Sheet'!$L$15="","",'Final Calculation Sheet'!$L$15)</f>
        <v/>
      </c>
      <c r="M12" s="281">
        <f>IF('Final Calculation Sheet'!$M$15="","",'Final Calculation Sheet'!$M$15)</f>
        <v/>
      </c>
      <c r="N12" s="281">
        <f>IF('Final Calculation Sheet'!$N$15="","",'Final Calculation Sheet'!$N$15)</f>
        <v/>
      </c>
      <c r="O12" s="281">
        <f>IF('Final Calculation Sheet'!$O$15="","",'Final Calculation Sheet'!$O$15)</f>
        <v/>
      </c>
      <c r="P12" s="278">
        <f>IF('Final Calculation Sheet'!$P$15="","",'Final Calculation Sheet'!$P$15)</f>
        <v/>
      </c>
      <c r="Q12" s="282">
        <f>IF('Final Calculation Sheet'!$Q$15="","",'Final Calculation Sheet'!$Q$15)</f>
        <v/>
      </c>
      <c r="R12" s="278">
        <f>IF('Final Calculation Sheet'!$R$15="","",'Final Calculation Sheet'!$R$15)</f>
        <v/>
      </c>
      <c r="S12" s="278">
        <f>IF('Final Calculation Sheet'!$S$15="","",'Final Calculation Sheet'!$S$15)</f>
        <v/>
      </c>
      <c r="T12" s="278">
        <f>IF('Final Calculation Sheet'!$T$15="","",'Final Calculation Sheet'!$T$15)</f>
        <v/>
      </c>
      <c r="U12" s="278">
        <f>IF('Final Calculation Sheet'!$U$15="","",'Final Calculation Sheet'!$U$15)</f>
        <v/>
      </c>
      <c r="V12" s="280">
        <f>IF('Final Calculation Sheet'!$V$15="","",'Final Calculation Sheet'!$V$15)</f>
        <v/>
      </c>
      <c r="W12" s="278">
        <f>IF('Final Calculation Sheet'!$W$15="","",'Final Calculation Sheet'!$W$15)</f>
        <v/>
      </c>
      <c r="X12" s="278">
        <f>IF('Final Calculation Sheet'!$X$15="","",'Final Calculation Sheet'!$X$15)</f>
        <v/>
      </c>
      <c r="Y12" s="280">
        <f>IF('Final Calculation Sheet'!$Y$15="","",'Final Calculation Sheet'!$Y$15)</f>
        <v/>
      </c>
      <c r="Z12" s="278">
        <f>IF('Final Calculation Sheet'!$Z$15="","",'Final Calculation Sheet'!$Z$15)</f>
        <v/>
      </c>
      <c r="AA12" s="278">
        <f>IF('Final Calculation Sheet'!$AA$15="","",'Final Calculation Sheet'!$AA$15)</f>
        <v/>
      </c>
      <c r="AB12" s="280">
        <f>IF('Final Calculation Sheet'!$AB$15="","",'Final Calculation Sheet'!$AB$15)</f>
        <v/>
      </c>
      <c r="AC12" s="278">
        <f>IF('Final Calculation Sheet'!$AC$15="","",'Final Calculation Sheet'!$AC$15)</f>
        <v/>
      </c>
      <c r="AD12" s="278">
        <f>IF('Final Calculation Sheet'!$AD$15="","",'Final Calculation Sheet'!$AD$15)</f>
        <v/>
      </c>
      <c r="AE12" s="280">
        <f>IF('Final Calculation Sheet'!$AD$15="","",IF('Final Calculation Sheet'!$AD$15&lt;=0,"SETTLED","OUTSTANDING"))</f>
        <v/>
      </c>
      <c r="AF12" s="280">
        <f>IF('Final Calculation Sheet'!$AE$15="","",'Final Calculation Sheet'!$AE$15)</f>
        <v/>
      </c>
      <c r="AG12" s="278">
        <f>IF('Final Calculation Sheet'!$AF$15="","",'Final Calculation Sheet'!$AF$15)</f>
        <v/>
      </c>
      <c r="AH12" s="280">
        <f>IF('Final Calculation Sheet'!$AG$15="","",'Final Calculation Sheet'!$AG$15)</f>
        <v/>
      </c>
      <c r="AI12" s="278" t="n">
        <v>15</v>
      </c>
    </row>
    <row r="13" ht="20" customHeight="1">
      <c r="A13" s="283" t="inlineStr">
        <is>
          <t>▼  KASHYAP TRADING CO</t>
        </is>
      </c>
      <c r="B13" s="284" t="n"/>
      <c r="C13" s="285" t="inlineStr">
        <is>
          <t>1 lot  —  click − to fold this buyer</t>
        </is>
      </c>
      <c r="D13" s="284" t="n"/>
      <c r="E13" s="286">
        <f>SUBTOTAL(109,E14:E14)</f>
        <v/>
      </c>
      <c r="F13" s="284" t="n"/>
      <c r="G13" s="284" t="n"/>
      <c r="H13" s="287">
        <f>SUBTOTAL(109,H14:H14)</f>
        <v/>
      </c>
      <c r="I13" s="287">
        <f>SUBTOTAL(109,I14:I14)</f>
        <v/>
      </c>
      <c r="J13" s="287">
        <f>SUBTOTAL(109,J14:J14)</f>
        <v/>
      </c>
      <c r="K13" s="287">
        <f>SUBTOTAL(109,K14:K14)</f>
        <v/>
      </c>
      <c r="L13" s="288">
        <f>SUBTOTAL(109,L14:L14)</f>
        <v/>
      </c>
      <c r="M13" s="288">
        <f>SUBTOTAL(109,M14:M14)</f>
        <v/>
      </c>
      <c r="N13" s="288">
        <f>SUBTOTAL(109,N14:N14)</f>
        <v/>
      </c>
      <c r="O13" s="288">
        <f>SUBTOTAL(109,O14:O14)</f>
        <v/>
      </c>
      <c r="P13" s="287">
        <f>SUBTOTAL(109,P14:P14)</f>
        <v/>
      </c>
      <c r="Q13" s="284" t="n"/>
      <c r="R13" s="287">
        <f>SUBTOTAL(109,R14:R14)</f>
        <v/>
      </c>
      <c r="S13" s="287">
        <f>SUBTOTAL(109,S14:S14)</f>
        <v/>
      </c>
      <c r="T13" s="287">
        <f>SUBTOTAL(109,T14:T14)</f>
        <v/>
      </c>
      <c r="U13" s="287">
        <f>SUBTOTAL(109,U14:U14)</f>
        <v/>
      </c>
      <c r="V13" s="284" t="n"/>
      <c r="W13" s="287">
        <f>SUBTOTAL(109,W14:W14)</f>
        <v/>
      </c>
      <c r="X13" s="287">
        <f>SUBTOTAL(109,X14:X14)</f>
        <v/>
      </c>
      <c r="Y13" s="284" t="n"/>
      <c r="Z13" s="287">
        <f>SUBTOTAL(109,Z14:Z14)</f>
        <v/>
      </c>
      <c r="AA13" s="287">
        <f>SUBTOTAL(109,AA14:AA14)</f>
        <v/>
      </c>
      <c r="AB13" s="284" t="n"/>
      <c r="AC13" s="287">
        <f>SUBTOTAL(109,AC14:AC14)</f>
        <v/>
      </c>
      <c r="AD13" s="287">
        <f>SUBTOTAL(109,AD14:AD14)</f>
        <v/>
      </c>
      <c r="AE13" s="284" t="n"/>
      <c r="AF13" s="284" t="n"/>
      <c r="AG13" s="284" t="n"/>
      <c r="AH13" s="284" t="n"/>
      <c r="AI13" s="284" t="n"/>
    </row>
    <row r="14" outlineLevel="1" ht="15" customHeight="1">
      <c r="A14" s="289">
        <f>IF('Final Calculation Sheet'!$G$38="","",'Final Calculation Sheet'!$G$38)</f>
        <v/>
      </c>
      <c r="B14" s="290">
        <f>IF('Final Calculation Sheet'!$F$38="","",'Final Calculation Sheet'!$F$38)</f>
        <v/>
      </c>
      <c r="C14" s="289">
        <f>IF('Final Calculation Sheet'!$B$38="","",'Final Calculation Sheet'!$B$38)</f>
        <v/>
      </c>
      <c r="D14" s="290">
        <f>IF('Final Calculation Sheet'!$D$38="","",'Final Calculation Sheet'!$D$38)</f>
        <v/>
      </c>
      <c r="E14" s="291">
        <f>IF('Final Calculation Sheet'!$A$38="","",'Final Calculation Sheet'!$A$38)</f>
        <v/>
      </c>
      <c r="F14" s="292">
        <f>IF('Final Calculation Sheet'!$E$38="","",'Final Calculation Sheet'!$E$38)</f>
        <v/>
      </c>
      <c r="G14" s="290">
        <f>IF('Final Calculation Sheet'!$C$38="","",'Final Calculation Sheet'!$C$38)</f>
        <v/>
      </c>
      <c r="H14" s="290">
        <f>IF('Final Calculation Sheet'!$H$38="","",'Final Calculation Sheet'!$H$38)</f>
        <v/>
      </c>
      <c r="I14" s="290">
        <f>IF('Final Calculation Sheet'!$I$38="","",'Final Calculation Sheet'!$I$38)</f>
        <v/>
      </c>
      <c r="J14" s="290">
        <f>IF('Final Calculation Sheet'!$J$38="","",'Final Calculation Sheet'!$J$38)</f>
        <v/>
      </c>
      <c r="K14" s="290">
        <f>IF('Final Calculation Sheet'!$K$38="","",'Final Calculation Sheet'!$K$38)</f>
        <v/>
      </c>
      <c r="L14" s="293">
        <f>IF('Final Calculation Sheet'!$L$38="","",'Final Calculation Sheet'!$L$38)</f>
        <v/>
      </c>
      <c r="M14" s="293">
        <f>IF('Final Calculation Sheet'!$M$38="","",'Final Calculation Sheet'!$M$38)</f>
        <v/>
      </c>
      <c r="N14" s="293">
        <f>IF('Final Calculation Sheet'!$N$38="","",'Final Calculation Sheet'!$N$38)</f>
        <v/>
      </c>
      <c r="O14" s="293">
        <f>IF('Final Calculation Sheet'!$O$38="","",'Final Calculation Sheet'!$O$38)</f>
        <v/>
      </c>
      <c r="P14" s="290">
        <f>IF('Final Calculation Sheet'!$P$38="","",'Final Calculation Sheet'!$P$38)</f>
        <v/>
      </c>
      <c r="Q14" s="294">
        <f>IF('Final Calculation Sheet'!$Q$38="","",'Final Calculation Sheet'!$Q$38)</f>
        <v/>
      </c>
      <c r="R14" s="290">
        <f>IF('Final Calculation Sheet'!$R$38="","",'Final Calculation Sheet'!$R$38)</f>
        <v/>
      </c>
      <c r="S14" s="290">
        <f>IF('Final Calculation Sheet'!$S$38="","",'Final Calculation Sheet'!$S$38)</f>
        <v/>
      </c>
      <c r="T14" s="290">
        <f>IF('Final Calculation Sheet'!$T$38="","",'Final Calculation Sheet'!$T$38)</f>
        <v/>
      </c>
      <c r="U14" s="290">
        <f>IF('Final Calculation Sheet'!$U$38="","",'Final Calculation Sheet'!$U$38)</f>
        <v/>
      </c>
      <c r="V14" s="292">
        <f>IF('Final Calculation Sheet'!$V$38="","",'Final Calculation Sheet'!$V$38)</f>
        <v/>
      </c>
      <c r="W14" s="290">
        <f>IF('Final Calculation Sheet'!$W$38="","",'Final Calculation Sheet'!$W$38)</f>
        <v/>
      </c>
      <c r="X14" s="290">
        <f>IF('Final Calculation Sheet'!$X$38="","",'Final Calculation Sheet'!$X$38)</f>
        <v/>
      </c>
      <c r="Y14" s="292">
        <f>IF('Final Calculation Sheet'!$Y$38="","",'Final Calculation Sheet'!$Y$38)</f>
        <v/>
      </c>
      <c r="Z14" s="290">
        <f>IF('Final Calculation Sheet'!$Z$38="","",'Final Calculation Sheet'!$Z$38)</f>
        <v/>
      </c>
      <c r="AA14" s="290">
        <f>IF('Final Calculation Sheet'!$AA$38="","",'Final Calculation Sheet'!$AA$38)</f>
        <v/>
      </c>
      <c r="AB14" s="292">
        <f>IF('Final Calculation Sheet'!$AB$38="","",'Final Calculation Sheet'!$AB$38)</f>
        <v/>
      </c>
      <c r="AC14" s="290">
        <f>IF('Final Calculation Sheet'!$AC$38="","",'Final Calculation Sheet'!$AC$38)</f>
        <v/>
      </c>
      <c r="AD14" s="290">
        <f>IF('Final Calculation Sheet'!$AD$38="","",'Final Calculation Sheet'!$AD$38)</f>
        <v/>
      </c>
      <c r="AE14" s="292">
        <f>IF('Final Calculation Sheet'!$AD$38="","",IF('Final Calculation Sheet'!$AD$38&lt;=0,"SETTLED","OUTSTANDING"))</f>
        <v/>
      </c>
      <c r="AF14" s="292">
        <f>IF('Final Calculation Sheet'!$AE$38="","",'Final Calculation Sheet'!$AE$38)</f>
        <v/>
      </c>
      <c r="AG14" s="290">
        <f>IF('Final Calculation Sheet'!$AF$38="","",'Final Calculation Sheet'!$AF$38)</f>
        <v/>
      </c>
      <c r="AH14" s="292">
        <f>IF('Final Calculation Sheet'!$AG$38="","",'Final Calculation Sheet'!$AG$38)</f>
        <v/>
      </c>
      <c r="AI14" s="290" t="n">
        <v>38</v>
      </c>
    </row>
    <row r="15" ht="20" customHeight="1">
      <c r="A15" s="295" t="inlineStr">
        <is>
          <t>▼  M I SCRAP TRADERS</t>
        </is>
      </c>
      <c r="B15" s="296" t="n"/>
      <c r="C15" s="297" t="inlineStr">
        <is>
          <t>1 lot  —  click − to fold this buyer</t>
        </is>
      </c>
      <c r="D15" s="296" t="n"/>
      <c r="E15" s="298">
        <f>SUBTOTAL(109,E16:E16)</f>
        <v/>
      </c>
      <c r="F15" s="296" t="n"/>
      <c r="G15" s="296" t="n"/>
      <c r="H15" s="299">
        <f>SUBTOTAL(109,H16:H16)</f>
        <v/>
      </c>
      <c r="I15" s="299">
        <f>SUBTOTAL(109,I16:I16)</f>
        <v/>
      </c>
      <c r="J15" s="299">
        <f>SUBTOTAL(109,J16:J16)</f>
        <v/>
      </c>
      <c r="K15" s="299">
        <f>SUBTOTAL(109,K16:K16)</f>
        <v/>
      </c>
      <c r="L15" s="300">
        <f>SUBTOTAL(109,L16:L16)</f>
        <v/>
      </c>
      <c r="M15" s="300">
        <f>SUBTOTAL(109,M16:M16)</f>
        <v/>
      </c>
      <c r="N15" s="300">
        <f>SUBTOTAL(109,N16:N16)</f>
        <v/>
      </c>
      <c r="O15" s="300">
        <f>SUBTOTAL(109,O16:O16)</f>
        <v/>
      </c>
      <c r="P15" s="299">
        <f>SUBTOTAL(109,P16:P16)</f>
        <v/>
      </c>
      <c r="Q15" s="296" t="n"/>
      <c r="R15" s="299">
        <f>SUBTOTAL(109,R16:R16)</f>
        <v/>
      </c>
      <c r="S15" s="299">
        <f>SUBTOTAL(109,S16:S16)</f>
        <v/>
      </c>
      <c r="T15" s="299">
        <f>SUBTOTAL(109,T16:T16)</f>
        <v/>
      </c>
      <c r="U15" s="299">
        <f>SUBTOTAL(109,U16:U16)</f>
        <v/>
      </c>
      <c r="V15" s="296" t="n"/>
      <c r="W15" s="299">
        <f>SUBTOTAL(109,W16:W16)</f>
        <v/>
      </c>
      <c r="X15" s="299">
        <f>SUBTOTAL(109,X16:X16)</f>
        <v/>
      </c>
      <c r="Y15" s="296" t="n"/>
      <c r="Z15" s="299">
        <f>SUBTOTAL(109,Z16:Z16)</f>
        <v/>
      </c>
      <c r="AA15" s="299">
        <f>SUBTOTAL(109,AA16:AA16)</f>
        <v/>
      </c>
      <c r="AB15" s="296" t="n"/>
      <c r="AC15" s="299">
        <f>SUBTOTAL(109,AC16:AC16)</f>
        <v/>
      </c>
      <c r="AD15" s="299">
        <f>SUBTOTAL(109,AD16:AD16)</f>
        <v/>
      </c>
      <c r="AE15" s="296" t="n"/>
      <c r="AF15" s="296" t="n"/>
      <c r="AG15" s="296" t="n"/>
      <c r="AH15" s="296" t="n"/>
      <c r="AI15" s="296" t="n"/>
    </row>
    <row r="16" outlineLevel="1" ht="15" customHeight="1">
      <c r="A16" s="301">
        <f>IF('Final Calculation Sheet'!$G$27="","",'Final Calculation Sheet'!$G$27)</f>
        <v/>
      </c>
      <c r="B16" s="302">
        <f>IF('Final Calculation Sheet'!$F$27="","",'Final Calculation Sheet'!$F$27)</f>
        <v/>
      </c>
      <c r="C16" s="301">
        <f>IF('Final Calculation Sheet'!$B$27="","",'Final Calculation Sheet'!$B$27)</f>
        <v/>
      </c>
      <c r="D16" s="302">
        <f>IF('Final Calculation Sheet'!$D$27="","",'Final Calculation Sheet'!$D$27)</f>
        <v/>
      </c>
      <c r="E16" s="303">
        <f>IF('Final Calculation Sheet'!$A$27="","",'Final Calculation Sheet'!$A$27)</f>
        <v/>
      </c>
      <c r="F16" s="304">
        <f>IF('Final Calculation Sheet'!$E$27="","",'Final Calculation Sheet'!$E$27)</f>
        <v/>
      </c>
      <c r="G16" s="302">
        <f>IF('Final Calculation Sheet'!$C$27="","",'Final Calculation Sheet'!$C$27)</f>
        <v/>
      </c>
      <c r="H16" s="302">
        <f>IF('Final Calculation Sheet'!$H$27="","",'Final Calculation Sheet'!$H$27)</f>
        <v/>
      </c>
      <c r="I16" s="302">
        <f>IF('Final Calculation Sheet'!$I$27="","",'Final Calculation Sheet'!$I$27)</f>
        <v/>
      </c>
      <c r="J16" s="302">
        <f>IF('Final Calculation Sheet'!$J$27="","",'Final Calculation Sheet'!$J$27)</f>
        <v/>
      </c>
      <c r="K16" s="302">
        <f>IF('Final Calculation Sheet'!$K$27="","",'Final Calculation Sheet'!$K$27)</f>
        <v/>
      </c>
      <c r="L16" s="305">
        <f>IF('Final Calculation Sheet'!$L$27="","",'Final Calculation Sheet'!$L$27)</f>
        <v/>
      </c>
      <c r="M16" s="305">
        <f>IF('Final Calculation Sheet'!$M$27="","",'Final Calculation Sheet'!$M$27)</f>
        <v/>
      </c>
      <c r="N16" s="305">
        <f>IF('Final Calculation Sheet'!$N$27="","",'Final Calculation Sheet'!$N$27)</f>
        <v/>
      </c>
      <c r="O16" s="305">
        <f>IF('Final Calculation Sheet'!$O$27="","",'Final Calculation Sheet'!$O$27)</f>
        <v/>
      </c>
      <c r="P16" s="302">
        <f>IF('Final Calculation Sheet'!$P$27="","",'Final Calculation Sheet'!$P$27)</f>
        <v/>
      </c>
      <c r="Q16" s="306">
        <f>IF('Final Calculation Sheet'!$Q$27="","",'Final Calculation Sheet'!$Q$27)</f>
        <v/>
      </c>
      <c r="R16" s="302">
        <f>IF('Final Calculation Sheet'!$R$27="","",'Final Calculation Sheet'!$R$27)</f>
        <v/>
      </c>
      <c r="S16" s="302">
        <f>IF('Final Calculation Sheet'!$S$27="","",'Final Calculation Sheet'!$S$27)</f>
        <v/>
      </c>
      <c r="T16" s="302">
        <f>IF('Final Calculation Sheet'!$T$27="","",'Final Calculation Sheet'!$T$27)</f>
        <v/>
      </c>
      <c r="U16" s="302">
        <f>IF('Final Calculation Sheet'!$U$27="","",'Final Calculation Sheet'!$U$27)</f>
        <v/>
      </c>
      <c r="V16" s="304">
        <f>IF('Final Calculation Sheet'!$V$27="","",'Final Calculation Sheet'!$V$27)</f>
        <v/>
      </c>
      <c r="W16" s="302">
        <f>IF('Final Calculation Sheet'!$W$27="","",'Final Calculation Sheet'!$W$27)</f>
        <v/>
      </c>
      <c r="X16" s="302">
        <f>IF('Final Calculation Sheet'!$X$27="","",'Final Calculation Sheet'!$X$27)</f>
        <v/>
      </c>
      <c r="Y16" s="304">
        <f>IF('Final Calculation Sheet'!$Y$27="","",'Final Calculation Sheet'!$Y$27)</f>
        <v/>
      </c>
      <c r="Z16" s="302">
        <f>IF('Final Calculation Sheet'!$Z$27="","",'Final Calculation Sheet'!$Z$27)</f>
        <v/>
      </c>
      <c r="AA16" s="302">
        <f>IF('Final Calculation Sheet'!$AA$27="","",'Final Calculation Sheet'!$AA$27)</f>
        <v/>
      </c>
      <c r="AB16" s="304">
        <f>IF('Final Calculation Sheet'!$AB$27="","",'Final Calculation Sheet'!$AB$27)</f>
        <v/>
      </c>
      <c r="AC16" s="302">
        <f>IF('Final Calculation Sheet'!$AC$27="","",'Final Calculation Sheet'!$AC$27)</f>
        <v/>
      </c>
      <c r="AD16" s="302">
        <f>IF('Final Calculation Sheet'!$AD$27="","",'Final Calculation Sheet'!$AD$27)</f>
        <v/>
      </c>
      <c r="AE16" s="304">
        <f>IF('Final Calculation Sheet'!$AD$27="","",IF('Final Calculation Sheet'!$AD$27&lt;=0,"SETTLED","OUTSTANDING"))</f>
        <v/>
      </c>
      <c r="AF16" s="304">
        <f>IF('Final Calculation Sheet'!$AE$27="","",'Final Calculation Sheet'!$AE$27)</f>
        <v/>
      </c>
      <c r="AG16" s="302">
        <f>IF('Final Calculation Sheet'!$AF$27="","",'Final Calculation Sheet'!$AF$27)</f>
        <v/>
      </c>
      <c r="AH16" s="304">
        <f>IF('Final Calculation Sheet'!$AG$27="","",'Final Calculation Sheet'!$AG$27)</f>
        <v/>
      </c>
      <c r="AI16" s="302" t="n">
        <v>27</v>
      </c>
    </row>
    <row r="17" ht="20" customHeight="1">
      <c r="A17" s="307" t="inlineStr">
        <is>
          <t>▼  NATIONAL ENTERPRISES</t>
        </is>
      </c>
      <c r="B17" s="308" t="n"/>
      <c r="C17" s="309" t="inlineStr">
        <is>
          <t>13 lots  —  click − to fold this buyer</t>
        </is>
      </c>
      <c r="D17" s="308" t="n"/>
      <c r="E17" s="310">
        <f>SUBTOTAL(109,E18:E30)</f>
        <v/>
      </c>
      <c r="F17" s="308" t="n"/>
      <c r="G17" s="308" t="n"/>
      <c r="H17" s="311">
        <f>SUBTOTAL(109,H18:H30)</f>
        <v/>
      </c>
      <c r="I17" s="311">
        <f>SUBTOTAL(109,I18:I30)</f>
        <v/>
      </c>
      <c r="J17" s="311">
        <f>SUBTOTAL(109,J18:J30)</f>
        <v/>
      </c>
      <c r="K17" s="311">
        <f>SUBTOTAL(109,K18:K30)</f>
        <v/>
      </c>
      <c r="L17" s="312">
        <f>SUBTOTAL(109,L18:L30)</f>
        <v/>
      </c>
      <c r="M17" s="312">
        <f>SUBTOTAL(109,M18:M30)</f>
        <v/>
      </c>
      <c r="N17" s="312">
        <f>SUBTOTAL(109,N18:N30)</f>
        <v/>
      </c>
      <c r="O17" s="312">
        <f>SUBTOTAL(109,O18:O30)</f>
        <v/>
      </c>
      <c r="P17" s="311">
        <f>SUBTOTAL(109,P18:P30)</f>
        <v/>
      </c>
      <c r="Q17" s="308" t="n"/>
      <c r="R17" s="311">
        <f>SUBTOTAL(109,R18:R30)</f>
        <v/>
      </c>
      <c r="S17" s="311">
        <f>SUBTOTAL(109,S18:S30)</f>
        <v/>
      </c>
      <c r="T17" s="311">
        <f>SUBTOTAL(109,T18:T30)</f>
        <v/>
      </c>
      <c r="U17" s="311">
        <f>SUBTOTAL(109,U18:U30)</f>
        <v/>
      </c>
      <c r="V17" s="308" t="n"/>
      <c r="W17" s="311">
        <f>SUBTOTAL(109,W18:W30)</f>
        <v/>
      </c>
      <c r="X17" s="311">
        <f>SUBTOTAL(109,X18:X30)</f>
        <v/>
      </c>
      <c r="Y17" s="308" t="n"/>
      <c r="Z17" s="311">
        <f>SUBTOTAL(109,Z18:Z30)</f>
        <v/>
      </c>
      <c r="AA17" s="311">
        <f>SUBTOTAL(109,AA18:AA30)</f>
        <v/>
      </c>
      <c r="AB17" s="308" t="n"/>
      <c r="AC17" s="311">
        <f>SUBTOTAL(109,AC18:AC30)</f>
        <v/>
      </c>
      <c r="AD17" s="311">
        <f>SUBTOTAL(109,AD18:AD30)</f>
        <v/>
      </c>
      <c r="AE17" s="308" t="n"/>
      <c r="AF17" s="308" t="n"/>
      <c r="AG17" s="308" t="n"/>
      <c r="AH17" s="308" t="n"/>
      <c r="AI17" s="308" t="n"/>
    </row>
    <row r="18" outlineLevel="1" ht="15" customHeight="1">
      <c r="A18" s="313">
        <f>IF('Final Calculation Sheet'!$G$5="","",'Final Calculation Sheet'!$G$5)</f>
        <v/>
      </c>
      <c r="B18" s="314">
        <f>IF('Final Calculation Sheet'!$F$5="","",'Final Calculation Sheet'!$F$5)</f>
        <v/>
      </c>
      <c r="C18" s="313">
        <f>IF('Final Calculation Sheet'!$B$5="","",'Final Calculation Sheet'!$B$5)</f>
        <v/>
      </c>
      <c r="D18" s="314">
        <f>IF('Final Calculation Sheet'!$D$5="","",'Final Calculation Sheet'!$D$5)</f>
        <v/>
      </c>
      <c r="E18" s="315">
        <f>IF('Final Calculation Sheet'!$A$5="","",'Final Calculation Sheet'!$A$5)</f>
        <v/>
      </c>
      <c r="F18" s="316">
        <f>IF('Final Calculation Sheet'!$E$5="","",'Final Calculation Sheet'!$E$5)</f>
        <v/>
      </c>
      <c r="G18" s="314">
        <f>IF('Final Calculation Sheet'!$C$5="","",'Final Calculation Sheet'!$C$5)</f>
        <v/>
      </c>
      <c r="H18" s="314">
        <f>IF('Final Calculation Sheet'!$H$5="","",'Final Calculation Sheet'!$H$5)</f>
        <v/>
      </c>
      <c r="I18" s="314">
        <f>IF('Final Calculation Sheet'!$I$5="","",'Final Calculation Sheet'!$I$5)</f>
        <v/>
      </c>
      <c r="J18" s="314">
        <f>IF('Final Calculation Sheet'!$J$5="","",'Final Calculation Sheet'!$J$5)</f>
        <v/>
      </c>
      <c r="K18" s="314">
        <f>IF('Final Calculation Sheet'!$K$5="","",'Final Calculation Sheet'!$K$5)</f>
        <v/>
      </c>
      <c r="L18" s="317">
        <f>IF('Final Calculation Sheet'!$L$5="","",'Final Calculation Sheet'!$L$5)</f>
        <v/>
      </c>
      <c r="M18" s="317">
        <f>IF('Final Calculation Sheet'!$M$5="","",'Final Calculation Sheet'!$M$5)</f>
        <v/>
      </c>
      <c r="N18" s="317">
        <f>IF('Final Calculation Sheet'!$N$5="","",'Final Calculation Sheet'!$N$5)</f>
        <v/>
      </c>
      <c r="O18" s="317">
        <f>IF('Final Calculation Sheet'!$O$5="","",'Final Calculation Sheet'!$O$5)</f>
        <v/>
      </c>
      <c r="P18" s="314">
        <f>IF('Final Calculation Sheet'!$P$5="","",'Final Calculation Sheet'!$P$5)</f>
        <v/>
      </c>
      <c r="Q18" s="318">
        <f>IF('Final Calculation Sheet'!$Q$5="","",'Final Calculation Sheet'!$Q$5)</f>
        <v/>
      </c>
      <c r="R18" s="314">
        <f>IF('Final Calculation Sheet'!$R$5="","",'Final Calculation Sheet'!$R$5)</f>
        <v/>
      </c>
      <c r="S18" s="314">
        <f>IF('Final Calculation Sheet'!$S$5="","",'Final Calculation Sheet'!$S$5)</f>
        <v/>
      </c>
      <c r="T18" s="314">
        <f>IF('Final Calculation Sheet'!$T$5="","",'Final Calculation Sheet'!$T$5)</f>
        <v/>
      </c>
      <c r="U18" s="314">
        <f>IF('Final Calculation Sheet'!$U$5="","",'Final Calculation Sheet'!$U$5)</f>
        <v/>
      </c>
      <c r="V18" s="316">
        <f>IF('Final Calculation Sheet'!$V$5="","",'Final Calculation Sheet'!$V$5)</f>
        <v/>
      </c>
      <c r="W18" s="314">
        <f>IF('Final Calculation Sheet'!$W$5="","",'Final Calculation Sheet'!$W$5)</f>
        <v/>
      </c>
      <c r="X18" s="314">
        <f>IF('Final Calculation Sheet'!$X$5="","",'Final Calculation Sheet'!$X$5)</f>
        <v/>
      </c>
      <c r="Y18" s="316">
        <f>IF('Final Calculation Sheet'!$Y$5="","",'Final Calculation Sheet'!$Y$5)</f>
        <v/>
      </c>
      <c r="Z18" s="314">
        <f>IF('Final Calculation Sheet'!$Z$5="","",'Final Calculation Sheet'!$Z$5)</f>
        <v/>
      </c>
      <c r="AA18" s="314">
        <f>IF('Final Calculation Sheet'!$AA$5="","",'Final Calculation Sheet'!$AA$5)</f>
        <v/>
      </c>
      <c r="AB18" s="316">
        <f>IF('Final Calculation Sheet'!$AB$5="","",'Final Calculation Sheet'!$AB$5)</f>
        <v/>
      </c>
      <c r="AC18" s="314">
        <f>IF('Final Calculation Sheet'!$AC$5="","",'Final Calculation Sheet'!$AC$5)</f>
        <v/>
      </c>
      <c r="AD18" s="314">
        <f>IF('Final Calculation Sheet'!$AD$5="","",'Final Calculation Sheet'!$AD$5)</f>
        <v/>
      </c>
      <c r="AE18" s="316">
        <f>IF('Final Calculation Sheet'!$AD$5="","",IF('Final Calculation Sheet'!$AD$5&lt;=0,"SETTLED","OUTSTANDING"))</f>
        <v/>
      </c>
      <c r="AF18" s="316">
        <f>IF('Final Calculation Sheet'!$AE$5="","",'Final Calculation Sheet'!$AE$5)</f>
        <v/>
      </c>
      <c r="AG18" s="314">
        <f>IF('Final Calculation Sheet'!$AF$5="","",'Final Calculation Sheet'!$AF$5)</f>
        <v/>
      </c>
      <c r="AH18" s="316">
        <f>IF('Final Calculation Sheet'!$AG$5="","",'Final Calculation Sheet'!$AG$5)</f>
        <v/>
      </c>
      <c r="AI18" s="314" t="n">
        <v>5</v>
      </c>
    </row>
    <row r="19" outlineLevel="1" ht="15" customHeight="1">
      <c r="A19" s="319">
        <f>IF('Final Calculation Sheet'!$G$10="","",'Final Calculation Sheet'!$G$10)</f>
        <v/>
      </c>
      <c r="B19" s="320">
        <f>IF('Final Calculation Sheet'!$F$10="","",'Final Calculation Sheet'!$F$10)</f>
        <v/>
      </c>
      <c r="C19" s="319">
        <f>IF('Final Calculation Sheet'!$B$10="","",'Final Calculation Sheet'!$B$10)</f>
        <v/>
      </c>
      <c r="D19" s="320">
        <f>IF('Final Calculation Sheet'!$D$10="","",'Final Calculation Sheet'!$D$10)</f>
        <v/>
      </c>
      <c r="E19" s="321">
        <f>IF('Final Calculation Sheet'!$A$10="","",'Final Calculation Sheet'!$A$10)</f>
        <v/>
      </c>
      <c r="F19" s="322">
        <f>IF('Final Calculation Sheet'!$E$10="","",'Final Calculation Sheet'!$E$10)</f>
        <v/>
      </c>
      <c r="G19" s="320">
        <f>IF('Final Calculation Sheet'!$C$10="","",'Final Calculation Sheet'!$C$10)</f>
        <v/>
      </c>
      <c r="H19" s="320">
        <f>IF('Final Calculation Sheet'!$H$10="","",'Final Calculation Sheet'!$H$10)</f>
        <v/>
      </c>
      <c r="I19" s="320">
        <f>IF('Final Calculation Sheet'!$I$10="","",'Final Calculation Sheet'!$I$10)</f>
        <v/>
      </c>
      <c r="J19" s="320">
        <f>IF('Final Calculation Sheet'!$J$10="","",'Final Calculation Sheet'!$J$10)</f>
        <v/>
      </c>
      <c r="K19" s="320">
        <f>IF('Final Calculation Sheet'!$K$10="","",'Final Calculation Sheet'!$K$10)</f>
        <v/>
      </c>
      <c r="L19" s="323">
        <f>IF('Final Calculation Sheet'!$L$10="","",'Final Calculation Sheet'!$L$10)</f>
        <v/>
      </c>
      <c r="M19" s="323">
        <f>IF('Final Calculation Sheet'!$M$10="","",'Final Calculation Sheet'!$M$10)</f>
        <v/>
      </c>
      <c r="N19" s="323">
        <f>IF('Final Calculation Sheet'!$N$10="","",'Final Calculation Sheet'!$N$10)</f>
        <v/>
      </c>
      <c r="O19" s="323">
        <f>IF('Final Calculation Sheet'!$O$10="","",'Final Calculation Sheet'!$O$10)</f>
        <v/>
      </c>
      <c r="P19" s="320">
        <f>IF('Final Calculation Sheet'!$P$10="","",'Final Calculation Sheet'!$P$10)</f>
        <v/>
      </c>
      <c r="Q19" s="324">
        <f>IF('Final Calculation Sheet'!$Q$10="","",'Final Calculation Sheet'!$Q$10)</f>
        <v/>
      </c>
      <c r="R19" s="320">
        <f>IF('Final Calculation Sheet'!$R$10="","",'Final Calculation Sheet'!$R$10)</f>
        <v/>
      </c>
      <c r="S19" s="320">
        <f>IF('Final Calculation Sheet'!$S$10="","",'Final Calculation Sheet'!$S$10)</f>
        <v/>
      </c>
      <c r="T19" s="320">
        <f>IF('Final Calculation Sheet'!$T$10="","",'Final Calculation Sheet'!$T$10)</f>
        <v/>
      </c>
      <c r="U19" s="320">
        <f>IF('Final Calculation Sheet'!$U$10="","",'Final Calculation Sheet'!$U$10)</f>
        <v/>
      </c>
      <c r="V19" s="322">
        <f>IF('Final Calculation Sheet'!$V$10="","",'Final Calculation Sheet'!$V$10)</f>
        <v/>
      </c>
      <c r="W19" s="320">
        <f>IF('Final Calculation Sheet'!$W$10="","",'Final Calculation Sheet'!$W$10)</f>
        <v/>
      </c>
      <c r="X19" s="320">
        <f>IF('Final Calculation Sheet'!$X$10="","",'Final Calculation Sheet'!$X$10)</f>
        <v/>
      </c>
      <c r="Y19" s="322">
        <f>IF('Final Calculation Sheet'!$Y$10="","",'Final Calculation Sheet'!$Y$10)</f>
        <v/>
      </c>
      <c r="Z19" s="320">
        <f>IF('Final Calculation Sheet'!$Z$10="","",'Final Calculation Sheet'!$Z$10)</f>
        <v/>
      </c>
      <c r="AA19" s="320">
        <f>IF('Final Calculation Sheet'!$AA$10="","",'Final Calculation Sheet'!$AA$10)</f>
        <v/>
      </c>
      <c r="AB19" s="322">
        <f>IF('Final Calculation Sheet'!$AB$10="","",'Final Calculation Sheet'!$AB$10)</f>
        <v/>
      </c>
      <c r="AC19" s="320">
        <f>IF('Final Calculation Sheet'!$AC$10="","",'Final Calculation Sheet'!$AC$10)</f>
        <v/>
      </c>
      <c r="AD19" s="320">
        <f>IF('Final Calculation Sheet'!$AD$10="","",'Final Calculation Sheet'!$AD$10)</f>
        <v/>
      </c>
      <c r="AE19" s="322">
        <f>IF('Final Calculation Sheet'!$AD$10="","",IF('Final Calculation Sheet'!$AD$10&lt;=0,"SETTLED","OUTSTANDING"))</f>
        <v/>
      </c>
      <c r="AF19" s="322">
        <f>IF('Final Calculation Sheet'!$AE$10="","",'Final Calculation Sheet'!$AE$10)</f>
        <v/>
      </c>
      <c r="AG19" s="320">
        <f>IF('Final Calculation Sheet'!$AF$10="","",'Final Calculation Sheet'!$AF$10)</f>
        <v/>
      </c>
      <c r="AH19" s="322">
        <f>IF('Final Calculation Sheet'!$AG$10="","",'Final Calculation Sheet'!$AG$10)</f>
        <v/>
      </c>
      <c r="AI19" s="320" t="n">
        <v>10</v>
      </c>
    </row>
    <row r="20" outlineLevel="1" ht="15" customHeight="1">
      <c r="A20" s="313">
        <f>IF('Final Calculation Sheet'!$G$11="","",'Final Calculation Sheet'!$G$11)</f>
        <v/>
      </c>
      <c r="B20" s="314">
        <f>IF('Final Calculation Sheet'!$F$11="","",'Final Calculation Sheet'!$F$11)</f>
        <v/>
      </c>
      <c r="C20" s="313">
        <f>IF('Final Calculation Sheet'!$B$11="","",'Final Calculation Sheet'!$B$11)</f>
        <v/>
      </c>
      <c r="D20" s="314">
        <f>IF('Final Calculation Sheet'!$D$11="","",'Final Calculation Sheet'!$D$11)</f>
        <v/>
      </c>
      <c r="E20" s="315">
        <f>IF('Final Calculation Sheet'!$A$11="","",'Final Calculation Sheet'!$A$11)</f>
        <v/>
      </c>
      <c r="F20" s="316">
        <f>IF('Final Calculation Sheet'!$E$11="","",'Final Calculation Sheet'!$E$11)</f>
        <v/>
      </c>
      <c r="G20" s="314">
        <f>IF('Final Calculation Sheet'!$C$11="","",'Final Calculation Sheet'!$C$11)</f>
        <v/>
      </c>
      <c r="H20" s="314">
        <f>IF('Final Calculation Sheet'!$H$11="","",'Final Calculation Sheet'!$H$11)</f>
        <v/>
      </c>
      <c r="I20" s="314">
        <f>IF('Final Calculation Sheet'!$I$11="","",'Final Calculation Sheet'!$I$11)</f>
        <v/>
      </c>
      <c r="J20" s="314">
        <f>IF('Final Calculation Sheet'!$J$11="","",'Final Calculation Sheet'!$J$11)</f>
        <v/>
      </c>
      <c r="K20" s="314">
        <f>IF('Final Calculation Sheet'!$K$11="","",'Final Calculation Sheet'!$K$11)</f>
        <v/>
      </c>
      <c r="L20" s="317">
        <f>IF('Final Calculation Sheet'!$L$11="","",'Final Calculation Sheet'!$L$11)</f>
        <v/>
      </c>
      <c r="M20" s="317">
        <f>IF('Final Calculation Sheet'!$M$11="","",'Final Calculation Sheet'!$M$11)</f>
        <v/>
      </c>
      <c r="N20" s="317">
        <f>IF('Final Calculation Sheet'!$N$11="","",'Final Calculation Sheet'!$N$11)</f>
        <v/>
      </c>
      <c r="O20" s="317">
        <f>IF('Final Calculation Sheet'!$O$11="","",'Final Calculation Sheet'!$O$11)</f>
        <v/>
      </c>
      <c r="P20" s="314">
        <f>IF('Final Calculation Sheet'!$P$11="","",'Final Calculation Sheet'!$P$11)</f>
        <v/>
      </c>
      <c r="Q20" s="318">
        <f>IF('Final Calculation Sheet'!$Q$11="","",'Final Calculation Sheet'!$Q$11)</f>
        <v/>
      </c>
      <c r="R20" s="314">
        <f>IF('Final Calculation Sheet'!$R$11="","",'Final Calculation Sheet'!$R$11)</f>
        <v/>
      </c>
      <c r="S20" s="314">
        <f>IF('Final Calculation Sheet'!$S$11="","",'Final Calculation Sheet'!$S$11)</f>
        <v/>
      </c>
      <c r="T20" s="314">
        <f>IF('Final Calculation Sheet'!$T$11="","",'Final Calculation Sheet'!$T$11)</f>
        <v/>
      </c>
      <c r="U20" s="314">
        <f>IF('Final Calculation Sheet'!$U$11="","",'Final Calculation Sheet'!$U$11)</f>
        <v/>
      </c>
      <c r="V20" s="316">
        <f>IF('Final Calculation Sheet'!$V$11="","",'Final Calculation Sheet'!$V$11)</f>
        <v/>
      </c>
      <c r="W20" s="314">
        <f>IF('Final Calculation Sheet'!$W$11="","",'Final Calculation Sheet'!$W$11)</f>
        <v/>
      </c>
      <c r="X20" s="314">
        <f>IF('Final Calculation Sheet'!$X$11="","",'Final Calculation Sheet'!$X$11)</f>
        <v/>
      </c>
      <c r="Y20" s="316">
        <f>IF('Final Calculation Sheet'!$Y$11="","",'Final Calculation Sheet'!$Y$11)</f>
        <v/>
      </c>
      <c r="Z20" s="314">
        <f>IF('Final Calculation Sheet'!$Z$11="","",'Final Calculation Sheet'!$Z$11)</f>
        <v/>
      </c>
      <c r="AA20" s="314">
        <f>IF('Final Calculation Sheet'!$AA$11="","",'Final Calculation Sheet'!$AA$11)</f>
        <v/>
      </c>
      <c r="AB20" s="316">
        <f>IF('Final Calculation Sheet'!$AB$11="","",'Final Calculation Sheet'!$AB$11)</f>
        <v/>
      </c>
      <c r="AC20" s="314">
        <f>IF('Final Calculation Sheet'!$AC$11="","",'Final Calculation Sheet'!$AC$11)</f>
        <v/>
      </c>
      <c r="AD20" s="314">
        <f>IF('Final Calculation Sheet'!$AD$11="","",'Final Calculation Sheet'!$AD$11)</f>
        <v/>
      </c>
      <c r="AE20" s="316">
        <f>IF('Final Calculation Sheet'!$AD$11="","",IF('Final Calculation Sheet'!$AD$11&lt;=0,"SETTLED","OUTSTANDING"))</f>
        <v/>
      </c>
      <c r="AF20" s="316">
        <f>IF('Final Calculation Sheet'!$AE$11="","",'Final Calculation Sheet'!$AE$11)</f>
        <v/>
      </c>
      <c r="AG20" s="314">
        <f>IF('Final Calculation Sheet'!$AF$11="","",'Final Calculation Sheet'!$AF$11)</f>
        <v/>
      </c>
      <c r="AH20" s="316">
        <f>IF('Final Calculation Sheet'!$AG$11="","",'Final Calculation Sheet'!$AG$11)</f>
        <v/>
      </c>
      <c r="AI20" s="314" t="n">
        <v>11</v>
      </c>
    </row>
    <row r="21" outlineLevel="1" ht="15" customHeight="1">
      <c r="A21" s="319">
        <f>IF('Final Calculation Sheet'!$G$12="","",'Final Calculation Sheet'!$G$12)</f>
        <v/>
      </c>
      <c r="B21" s="320">
        <f>IF('Final Calculation Sheet'!$F$12="","",'Final Calculation Sheet'!$F$12)</f>
        <v/>
      </c>
      <c r="C21" s="319">
        <f>IF('Final Calculation Sheet'!$B$12="","",'Final Calculation Sheet'!$B$12)</f>
        <v/>
      </c>
      <c r="D21" s="320">
        <f>IF('Final Calculation Sheet'!$D$12="","",'Final Calculation Sheet'!$D$12)</f>
        <v/>
      </c>
      <c r="E21" s="321">
        <f>IF('Final Calculation Sheet'!$A$12="","",'Final Calculation Sheet'!$A$12)</f>
        <v/>
      </c>
      <c r="F21" s="322">
        <f>IF('Final Calculation Sheet'!$E$12="","",'Final Calculation Sheet'!$E$12)</f>
        <v/>
      </c>
      <c r="G21" s="320">
        <f>IF('Final Calculation Sheet'!$C$12="","",'Final Calculation Sheet'!$C$12)</f>
        <v/>
      </c>
      <c r="H21" s="320">
        <f>IF('Final Calculation Sheet'!$H$12="","",'Final Calculation Sheet'!$H$12)</f>
        <v/>
      </c>
      <c r="I21" s="320">
        <f>IF('Final Calculation Sheet'!$I$12="","",'Final Calculation Sheet'!$I$12)</f>
        <v/>
      </c>
      <c r="J21" s="320">
        <f>IF('Final Calculation Sheet'!$J$12="","",'Final Calculation Sheet'!$J$12)</f>
        <v/>
      </c>
      <c r="K21" s="320">
        <f>IF('Final Calculation Sheet'!$K$12="","",'Final Calculation Sheet'!$K$12)</f>
        <v/>
      </c>
      <c r="L21" s="323">
        <f>IF('Final Calculation Sheet'!$L$12="","",'Final Calculation Sheet'!$L$12)</f>
        <v/>
      </c>
      <c r="M21" s="323">
        <f>IF('Final Calculation Sheet'!$M$12="","",'Final Calculation Sheet'!$M$12)</f>
        <v/>
      </c>
      <c r="N21" s="323">
        <f>IF('Final Calculation Sheet'!$N$12="","",'Final Calculation Sheet'!$N$12)</f>
        <v/>
      </c>
      <c r="O21" s="323">
        <f>IF('Final Calculation Sheet'!$O$12="","",'Final Calculation Sheet'!$O$12)</f>
        <v/>
      </c>
      <c r="P21" s="320">
        <f>IF('Final Calculation Sheet'!$P$12="","",'Final Calculation Sheet'!$P$12)</f>
        <v/>
      </c>
      <c r="Q21" s="324">
        <f>IF('Final Calculation Sheet'!$Q$12="","",'Final Calculation Sheet'!$Q$12)</f>
        <v/>
      </c>
      <c r="R21" s="320">
        <f>IF('Final Calculation Sheet'!$R$12="","",'Final Calculation Sheet'!$R$12)</f>
        <v/>
      </c>
      <c r="S21" s="320">
        <f>IF('Final Calculation Sheet'!$S$12="","",'Final Calculation Sheet'!$S$12)</f>
        <v/>
      </c>
      <c r="T21" s="320">
        <f>IF('Final Calculation Sheet'!$T$12="","",'Final Calculation Sheet'!$T$12)</f>
        <v/>
      </c>
      <c r="U21" s="320">
        <f>IF('Final Calculation Sheet'!$U$12="","",'Final Calculation Sheet'!$U$12)</f>
        <v/>
      </c>
      <c r="V21" s="322">
        <f>IF('Final Calculation Sheet'!$V$12="","",'Final Calculation Sheet'!$V$12)</f>
        <v/>
      </c>
      <c r="W21" s="320">
        <f>IF('Final Calculation Sheet'!$W$12="","",'Final Calculation Sheet'!$W$12)</f>
        <v/>
      </c>
      <c r="X21" s="320">
        <f>IF('Final Calculation Sheet'!$X$12="","",'Final Calculation Sheet'!$X$12)</f>
        <v/>
      </c>
      <c r="Y21" s="322">
        <f>IF('Final Calculation Sheet'!$Y$12="","",'Final Calculation Sheet'!$Y$12)</f>
        <v/>
      </c>
      <c r="Z21" s="320">
        <f>IF('Final Calculation Sheet'!$Z$12="","",'Final Calculation Sheet'!$Z$12)</f>
        <v/>
      </c>
      <c r="AA21" s="320">
        <f>IF('Final Calculation Sheet'!$AA$12="","",'Final Calculation Sheet'!$AA$12)</f>
        <v/>
      </c>
      <c r="AB21" s="322">
        <f>IF('Final Calculation Sheet'!$AB$12="","",'Final Calculation Sheet'!$AB$12)</f>
        <v/>
      </c>
      <c r="AC21" s="320">
        <f>IF('Final Calculation Sheet'!$AC$12="","",'Final Calculation Sheet'!$AC$12)</f>
        <v/>
      </c>
      <c r="AD21" s="320">
        <f>IF('Final Calculation Sheet'!$AD$12="","",'Final Calculation Sheet'!$AD$12)</f>
        <v/>
      </c>
      <c r="AE21" s="322">
        <f>IF('Final Calculation Sheet'!$AD$12="","",IF('Final Calculation Sheet'!$AD$12&lt;=0,"SETTLED","OUTSTANDING"))</f>
        <v/>
      </c>
      <c r="AF21" s="322">
        <f>IF('Final Calculation Sheet'!$AE$12="","",'Final Calculation Sheet'!$AE$12)</f>
        <v/>
      </c>
      <c r="AG21" s="320">
        <f>IF('Final Calculation Sheet'!$AF$12="","",'Final Calculation Sheet'!$AF$12)</f>
        <v/>
      </c>
      <c r="AH21" s="322">
        <f>IF('Final Calculation Sheet'!$AG$12="","",'Final Calculation Sheet'!$AG$12)</f>
        <v/>
      </c>
      <c r="AI21" s="320" t="n">
        <v>12</v>
      </c>
    </row>
    <row r="22" outlineLevel="1" ht="15" customHeight="1">
      <c r="A22" s="313">
        <f>IF('Final Calculation Sheet'!$G$18="","",'Final Calculation Sheet'!$G$18)</f>
        <v/>
      </c>
      <c r="B22" s="314">
        <f>IF('Final Calculation Sheet'!$F$18="","",'Final Calculation Sheet'!$F$18)</f>
        <v/>
      </c>
      <c r="C22" s="313">
        <f>IF('Final Calculation Sheet'!$B$18="","",'Final Calculation Sheet'!$B$18)</f>
        <v/>
      </c>
      <c r="D22" s="314">
        <f>IF('Final Calculation Sheet'!$D$18="","",'Final Calculation Sheet'!$D$18)</f>
        <v/>
      </c>
      <c r="E22" s="315">
        <f>IF('Final Calculation Sheet'!$A$18="","",'Final Calculation Sheet'!$A$18)</f>
        <v/>
      </c>
      <c r="F22" s="316">
        <f>IF('Final Calculation Sheet'!$E$18="","",'Final Calculation Sheet'!$E$18)</f>
        <v/>
      </c>
      <c r="G22" s="314">
        <f>IF('Final Calculation Sheet'!$C$18="","",'Final Calculation Sheet'!$C$18)</f>
        <v/>
      </c>
      <c r="H22" s="314">
        <f>IF('Final Calculation Sheet'!$H$18="","",'Final Calculation Sheet'!$H$18)</f>
        <v/>
      </c>
      <c r="I22" s="314">
        <f>IF('Final Calculation Sheet'!$I$18="","",'Final Calculation Sheet'!$I$18)</f>
        <v/>
      </c>
      <c r="J22" s="314">
        <f>IF('Final Calculation Sheet'!$J$18="","",'Final Calculation Sheet'!$J$18)</f>
        <v/>
      </c>
      <c r="K22" s="314">
        <f>IF('Final Calculation Sheet'!$K$18="","",'Final Calculation Sheet'!$K$18)</f>
        <v/>
      </c>
      <c r="L22" s="317">
        <f>IF('Final Calculation Sheet'!$L$18="","",'Final Calculation Sheet'!$L$18)</f>
        <v/>
      </c>
      <c r="M22" s="317">
        <f>IF('Final Calculation Sheet'!$M$18="","",'Final Calculation Sheet'!$M$18)</f>
        <v/>
      </c>
      <c r="N22" s="317">
        <f>IF('Final Calculation Sheet'!$N$18="","",'Final Calculation Sheet'!$N$18)</f>
        <v/>
      </c>
      <c r="O22" s="317">
        <f>IF('Final Calculation Sheet'!$O$18="","",'Final Calculation Sheet'!$O$18)</f>
        <v/>
      </c>
      <c r="P22" s="314">
        <f>IF('Final Calculation Sheet'!$P$18="","",'Final Calculation Sheet'!$P$18)</f>
        <v/>
      </c>
      <c r="Q22" s="318">
        <f>IF('Final Calculation Sheet'!$Q$18="","",'Final Calculation Sheet'!$Q$18)</f>
        <v/>
      </c>
      <c r="R22" s="314">
        <f>IF('Final Calculation Sheet'!$R$18="","",'Final Calculation Sheet'!$R$18)</f>
        <v/>
      </c>
      <c r="S22" s="314">
        <f>IF('Final Calculation Sheet'!$S$18="","",'Final Calculation Sheet'!$S$18)</f>
        <v/>
      </c>
      <c r="T22" s="314">
        <f>IF('Final Calculation Sheet'!$T$18="","",'Final Calculation Sheet'!$T$18)</f>
        <v/>
      </c>
      <c r="U22" s="314">
        <f>IF('Final Calculation Sheet'!$U$18="","",'Final Calculation Sheet'!$U$18)</f>
        <v/>
      </c>
      <c r="V22" s="316">
        <f>IF('Final Calculation Sheet'!$V$18="","",'Final Calculation Sheet'!$V$18)</f>
        <v/>
      </c>
      <c r="W22" s="314">
        <f>IF('Final Calculation Sheet'!$W$18="","",'Final Calculation Sheet'!$W$18)</f>
        <v/>
      </c>
      <c r="X22" s="314">
        <f>IF('Final Calculation Sheet'!$X$18="","",'Final Calculation Sheet'!$X$18)</f>
        <v/>
      </c>
      <c r="Y22" s="316">
        <f>IF('Final Calculation Sheet'!$Y$18="","",'Final Calculation Sheet'!$Y$18)</f>
        <v/>
      </c>
      <c r="Z22" s="314">
        <f>IF('Final Calculation Sheet'!$Z$18="","",'Final Calculation Sheet'!$Z$18)</f>
        <v/>
      </c>
      <c r="AA22" s="314">
        <f>IF('Final Calculation Sheet'!$AA$18="","",'Final Calculation Sheet'!$AA$18)</f>
        <v/>
      </c>
      <c r="AB22" s="316">
        <f>IF('Final Calculation Sheet'!$AB$18="","",'Final Calculation Sheet'!$AB$18)</f>
        <v/>
      </c>
      <c r="AC22" s="314">
        <f>IF('Final Calculation Sheet'!$AC$18="","",'Final Calculation Sheet'!$AC$18)</f>
        <v/>
      </c>
      <c r="AD22" s="314">
        <f>IF('Final Calculation Sheet'!$AD$18="","",'Final Calculation Sheet'!$AD$18)</f>
        <v/>
      </c>
      <c r="AE22" s="316">
        <f>IF('Final Calculation Sheet'!$AD$18="","",IF('Final Calculation Sheet'!$AD$18&lt;=0,"SETTLED","OUTSTANDING"))</f>
        <v/>
      </c>
      <c r="AF22" s="316">
        <f>IF('Final Calculation Sheet'!$AE$18="","",'Final Calculation Sheet'!$AE$18)</f>
        <v/>
      </c>
      <c r="AG22" s="314">
        <f>IF('Final Calculation Sheet'!$AF$18="","",'Final Calculation Sheet'!$AF$18)</f>
        <v/>
      </c>
      <c r="AH22" s="316">
        <f>IF('Final Calculation Sheet'!$AG$18="","",'Final Calculation Sheet'!$AG$18)</f>
        <v/>
      </c>
      <c r="AI22" s="314" t="n">
        <v>18</v>
      </c>
    </row>
    <row r="23" outlineLevel="1" ht="15" customHeight="1">
      <c r="A23" s="319">
        <f>IF('Final Calculation Sheet'!$G$19="","",'Final Calculation Sheet'!$G$19)</f>
        <v/>
      </c>
      <c r="B23" s="320">
        <f>IF('Final Calculation Sheet'!$F$19="","",'Final Calculation Sheet'!$F$19)</f>
        <v/>
      </c>
      <c r="C23" s="319">
        <f>IF('Final Calculation Sheet'!$B$19="","",'Final Calculation Sheet'!$B$19)</f>
        <v/>
      </c>
      <c r="D23" s="320">
        <f>IF('Final Calculation Sheet'!$D$19="","",'Final Calculation Sheet'!$D$19)</f>
        <v/>
      </c>
      <c r="E23" s="321">
        <f>IF('Final Calculation Sheet'!$A$19="","",'Final Calculation Sheet'!$A$19)</f>
        <v/>
      </c>
      <c r="F23" s="322">
        <f>IF('Final Calculation Sheet'!$E$19="","",'Final Calculation Sheet'!$E$19)</f>
        <v/>
      </c>
      <c r="G23" s="320">
        <f>IF('Final Calculation Sheet'!$C$19="","",'Final Calculation Sheet'!$C$19)</f>
        <v/>
      </c>
      <c r="H23" s="320">
        <f>IF('Final Calculation Sheet'!$H$19="","",'Final Calculation Sheet'!$H$19)</f>
        <v/>
      </c>
      <c r="I23" s="320">
        <f>IF('Final Calculation Sheet'!$I$19="","",'Final Calculation Sheet'!$I$19)</f>
        <v/>
      </c>
      <c r="J23" s="320">
        <f>IF('Final Calculation Sheet'!$J$19="","",'Final Calculation Sheet'!$J$19)</f>
        <v/>
      </c>
      <c r="K23" s="320">
        <f>IF('Final Calculation Sheet'!$K$19="","",'Final Calculation Sheet'!$K$19)</f>
        <v/>
      </c>
      <c r="L23" s="323">
        <f>IF('Final Calculation Sheet'!$L$19="","",'Final Calculation Sheet'!$L$19)</f>
        <v/>
      </c>
      <c r="M23" s="323">
        <f>IF('Final Calculation Sheet'!$M$19="","",'Final Calculation Sheet'!$M$19)</f>
        <v/>
      </c>
      <c r="N23" s="323">
        <f>IF('Final Calculation Sheet'!$N$19="","",'Final Calculation Sheet'!$N$19)</f>
        <v/>
      </c>
      <c r="O23" s="323">
        <f>IF('Final Calculation Sheet'!$O$19="","",'Final Calculation Sheet'!$O$19)</f>
        <v/>
      </c>
      <c r="P23" s="320">
        <f>IF('Final Calculation Sheet'!$P$19="","",'Final Calculation Sheet'!$P$19)</f>
        <v/>
      </c>
      <c r="Q23" s="324">
        <f>IF('Final Calculation Sheet'!$Q$19="","",'Final Calculation Sheet'!$Q$19)</f>
        <v/>
      </c>
      <c r="R23" s="320">
        <f>IF('Final Calculation Sheet'!$R$19="","",'Final Calculation Sheet'!$R$19)</f>
        <v/>
      </c>
      <c r="S23" s="320">
        <f>IF('Final Calculation Sheet'!$S$19="","",'Final Calculation Sheet'!$S$19)</f>
        <v/>
      </c>
      <c r="T23" s="320">
        <f>IF('Final Calculation Sheet'!$T$19="","",'Final Calculation Sheet'!$T$19)</f>
        <v/>
      </c>
      <c r="U23" s="320">
        <f>IF('Final Calculation Sheet'!$U$19="","",'Final Calculation Sheet'!$U$19)</f>
        <v/>
      </c>
      <c r="V23" s="322">
        <f>IF('Final Calculation Sheet'!$V$19="","",'Final Calculation Sheet'!$V$19)</f>
        <v/>
      </c>
      <c r="W23" s="320">
        <f>IF('Final Calculation Sheet'!$W$19="","",'Final Calculation Sheet'!$W$19)</f>
        <v/>
      </c>
      <c r="X23" s="320">
        <f>IF('Final Calculation Sheet'!$X$19="","",'Final Calculation Sheet'!$X$19)</f>
        <v/>
      </c>
      <c r="Y23" s="322">
        <f>IF('Final Calculation Sheet'!$Y$19="","",'Final Calculation Sheet'!$Y$19)</f>
        <v/>
      </c>
      <c r="Z23" s="320">
        <f>IF('Final Calculation Sheet'!$Z$19="","",'Final Calculation Sheet'!$Z$19)</f>
        <v/>
      </c>
      <c r="AA23" s="320">
        <f>IF('Final Calculation Sheet'!$AA$19="","",'Final Calculation Sheet'!$AA$19)</f>
        <v/>
      </c>
      <c r="AB23" s="322">
        <f>IF('Final Calculation Sheet'!$AB$19="","",'Final Calculation Sheet'!$AB$19)</f>
        <v/>
      </c>
      <c r="AC23" s="320">
        <f>IF('Final Calculation Sheet'!$AC$19="","",'Final Calculation Sheet'!$AC$19)</f>
        <v/>
      </c>
      <c r="AD23" s="320">
        <f>IF('Final Calculation Sheet'!$AD$19="","",'Final Calculation Sheet'!$AD$19)</f>
        <v/>
      </c>
      <c r="AE23" s="322">
        <f>IF('Final Calculation Sheet'!$AD$19="","",IF('Final Calculation Sheet'!$AD$19&lt;=0,"SETTLED","OUTSTANDING"))</f>
        <v/>
      </c>
      <c r="AF23" s="322">
        <f>IF('Final Calculation Sheet'!$AE$19="","",'Final Calculation Sheet'!$AE$19)</f>
        <v/>
      </c>
      <c r="AG23" s="320">
        <f>IF('Final Calculation Sheet'!$AF$19="","",'Final Calculation Sheet'!$AF$19)</f>
        <v/>
      </c>
      <c r="AH23" s="322">
        <f>IF('Final Calculation Sheet'!$AG$19="","",'Final Calculation Sheet'!$AG$19)</f>
        <v/>
      </c>
      <c r="AI23" s="320" t="n">
        <v>19</v>
      </c>
    </row>
    <row r="24" outlineLevel="1" ht="15" customHeight="1">
      <c r="A24" s="313">
        <f>IF('Final Calculation Sheet'!$G$22="","",'Final Calculation Sheet'!$G$22)</f>
        <v/>
      </c>
      <c r="B24" s="314">
        <f>IF('Final Calculation Sheet'!$F$22="","",'Final Calculation Sheet'!$F$22)</f>
        <v/>
      </c>
      <c r="C24" s="313">
        <f>IF('Final Calculation Sheet'!$B$22="","",'Final Calculation Sheet'!$B$22)</f>
        <v/>
      </c>
      <c r="D24" s="314">
        <f>IF('Final Calculation Sheet'!$D$22="","",'Final Calculation Sheet'!$D$22)</f>
        <v/>
      </c>
      <c r="E24" s="315">
        <f>IF('Final Calculation Sheet'!$A$22="","",'Final Calculation Sheet'!$A$22)</f>
        <v/>
      </c>
      <c r="F24" s="316">
        <f>IF('Final Calculation Sheet'!$E$22="","",'Final Calculation Sheet'!$E$22)</f>
        <v/>
      </c>
      <c r="G24" s="314">
        <f>IF('Final Calculation Sheet'!$C$22="","",'Final Calculation Sheet'!$C$22)</f>
        <v/>
      </c>
      <c r="H24" s="314">
        <f>IF('Final Calculation Sheet'!$H$22="","",'Final Calculation Sheet'!$H$22)</f>
        <v/>
      </c>
      <c r="I24" s="314">
        <f>IF('Final Calculation Sheet'!$I$22="","",'Final Calculation Sheet'!$I$22)</f>
        <v/>
      </c>
      <c r="J24" s="314">
        <f>IF('Final Calculation Sheet'!$J$22="","",'Final Calculation Sheet'!$J$22)</f>
        <v/>
      </c>
      <c r="K24" s="314">
        <f>IF('Final Calculation Sheet'!$K$22="","",'Final Calculation Sheet'!$K$22)</f>
        <v/>
      </c>
      <c r="L24" s="317">
        <f>IF('Final Calculation Sheet'!$L$22="","",'Final Calculation Sheet'!$L$22)</f>
        <v/>
      </c>
      <c r="M24" s="317">
        <f>IF('Final Calculation Sheet'!$M$22="","",'Final Calculation Sheet'!$M$22)</f>
        <v/>
      </c>
      <c r="N24" s="317">
        <f>IF('Final Calculation Sheet'!$N$22="","",'Final Calculation Sheet'!$N$22)</f>
        <v/>
      </c>
      <c r="O24" s="317">
        <f>IF('Final Calculation Sheet'!$O$22="","",'Final Calculation Sheet'!$O$22)</f>
        <v/>
      </c>
      <c r="P24" s="314">
        <f>IF('Final Calculation Sheet'!$P$22="","",'Final Calculation Sheet'!$P$22)</f>
        <v/>
      </c>
      <c r="Q24" s="318">
        <f>IF('Final Calculation Sheet'!$Q$22="","",'Final Calculation Sheet'!$Q$22)</f>
        <v/>
      </c>
      <c r="R24" s="314">
        <f>IF('Final Calculation Sheet'!$R$22="","",'Final Calculation Sheet'!$R$22)</f>
        <v/>
      </c>
      <c r="S24" s="314">
        <f>IF('Final Calculation Sheet'!$S$22="","",'Final Calculation Sheet'!$S$22)</f>
        <v/>
      </c>
      <c r="T24" s="314">
        <f>IF('Final Calculation Sheet'!$T$22="","",'Final Calculation Sheet'!$T$22)</f>
        <v/>
      </c>
      <c r="U24" s="314">
        <f>IF('Final Calculation Sheet'!$U$22="","",'Final Calculation Sheet'!$U$22)</f>
        <v/>
      </c>
      <c r="V24" s="316">
        <f>IF('Final Calculation Sheet'!$V$22="","",'Final Calculation Sheet'!$V$22)</f>
        <v/>
      </c>
      <c r="W24" s="314">
        <f>IF('Final Calculation Sheet'!$W$22="","",'Final Calculation Sheet'!$W$22)</f>
        <v/>
      </c>
      <c r="X24" s="314">
        <f>IF('Final Calculation Sheet'!$X$22="","",'Final Calculation Sheet'!$X$22)</f>
        <v/>
      </c>
      <c r="Y24" s="316">
        <f>IF('Final Calculation Sheet'!$Y$22="","",'Final Calculation Sheet'!$Y$22)</f>
        <v/>
      </c>
      <c r="Z24" s="314">
        <f>IF('Final Calculation Sheet'!$Z$22="","",'Final Calculation Sheet'!$Z$22)</f>
        <v/>
      </c>
      <c r="AA24" s="314">
        <f>IF('Final Calculation Sheet'!$AA$22="","",'Final Calculation Sheet'!$AA$22)</f>
        <v/>
      </c>
      <c r="AB24" s="316">
        <f>IF('Final Calculation Sheet'!$AB$22="","",'Final Calculation Sheet'!$AB$22)</f>
        <v/>
      </c>
      <c r="AC24" s="314">
        <f>IF('Final Calculation Sheet'!$AC$22="","",'Final Calculation Sheet'!$AC$22)</f>
        <v/>
      </c>
      <c r="AD24" s="314">
        <f>IF('Final Calculation Sheet'!$AD$22="","",'Final Calculation Sheet'!$AD$22)</f>
        <v/>
      </c>
      <c r="AE24" s="316">
        <f>IF('Final Calculation Sheet'!$AD$22="","",IF('Final Calculation Sheet'!$AD$22&lt;=0,"SETTLED","OUTSTANDING"))</f>
        <v/>
      </c>
      <c r="AF24" s="316">
        <f>IF('Final Calculation Sheet'!$AE$22="","",'Final Calculation Sheet'!$AE$22)</f>
        <v/>
      </c>
      <c r="AG24" s="314">
        <f>IF('Final Calculation Sheet'!$AF$22="","",'Final Calculation Sheet'!$AF$22)</f>
        <v/>
      </c>
      <c r="AH24" s="316">
        <f>IF('Final Calculation Sheet'!$AG$22="","",'Final Calculation Sheet'!$AG$22)</f>
        <v/>
      </c>
      <c r="AI24" s="314" t="n">
        <v>22</v>
      </c>
    </row>
    <row r="25" outlineLevel="1" ht="15" customHeight="1">
      <c r="A25" s="319">
        <f>IF('Final Calculation Sheet'!$G$24="","",'Final Calculation Sheet'!$G$24)</f>
        <v/>
      </c>
      <c r="B25" s="320">
        <f>IF('Final Calculation Sheet'!$F$24="","",'Final Calculation Sheet'!$F$24)</f>
        <v/>
      </c>
      <c r="C25" s="319">
        <f>IF('Final Calculation Sheet'!$B$24="","",'Final Calculation Sheet'!$B$24)</f>
        <v/>
      </c>
      <c r="D25" s="320">
        <f>IF('Final Calculation Sheet'!$D$24="","",'Final Calculation Sheet'!$D$24)</f>
        <v/>
      </c>
      <c r="E25" s="321">
        <f>IF('Final Calculation Sheet'!$A$24="","",'Final Calculation Sheet'!$A$24)</f>
        <v/>
      </c>
      <c r="F25" s="322">
        <f>IF('Final Calculation Sheet'!$E$24="","",'Final Calculation Sheet'!$E$24)</f>
        <v/>
      </c>
      <c r="G25" s="320">
        <f>IF('Final Calculation Sheet'!$C$24="","",'Final Calculation Sheet'!$C$24)</f>
        <v/>
      </c>
      <c r="H25" s="320">
        <f>IF('Final Calculation Sheet'!$H$24="","",'Final Calculation Sheet'!$H$24)</f>
        <v/>
      </c>
      <c r="I25" s="320">
        <f>IF('Final Calculation Sheet'!$I$24="","",'Final Calculation Sheet'!$I$24)</f>
        <v/>
      </c>
      <c r="J25" s="320">
        <f>IF('Final Calculation Sheet'!$J$24="","",'Final Calculation Sheet'!$J$24)</f>
        <v/>
      </c>
      <c r="K25" s="320">
        <f>IF('Final Calculation Sheet'!$K$24="","",'Final Calculation Sheet'!$K$24)</f>
        <v/>
      </c>
      <c r="L25" s="323">
        <f>IF('Final Calculation Sheet'!$L$24="","",'Final Calculation Sheet'!$L$24)</f>
        <v/>
      </c>
      <c r="M25" s="323">
        <f>IF('Final Calculation Sheet'!$M$24="","",'Final Calculation Sheet'!$M$24)</f>
        <v/>
      </c>
      <c r="N25" s="323">
        <f>IF('Final Calculation Sheet'!$N$24="","",'Final Calculation Sheet'!$N$24)</f>
        <v/>
      </c>
      <c r="O25" s="323">
        <f>IF('Final Calculation Sheet'!$O$24="","",'Final Calculation Sheet'!$O$24)</f>
        <v/>
      </c>
      <c r="P25" s="320">
        <f>IF('Final Calculation Sheet'!$P$24="","",'Final Calculation Sheet'!$P$24)</f>
        <v/>
      </c>
      <c r="Q25" s="324">
        <f>IF('Final Calculation Sheet'!$Q$24="","",'Final Calculation Sheet'!$Q$24)</f>
        <v/>
      </c>
      <c r="R25" s="320">
        <f>IF('Final Calculation Sheet'!$R$24="","",'Final Calculation Sheet'!$R$24)</f>
        <v/>
      </c>
      <c r="S25" s="320">
        <f>IF('Final Calculation Sheet'!$S$24="","",'Final Calculation Sheet'!$S$24)</f>
        <v/>
      </c>
      <c r="T25" s="320">
        <f>IF('Final Calculation Sheet'!$T$24="","",'Final Calculation Sheet'!$T$24)</f>
        <v/>
      </c>
      <c r="U25" s="320">
        <f>IF('Final Calculation Sheet'!$U$24="","",'Final Calculation Sheet'!$U$24)</f>
        <v/>
      </c>
      <c r="V25" s="322">
        <f>IF('Final Calculation Sheet'!$V$24="","",'Final Calculation Sheet'!$V$24)</f>
        <v/>
      </c>
      <c r="W25" s="320">
        <f>IF('Final Calculation Sheet'!$W$24="","",'Final Calculation Sheet'!$W$24)</f>
        <v/>
      </c>
      <c r="X25" s="320">
        <f>IF('Final Calculation Sheet'!$X$24="","",'Final Calculation Sheet'!$X$24)</f>
        <v/>
      </c>
      <c r="Y25" s="322">
        <f>IF('Final Calculation Sheet'!$Y$24="","",'Final Calculation Sheet'!$Y$24)</f>
        <v/>
      </c>
      <c r="Z25" s="320">
        <f>IF('Final Calculation Sheet'!$Z$24="","",'Final Calculation Sheet'!$Z$24)</f>
        <v/>
      </c>
      <c r="AA25" s="320">
        <f>IF('Final Calculation Sheet'!$AA$24="","",'Final Calculation Sheet'!$AA$24)</f>
        <v/>
      </c>
      <c r="AB25" s="322">
        <f>IF('Final Calculation Sheet'!$AB$24="","",'Final Calculation Sheet'!$AB$24)</f>
        <v/>
      </c>
      <c r="AC25" s="320">
        <f>IF('Final Calculation Sheet'!$AC$24="","",'Final Calculation Sheet'!$AC$24)</f>
        <v/>
      </c>
      <c r="AD25" s="320">
        <f>IF('Final Calculation Sheet'!$AD$24="","",'Final Calculation Sheet'!$AD$24)</f>
        <v/>
      </c>
      <c r="AE25" s="322">
        <f>IF('Final Calculation Sheet'!$AD$24="","",IF('Final Calculation Sheet'!$AD$24&lt;=0,"SETTLED","OUTSTANDING"))</f>
        <v/>
      </c>
      <c r="AF25" s="322">
        <f>IF('Final Calculation Sheet'!$AE$24="","",'Final Calculation Sheet'!$AE$24)</f>
        <v/>
      </c>
      <c r="AG25" s="320">
        <f>IF('Final Calculation Sheet'!$AF$24="","",'Final Calculation Sheet'!$AF$24)</f>
        <v/>
      </c>
      <c r="AH25" s="322">
        <f>IF('Final Calculation Sheet'!$AG$24="","",'Final Calculation Sheet'!$AG$24)</f>
        <v/>
      </c>
      <c r="AI25" s="320" t="n">
        <v>24</v>
      </c>
    </row>
    <row r="26" outlineLevel="1" ht="15" customHeight="1">
      <c r="A26" s="313">
        <f>IF('Final Calculation Sheet'!$G$26="","",'Final Calculation Sheet'!$G$26)</f>
        <v/>
      </c>
      <c r="B26" s="314">
        <f>IF('Final Calculation Sheet'!$F$26="","",'Final Calculation Sheet'!$F$26)</f>
        <v/>
      </c>
      <c r="C26" s="313">
        <f>IF('Final Calculation Sheet'!$B$26="","",'Final Calculation Sheet'!$B$26)</f>
        <v/>
      </c>
      <c r="D26" s="314">
        <f>IF('Final Calculation Sheet'!$D$26="","",'Final Calculation Sheet'!$D$26)</f>
        <v/>
      </c>
      <c r="E26" s="315">
        <f>IF('Final Calculation Sheet'!$A$26="","",'Final Calculation Sheet'!$A$26)</f>
        <v/>
      </c>
      <c r="F26" s="316">
        <f>IF('Final Calculation Sheet'!$E$26="","",'Final Calculation Sheet'!$E$26)</f>
        <v/>
      </c>
      <c r="G26" s="314">
        <f>IF('Final Calculation Sheet'!$C$26="","",'Final Calculation Sheet'!$C$26)</f>
        <v/>
      </c>
      <c r="H26" s="314">
        <f>IF('Final Calculation Sheet'!$H$26="","",'Final Calculation Sheet'!$H$26)</f>
        <v/>
      </c>
      <c r="I26" s="314">
        <f>IF('Final Calculation Sheet'!$I$26="","",'Final Calculation Sheet'!$I$26)</f>
        <v/>
      </c>
      <c r="J26" s="314">
        <f>IF('Final Calculation Sheet'!$J$26="","",'Final Calculation Sheet'!$J$26)</f>
        <v/>
      </c>
      <c r="K26" s="314">
        <f>IF('Final Calculation Sheet'!$K$26="","",'Final Calculation Sheet'!$K$26)</f>
        <v/>
      </c>
      <c r="L26" s="317">
        <f>IF('Final Calculation Sheet'!$L$26="","",'Final Calculation Sheet'!$L$26)</f>
        <v/>
      </c>
      <c r="M26" s="317">
        <f>IF('Final Calculation Sheet'!$M$26="","",'Final Calculation Sheet'!$M$26)</f>
        <v/>
      </c>
      <c r="N26" s="317">
        <f>IF('Final Calculation Sheet'!$N$26="","",'Final Calculation Sheet'!$N$26)</f>
        <v/>
      </c>
      <c r="O26" s="317">
        <f>IF('Final Calculation Sheet'!$O$26="","",'Final Calculation Sheet'!$O$26)</f>
        <v/>
      </c>
      <c r="P26" s="314">
        <f>IF('Final Calculation Sheet'!$P$26="","",'Final Calculation Sheet'!$P$26)</f>
        <v/>
      </c>
      <c r="Q26" s="318">
        <f>IF('Final Calculation Sheet'!$Q$26="","",'Final Calculation Sheet'!$Q$26)</f>
        <v/>
      </c>
      <c r="R26" s="314">
        <f>IF('Final Calculation Sheet'!$R$26="","",'Final Calculation Sheet'!$R$26)</f>
        <v/>
      </c>
      <c r="S26" s="314">
        <f>IF('Final Calculation Sheet'!$S$26="","",'Final Calculation Sheet'!$S$26)</f>
        <v/>
      </c>
      <c r="T26" s="314">
        <f>IF('Final Calculation Sheet'!$T$26="","",'Final Calculation Sheet'!$T$26)</f>
        <v/>
      </c>
      <c r="U26" s="314">
        <f>IF('Final Calculation Sheet'!$U$26="","",'Final Calculation Sheet'!$U$26)</f>
        <v/>
      </c>
      <c r="V26" s="316">
        <f>IF('Final Calculation Sheet'!$V$26="","",'Final Calculation Sheet'!$V$26)</f>
        <v/>
      </c>
      <c r="W26" s="314">
        <f>IF('Final Calculation Sheet'!$W$26="","",'Final Calculation Sheet'!$W$26)</f>
        <v/>
      </c>
      <c r="X26" s="314">
        <f>IF('Final Calculation Sheet'!$X$26="","",'Final Calculation Sheet'!$X$26)</f>
        <v/>
      </c>
      <c r="Y26" s="316">
        <f>IF('Final Calculation Sheet'!$Y$26="","",'Final Calculation Sheet'!$Y$26)</f>
        <v/>
      </c>
      <c r="Z26" s="314">
        <f>IF('Final Calculation Sheet'!$Z$26="","",'Final Calculation Sheet'!$Z$26)</f>
        <v/>
      </c>
      <c r="AA26" s="314">
        <f>IF('Final Calculation Sheet'!$AA$26="","",'Final Calculation Sheet'!$AA$26)</f>
        <v/>
      </c>
      <c r="AB26" s="316">
        <f>IF('Final Calculation Sheet'!$AB$26="","",'Final Calculation Sheet'!$AB$26)</f>
        <v/>
      </c>
      <c r="AC26" s="314">
        <f>IF('Final Calculation Sheet'!$AC$26="","",'Final Calculation Sheet'!$AC$26)</f>
        <v/>
      </c>
      <c r="AD26" s="314">
        <f>IF('Final Calculation Sheet'!$AD$26="","",'Final Calculation Sheet'!$AD$26)</f>
        <v/>
      </c>
      <c r="AE26" s="316">
        <f>IF('Final Calculation Sheet'!$AD$26="","",IF('Final Calculation Sheet'!$AD$26&lt;=0,"SETTLED","OUTSTANDING"))</f>
        <v/>
      </c>
      <c r="AF26" s="316">
        <f>IF('Final Calculation Sheet'!$AE$26="","",'Final Calculation Sheet'!$AE$26)</f>
        <v/>
      </c>
      <c r="AG26" s="314">
        <f>IF('Final Calculation Sheet'!$AF$26="","",'Final Calculation Sheet'!$AF$26)</f>
        <v/>
      </c>
      <c r="AH26" s="316">
        <f>IF('Final Calculation Sheet'!$AG$26="","",'Final Calculation Sheet'!$AG$26)</f>
        <v/>
      </c>
      <c r="AI26" s="314" t="n">
        <v>26</v>
      </c>
    </row>
    <row r="27" outlineLevel="1" ht="15" customHeight="1">
      <c r="A27" s="319">
        <f>IF('Final Calculation Sheet'!$G$30="","",'Final Calculation Sheet'!$G$30)</f>
        <v/>
      </c>
      <c r="B27" s="320">
        <f>IF('Final Calculation Sheet'!$F$30="","",'Final Calculation Sheet'!$F$30)</f>
        <v/>
      </c>
      <c r="C27" s="319">
        <f>IF('Final Calculation Sheet'!$B$30="","",'Final Calculation Sheet'!$B$30)</f>
        <v/>
      </c>
      <c r="D27" s="320">
        <f>IF('Final Calculation Sheet'!$D$30="","",'Final Calculation Sheet'!$D$30)</f>
        <v/>
      </c>
      <c r="E27" s="321">
        <f>IF('Final Calculation Sheet'!$A$30="","",'Final Calculation Sheet'!$A$30)</f>
        <v/>
      </c>
      <c r="F27" s="322">
        <f>IF('Final Calculation Sheet'!$E$30="","",'Final Calculation Sheet'!$E$30)</f>
        <v/>
      </c>
      <c r="G27" s="320">
        <f>IF('Final Calculation Sheet'!$C$30="","",'Final Calculation Sheet'!$C$30)</f>
        <v/>
      </c>
      <c r="H27" s="320">
        <f>IF('Final Calculation Sheet'!$H$30="","",'Final Calculation Sheet'!$H$30)</f>
        <v/>
      </c>
      <c r="I27" s="320">
        <f>IF('Final Calculation Sheet'!$I$30="","",'Final Calculation Sheet'!$I$30)</f>
        <v/>
      </c>
      <c r="J27" s="320">
        <f>IF('Final Calculation Sheet'!$J$30="","",'Final Calculation Sheet'!$J$30)</f>
        <v/>
      </c>
      <c r="K27" s="320">
        <f>IF('Final Calculation Sheet'!$K$30="","",'Final Calculation Sheet'!$K$30)</f>
        <v/>
      </c>
      <c r="L27" s="323">
        <f>IF('Final Calculation Sheet'!$L$30="","",'Final Calculation Sheet'!$L$30)</f>
        <v/>
      </c>
      <c r="M27" s="323">
        <f>IF('Final Calculation Sheet'!$M$30="","",'Final Calculation Sheet'!$M$30)</f>
        <v/>
      </c>
      <c r="N27" s="323">
        <f>IF('Final Calculation Sheet'!$N$30="","",'Final Calculation Sheet'!$N$30)</f>
        <v/>
      </c>
      <c r="O27" s="323">
        <f>IF('Final Calculation Sheet'!$O$30="","",'Final Calculation Sheet'!$O$30)</f>
        <v/>
      </c>
      <c r="P27" s="320">
        <f>IF('Final Calculation Sheet'!$P$30="","",'Final Calculation Sheet'!$P$30)</f>
        <v/>
      </c>
      <c r="Q27" s="324">
        <f>IF('Final Calculation Sheet'!$Q$30="","",'Final Calculation Sheet'!$Q$30)</f>
        <v/>
      </c>
      <c r="R27" s="320">
        <f>IF('Final Calculation Sheet'!$R$30="","",'Final Calculation Sheet'!$R$30)</f>
        <v/>
      </c>
      <c r="S27" s="320">
        <f>IF('Final Calculation Sheet'!$S$30="","",'Final Calculation Sheet'!$S$30)</f>
        <v/>
      </c>
      <c r="T27" s="320">
        <f>IF('Final Calculation Sheet'!$T$30="","",'Final Calculation Sheet'!$T$30)</f>
        <v/>
      </c>
      <c r="U27" s="320">
        <f>IF('Final Calculation Sheet'!$U$30="","",'Final Calculation Sheet'!$U$30)</f>
        <v/>
      </c>
      <c r="V27" s="322">
        <f>IF('Final Calculation Sheet'!$V$30="","",'Final Calculation Sheet'!$V$30)</f>
        <v/>
      </c>
      <c r="W27" s="320">
        <f>IF('Final Calculation Sheet'!$W$30="","",'Final Calculation Sheet'!$W$30)</f>
        <v/>
      </c>
      <c r="X27" s="320">
        <f>IF('Final Calculation Sheet'!$X$30="","",'Final Calculation Sheet'!$X$30)</f>
        <v/>
      </c>
      <c r="Y27" s="322">
        <f>IF('Final Calculation Sheet'!$Y$30="","",'Final Calculation Sheet'!$Y$30)</f>
        <v/>
      </c>
      <c r="Z27" s="320">
        <f>IF('Final Calculation Sheet'!$Z$30="","",'Final Calculation Sheet'!$Z$30)</f>
        <v/>
      </c>
      <c r="AA27" s="320">
        <f>IF('Final Calculation Sheet'!$AA$30="","",'Final Calculation Sheet'!$AA$30)</f>
        <v/>
      </c>
      <c r="AB27" s="322">
        <f>IF('Final Calculation Sheet'!$AB$30="","",'Final Calculation Sheet'!$AB$30)</f>
        <v/>
      </c>
      <c r="AC27" s="320">
        <f>IF('Final Calculation Sheet'!$AC$30="","",'Final Calculation Sheet'!$AC$30)</f>
        <v/>
      </c>
      <c r="AD27" s="320">
        <f>IF('Final Calculation Sheet'!$AD$30="","",'Final Calculation Sheet'!$AD$30)</f>
        <v/>
      </c>
      <c r="AE27" s="322">
        <f>IF('Final Calculation Sheet'!$AD$30="","",IF('Final Calculation Sheet'!$AD$30&lt;=0,"SETTLED","OUTSTANDING"))</f>
        <v/>
      </c>
      <c r="AF27" s="322">
        <f>IF('Final Calculation Sheet'!$AE$30="","",'Final Calculation Sheet'!$AE$30)</f>
        <v/>
      </c>
      <c r="AG27" s="320">
        <f>IF('Final Calculation Sheet'!$AF$30="","",'Final Calculation Sheet'!$AF$30)</f>
        <v/>
      </c>
      <c r="AH27" s="322">
        <f>IF('Final Calculation Sheet'!$AG$30="","",'Final Calculation Sheet'!$AG$30)</f>
        <v/>
      </c>
      <c r="AI27" s="320" t="n">
        <v>30</v>
      </c>
    </row>
    <row r="28" outlineLevel="1" ht="15" customHeight="1">
      <c r="A28" s="313">
        <f>IF('Final Calculation Sheet'!$G$32="","",'Final Calculation Sheet'!$G$32)</f>
        <v/>
      </c>
      <c r="B28" s="314">
        <f>IF('Final Calculation Sheet'!$F$32="","",'Final Calculation Sheet'!$F$32)</f>
        <v/>
      </c>
      <c r="C28" s="313">
        <f>IF('Final Calculation Sheet'!$B$32="","",'Final Calculation Sheet'!$B$32)</f>
        <v/>
      </c>
      <c r="D28" s="314">
        <f>IF('Final Calculation Sheet'!$D$32="","",'Final Calculation Sheet'!$D$32)</f>
        <v/>
      </c>
      <c r="E28" s="315">
        <f>IF('Final Calculation Sheet'!$A$32="","",'Final Calculation Sheet'!$A$32)</f>
        <v/>
      </c>
      <c r="F28" s="316">
        <f>IF('Final Calculation Sheet'!$E$32="","",'Final Calculation Sheet'!$E$32)</f>
        <v/>
      </c>
      <c r="G28" s="314">
        <f>IF('Final Calculation Sheet'!$C$32="","",'Final Calculation Sheet'!$C$32)</f>
        <v/>
      </c>
      <c r="H28" s="314">
        <f>IF('Final Calculation Sheet'!$H$32="","",'Final Calculation Sheet'!$H$32)</f>
        <v/>
      </c>
      <c r="I28" s="314">
        <f>IF('Final Calculation Sheet'!$I$32="","",'Final Calculation Sheet'!$I$32)</f>
        <v/>
      </c>
      <c r="J28" s="314">
        <f>IF('Final Calculation Sheet'!$J$32="","",'Final Calculation Sheet'!$J$32)</f>
        <v/>
      </c>
      <c r="K28" s="314">
        <f>IF('Final Calculation Sheet'!$K$32="","",'Final Calculation Sheet'!$K$32)</f>
        <v/>
      </c>
      <c r="L28" s="317">
        <f>IF('Final Calculation Sheet'!$L$32="","",'Final Calculation Sheet'!$L$32)</f>
        <v/>
      </c>
      <c r="M28" s="317">
        <f>IF('Final Calculation Sheet'!$M$32="","",'Final Calculation Sheet'!$M$32)</f>
        <v/>
      </c>
      <c r="N28" s="317">
        <f>IF('Final Calculation Sheet'!$N$32="","",'Final Calculation Sheet'!$N$32)</f>
        <v/>
      </c>
      <c r="O28" s="317">
        <f>IF('Final Calculation Sheet'!$O$32="","",'Final Calculation Sheet'!$O$32)</f>
        <v/>
      </c>
      <c r="P28" s="314">
        <f>IF('Final Calculation Sheet'!$P$32="","",'Final Calculation Sheet'!$P$32)</f>
        <v/>
      </c>
      <c r="Q28" s="318">
        <f>IF('Final Calculation Sheet'!$Q$32="","",'Final Calculation Sheet'!$Q$32)</f>
        <v/>
      </c>
      <c r="R28" s="314">
        <f>IF('Final Calculation Sheet'!$R$32="","",'Final Calculation Sheet'!$R$32)</f>
        <v/>
      </c>
      <c r="S28" s="314">
        <f>IF('Final Calculation Sheet'!$S$32="","",'Final Calculation Sheet'!$S$32)</f>
        <v/>
      </c>
      <c r="T28" s="314">
        <f>IF('Final Calculation Sheet'!$T$32="","",'Final Calculation Sheet'!$T$32)</f>
        <v/>
      </c>
      <c r="U28" s="314">
        <f>IF('Final Calculation Sheet'!$U$32="","",'Final Calculation Sheet'!$U$32)</f>
        <v/>
      </c>
      <c r="V28" s="316">
        <f>IF('Final Calculation Sheet'!$V$32="","",'Final Calculation Sheet'!$V$32)</f>
        <v/>
      </c>
      <c r="W28" s="314">
        <f>IF('Final Calculation Sheet'!$W$32="","",'Final Calculation Sheet'!$W$32)</f>
        <v/>
      </c>
      <c r="X28" s="314">
        <f>IF('Final Calculation Sheet'!$X$32="","",'Final Calculation Sheet'!$X$32)</f>
        <v/>
      </c>
      <c r="Y28" s="316">
        <f>IF('Final Calculation Sheet'!$Y$32="","",'Final Calculation Sheet'!$Y$32)</f>
        <v/>
      </c>
      <c r="Z28" s="314">
        <f>IF('Final Calculation Sheet'!$Z$32="","",'Final Calculation Sheet'!$Z$32)</f>
        <v/>
      </c>
      <c r="AA28" s="314">
        <f>IF('Final Calculation Sheet'!$AA$32="","",'Final Calculation Sheet'!$AA$32)</f>
        <v/>
      </c>
      <c r="AB28" s="316">
        <f>IF('Final Calculation Sheet'!$AB$32="","",'Final Calculation Sheet'!$AB$32)</f>
        <v/>
      </c>
      <c r="AC28" s="314">
        <f>IF('Final Calculation Sheet'!$AC$32="","",'Final Calculation Sheet'!$AC$32)</f>
        <v/>
      </c>
      <c r="AD28" s="314">
        <f>IF('Final Calculation Sheet'!$AD$32="","",'Final Calculation Sheet'!$AD$32)</f>
        <v/>
      </c>
      <c r="AE28" s="316">
        <f>IF('Final Calculation Sheet'!$AD$32="","",IF('Final Calculation Sheet'!$AD$32&lt;=0,"SETTLED","OUTSTANDING"))</f>
        <v/>
      </c>
      <c r="AF28" s="316">
        <f>IF('Final Calculation Sheet'!$AE$32="","",'Final Calculation Sheet'!$AE$32)</f>
        <v/>
      </c>
      <c r="AG28" s="314">
        <f>IF('Final Calculation Sheet'!$AF$32="","",'Final Calculation Sheet'!$AF$32)</f>
        <v/>
      </c>
      <c r="AH28" s="316">
        <f>IF('Final Calculation Sheet'!$AG$32="","",'Final Calculation Sheet'!$AG$32)</f>
        <v/>
      </c>
      <c r="AI28" s="314" t="n">
        <v>32</v>
      </c>
    </row>
    <row r="29" outlineLevel="1" ht="15" customHeight="1">
      <c r="A29" s="319">
        <f>IF('Final Calculation Sheet'!$G$33="","",'Final Calculation Sheet'!$G$33)</f>
        <v/>
      </c>
      <c r="B29" s="320">
        <f>IF('Final Calculation Sheet'!$F$33="","",'Final Calculation Sheet'!$F$33)</f>
        <v/>
      </c>
      <c r="C29" s="319">
        <f>IF('Final Calculation Sheet'!$B$33="","",'Final Calculation Sheet'!$B$33)</f>
        <v/>
      </c>
      <c r="D29" s="320">
        <f>IF('Final Calculation Sheet'!$D$33="","",'Final Calculation Sheet'!$D$33)</f>
        <v/>
      </c>
      <c r="E29" s="321">
        <f>IF('Final Calculation Sheet'!$A$33="","",'Final Calculation Sheet'!$A$33)</f>
        <v/>
      </c>
      <c r="F29" s="322">
        <f>IF('Final Calculation Sheet'!$E$33="","",'Final Calculation Sheet'!$E$33)</f>
        <v/>
      </c>
      <c r="G29" s="320">
        <f>IF('Final Calculation Sheet'!$C$33="","",'Final Calculation Sheet'!$C$33)</f>
        <v/>
      </c>
      <c r="H29" s="320">
        <f>IF('Final Calculation Sheet'!$H$33="","",'Final Calculation Sheet'!$H$33)</f>
        <v/>
      </c>
      <c r="I29" s="320">
        <f>IF('Final Calculation Sheet'!$I$33="","",'Final Calculation Sheet'!$I$33)</f>
        <v/>
      </c>
      <c r="J29" s="320">
        <f>IF('Final Calculation Sheet'!$J$33="","",'Final Calculation Sheet'!$J$33)</f>
        <v/>
      </c>
      <c r="K29" s="320">
        <f>IF('Final Calculation Sheet'!$K$33="","",'Final Calculation Sheet'!$K$33)</f>
        <v/>
      </c>
      <c r="L29" s="323">
        <f>IF('Final Calculation Sheet'!$L$33="","",'Final Calculation Sheet'!$L$33)</f>
        <v/>
      </c>
      <c r="M29" s="323">
        <f>IF('Final Calculation Sheet'!$M$33="","",'Final Calculation Sheet'!$M$33)</f>
        <v/>
      </c>
      <c r="N29" s="323">
        <f>IF('Final Calculation Sheet'!$N$33="","",'Final Calculation Sheet'!$N$33)</f>
        <v/>
      </c>
      <c r="O29" s="323">
        <f>IF('Final Calculation Sheet'!$O$33="","",'Final Calculation Sheet'!$O$33)</f>
        <v/>
      </c>
      <c r="P29" s="320">
        <f>IF('Final Calculation Sheet'!$P$33="","",'Final Calculation Sheet'!$P$33)</f>
        <v/>
      </c>
      <c r="Q29" s="324">
        <f>IF('Final Calculation Sheet'!$Q$33="","",'Final Calculation Sheet'!$Q$33)</f>
        <v/>
      </c>
      <c r="R29" s="320">
        <f>IF('Final Calculation Sheet'!$R$33="","",'Final Calculation Sheet'!$R$33)</f>
        <v/>
      </c>
      <c r="S29" s="320">
        <f>IF('Final Calculation Sheet'!$S$33="","",'Final Calculation Sheet'!$S$33)</f>
        <v/>
      </c>
      <c r="T29" s="320">
        <f>IF('Final Calculation Sheet'!$T$33="","",'Final Calculation Sheet'!$T$33)</f>
        <v/>
      </c>
      <c r="U29" s="320">
        <f>IF('Final Calculation Sheet'!$U$33="","",'Final Calculation Sheet'!$U$33)</f>
        <v/>
      </c>
      <c r="V29" s="322">
        <f>IF('Final Calculation Sheet'!$V$33="","",'Final Calculation Sheet'!$V$33)</f>
        <v/>
      </c>
      <c r="W29" s="320">
        <f>IF('Final Calculation Sheet'!$W$33="","",'Final Calculation Sheet'!$W$33)</f>
        <v/>
      </c>
      <c r="X29" s="320">
        <f>IF('Final Calculation Sheet'!$X$33="","",'Final Calculation Sheet'!$X$33)</f>
        <v/>
      </c>
      <c r="Y29" s="322">
        <f>IF('Final Calculation Sheet'!$Y$33="","",'Final Calculation Sheet'!$Y$33)</f>
        <v/>
      </c>
      <c r="Z29" s="320">
        <f>IF('Final Calculation Sheet'!$Z$33="","",'Final Calculation Sheet'!$Z$33)</f>
        <v/>
      </c>
      <c r="AA29" s="320">
        <f>IF('Final Calculation Sheet'!$AA$33="","",'Final Calculation Sheet'!$AA$33)</f>
        <v/>
      </c>
      <c r="AB29" s="322">
        <f>IF('Final Calculation Sheet'!$AB$33="","",'Final Calculation Sheet'!$AB$33)</f>
        <v/>
      </c>
      <c r="AC29" s="320">
        <f>IF('Final Calculation Sheet'!$AC$33="","",'Final Calculation Sheet'!$AC$33)</f>
        <v/>
      </c>
      <c r="AD29" s="320">
        <f>IF('Final Calculation Sheet'!$AD$33="","",'Final Calculation Sheet'!$AD$33)</f>
        <v/>
      </c>
      <c r="AE29" s="322">
        <f>IF('Final Calculation Sheet'!$AD$33="","",IF('Final Calculation Sheet'!$AD$33&lt;=0,"SETTLED","OUTSTANDING"))</f>
        <v/>
      </c>
      <c r="AF29" s="322">
        <f>IF('Final Calculation Sheet'!$AE$33="","",'Final Calculation Sheet'!$AE$33)</f>
        <v/>
      </c>
      <c r="AG29" s="320">
        <f>IF('Final Calculation Sheet'!$AF$33="","",'Final Calculation Sheet'!$AF$33)</f>
        <v/>
      </c>
      <c r="AH29" s="322">
        <f>IF('Final Calculation Sheet'!$AG$33="","",'Final Calculation Sheet'!$AG$33)</f>
        <v/>
      </c>
      <c r="AI29" s="320" t="n">
        <v>33</v>
      </c>
    </row>
    <row r="30" outlineLevel="1" ht="15" customHeight="1">
      <c r="A30" s="313">
        <f>IF('Final Calculation Sheet'!$G$37="","",'Final Calculation Sheet'!$G$37)</f>
        <v/>
      </c>
      <c r="B30" s="314">
        <f>IF('Final Calculation Sheet'!$F$37="","",'Final Calculation Sheet'!$F$37)</f>
        <v/>
      </c>
      <c r="C30" s="313">
        <f>IF('Final Calculation Sheet'!$B$37="","",'Final Calculation Sheet'!$B$37)</f>
        <v/>
      </c>
      <c r="D30" s="314">
        <f>IF('Final Calculation Sheet'!$D$37="","",'Final Calculation Sheet'!$D$37)</f>
        <v/>
      </c>
      <c r="E30" s="315">
        <f>IF('Final Calculation Sheet'!$A$37="","",'Final Calculation Sheet'!$A$37)</f>
        <v/>
      </c>
      <c r="F30" s="316">
        <f>IF('Final Calculation Sheet'!$E$37="","",'Final Calculation Sheet'!$E$37)</f>
        <v/>
      </c>
      <c r="G30" s="314">
        <f>IF('Final Calculation Sheet'!$C$37="","",'Final Calculation Sheet'!$C$37)</f>
        <v/>
      </c>
      <c r="H30" s="314">
        <f>IF('Final Calculation Sheet'!$H$37="","",'Final Calculation Sheet'!$H$37)</f>
        <v/>
      </c>
      <c r="I30" s="314">
        <f>IF('Final Calculation Sheet'!$I$37="","",'Final Calculation Sheet'!$I$37)</f>
        <v/>
      </c>
      <c r="J30" s="314">
        <f>IF('Final Calculation Sheet'!$J$37="","",'Final Calculation Sheet'!$J$37)</f>
        <v/>
      </c>
      <c r="K30" s="314">
        <f>IF('Final Calculation Sheet'!$K$37="","",'Final Calculation Sheet'!$K$37)</f>
        <v/>
      </c>
      <c r="L30" s="317">
        <f>IF('Final Calculation Sheet'!$L$37="","",'Final Calculation Sheet'!$L$37)</f>
        <v/>
      </c>
      <c r="M30" s="317">
        <f>IF('Final Calculation Sheet'!$M$37="","",'Final Calculation Sheet'!$M$37)</f>
        <v/>
      </c>
      <c r="N30" s="317">
        <f>IF('Final Calculation Sheet'!$N$37="","",'Final Calculation Sheet'!$N$37)</f>
        <v/>
      </c>
      <c r="O30" s="317">
        <f>IF('Final Calculation Sheet'!$O$37="","",'Final Calculation Sheet'!$O$37)</f>
        <v/>
      </c>
      <c r="P30" s="314">
        <f>IF('Final Calculation Sheet'!$P$37="","",'Final Calculation Sheet'!$P$37)</f>
        <v/>
      </c>
      <c r="Q30" s="318">
        <f>IF('Final Calculation Sheet'!$Q$37="","",'Final Calculation Sheet'!$Q$37)</f>
        <v/>
      </c>
      <c r="R30" s="314">
        <f>IF('Final Calculation Sheet'!$R$37="","",'Final Calculation Sheet'!$R$37)</f>
        <v/>
      </c>
      <c r="S30" s="314">
        <f>IF('Final Calculation Sheet'!$S$37="","",'Final Calculation Sheet'!$S$37)</f>
        <v/>
      </c>
      <c r="T30" s="314">
        <f>IF('Final Calculation Sheet'!$T$37="","",'Final Calculation Sheet'!$T$37)</f>
        <v/>
      </c>
      <c r="U30" s="314">
        <f>IF('Final Calculation Sheet'!$U$37="","",'Final Calculation Sheet'!$U$37)</f>
        <v/>
      </c>
      <c r="V30" s="316">
        <f>IF('Final Calculation Sheet'!$V$37="","",'Final Calculation Sheet'!$V$37)</f>
        <v/>
      </c>
      <c r="W30" s="314">
        <f>IF('Final Calculation Sheet'!$W$37="","",'Final Calculation Sheet'!$W$37)</f>
        <v/>
      </c>
      <c r="X30" s="314">
        <f>IF('Final Calculation Sheet'!$X$37="","",'Final Calculation Sheet'!$X$37)</f>
        <v/>
      </c>
      <c r="Y30" s="316">
        <f>IF('Final Calculation Sheet'!$Y$37="","",'Final Calculation Sheet'!$Y$37)</f>
        <v/>
      </c>
      <c r="Z30" s="314">
        <f>IF('Final Calculation Sheet'!$Z$37="","",'Final Calculation Sheet'!$Z$37)</f>
        <v/>
      </c>
      <c r="AA30" s="314">
        <f>IF('Final Calculation Sheet'!$AA$37="","",'Final Calculation Sheet'!$AA$37)</f>
        <v/>
      </c>
      <c r="AB30" s="316">
        <f>IF('Final Calculation Sheet'!$AB$37="","",'Final Calculation Sheet'!$AB$37)</f>
        <v/>
      </c>
      <c r="AC30" s="314">
        <f>IF('Final Calculation Sheet'!$AC$37="","",'Final Calculation Sheet'!$AC$37)</f>
        <v/>
      </c>
      <c r="AD30" s="314">
        <f>IF('Final Calculation Sheet'!$AD$37="","",'Final Calculation Sheet'!$AD$37)</f>
        <v/>
      </c>
      <c r="AE30" s="316">
        <f>IF('Final Calculation Sheet'!$AD$37="","",IF('Final Calculation Sheet'!$AD$37&lt;=0,"SETTLED","OUTSTANDING"))</f>
        <v/>
      </c>
      <c r="AF30" s="316">
        <f>IF('Final Calculation Sheet'!$AE$37="","",'Final Calculation Sheet'!$AE$37)</f>
        <v/>
      </c>
      <c r="AG30" s="314">
        <f>IF('Final Calculation Sheet'!$AF$37="","",'Final Calculation Sheet'!$AF$37)</f>
        <v/>
      </c>
      <c r="AH30" s="316">
        <f>IF('Final Calculation Sheet'!$AG$37="","",'Final Calculation Sheet'!$AG$37)</f>
        <v/>
      </c>
      <c r="AI30" s="314" t="n">
        <v>37</v>
      </c>
    </row>
    <row r="31" ht="20" customHeight="1">
      <c r="A31" s="325" t="inlineStr">
        <is>
          <t>▼  NATIONAL SCRAP AND BUILDING MATERIAL SUPPLIER</t>
        </is>
      </c>
      <c r="B31" s="326" t="n"/>
      <c r="C31" s="327" t="inlineStr">
        <is>
          <t>1 lot  —  click − to fold this buyer</t>
        </is>
      </c>
      <c r="D31" s="326" t="n"/>
      <c r="E31" s="328">
        <f>SUBTOTAL(109,E32:E32)</f>
        <v/>
      </c>
      <c r="F31" s="326" t="n"/>
      <c r="G31" s="326" t="n"/>
      <c r="H31" s="329">
        <f>SUBTOTAL(109,H32:H32)</f>
        <v/>
      </c>
      <c r="I31" s="329">
        <f>SUBTOTAL(109,I32:I32)</f>
        <v/>
      </c>
      <c r="J31" s="329">
        <f>SUBTOTAL(109,J32:J32)</f>
        <v/>
      </c>
      <c r="K31" s="329">
        <f>SUBTOTAL(109,K32:K32)</f>
        <v/>
      </c>
      <c r="L31" s="330">
        <f>SUBTOTAL(109,L32:L32)</f>
        <v/>
      </c>
      <c r="M31" s="330">
        <f>SUBTOTAL(109,M32:M32)</f>
        <v/>
      </c>
      <c r="N31" s="330">
        <f>SUBTOTAL(109,N32:N32)</f>
        <v/>
      </c>
      <c r="O31" s="330">
        <f>SUBTOTAL(109,O32:O32)</f>
        <v/>
      </c>
      <c r="P31" s="329">
        <f>SUBTOTAL(109,P32:P32)</f>
        <v/>
      </c>
      <c r="Q31" s="326" t="n"/>
      <c r="R31" s="329">
        <f>SUBTOTAL(109,R32:R32)</f>
        <v/>
      </c>
      <c r="S31" s="329">
        <f>SUBTOTAL(109,S32:S32)</f>
        <v/>
      </c>
      <c r="T31" s="329">
        <f>SUBTOTAL(109,T32:T32)</f>
        <v/>
      </c>
      <c r="U31" s="329">
        <f>SUBTOTAL(109,U32:U32)</f>
        <v/>
      </c>
      <c r="V31" s="326" t="n"/>
      <c r="W31" s="329">
        <f>SUBTOTAL(109,W32:W32)</f>
        <v/>
      </c>
      <c r="X31" s="329">
        <f>SUBTOTAL(109,X32:X32)</f>
        <v/>
      </c>
      <c r="Y31" s="326" t="n"/>
      <c r="Z31" s="329">
        <f>SUBTOTAL(109,Z32:Z32)</f>
        <v/>
      </c>
      <c r="AA31" s="329">
        <f>SUBTOTAL(109,AA32:AA32)</f>
        <v/>
      </c>
      <c r="AB31" s="326" t="n"/>
      <c r="AC31" s="329">
        <f>SUBTOTAL(109,AC32:AC32)</f>
        <v/>
      </c>
      <c r="AD31" s="329">
        <f>SUBTOTAL(109,AD32:AD32)</f>
        <v/>
      </c>
      <c r="AE31" s="326" t="n"/>
      <c r="AF31" s="326" t="n"/>
      <c r="AG31" s="326" t="n"/>
      <c r="AH31" s="326" t="n"/>
      <c r="AI31" s="326" t="n"/>
    </row>
    <row r="32" outlineLevel="1" ht="15" customHeight="1">
      <c r="A32" s="331">
        <f>IF('Final Calculation Sheet'!$G$21="","",'Final Calculation Sheet'!$G$21)</f>
        <v/>
      </c>
      <c r="B32" s="332">
        <f>IF('Final Calculation Sheet'!$F$21="","",'Final Calculation Sheet'!$F$21)</f>
        <v/>
      </c>
      <c r="C32" s="331">
        <f>IF('Final Calculation Sheet'!$B$21="","",'Final Calculation Sheet'!$B$21)</f>
        <v/>
      </c>
      <c r="D32" s="332">
        <f>IF('Final Calculation Sheet'!$D$21="","",'Final Calculation Sheet'!$D$21)</f>
        <v/>
      </c>
      <c r="E32" s="333">
        <f>IF('Final Calculation Sheet'!$A$21="","",'Final Calculation Sheet'!$A$21)</f>
        <v/>
      </c>
      <c r="F32" s="334">
        <f>IF('Final Calculation Sheet'!$E$21="","",'Final Calculation Sheet'!$E$21)</f>
        <v/>
      </c>
      <c r="G32" s="332">
        <f>IF('Final Calculation Sheet'!$C$21="","",'Final Calculation Sheet'!$C$21)</f>
        <v/>
      </c>
      <c r="H32" s="332">
        <f>IF('Final Calculation Sheet'!$H$21="","",'Final Calculation Sheet'!$H$21)</f>
        <v/>
      </c>
      <c r="I32" s="332">
        <f>IF('Final Calculation Sheet'!$I$21="","",'Final Calculation Sheet'!$I$21)</f>
        <v/>
      </c>
      <c r="J32" s="332">
        <f>IF('Final Calculation Sheet'!$J$21="","",'Final Calculation Sheet'!$J$21)</f>
        <v/>
      </c>
      <c r="K32" s="332">
        <f>IF('Final Calculation Sheet'!$K$21="","",'Final Calculation Sheet'!$K$21)</f>
        <v/>
      </c>
      <c r="L32" s="335">
        <f>IF('Final Calculation Sheet'!$L$21="","",'Final Calculation Sheet'!$L$21)</f>
        <v/>
      </c>
      <c r="M32" s="335">
        <f>IF('Final Calculation Sheet'!$M$21="","",'Final Calculation Sheet'!$M$21)</f>
        <v/>
      </c>
      <c r="N32" s="335">
        <f>IF('Final Calculation Sheet'!$N$21="","",'Final Calculation Sheet'!$N$21)</f>
        <v/>
      </c>
      <c r="O32" s="335">
        <f>IF('Final Calculation Sheet'!$O$21="","",'Final Calculation Sheet'!$O$21)</f>
        <v/>
      </c>
      <c r="P32" s="332">
        <f>IF('Final Calculation Sheet'!$P$21="","",'Final Calculation Sheet'!$P$21)</f>
        <v/>
      </c>
      <c r="Q32" s="336">
        <f>IF('Final Calculation Sheet'!$Q$21="","",'Final Calculation Sheet'!$Q$21)</f>
        <v/>
      </c>
      <c r="R32" s="332">
        <f>IF('Final Calculation Sheet'!$R$21="","",'Final Calculation Sheet'!$R$21)</f>
        <v/>
      </c>
      <c r="S32" s="332">
        <f>IF('Final Calculation Sheet'!$S$21="","",'Final Calculation Sheet'!$S$21)</f>
        <v/>
      </c>
      <c r="T32" s="332">
        <f>IF('Final Calculation Sheet'!$T$21="","",'Final Calculation Sheet'!$T$21)</f>
        <v/>
      </c>
      <c r="U32" s="332">
        <f>IF('Final Calculation Sheet'!$U$21="","",'Final Calculation Sheet'!$U$21)</f>
        <v/>
      </c>
      <c r="V32" s="334">
        <f>IF('Final Calculation Sheet'!$V$21="","",'Final Calculation Sheet'!$V$21)</f>
        <v/>
      </c>
      <c r="W32" s="332">
        <f>IF('Final Calculation Sheet'!$W$21="","",'Final Calculation Sheet'!$W$21)</f>
        <v/>
      </c>
      <c r="X32" s="332">
        <f>IF('Final Calculation Sheet'!$X$21="","",'Final Calculation Sheet'!$X$21)</f>
        <v/>
      </c>
      <c r="Y32" s="334">
        <f>IF('Final Calculation Sheet'!$Y$21="","",'Final Calculation Sheet'!$Y$21)</f>
        <v/>
      </c>
      <c r="Z32" s="332">
        <f>IF('Final Calculation Sheet'!$Z$21="","",'Final Calculation Sheet'!$Z$21)</f>
        <v/>
      </c>
      <c r="AA32" s="332">
        <f>IF('Final Calculation Sheet'!$AA$21="","",'Final Calculation Sheet'!$AA$21)</f>
        <v/>
      </c>
      <c r="AB32" s="334">
        <f>IF('Final Calculation Sheet'!$AB$21="","",'Final Calculation Sheet'!$AB$21)</f>
        <v/>
      </c>
      <c r="AC32" s="332">
        <f>IF('Final Calculation Sheet'!$AC$21="","",'Final Calculation Sheet'!$AC$21)</f>
        <v/>
      </c>
      <c r="AD32" s="332">
        <f>IF('Final Calculation Sheet'!$AD$21="","",'Final Calculation Sheet'!$AD$21)</f>
        <v/>
      </c>
      <c r="AE32" s="334">
        <f>IF('Final Calculation Sheet'!$AD$21="","",IF('Final Calculation Sheet'!$AD$21&lt;=0,"SETTLED","OUTSTANDING"))</f>
        <v/>
      </c>
      <c r="AF32" s="334">
        <f>IF('Final Calculation Sheet'!$AE$21="","",'Final Calculation Sheet'!$AE$21)</f>
        <v/>
      </c>
      <c r="AG32" s="332">
        <f>IF('Final Calculation Sheet'!$AF$21="","",'Final Calculation Sheet'!$AF$21)</f>
        <v/>
      </c>
      <c r="AH32" s="334">
        <f>IF('Final Calculation Sheet'!$AG$21="","",'Final Calculation Sheet'!$AG$21)</f>
        <v/>
      </c>
      <c r="AI32" s="332" t="n">
        <v>21</v>
      </c>
    </row>
    <row r="33" ht="20" customHeight="1">
      <c r="A33" s="337" t="inlineStr">
        <is>
          <t>▼  OMKAR STEELS</t>
        </is>
      </c>
      <c r="B33" s="338" t="n"/>
      <c r="C33" s="339" t="inlineStr">
        <is>
          <t>2 lots  —  click − to fold this buyer</t>
        </is>
      </c>
      <c r="D33" s="338" t="n"/>
      <c r="E33" s="340">
        <f>SUBTOTAL(109,E34:E35)</f>
        <v/>
      </c>
      <c r="F33" s="338" t="n"/>
      <c r="G33" s="338" t="n"/>
      <c r="H33" s="341">
        <f>SUBTOTAL(109,H34:H35)</f>
        <v/>
      </c>
      <c r="I33" s="341">
        <f>SUBTOTAL(109,I34:I35)</f>
        <v/>
      </c>
      <c r="J33" s="341">
        <f>SUBTOTAL(109,J34:J35)</f>
        <v/>
      </c>
      <c r="K33" s="341">
        <f>SUBTOTAL(109,K34:K35)</f>
        <v/>
      </c>
      <c r="L33" s="342">
        <f>SUBTOTAL(109,L34:L35)</f>
        <v/>
      </c>
      <c r="M33" s="342">
        <f>SUBTOTAL(109,M34:M35)</f>
        <v/>
      </c>
      <c r="N33" s="342">
        <f>SUBTOTAL(109,N34:N35)</f>
        <v/>
      </c>
      <c r="O33" s="342">
        <f>SUBTOTAL(109,O34:O35)</f>
        <v/>
      </c>
      <c r="P33" s="341">
        <f>SUBTOTAL(109,P34:P35)</f>
        <v/>
      </c>
      <c r="Q33" s="338" t="n"/>
      <c r="R33" s="341">
        <f>SUBTOTAL(109,R34:R35)</f>
        <v/>
      </c>
      <c r="S33" s="341">
        <f>SUBTOTAL(109,S34:S35)</f>
        <v/>
      </c>
      <c r="T33" s="341">
        <f>SUBTOTAL(109,T34:T35)</f>
        <v/>
      </c>
      <c r="U33" s="341">
        <f>SUBTOTAL(109,U34:U35)</f>
        <v/>
      </c>
      <c r="V33" s="338" t="n"/>
      <c r="W33" s="341">
        <f>SUBTOTAL(109,W34:W35)</f>
        <v/>
      </c>
      <c r="X33" s="341">
        <f>SUBTOTAL(109,X34:X35)</f>
        <v/>
      </c>
      <c r="Y33" s="338" t="n"/>
      <c r="Z33" s="341">
        <f>SUBTOTAL(109,Z34:Z35)</f>
        <v/>
      </c>
      <c r="AA33" s="341">
        <f>SUBTOTAL(109,AA34:AA35)</f>
        <v/>
      </c>
      <c r="AB33" s="338" t="n"/>
      <c r="AC33" s="341">
        <f>SUBTOTAL(109,AC34:AC35)</f>
        <v/>
      </c>
      <c r="AD33" s="341">
        <f>SUBTOTAL(109,AD34:AD35)</f>
        <v/>
      </c>
      <c r="AE33" s="338" t="n"/>
      <c r="AF33" s="338" t="n"/>
      <c r="AG33" s="338" t="n"/>
      <c r="AH33" s="338" t="n"/>
      <c r="AI33" s="338" t="n"/>
    </row>
    <row r="34" outlineLevel="1" ht="15" customHeight="1">
      <c r="A34" s="343">
        <f>IF('Final Calculation Sheet'!$G$8="","",'Final Calculation Sheet'!$G$8)</f>
        <v/>
      </c>
      <c r="B34" s="344">
        <f>IF('Final Calculation Sheet'!$F$8="","",'Final Calculation Sheet'!$F$8)</f>
        <v/>
      </c>
      <c r="C34" s="343">
        <f>IF('Final Calculation Sheet'!$B$8="","",'Final Calculation Sheet'!$B$8)</f>
        <v/>
      </c>
      <c r="D34" s="344">
        <f>IF('Final Calculation Sheet'!$D$8="","",'Final Calculation Sheet'!$D$8)</f>
        <v/>
      </c>
      <c r="E34" s="345">
        <f>IF('Final Calculation Sheet'!$A$8="","",'Final Calculation Sheet'!$A$8)</f>
        <v/>
      </c>
      <c r="F34" s="346">
        <f>IF('Final Calculation Sheet'!$E$8="","",'Final Calculation Sheet'!$E$8)</f>
        <v/>
      </c>
      <c r="G34" s="344">
        <f>IF('Final Calculation Sheet'!$C$8="","",'Final Calculation Sheet'!$C$8)</f>
        <v/>
      </c>
      <c r="H34" s="344">
        <f>IF('Final Calculation Sheet'!$H$8="","",'Final Calculation Sheet'!$H$8)</f>
        <v/>
      </c>
      <c r="I34" s="344">
        <f>IF('Final Calculation Sheet'!$I$8="","",'Final Calculation Sheet'!$I$8)</f>
        <v/>
      </c>
      <c r="J34" s="344">
        <f>IF('Final Calculation Sheet'!$J$8="","",'Final Calculation Sheet'!$J$8)</f>
        <v/>
      </c>
      <c r="K34" s="344">
        <f>IF('Final Calculation Sheet'!$K$8="","",'Final Calculation Sheet'!$K$8)</f>
        <v/>
      </c>
      <c r="L34" s="347">
        <f>IF('Final Calculation Sheet'!$L$8="","",'Final Calculation Sheet'!$L$8)</f>
        <v/>
      </c>
      <c r="M34" s="347">
        <f>IF('Final Calculation Sheet'!$M$8="","",'Final Calculation Sheet'!$M$8)</f>
        <v/>
      </c>
      <c r="N34" s="347">
        <f>IF('Final Calculation Sheet'!$N$8="","",'Final Calculation Sheet'!$N$8)</f>
        <v/>
      </c>
      <c r="O34" s="347">
        <f>IF('Final Calculation Sheet'!$O$8="","",'Final Calculation Sheet'!$O$8)</f>
        <v/>
      </c>
      <c r="P34" s="344">
        <f>IF('Final Calculation Sheet'!$P$8="","",'Final Calculation Sheet'!$P$8)</f>
        <v/>
      </c>
      <c r="Q34" s="348">
        <f>IF('Final Calculation Sheet'!$Q$8="","",'Final Calculation Sheet'!$Q$8)</f>
        <v/>
      </c>
      <c r="R34" s="344">
        <f>IF('Final Calculation Sheet'!$R$8="","",'Final Calculation Sheet'!$R$8)</f>
        <v/>
      </c>
      <c r="S34" s="344">
        <f>IF('Final Calculation Sheet'!$S$8="","",'Final Calculation Sheet'!$S$8)</f>
        <v/>
      </c>
      <c r="T34" s="344">
        <f>IF('Final Calculation Sheet'!$T$8="","",'Final Calculation Sheet'!$T$8)</f>
        <v/>
      </c>
      <c r="U34" s="344">
        <f>IF('Final Calculation Sheet'!$U$8="","",'Final Calculation Sheet'!$U$8)</f>
        <v/>
      </c>
      <c r="V34" s="346">
        <f>IF('Final Calculation Sheet'!$V$8="","",'Final Calculation Sheet'!$V$8)</f>
        <v/>
      </c>
      <c r="W34" s="344">
        <f>IF('Final Calculation Sheet'!$W$8="","",'Final Calculation Sheet'!$W$8)</f>
        <v/>
      </c>
      <c r="X34" s="344">
        <f>IF('Final Calculation Sheet'!$X$8="","",'Final Calculation Sheet'!$X$8)</f>
        <v/>
      </c>
      <c r="Y34" s="346">
        <f>IF('Final Calculation Sheet'!$Y$8="","",'Final Calculation Sheet'!$Y$8)</f>
        <v/>
      </c>
      <c r="Z34" s="344">
        <f>IF('Final Calculation Sheet'!$Z$8="","",'Final Calculation Sheet'!$Z$8)</f>
        <v/>
      </c>
      <c r="AA34" s="344">
        <f>IF('Final Calculation Sheet'!$AA$8="","",'Final Calculation Sheet'!$AA$8)</f>
        <v/>
      </c>
      <c r="AB34" s="346">
        <f>IF('Final Calculation Sheet'!$AB$8="","",'Final Calculation Sheet'!$AB$8)</f>
        <v/>
      </c>
      <c r="AC34" s="344">
        <f>IF('Final Calculation Sheet'!$AC$8="","",'Final Calculation Sheet'!$AC$8)</f>
        <v/>
      </c>
      <c r="AD34" s="344">
        <f>IF('Final Calculation Sheet'!$AD$8="","",'Final Calculation Sheet'!$AD$8)</f>
        <v/>
      </c>
      <c r="AE34" s="346">
        <f>IF('Final Calculation Sheet'!$AD$8="","",IF('Final Calculation Sheet'!$AD$8&lt;=0,"SETTLED","OUTSTANDING"))</f>
        <v/>
      </c>
      <c r="AF34" s="346">
        <f>IF('Final Calculation Sheet'!$AE$8="","",'Final Calculation Sheet'!$AE$8)</f>
        <v/>
      </c>
      <c r="AG34" s="344">
        <f>IF('Final Calculation Sheet'!$AF$8="","",'Final Calculation Sheet'!$AF$8)</f>
        <v/>
      </c>
      <c r="AH34" s="346">
        <f>IF('Final Calculation Sheet'!$AG$8="","",'Final Calculation Sheet'!$AG$8)</f>
        <v/>
      </c>
      <c r="AI34" s="344" t="n">
        <v>8</v>
      </c>
    </row>
    <row r="35" outlineLevel="1" ht="15" customHeight="1">
      <c r="A35" s="349">
        <f>IF('Final Calculation Sheet'!$G$20="","",'Final Calculation Sheet'!$G$20)</f>
        <v/>
      </c>
      <c r="B35" s="350">
        <f>IF('Final Calculation Sheet'!$F$20="","",'Final Calculation Sheet'!$F$20)</f>
        <v/>
      </c>
      <c r="C35" s="349">
        <f>IF('Final Calculation Sheet'!$B$20="","",'Final Calculation Sheet'!$B$20)</f>
        <v/>
      </c>
      <c r="D35" s="350">
        <f>IF('Final Calculation Sheet'!$D$20="","",'Final Calculation Sheet'!$D$20)</f>
        <v/>
      </c>
      <c r="E35" s="351">
        <f>IF('Final Calculation Sheet'!$A$20="","",'Final Calculation Sheet'!$A$20)</f>
        <v/>
      </c>
      <c r="F35" s="352">
        <f>IF('Final Calculation Sheet'!$E$20="","",'Final Calculation Sheet'!$E$20)</f>
        <v/>
      </c>
      <c r="G35" s="350">
        <f>IF('Final Calculation Sheet'!$C$20="","",'Final Calculation Sheet'!$C$20)</f>
        <v/>
      </c>
      <c r="H35" s="350">
        <f>IF('Final Calculation Sheet'!$H$20="","",'Final Calculation Sheet'!$H$20)</f>
        <v/>
      </c>
      <c r="I35" s="350">
        <f>IF('Final Calculation Sheet'!$I$20="","",'Final Calculation Sheet'!$I$20)</f>
        <v/>
      </c>
      <c r="J35" s="350">
        <f>IF('Final Calculation Sheet'!$J$20="","",'Final Calculation Sheet'!$J$20)</f>
        <v/>
      </c>
      <c r="K35" s="350">
        <f>IF('Final Calculation Sheet'!$K$20="","",'Final Calculation Sheet'!$K$20)</f>
        <v/>
      </c>
      <c r="L35" s="353">
        <f>IF('Final Calculation Sheet'!$L$20="","",'Final Calculation Sheet'!$L$20)</f>
        <v/>
      </c>
      <c r="M35" s="353">
        <f>IF('Final Calculation Sheet'!$M$20="","",'Final Calculation Sheet'!$M$20)</f>
        <v/>
      </c>
      <c r="N35" s="353">
        <f>IF('Final Calculation Sheet'!$N$20="","",'Final Calculation Sheet'!$N$20)</f>
        <v/>
      </c>
      <c r="O35" s="353">
        <f>IF('Final Calculation Sheet'!$O$20="","",'Final Calculation Sheet'!$O$20)</f>
        <v/>
      </c>
      <c r="P35" s="350">
        <f>IF('Final Calculation Sheet'!$P$20="","",'Final Calculation Sheet'!$P$20)</f>
        <v/>
      </c>
      <c r="Q35" s="354">
        <f>IF('Final Calculation Sheet'!$Q$20="","",'Final Calculation Sheet'!$Q$20)</f>
        <v/>
      </c>
      <c r="R35" s="350">
        <f>IF('Final Calculation Sheet'!$R$20="","",'Final Calculation Sheet'!$R$20)</f>
        <v/>
      </c>
      <c r="S35" s="350">
        <f>IF('Final Calculation Sheet'!$S$20="","",'Final Calculation Sheet'!$S$20)</f>
        <v/>
      </c>
      <c r="T35" s="350">
        <f>IF('Final Calculation Sheet'!$T$20="","",'Final Calculation Sheet'!$T$20)</f>
        <v/>
      </c>
      <c r="U35" s="350">
        <f>IF('Final Calculation Sheet'!$U$20="","",'Final Calculation Sheet'!$U$20)</f>
        <v/>
      </c>
      <c r="V35" s="352">
        <f>IF('Final Calculation Sheet'!$V$20="","",'Final Calculation Sheet'!$V$20)</f>
        <v/>
      </c>
      <c r="W35" s="350">
        <f>IF('Final Calculation Sheet'!$W$20="","",'Final Calculation Sheet'!$W$20)</f>
        <v/>
      </c>
      <c r="X35" s="350">
        <f>IF('Final Calculation Sheet'!$X$20="","",'Final Calculation Sheet'!$X$20)</f>
        <v/>
      </c>
      <c r="Y35" s="352">
        <f>IF('Final Calculation Sheet'!$Y$20="","",'Final Calculation Sheet'!$Y$20)</f>
        <v/>
      </c>
      <c r="Z35" s="350">
        <f>IF('Final Calculation Sheet'!$Z$20="","",'Final Calculation Sheet'!$Z$20)</f>
        <v/>
      </c>
      <c r="AA35" s="350">
        <f>IF('Final Calculation Sheet'!$AA$20="","",'Final Calculation Sheet'!$AA$20)</f>
        <v/>
      </c>
      <c r="AB35" s="352">
        <f>IF('Final Calculation Sheet'!$AB$20="","",'Final Calculation Sheet'!$AB$20)</f>
        <v/>
      </c>
      <c r="AC35" s="350">
        <f>IF('Final Calculation Sheet'!$AC$20="","",'Final Calculation Sheet'!$AC$20)</f>
        <v/>
      </c>
      <c r="AD35" s="350">
        <f>IF('Final Calculation Sheet'!$AD$20="","",'Final Calculation Sheet'!$AD$20)</f>
        <v/>
      </c>
      <c r="AE35" s="352">
        <f>IF('Final Calculation Sheet'!$AD$20="","",IF('Final Calculation Sheet'!$AD$20&lt;=0,"SETTLED","OUTSTANDING"))</f>
        <v/>
      </c>
      <c r="AF35" s="352">
        <f>IF('Final Calculation Sheet'!$AE$20="","",'Final Calculation Sheet'!$AE$20)</f>
        <v/>
      </c>
      <c r="AG35" s="350">
        <f>IF('Final Calculation Sheet'!$AF$20="","",'Final Calculation Sheet'!$AF$20)</f>
        <v/>
      </c>
      <c r="AH35" s="352">
        <f>IF('Final Calculation Sheet'!$AG$20="","",'Final Calculation Sheet'!$AG$20)</f>
        <v/>
      </c>
      <c r="AI35" s="350" t="n">
        <v>20</v>
      </c>
    </row>
    <row r="36" ht="20" customHeight="1">
      <c r="A36" s="241" t="inlineStr">
        <is>
          <t>▼  S M ENTERPRISES</t>
        </is>
      </c>
      <c r="B36" s="242" t="n"/>
      <c r="C36" s="243" t="inlineStr">
        <is>
          <t>2 lots  —  click − to fold this buyer</t>
        </is>
      </c>
      <c r="D36" s="242" t="n"/>
      <c r="E36" s="244">
        <f>SUBTOTAL(109,E37:E38)</f>
        <v/>
      </c>
      <c r="F36" s="242" t="n"/>
      <c r="G36" s="242" t="n"/>
      <c r="H36" s="245">
        <f>SUBTOTAL(109,H37:H38)</f>
        <v/>
      </c>
      <c r="I36" s="245">
        <f>SUBTOTAL(109,I37:I38)</f>
        <v/>
      </c>
      <c r="J36" s="245">
        <f>SUBTOTAL(109,J37:J38)</f>
        <v/>
      </c>
      <c r="K36" s="245">
        <f>SUBTOTAL(109,K37:K38)</f>
        <v/>
      </c>
      <c r="L36" s="246">
        <f>SUBTOTAL(109,L37:L38)</f>
        <v/>
      </c>
      <c r="M36" s="246">
        <f>SUBTOTAL(109,M37:M38)</f>
        <v/>
      </c>
      <c r="N36" s="246">
        <f>SUBTOTAL(109,N37:N38)</f>
        <v/>
      </c>
      <c r="O36" s="246">
        <f>SUBTOTAL(109,O37:O38)</f>
        <v/>
      </c>
      <c r="P36" s="245">
        <f>SUBTOTAL(109,P37:P38)</f>
        <v/>
      </c>
      <c r="Q36" s="242" t="n"/>
      <c r="R36" s="245">
        <f>SUBTOTAL(109,R37:R38)</f>
        <v/>
      </c>
      <c r="S36" s="245">
        <f>SUBTOTAL(109,S37:S38)</f>
        <v/>
      </c>
      <c r="T36" s="245">
        <f>SUBTOTAL(109,T37:T38)</f>
        <v/>
      </c>
      <c r="U36" s="245">
        <f>SUBTOTAL(109,U37:U38)</f>
        <v/>
      </c>
      <c r="V36" s="242" t="n"/>
      <c r="W36" s="245">
        <f>SUBTOTAL(109,W37:W38)</f>
        <v/>
      </c>
      <c r="X36" s="245">
        <f>SUBTOTAL(109,X37:X38)</f>
        <v/>
      </c>
      <c r="Y36" s="242" t="n"/>
      <c r="Z36" s="245">
        <f>SUBTOTAL(109,Z37:Z38)</f>
        <v/>
      </c>
      <c r="AA36" s="245">
        <f>SUBTOTAL(109,AA37:AA38)</f>
        <v/>
      </c>
      <c r="AB36" s="242" t="n"/>
      <c r="AC36" s="245">
        <f>SUBTOTAL(109,AC37:AC38)</f>
        <v/>
      </c>
      <c r="AD36" s="245">
        <f>SUBTOTAL(109,AD37:AD38)</f>
        <v/>
      </c>
      <c r="AE36" s="242" t="n"/>
      <c r="AF36" s="242" t="n"/>
      <c r="AG36" s="242" t="n"/>
      <c r="AH36" s="242" t="n"/>
      <c r="AI36" s="242" t="n"/>
    </row>
    <row r="37" outlineLevel="1" ht="15" customHeight="1">
      <c r="A37" s="247">
        <f>IF('Final Calculation Sheet'!$G$39="","",'Final Calculation Sheet'!$G$39)</f>
        <v/>
      </c>
      <c r="B37" s="248">
        <f>IF('Final Calculation Sheet'!$F$39="","",'Final Calculation Sheet'!$F$39)</f>
        <v/>
      </c>
      <c r="C37" s="247">
        <f>IF('Final Calculation Sheet'!$B$39="","",'Final Calculation Sheet'!$B$39)</f>
        <v/>
      </c>
      <c r="D37" s="248">
        <f>IF('Final Calculation Sheet'!$D$39="","",'Final Calculation Sheet'!$D$39)</f>
        <v/>
      </c>
      <c r="E37" s="249">
        <f>IF('Final Calculation Sheet'!$A$39="","",'Final Calculation Sheet'!$A$39)</f>
        <v/>
      </c>
      <c r="F37" s="250">
        <f>IF('Final Calculation Sheet'!$E$39="","",'Final Calculation Sheet'!$E$39)</f>
        <v/>
      </c>
      <c r="G37" s="248">
        <f>IF('Final Calculation Sheet'!$C$39="","",'Final Calculation Sheet'!$C$39)</f>
        <v/>
      </c>
      <c r="H37" s="248">
        <f>IF('Final Calculation Sheet'!$H$39="","",'Final Calculation Sheet'!$H$39)</f>
        <v/>
      </c>
      <c r="I37" s="248">
        <f>IF('Final Calculation Sheet'!$I$39="","",'Final Calculation Sheet'!$I$39)</f>
        <v/>
      </c>
      <c r="J37" s="248">
        <f>IF('Final Calculation Sheet'!$J$39="","",'Final Calculation Sheet'!$J$39)</f>
        <v/>
      </c>
      <c r="K37" s="248">
        <f>IF('Final Calculation Sheet'!$K$39="","",'Final Calculation Sheet'!$K$39)</f>
        <v/>
      </c>
      <c r="L37" s="251">
        <f>IF('Final Calculation Sheet'!$L$39="","",'Final Calculation Sheet'!$L$39)</f>
        <v/>
      </c>
      <c r="M37" s="251">
        <f>IF('Final Calculation Sheet'!$M$39="","",'Final Calculation Sheet'!$M$39)</f>
        <v/>
      </c>
      <c r="N37" s="251">
        <f>IF('Final Calculation Sheet'!$N$39="","",'Final Calculation Sheet'!$N$39)</f>
        <v/>
      </c>
      <c r="O37" s="251">
        <f>IF('Final Calculation Sheet'!$O$39="","",'Final Calculation Sheet'!$O$39)</f>
        <v/>
      </c>
      <c r="P37" s="248">
        <f>IF('Final Calculation Sheet'!$P$39="","",'Final Calculation Sheet'!$P$39)</f>
        <v/>
      </c>
      <c r="Q37" s="252">
        <f>IF('Final Calculation Sheet'!$Q$39="","",'Final Calculation Sheet'!$Q$39)</f>
        <v/>
      </c>
      <c r="R37" s="248">
        <f>IF('Final Calculation Sheet'!$R$39="","",'Final Calculation Sheet'!$R$39)</f>
        <v/>
      </c>
      <c r="S37" s="248">
        <f>IF('Final Calculation Sheet'!$S$39="","",'Final Calculation Sheet'!$S$39)</f>
        <v/>
      </c>
      <c r="T37" s="248">
        <f>IF('Final Calculation Sheet'!$T$39="","",'Final Calculation Sheet'!$T$39)</f>
        <v/>
      </c>
      <c r="U37" s="248">
        <f>IF('Final Calculation Sheet'!$U$39="","",'Final Calculation Sheet'!$U$39)</f>
        <v/>
      </c>
      <c r="V37" s="250">
        <f>IF('Final Calculation Sheet'!$V$39="","",'Final Calculation Sheet'!$V$39)</f>
        <v/>
      </c>
      <c r="W37" s="248">
        <f>IF('Final Calculation Sheet'!$W$39="","",'Final Calculation Sheet'!$W$39)</f>
        <v/>
      </c>
      <c r="X37" s="248">
        <f>IF('Final Calculation Sheet'!$X$39="","",'Final Calculation Sheet'!$X$39)</f>
        <v/>
      </c>
      <c r="Y37" s="250">
        <f>IF('Final Calculation Sheet'!$Y$39="","",'Final Calculation Sheet'!$Y$39)</f>
        <v/>
      </c>
      <c r="Z37" s="248">
        <f>IF('Final Calculation Sheet'!$Z$39="","",'Final Calculation Sheet'!$Z$39)</f>
        <v/>
      </c>
      <c r="AA37" s="248">
        <f>IF('Final Calculation Sheet'!$AA$39="","",'Final Calculation Sheet'!$AA$39)</f>
        <v/>
      </c>
      <c r="AB37" s="250">
        <f>IF('Final Calculation Sheet'!$AB$39="","",'Final Calculation Sheet'!$AB$39)</f>
        <v/>
      </c>
      <c r="AC37" s="248">
        <f>IF('Final Calculation Sheet'!$AC$39="","",'Final Calculation Sheet'!$AC$39)</f>
        <v/>
      </c>
      <c r="AD37" s="248">
        <f>IF('Final Calculation Sheet'!$AD$39="","",'Final Calculation Sheet'!$AD$39)</f>
        <v/>
      </c>
      <c r="AE37" s="250">
        <f>IF('Final Calculation Sheet'!$AD$39="","",IF('Final Calculation Sheet'!$AD$39&lt;=0,"SETTLED","OUTSTANDING"))</f>
        <v/>
      </c>
      <c r="AF37" s="250">
        <f>IF('Final Calculation Sheet'!$AE$39="","",'Final Calculation Sheet'!$AE$39)</f>
        <v/>
      </c>
      <c r="AG37" s="248">
        <f>IF('Final Calculation Sheet'!$AF$39="","",'Final Calculation Sheet'!$AF$39)</f>
        <v/>
      </c>
      <c r="AH37" s="250">
        <f>IF('Final Calculation Sheet'!$AG$39="","",'Final Calculation Sheet'!$AG$39)</f>
        <v/>
      </c>
      <c r="AI37" s="248" t="n">
        <v>39</v>
      </c>
    </row>
    <row r="38" outlineLevel="1" ht="15" customHeight="1">
      <c r="A38" s="355">
        <f>IF('Final Calculation Sheet'!$G$40="","",'Final Calculation Sheet'!$G$40)</f>
        <v/>
      </c>
      <c r="B38" s="356">
        <f>IF('Final Calculation Sheet'!$F$40="","",'Final Calculation Sheet'!$F$40)</f>
        <v/>
      </c>
      <c r="C38" s="355">
        <f>IF('Final Calculation Sheet'!$B$40="","",'Final Calculation Sheet'!$B$40)</f>
        <v/>
      </c>
      <c r="D38" s="356">
        <f>IF('Final Calculation Sheet'!$D$40="","",'Final Calculation Sheet'!$D$40)</f>
        <v/>
      </c>
      <c r="E38" s="357">
        <f>IF('Final Calculation Sheet'!$A$40="","",'Final Calculation Sheet'!$A$40)</f>
        <v/>
      </c>
      <c r="F38" s="358">
        <f>IF('Final Calculation Sheet'!$E$40="","",'Final Calculation Sheet'!$E$40)</f>
        <v/>
      </c>
      <c r="G38" s="356">
        <f>IF('Final Calculation Sheet'!$C$40="","",'Final Calculation Sheet'!$C$40)</f>
        <v/>
      </c>
      <c r="H38" s="356">
        <f>IF('Final Calculation Sheet'!$H$40="","",'Final Calculation Sheet'!$H$40)</f>
        <v/>
      </c>
      <c r="I38" s="356">
        <f>IF('Final Calculation Sheet'!$I$40="","",'Final Calculation Sheet'!$I$40)</f>
        <v/>
      </c>
      <c r="J38" s="356">
        <f>IF('Final Calculation Sheet'!$J$40="","",'Final Calculation Sheet'!$J$40)</f>
        <v/>
      </c>
      <c r="K38" s="356">
        <f>IF('Final Calculation Sheet'!$K$40="","",'Final Calculation Sheet'!$K$40)</f>
        <v/>
      </c>
      <c r="L38" s="359">
        <f>IF('Final Calculation Sheet'!$L$40="","",'Final Calculation Sheet'!$L$40)</f>
        <v/>
      </c>
      <c r="M38" s="359">
        <f>IF('Final Calculation Sheet'!$M$40="","",'Final Calculation Sheet'!$M$40)</f>
        <v/>
      </c>
      <c r="N38" s="359">
        <f>IF('Final Calculation Sheet'!$N$40="","",'Final Calculation Sheet'!$N$40)</f>
        <v/>
      </c>
      <c r="O38" s="359">
        <f>IF('Final Calculation Sheet'!$O$40="","",'Final Calculation Sheet'!$O$40)</f>
        <v/>
      </c>
      <c r="P38" s="356">
        <f>IF('Final Calculation Sheet'!$P$40="","",'Final Calculation Sheet'!$P$40)</f>
        <v/>
      </c>
      <c r="Q38" s="360">
        <f>IF('Final Calculation Sheet'!$Q$40="","",'Final Calculation Sheet'!$Q$40)</f>
        <v/>
      </c>
      <c r="R38" s="356">
        <f>IF('Final Calculation Sheet'!$R$40="","",'Final Calculation Sheet'!$R$40)</f>
        <v/>
      </c>
      <c r="S38" s="356">
        <f>IF('Final Calculation Sheet'!$S$40="","",'Final Calculation Sheet'!$S$40)</f>
        <v/>
      </c>
      <c r="T38" s="356">
        <f>IF('Final Calculation Sheet'!$T$40="","",'Final Calculation Sheet'!$T$40)</f>
        <v/>
      </c>
      <c r="U38" s="356">
        <f>IF('Final Calculation Sheet'!$U$40="","",'Final Calculation Sheet'!$U$40)</f>
        <v/>
      </c>
      <c r="V38" s="358">
        <f>IF('Final Calculation Sheet'!$V$40="","",'Final Calculation Sheet'!$V$40)</f>
        <v/>
      </c>
      <c r="W38" s="356">
        <f>IF('Final Calculation Sheet'!$W$40="","",'Final Calculation Sheet'!$W$40)</f>
        <v/>
      </c>
      <c r="X38" s="356">
        <f>IF('Final Calculation Sheet'!$X$40="","",'Final Calculation Sheet'!$X$40)</f>
        <v/>
      </c>
      <c r="Y38" s="358">
        <f>IF('Final Calculation Sheet'!$Y$40="","",'Final Calculation Sheet'!$Y$40)</f>
        <v/>
      </c>
      <c r="Z38" s="356">
        <f>IF('Final Calculation Sheet'!$Z$40="","",'Final Calculation Sheet'!$Z$40)</f>
        <v/>
      </c>
      <c r="AA38" s="356">
        <f>IF('Final Calculation Sheet'!$AA$40="","",'Final Calculation Sheet'!$AA$40)</f>
        <v/>
      </c>
      <c r="AB38" s="358">
        <f>IF('Final Calculation Sheet'!$AB$40="","",'Final Calculation Sheet'!$AB$40)</f>
        <v/>
      </c>
      <c r="AC38" s="356">
        <f>IF('Final Calculation Sheet'!$AC$40="","",'Final Calculation Sheet'!$AC$40)</f>
        <v/>
      </c>
      <c r="AD38" s="356">
        <f>IF('Final Calculation Sheet'!$AD$40="","",'Final Calculation Sheet'!$AD$40)</f>
        <v/>
      </c>
      <c r="AE38" s="358">
        <f>IF('Final Calculation Sheet'!$AD$40="","",IF('Final Calculation Sheet'!$AD$40&lt;=0,"SETTLED","OUTSTANDING"))</f>
        <v/>
      </c>
      <c r="AF38" s="358">
        <f>IF('Final Calculation Sheet'!$AE$40="","",'Final Calculation Sheet'!$AE$40)</f>
        <v/>
      </c>
      <c r="AG38" s="356">
        <f>IF('Final Calculation Sheet'!$AF$40="","",'Final Calculation Sheet'!$AF$40)</f>
        <v/>
      </c>
      <c r="AH38" s="358">
        <f>IF('Final Calculation Sheet'!$AG$40="","",'Final Calculation Sheet'!$AG$40)</f>
        <v/>
      </c>
      <c r="AI38" s="356" t="n">
        <v>40</v>
      </c>
    </row>
    <row r="39" ht="20" customHeight="1">
      <c r="A39" s="253" t="inlineStr">
        <is>
          <t>▼  SAHARA ENTERPRISES</t>
        </is>
      </c>
      <c r="B39" s="254" t="n"/>
      <c r="C39" s="255" t="inlineStr">
        <is>
          <t>1 lot  —  click − to fold this buyer</t>
        </is>
      </c>
      <c r="D39" s="254" t="n"/>
      <c r="E39" s="256">
        <f>SUBTOTAL(109,E40:E40)</f>
        <v/>
      </c>
      <c r="F39" s="254" t="n"/>
      <c r="G39" s="254" t="n"/>
      <c r="H39" s="257">
        <f>SUBTOTAL(109,H40:H40)</f>
        <v/>
      </c>
      <c r="I39" s="257">
        <f>SUBTOTAL(109,I40:I40)</f>
        <v/>
      </c>
      <c r="J39" s="257">
        <f>SUBTOTAL(109,J40:J40)</f>
        <v/>
      </c>
      <c r="K39" s="257">
        <f>SUBTOTAL(109,K40:K40)</f>
        <v/>
      </c>
      <c r="L39" s="258">
        <f>SUBTOTAL(109,L40:L40)</f>
        <v/>
      </c>
      <c r="M39" s="258">
        <f>SUBTOTAL(109,M40:M40)</f>
        <v/>
      </c>
      <c r="N39" s="258">
        <f>SUBTOTAL(109,N40:N40)</f>
        <v/>
      </c>
      <c r="O39" s="258">
        <f>SUBTOTAL(109,O40:O40)</f>
        <v/>
      </c>
      <c r="P39" s="257">
        <f>SUBTOTAL(109,P40:P40)</f>
        <v/>
      </c>
      <c r="Q39" s="254" t="n"/>
      <c r="R39" s="257">
        <f>SUBTOTAL(109,R40:R40)</f>
        <v/>
      </c>
      <c r="S39" s="257">
        <f>SUBTOTAL(109,S40:S40)</f>
        <v/>
      </c>
      <c r="T39" s="257">
        <f>SUBTOTAL(109,T40:T40)</f>
        <v/>
      </c>
      <c r="U39" s="257">
        <f>SUBTOTAL(109,U40:U40)</f>
        <v/>
      </c>
      <c r="V39" s="254" t="n"/>
      <c r="W39" s="257">
        <f>SUBTOTAL(109,W40:W40)</f>
        <v/>
      </c>
      <c r="X39" s="257">
        <f>SUBTOTAL(109,X40:X40)</f>
        <v/>
      </c>
      <c r="Y39" s="254" t="n"/>
      <c r="Z39" s="257">
        <f>SUBTOTAL(109,Z40:Z40)</f>
        <v/>
      </c>
      <c r="AA39" s="257">
        <f>SUBTOTAL(109,AA40:AA40)</f>
        <v/>
      </c>
      <c r="AB39" s="254" t="n"/>
      <c r="AC39" s="257">
        <f>SUBTOTAL(109,AC40:AC40)</f>
        <v/>
      </c>
      <c r="AD39" s="257">
        <f>SUBTOTAL(109,AD40:AD40)</f>
        <v/>
      </c>
      <c r="AE39" s="254" t="n"/>
      <c r="AF39" s="254" t="n"/>
      <c r="AG39" s="254" t="n"/>
      <c r="AH39" s="254" t="n"/>
      <c r="AI39" s="254" t="n"/>
    </row>
    <row r="40" outlineLevel="1" ht="15" customHeight="1">
      <c r="A40" s="259">
        <f>IF('Final Calculation Sheet'!$G$31="","",'Final Calculation Sheet'!$G$31)</f>
        <v/>
      </c>
      <c r="B40" s="260">
        <f>IF('Final Calculation Sheet'!$F$31="","",'Final Calculation Sheet'!$F$31)</f>
        <v/>
      </c>
      <c r="C40" s="259">
        <f>IF('Final Calculation Sheet'!$B$31="","",'Final Calculation Sheet'!$B$31)</f>
        <v/>
      </c>
      <c r="D40" s="260">
        <f>IF('Final Calculation Sheet'!$D$31="","",'Final Calculation Sheet'!$D$31)</f>
        <v/>
      </c>
      <c r="E40" s="261">
        <f>IF('Final Calculation Sheet'!$A$31="","",'Final Calculation Sheet'!$A$31)</f>
        <v/>
      </c>
      <c r="F40" s="262">
        <f>IF('Final Calculation Sheet'!$E$31="","",'Final Calculation Sheet'!$E$31)</f>
        <v/>
      </c>
      <c r="G40" s="260">
        <f>IF('Final Calculation Sheet'!$C$31="","",'Final Calculation Sheet'!$C$31)</f>
        <v/>
      </c>
      <c r="H40" s="260">
        <f>IF('Final Calculation Sheet'!$H$31="","",'Final Calculation Sheet'!$H$31)</f>
        <v/>
      </c>
      <c r="I40" s="260">
        <f>IF('Final Calculation Sheet'!$I$31="","",'Final Calculation Sheet'!$I$31)</f>
        <v/>
      </c>
      <c r="J40" s="260">
        <f>IF('Final Calculation Sheet'!$J$31="","",'Final Calculation Sheet'!$J$31)</f>
        <v/>
      </c>
      <c r="K40" s="260">
        <f>IF('Final Calculation Sheet'!$K$31="","",'Final Calculation Sheet'!$K$31)</f>
        <v/>
      </c>
      <c r="L40" s="263">
        <f>IF('Final Calculation Sheet'!$L$31="","",'Final Calculation Sheet'!$L$31)</f>
        <v/>
      </c>
      <c r="M40" s="263">
        <f>IF('Final Calculation Sheet'!$M$31="","",'Final Calculation Sheet'!$M$31)</f>
        <v/>
      </c>
      <c r="N40" s="263">
        <f>IF('Final Calculation Sheet'!$N$31="","",'Final Calculation Sheet'!$N$31)</f>
        <v/>
      </c>
      <c r="O40" s="263">
        <f>IF('Final Calculation Sheet'!$O$31="","",'Final Calculation Sheet'!$O$31)</f>
        <v/>
      </c>
      <c r="P40" s="260">
        <f>IF('Final Calculation Sheet'!$P$31="","",'Final Calculation Sheet'!$P$31)</f>
        <v/>
      </c>
      <c r="Q40" s="264">
        <f>IF('Final Calculation Sheet'!$Q$31="","",'Final Calculation Sheet'!$Q$31)</f>
        <v/>
      </c>
      <c r="R40" s="260">
        <f>IF('Final Calculation Sheet'!$R$31="","",'Final Calculation Sheet'!$R$31)</f>
        <v/>
      </c>
      <c r="S40" s="260">
        <f>IF('Final Calculation Sheet'!$S$31="","",'Final Calculation Sheet'!$S$31)</f>
        <v/>
      </c>
      <c r="T40" s="260">
        <f>IF('Final Calculation Sheet'!$T$31="","",'Final Calculation Sheet'!$T$31)</f>
        <v/>
      </c>
      <c r="U40" s="260">
        <f>IF('Final Calculation Sheet'!$U$31="","",'Final Calculation Sheet'!$U$31)</f>
        <v/>
      </c>
      <c r="V40" s="262">
        <f>IF('Final Calculation Sheet'!$V$31="","",'Final Calculation Sheet'!$V$31)</f>
        <v/>
      </c>
      <c r="W40" s="260">
        <f>IF('Final Calculation Sheet'!$W$31="","",'Final Calculation Sheet'!$W$31)</f>
        <v/>
      </c>
      <c r="X40" s="260">
        <f>IF('Final Calculation Sheet'!$X$31="","",'Final Calculation Sheet'!$X$31)</f>
        <v/>
      </c>
      <c r="Y40" s="262">
        <f>IF('Final Calculation Sheet'!$Y$31="","",'Final Calculation Sheet'!$Y$31)</f>
        <v/>
      </c>
      <c r="Z40" s="260">
        <f>IF('Final Calculation Sheet'!$Z$31="","",'Final Calculation Sheet'!$Z$31)</f>
        <v/>
      </c>
      <c r="AA40" s="260">
        <f>IF('Final Calculation Sheet'!$AA$31="","",'Final Calculation Sheet'!$AA$31)</f>
        <v/>
      </c>
      <c r="AB40" s="262">
        <f>IF('Final Calculation Sheet'!$AB$31="","",'Final Calculation Sheet'!$AB$31)</f>
        <v/>
      </c>
      <c r="AC40" s="260">
        <f>IF('Final Calculation Sheet'!$AC$31="","",'Final Calculation Sheet'!$AC$31)</f>
        <v/>
      </c>
      <c r="AD40" s="260">
        <f>IF('Final Calculation Sheet'!$AD$31="","",'Final Calculation Sheet'!$AD$31)</f>
        <v/>
      </c>
      <c r="AE40" s="262">
        <f>IF('Final Calculation Sheet'!$AD$31="","",IF('Final Calculation Sheet'!$AD$31&lt;=0,"SETTLED","OUTSTANDING"))</f>
        <v/>
      </c>
      <c r="AF40" s="262">
        <f>IF('Final Calculation Sheet'!$AE$31="","",'Final Calculation Sheet'!$AE$31)</f>
        <v/>
      </c>
      <c r="AG40" s="260">
        <f>IF('Final Calculation Sheet'!$AF$31="","",'Final Calculation Sheet'!$AF$31)</f>
        <v/>
      </c>
      <c r="AH40" s="262">
        <f>IF('Final Calculation Sheet'!$AG$31="","",'Final Calculation Sheet'!$AG$31)</f>
        <v/>
      </c>
      <c r="AI40" s="260" t="n">
        <v>31</v>
      </c>
    </row>
    <row r="41" ht="20" customHeight="1">
      <c r="A41" s="271" t="inlineStr">
        <is>
          <t>▼  SHAR JAHAN TRADERS</t>
        </is>
      </c>
      <c r="B41" s="272" t="n"/>
      <c r="C41" s="273" t="inlineStr">
        <is>
          <t>2 lots  —  click − to fold this buyer</t>
        </is>
      </c>
      <c r="D41" s="272" t="n"/>
      <c r="E41" s="274">
        <f>SUBTOTAL(109,E42:E43)</f>
        <v/>
      </c>
      <c r="F41" s="272" t="n"/>
      <c r="G41" s="272" t="n"/>
      <c r="H41" s="275">
        <f>SUBTOTAL(109,H42:H43)</f>
        <v/>
      </c>
      <c r="I41" s="275">
        <f>SUBTOTAL(109,I42:I43)</f>
        <v/>
      </c>
      <c r="J41" s="275">
        <f>SUBTOTAL(109,J42:J43)</f>
        <v/>
      </c>
      <c r="K41" s="275">
        <f>SUBTOTAL(109,K42:K43)</f>
        <v/>
      </c>
      <c r="L41" s="276">
        <f>SUBTOTAL(109,L42:L43)</f>
        <v/>
      </c>
      <c r="M41" s="276">
        <f>SUBTOTAL(109,M42:M43)</f>
        <v/>
      </c>
      <c r="N41" s="276">
        <f>SUBTOTAL(109,N42:N43)</f>
        <v/>
      </c>
      <c r="O41" s="276">
        <f>SUBTOTAL(109,O42:O43)</f>
        <v/>
      </c>
      <c r="P41" s="275">
        <f>SUBTOTAL(109,P42:P43)</f>
        <v/>
      </c>
      <c r="Q41" s="272" t="n"/>
      <c r="R41" s="275">
        <f>SUBTOTAL(109,R42:R43)</f>
        <v/>
      </c>
      <c r="S41" s="275">
        <f>SUBTOTAL(109,S42:S43)</f>
        <v/>
      </c>
      <c r="T41" s="275">
        <f>SUBTOTAL(109,T42:T43)</f>
        <v/>
      </c>
      <c r="U41" s="275">
        <f>SUBTOTAL(109,U42:U43)</f>
        <v/>
      </c>
      <c r="V41" s="272" t="n"/>
      <c r="W41" s="275">
        <f>SUBTOTAL(109,W42:W43)</f>
        <v/>
      </c>
      <c r="X41" s="275">
        <f>SUBTOTAL(109,X42:X43)</f>
        <v/>
      </c>
      <c r="Y41" s="272" t="n"/>
      <c r="Z41" s="275">
        <f>SUBTOTAL(109,Z42:Z43)</f>
        <v/>
      </c>
      <c r="AA41" s="275">
        <f>SUBTOTAL(109,AA42:AA43)</f>
        <v/>
      </c>
      <c r="AB41" s="272" t="n"/>
      <c r="AC41" s="275">
        <f>SUBTOTAL(109,AC42:AC43)</f>
        <v/>
      </c>
      <c r="AD41" s="275">
        <f>SUBTOTAL(109,AD42:AD43)</f>
        <v/>
      </c>
      <c r="AE41" s="272" t="n"/>
      <c r="AF41" s="272" t="n"/>
      <c r="AG41" s="272" t="n"/>
      <c r="AH41" s="272" t="n"/>
      <c r="AI41" s="272" t="n"/>
    </row>
    <row r="42" outlineLevel="1" ht="15" customHeight="1">
      <c r="A42" s="277">
        <f>IF('Final Calculation Sheet'!$G$9="","",'Final Calculation Sheet'!$G$9)</f>
        <v/>
      </c>
      <c r="B42" s="278">
        <f>IF('Final Calculation Sheet'!$F$9="","",'Final Calculation Sheet'!$F$9)</f>
        <v/>
      </c>
      <c r="C42" s="277">
        <f>IF('Final Calculation Sheet'!$B$9="","",'Final Calculation Sheet'!$B$9)</f>
        <v/>
      </c>
      <c r="D42" s="278">
        <f>IF('Final Calculation Sheet'!$D$9="","",'Final Calculation Sheet'!$D$9)</f>
        <v/>
      </c>
      <c r="E42" s="279">
        <f>IF('Final Calculation Sheet'!$A$9="","",'Final Calculation Sheet'!$A$9)</f>
        <v/>
      </c>
      <c r="F42" s="280">
        <f>IF('Final Calculation Sheet'!$E$9="","",'Final Calculation Sheet'!$E$9)</f>
        <v/>
      </c>
      <c r="G42" s="278">
        <f>IF('Final Calculation Sheet'!$C$9="","",'Final Calculation Sheet'!$C$9)</f>
        <v/>
      </c>
      <c r="H42" s="278">
        <f>IF('Final Calculation Sheet'!$H$9="","",'Final Calculation Sheet'!$H$9)</f>
        <v/>
      </c>
      <c r="I42" s="278">
        <f>IF('Final Calculation Sheet'!$I$9="","",'Final Calculation Sheet'!$I$9)</f>
        <v/>
      </c>
      <c r="J42" s="278">
        <f>IF('Final Calculation Sheet'!$J$9="","",'Final Calculation Sheet'!$J$9)</f>
        <v/>
      </c>
      <c r="K42" s="278">
        <f>IF('Final Calculation Sheet'!$K$9="","",'Final Calculation Sheet'!$K$9)</f>
        <v/>
      </c>
      <c r="L42" s="281">
        <f>IF('Final Calculation Sheet'!$L$9="","",'Final Calculation Sheet'!$L$9)</f>
        <v/>
      </c>
      <c r="M42" s="281">
        <f>IF('Final Calculation Sheet'!$M$9="","",'Final Calculation Sheet'!$M$9)</f>
        <v/>
      </c>
      <c r="N42" s="281">
        <f>IF('Final Calculation Sheet'!$N$9="","",'Final Calculation Sheet'!$N$9)</f>
        <v/>
      </c>
      <c r="O42" s="281">
        <f>IF('Final Calculation Sheet'!$O$9="","",'Final Calculation Sheet'!$O$9)</f>
        <v/>
      </c>
      <c r="P42" s="278">
        <f>IF('Final Calculation Sheet'!$P$9="","",'Final Calculation Sheet'!$P$9)</f>
        <v/>
      </c>
      <c r="Q42" s="282">
        <f>IF('Final Calculation Sheet'!$Q$9="","",'Final Calculation Sheet'!$Q$9)</f>
        <v/>
      </c>
      <c r="R42" s="278">
        <f>IF('Final Calculation Sheet'!$R$9="","",'Final Calculation Sheet'!$R$9)</f>
        <v/>
      </c>
      <c r="S42" s="278">
        <f>IF('Final Calculation Sheet'!$S$9="","",'Final Calculation Sheet'!$S$9)</f>
        <v/>
      </c>
      <c r="T42" s="278">
        <f>IF('Final Calculation Sheet'!$T$9="","",'Final Calculation Sheet'!$T$9)</f>
        <v/>
      </c>
      <c r="U42" s="278">
        <f>IF('Final Calculation Sheet'!$U$9="","",'Final Calculation Sheet'!$U$9)</f>
        <v/>
      </c>
      <c r="V42" s="280">
        <f>IF('Final Calculation Sheet'!$V$9="","",'Final Calculation Sheet'!$V$9)</f>
        <v/>
      </c>
      <c r="W42" s="278">
        <f>IF('Final Calculation Sheet'!$W$9="","",'Final Calculation Sheet'!$W$9)</f>
        <v/>
      </c>
      <c r="X42" s="278">
        <f>IF('Final Calculation Sheet'!$X$9="","",'Final Calculation Sheet'!$X$9)</f>
        <v/>
      </c>
      <c r="Y42" s="280">
        <f>IF('Final Calculation Sheet'!$Y$9="","",'Final Calculation Sheet'!$Y$9)</f>
        <v/>
      </c>
      <c r="Z42" s="278">
        <f>IF('Final Calculation Sheet'!$Z$9="","",'Final Calculation Sheet'!$Z$9)</f>
        <v/>
      </c>
      <c r="AA42" s="278">
        <f>IF('Final Calculation Sheet'!$AA$9="","",'Final Calculation Sheet'!$AA$9)</f>
        <v/>
      </c>
      <c r="AB42" s="280">
        <f>IF('Final Calculation Sheet'!$AB$9="","",'Final Calculation Sheet'!$AB$9)</f>
        <v/>
      </c>
      <c r="AC42" s="278">
        <f>IF('Final Calculation Sheet'!$AC$9="","",'Final Calculation Sheet'!$AC$9)</f>
        <v/>
      </c>
      <c r="AD42" s="278">
        <f>IF('Final Calculation Sheet'!$AD$9="","",'Final Calculation Sheet'!$AD$9)</f>
        <v/>
      </c>
      <c r="AE42" s="280">
        <f>IF('Final Calculation Sheet'!$AD$9="","",IF('Final Calculation Sheet'!$AD$9&lt;=0,"SETTLED","OUTSTANDING"))</f>
        <v/>
      </c>
      <c r="AF42" s="280">
        <f>IF('Final Calculation Sheet'!$AE$9="","",'Final Calculation Sheet'!$AE$9)</f>
        <v/>
      </c>
      <c r="AG42" s="278">
        <f>IF('Final Calculation Sheet'!$AF$9="","",'Final Calculation Sheet'!$AF$9)</f>
        <v/>
      </c>
      <c r="AH42" s="280">
        <f>IF('Final Calculation Sheet'!$AG$9="","",'Final Calculation Sheet'!$AG$9)</f>
        <v/>
      </c>
      <c r="AI42" s="278" t="n">
        <v>9</v>
      </c>
    </row>
    <row r="43" outlineLevel="1" ht="15" customHeight="1">
      <c r="A43" s="361">
        <f>IF('Final Calculation Sheet'!$G$14="","",'Final Calculation Sheet'!$G$14)</f>
        <v/>
      </c>
      <c r="B43" s="362">
        <f>IF('Final Calculation Sheet'!$F$14="","",'Final Calculation Sheet'!$F$14)</f>
        <v/>
      </c>
      <c r="C43" s="361">
        <f>IF('Final Calculation Sheet'!$B$14="","",'Final Calculation Sheet'!$B$14)</f>
        <v/>
      </c>
      <c r="D43" s="362">
        <f>IF('Final Calculation Sheet'!$D$14="","",'Final Calculation Sheet'!$D$14)</f>
        <v/>
      </c>
      <c r="E43" s="363">
        <f>IF('Final Calculation Sheet'!$A$14="","",'Final Calculation Sheet'!$A$14)</f>
        <v/>
      </c>
      <c r="F43" s="364">
        <f>IF('Final Calculation Sheet'!$E$14="","",'Final Calculation Sheet'!$E$14)</f>
        <v/>
      </c>
      <c r="G43" s="362">
        <f>IF('Final Calculation Sheet'!$C$14="","",'Final Calculation Sheet'!$C$14)</f>
        <v/>
      </c>
      <c r="H43" s="362">
        <f>IF('Final Calculation Sheet'!$H$14="","",'Final Calculation Sheet'!$H$14)</f>
        <v/>
      </c>
      <c r="I43" s="362">
        <f>IF('Final Calculation Sheet'!$I$14="","",'Final Calculation Sheet'!$I$14)</f>
        <v/>
      </c>
      <c r="J43" s="362">
        <f>IF('Final Calculation Sheet'!$J$14="","",'Final Calculation Sheet'!$J$14)</f>
        <v/>
      </c>
      <c r="K43" s="362">
        <f>IF('Final Calculation Sheet'!$K$14="","",'Final Calculation Sheet'!$K$14)</f>
        <v/>
      </c>
      <c r="L43" s="365">
        <f>IF('Final Calculation Sheet'!$L$14="","",'Final Calculation Sheet'!$L$14)</f>
        <v/>
      </c>
      <c r="M43" s="365">
        <f>IF('Final Calculation Sheet'!$M$14="","",'Final Calculation Sheet'!$M$14)</f>
        <v/>
      </c>
      <c r="N43" s="365">
        <f>IF('Final Calculation Sheet'!$N$14="","",'Final Calculation Sheet'!$N$14)</f>
        <v/>
      </c>
      <c r="O43" s="365">
        <f>IF('Final Calculation Sheet'!$O$14="","",'Final Calculation Sheet'!$O$14)</f>
        <v/>
      </c>
      <c r="P43" s="362">
        <f>IF('Final Calculation Sheet'!$P$14="","",'Final Calculation Sheet'!$P$14)</f>
        <v/>
      </c>
      <c r="Q43" s="366">
        <f>IF('Final Calculation Sheet'!$Q$14="","",'Final Calculation Sheet'!$Q$14)</f>
        <v/>
      </c>
      <c r="R43" s="362">
        <f>IF('Final Calculation Sheet'!$R$14="","",'Final Calculation Sheet'!$R$14)</f>
        <v/>
      </c>
      <c r="S43" s="362">
        <f>IF('Final Calculation Sheet'!$S$14="","",'Final Calculation Sheet'!$S$14)</f>
        <v/>
      </c>
      <c r="T43" s="362">
        <f>IF('Final Calculation Sheet'!$T$14="","",'Final Calculation Sheet'!$T$14)</f>
        <v/>
      </c>
      <c r="U43" s="362">
        <f>IF('Final Calculation Sheet'!$U$14="","",'Final Calculation Sheet'!$U$14)</f>
        <v/>
      </c>
      <c r="V43" s="364">
        <f>IF('Final Calculation Sheet'!$V$14="","",'Final Calculation Sheet'!$V$14)</f>
        <v/>
      </c>
      <c r="W43" s="362">
        <f>IF('Final Calculation Sheet'!$W$14="","",'Final Calculation Sheet'!$W$14)</f>
        <v/>
      </c>
      <c r="X43" s="362">
        <f>IF('Final Calculation Sheet'!$X$14="","",'Final Calculation Sheet'!$X$14)</f>
        <v/>
      </c>
      <c r="Y43" s="364">
        <f>IF('Final Calculation Sheet'!$Y$14="","",'Final Calculation Sheet'!$Y$14)</f>
        <v/>
      </c>
      <c r="Z43" s="362">
        <f>IF('Final Calculation Sheet'!$Z$14="","",'Final Calculation Sheet'!$Z$14)</f>
        <v/>
      </c>
      <c r="AA43" s="362">
        <f>IF('Final Calculation Sheet'!$AA$14="","",'Final Calculation Sheet'!$AA$14)</f>
        <v/>
      </c>
      <c r="AB43" s="364">
        <f>IF('Final Calculation Sheet'!$AB$14="","",'Final Calculation Sheet'!$AB$14)</f>
        <v/>
      </c>
      <c r="AC43" s="362">
        <f>IF('Final Calculation Sheet'!$AC$14="","",'Final Calculation Sheet'!$AC$14)</f>
        <v/>
      </c>
      <c r="AD43" s="362">
        <f>IF('Final Calculation Sheet'!$AD$14="","",'Final Calculation Sheet'!$AD$14)</f>
        <v/>
      </c>
      <c r="AE43" s="364">
        <f>IF('Final Calculation Sheet'!$AD$14="","",IF('Final Calculation Sheet'!$AD$14&lt;=0,"SETTLED","OUTSTANDING"))</f>
        <v/>
      </c>
      <c r="AF43" s="364">
        <f>IF('Final Calculation Sheet'!$AE$14="","",'Final Calculation Sheet'!$AE$14)</f>
        <v/>
      </c>
      <c r="AG43" s="362">
        <f>IF('Final Calculation Sheet'!$AF$14="","",'Final Calculation Sheet'!$AF$14)</f>
        <v/>
      </c>
      <c r="AH43" s="364">
        <f>IF('Final Calculation Sheet'!$AG$14="","",'Final Calculation Sheet'!$AG$14)</f>
        <v/>
      </c>
      <c r="AI43" s="362" t="n">
        <v>14</v>
      </c>
    </row>
    <row r="44" ht="20" customHeight="1">
      <c r="A44" s="283" t="inlineStr">
        <is>
          <t>▼  STERLING ENTERPRISES</t>
        </is>
      </c>
      <c r="B44" s="284" t="n"/>
      <c r="C44" s="285" t="inlineStr">
        <is>
          <t>7 lots  —  click − to fold this buyer</t>
        </is>
      </c>
      <c r="D44" s="284" t="n"/>
      <c r="E44" s="286">
        <f>SUBTOTAL(109,E45:E51)</f>
        <v/>
      </c>
      <c r="F44" s="284" t="n"/>
      <c r="G44" s="284" t="n"/>
      <c r="H44" s="287">
        <f>SUBTOTAL(109,H45:H51)</f>
        <v/>
      </c>
      <c r="I44" s="287">
        <f>SUBTOTAL(109,I45:I51)</f>
        <v/>
      </c>
      <c r="J44" s="287">
        <f>SUBTOTAL(109,J45:J51)</f>
        <v/>
      </c>
      <c r="K44" s="287">
        <f>SUBTOTAL(109,K45:K51)</f>
        <v/>
      </c>
      <c r="L44" s="288">
        <f>SUBTOTAL(109,L45:L51)</f>
        <v/>
      </c>
      <c r="M44" s="288">
        <f>SUBTOTAL(109,M45:M51)</f>
        <v/>
      </c>
      <c r="N44" s="288">
        <f>SUBTOTAL(109,N45:N51)</f>
        <v/>
      </c>
      <c r="O44" s="288">
        <f>SUBTOTAL(109,O45:O51)</f>
        <v/>
      </c>
      <c r="P44" s="287">
        <f>SUBTOTAL(109,P45:P51)</f>
        <v/>
      </c>
      <c r="Q44" s="284" t="n"/>
      <c r="R44" s="287">
        <f>SUBTOTAL(109,R45:R51)</f>
        <v/>
      </c>
      <c r="S44" s="287">
        <f>SUBTOTAL(109,S45:S51)</f>
        <v/>
      </c>
      <c r="T44" s="287">
        <f>SUBTOTAL(109,T45:T51)</f>
        <v/>
      </c>
      <c r="U44" s="287">
        <f>SUBTOTAL(109,U45:U51)</f>
        <v/>
      </c>
      <c r="V44" s="284" t="n"/>
      <c r="W44" s="287">
        <f>SUBTOTAL(109,W45:W51)</f>
        <v/>
      </c>
      <c r="X44" s="287">
        <f>SUBTOTAL(109,X45:X51)</f>
        <v/>
      </c>
      <c r="Y44" s="284" t="n"/>
      <c r="Z44" s="287">
        <f>SUBTOTAL(109,Z45:Z51)</f>
        <v/>
      </c>
      <c r="AA44" s="287">
        <f>SUBTOTAL(109,AA45:AA51)</f>
        <v/>
      </c>
      <c r="AB44" s="284" t="n"/>
      <c r="AC44" s="287">
        <f>SUBTOTAL(109,AC45:AC51)</f>
        <v/>
      </c>
      <c r="AD44" s="287">
        <f>SUBTOTAL(109,AD45:AD51)</f>
        <v/>
      </c>
      <c r="AE44" s="284" t="n"/>
      <c r="AF44" s="284" t="n"/>
      <c r="AG44" s="284" t="n"/>
      <c r="AH44" s="284" t="n"/>
      <c r="AI44" s="284" t="n"/>
    </row>
    <row r="45" outlineLevel="1" ht="15" customHeight="1">
      <c r="A45" s="289">
        <f>IF('Final Calculation Sheet'!$G$13="","",'Final Calculation Sheet'!$G$13)</f>
        <v/>
      </c>
      <c r="B45" s="290">
        <f>IF('Final Calculation Sheet'!$F$13="","",'Final Calculation Sheet'!$F$13)</f>
        <v/>
      </c>
      <c r="C45" s="289">
        <f>IF('Final Calculation Sheet'!$B$13="","",'Final Calculation Sheet'!$B$13)</f>
        <v/>
      </c>
      <c r="D45" s="290">
        <f>IF('Final Calculation Sheet'!$D$13="","",'Final Calculation Sheet'!$D$13)</f>
        <v/>
      </c>
      <c r="E45" s="291">
        <f>IF('Final Calculation Sheet'!$A$13="","",'Final Calculation Sheet'!$A$13)</f>
        <v/>
      </c>
      <c r="F45" s="292">
        <f>IF('Final Calculation Sheet'!$E$13="","",'Final Calculation Sheet'!$E$13)</f>
        <v/>
      </c>
      <c r="G45" s="290">
        <f>IF('Final Calculation Sheet'!$C$13="","",'Final Calculation Sheet'!$C$13)</f>
        <v/>
      </c>
      <c r="H45" s="290">
        <f>IF('Final Calculation Sheet'!$H$13="","",'Final Calculation Sheet'!$H$13)</f>
        <v/>
      </c>
      <c r="I45" s="290">
        <f>IF('Final Calculation Sheet'!$I$13="","",'Final Calculation Sheet'!$I$13)</f>
        <v/>
      </c>
      <c r="J45" s="290">
        <f>IF('Final Calculation Sheet'!$J$13="","",'Final Calculation Sheet'!$J$13)</f>
        <v/>
      </c>
      <c r="K45" s="290">
        <f>IF('Final Calculation Sheet'!$K$13="","",'Final Calculation Sheet'!$K$13)</f>
        <v/>
      </c>
      <c r="L45" s="293">
        <f>IF('Final Calculation Sheet'!$L$13="","",'Final Calculation Sheet'!$L$13)</f>
        <v/>
      </c>
      <c r="M45" s="293">
        <f>IF('Final Calculation Sheet'!$M$13="","",'Final Calculation Sheet'!$M$13)</f>
        <v/>
      </c>
      <c r="N45" s="293">
        <f>IF('Final Calculation Sheet'!$N$13="","",'Final Calculation Sheet'!$N$13)</f>
        <v/>
      </c>
      <c r="O45" s="293">
        <f>IF('Final Calculation Sheet'!$O$13="","",'Final Calculation Sheet'!$O$13)</f>
        <v/>
      </c>
      <c r="P45" s="290">
        <f>IF('Final Calculation Sheet'!$P$13="","",'Final Calculation Sheet'!$P$13)</f>
        <v/>
      </c>
      <c r="Q45" s="294">
        <f>IF('Final Calculation Sheet'!$Q$13="","",'Final Calculation Sheet'!$Q$13)</f>
        <v/>
      </c>
      <c r="R45" s="290">
        <f>IF('Final Calculation Sheet'!$R$13="","",'Final Calculation Sheet'!$R$13)</f>
        <v/>
      </c>
      <c r="S45" s="290">
        <f>IF('Final Calculation Sheet'!$S$13="","",'Final Calculation Sheet'!$S$13)</f>
        <v/>
      </c>
      <c r="T45" s="290">
        <f>IF('Final Calculation Sheet'!$T$13="","",'Final Calculation Sheet'!$T$13)</f>
        <v/>
      </c>
      <c r="U45" s="290">
        <f>IF('Final Calculation Sheet'!$U$13="","",'Final Calculation Sheet'!$U$13)</f>
        <v/>
      </c>
      <c r="V45" s="292">
        <f>IF('Final Calculation Sheet'!$V$13="","",'Final Calculation Sheet'!$V$13)</f>
        <v/>
      </c>
      <c r="W45" s="290">
        <f>IF('Final Calculation Sheet'!$W$13="","",'Final Calculation Sheet'!$W$13)</f>
        <v/>
      </c>
      <c r="X45" s="290">
        <f>IF('Final Calculation Sheet'!$X$13="","",'Final Calculation Sheet'!$X$13)</f>
        <v/>
      </c>
      <c r="Y45" s="292">
        <f>IF('Final Calculation Sheet'!$Y$13="","",'Final Calculation Sheet'!$Y$13)</f>
        <v/>
      </c>
      <c r="Z45" s="290">
        <f>IF('Final Calculation Sheet'!$Z$13="","",'Final Calculation Sheet'!$Z$13)</f>
        <v/>
      </c>
      <c r="AA45" s="290">
        <f>IF('Final Calculation Sheet'!$AA$13="","",'Final Calculation Sheet'!$AA$13)</f>
        <v/>
      </c>
      <c r="AB45" s="292">
        <f>IF('Final Calculation Sheet'!$AB$13="","",'Final Calculation Sheet'!$AB$13)</f>
        <v/>
      </c>
      <c r="AC45" s="290">
        <f>IF('Final Calculation Sheet'!$AC$13="","",'Final Calculation Sheet'!$AC$13)</f>
        <v/>
      </c>
      <c r="AD45" s="290">
        <f>IF('Final Calculation Sheet'!$AD$13="","",'Final Calculation Sheet'!$AD$13)</f>
        <v/>
      </c>
      <c r="AE45" s="292">
        <f>IF('Final Calculation Sheet'!$AD$13="","",IF('Final Calculation Sheet'!$AD$13&lt;=0,"SETTLED","OUTSTANDING"))</f>
        <v/>
      </c>
      <c r="AF45" s="292">
        <f>IF('Final Calculation Sheet'!$AE$13="","",'Final Calculation Sheet'!$AE$13)</f>
        <v/>
      </c>
      <c r="AG45" s="290">
        <f>IF('Final Calculation Sheet'!$AF$13="","",'Final Calculation Sheet'!$AF$13)</f>
        <v/>
      </c>
      <c r="AH45" s="292">
        <f>IF('Final Calculation Sheet'!$AG$13="","",'Final Calculation Sheet'!$AG$13)</f>
        <v/>
      </c>
      <c r="AI45" s="290" t="n">
        <v>13</v>
      </c>
    </row>
    <row r="46" outlineLevel="1" ht="15" customHeight="1">
      <c r="A46" s="367">
        <f>IF('Final Calculation Sheet'!$G$16="","",'Final Calculation Sheet'!$G$16)</f>
        <v/>
      </c>
      <c r="B46" s="368">
        <f>IF('Final Calculation Sheet'!$F$16="","",'Final Calculation Sheet'!$F$16)</f>
        <v/>
      </c>
      <c r="C46" s="367">
        <f>IF('Final Calculation Sheet'!$B$16="","",'Final Calculation Sheet'!$B$16)</f>
        <v/>
      </c>
      <c r="D46" s="368">
        <f>IF('Final Calculation Sheet'!$D$16="","",'Final Calculation Sheet'!$D$16)</f>
        <v/>
      </c>
      <c r="E46" s="369">
        <f>IF('Final Calculation Sheet'!$A$16="","",'Final Calculation Sheet'!$A$16)</f>
        <v/>
      </c>
      <c r="F46" s="370">
        <f>IF('Final Calculation Sheet'!$E$16="","",'Final Calculation Sheet'!$E$16)</f>
        <v/>
      </c>
      <c r="G46" s="368">
        <f>IF('Final Calculation Sheet'!$C$16="","",'Final Calculation Sheet'!$C$16)</f>
        <v/>
      </c>
      <c r="H46" s="368">
        <f>IF('Final Calculation Sheet'!$H$16="","",'Final Calculation Sheet'!$H$16)</f>
        <v/>
      </c>
      <c r="I46" s="368">
        <f>IF('Final Calculation Sheet'!$I$16="","",'Final Calculation Sheet'!$I$16)</f>
        <v/>
      </c>
      <c r="J46" s="368">
        <f>IF('Final Calculation Sheet'!$J$16="","",'Final Calculation Sheet'!$J$16)</f>
        <v/>
      </c>
      <c r="K46" s="368">
        <f>IF('Final Calculation Sheet'!$K$16="","",'Final Calculation Sheet'!$K$16)</f>
        <v/>
      </c>
      <c r="L46" s="371">
        <f>IF('Final Calculation Sheet'!$L$16="","",'Final Calculation Sheet'!$L$16)</f>
        <v/>
      </c>
      <c r="M46" s="371">
        <f>IF('Final Calculation Sheet'!$M$16="","",'Final Calculation Sheet'!$M$16)</f>
        <v/>
      </c>
      <c r="N46" s="371">
        <f>IF('Final Calculation Sheet'!$N$16="","",'Final Calculation Sheet'!$N$16)</f>
        <v/>
      </c>
      <c r="O46" s="371">
        <f>IF('Final Calculation Sheet'!$O$16="","",'Final Calculation Sheet'!$O$16)</f>
        <v/>
      </c>
      <c r="P46" s="368">
        <f>IF('Final Calculation Sheet'!$P$16="","",'Final Calculation Sheet'!$P$16)</f>
        <v/>
      </c>
      <c r="Q46" s="372">
        <f>IF('Final Calculation Sheet'!$Q$16="","",'Final Calculation Sheet'!$Q$16)</f>
        <v/>
      </c>
      <c r="R46" s="368">
        <f>IF('Final Calculation Sheet'!$R$16="","",'Final Calculation Sheet'!$R$16)</f>
        <v/>
      </c>
      <c r="S46" s="368">
        <f>IF('Final Calculation Sheet'!$S$16="","",'Final Calculation Sheet'!$S$16)</f>
        <v/>
      </c>
      <c r="T46" s="368">
        <f>IF('Final Calculation Sheet'!$T$16="","",'Final Calculation Sheet'!$T$16)</f>
        <v/>
      </c>
      <c r="U46" s="368">
        <f>IF('Final Calculation Sheet'!$U$16="","",'Final Calculation Sheet'!$U$16)</f>
        <v/>
      </c>
      <c r="V46" s="370">
        <f>IF('Final Calculation Sheet'!$V$16="","",'Final Calculation Sheet'!$V$16)</f>
        <v/>
      </c>
      <c r="W46" s="368">
        <f>IF('Final Calculation Sheet'!$W$16="","",'Final Calculation Sheet'!$W$16)</f>
        <v/>
      </c>
      <c r="X46" s="368">
        <f>IF('Final Calculation Sheet'!$X$16="","",'Final Calculation Sheet'!$X$16)</f>
        <v/>
      </c>
      <c r="Y46" s="370">
        <f>IF('Final Calculation Sheet'!$Y$16="","",'Final Calculation Sheet'!$Y$16)</f>
        <v/>
      </c>
      <c r="Z46" s="368">
        <f>IF('Final Calculation Sheet'!$Z$16="","",'Final Calculation Sheet'!$Z$16)</f>
        <v/>
      </c>
      <c r="AA46" s="368">
        <f>IF('Final Calculation Sheet'!$AA$16="","",'Final Calculation Sheet'!$AA$16)</f>
        <v/>
      </c>
      <c r="AB46" s="370">
        <f>IF('Final Calculation Sheet'!$AB$16="","",'Final Calculation Sheet'!$AB$16)</f>
        <v/>
      </c>
      <c r="AC46" s="368">
        <f>IF('Final Calculation Sheet'!$AC$16="","",'Final Calculation Sheet'!$AC$16)</f>
        <v/>
      </c>
      <c r="AD46" s="368">
        <f>IF('Final Calculation Sheet'!$AD$16="","",'Final Calculation Sheet'!$AD$16)</f>
        <v/>
      </c>
      <c r="AE46" s="370">
        <f>IF('Final Calculation Sheet'!$AD$16="","",IF('Final Calculation Sheet'!$AD$16&lt;=0,"SETTLED","OUTSTANDING"))</f>
        <v/>
      </c>
      <c r="AF46" s="370">
        <f>IF('Final Calculation Sheet'!$AE$16="","",'Final Calculation Sheet'!$AE$16)</f>
        <v/>
      </c>
      <c r="AG46" s="368">
        <f>IF('Final Calculation Sheet'!$AF$16="","",'Final Calculation Sheet'!$AF$16)</f>
        <v/>
      </c>
      <c r="AH46" s="370">
        <f>IF('Final Calculation Sheet'!$AG$16="","",'Final Calculation Sheet'!$AG$16)</f>
        <v/>
      </c>
      <c r="AI46" s="368" t="n">
        <v>16</v>
      </c>
    </row>
    <row r="47" outlineLevel="1" ht="15" customHeight="1">
      <c r="A47" s="289">
        <f>IF('Final Calculation Sheet'!$G$17="","",'Final Calculation Sheet'!$G$17)</f>
        <v/>
      </c>
      <c r="B47" s="290">
        <f>IF('Final Calculation Sheet'!$F$17="","",'Final Calculation Sheet'!$F$17)</f>
        <v/>
      </c>
      <c r="C47" s="289">
        <f>IF('Final Calculation Sheet'!$B$17="","",'Final Calculation Sheet'!$B$17)</f>
        <v/>
      </c>
      <c r="D47" s="290">
        <f>IF('Final Calculation Sheet'!$D$17="","",'Final Calculation Sheet'!$D$17)</f>
        <v/>
      </c>
      <c r="E47" s="291">
        <f>IF('Final Calculation Sheet'!$A$17="","",'Final Calculation Sheet'!$A$17)</f>
        <v/>
      </c>
      <c r="F47" s="292">
        <f>IF('Final Calculation Sheet'!$E$17="","",'Final Calculation Sheet'!$E$17)</f>
        <v/>
      </c>
      <c r="G47" s="290">
        <f>IF('Final Calculation Sheet'!$C$17="","",'Final Calculation Sheet'!$C$17)</f>
        <v/>
      </c>
      <c r="H47" s="290">
        <f>IF('Final Calculation Sheet'!$H$17="","",'Final Calculation Sheet'!$H$17)</f>
        <v/>
      </c>
      <c r="I47" s="290">
        <f>IF('Final Calculation Sheet'!$I$17="","",'Final Calculation Sheet'!$I$17)</f>
        <v/>
      </c>
      <c r="J47" s="290">
        <f>IF('Final Calculation Sheet'!$J$17="","",'Final Calculation Sheet'!$J$17)</f>
        <v/>
      </c>
      <c r="K47" s="290">
        <f>IF('Final Calculation Sheet'!$K$17="","",'Final Calculation Sheet'!$K$17)</f>
        <v/>
      </c>
      <c r="L47" s="293">
        <f>IF('Final Calculation Sheet'!$L$17="","",'Final Calculation Sheet'!$L$17)</f>
        <v/>
      </c>
      <c r="M47" s="293">
        <f>IF('Final Calculation Sheet'!$M$17="","",'Final Calculation Sheet'!$M$17)</f>
        <v/>
      </c>
      <c r="N47" s="293">
        <f>IF('Final Calculation Sheet'!$N$17="","",'Final Calculation Sheet'!$N$17)</f>
        <v/>
      </c>
      <c r="O47" s="293">
        <f>IF('Final Calculation Sheet'!$O$17="","",'Final Calculation Sheet'!$O$17)</f>
        <v/>
      </c>
      <c r="P47" s="290">
        <f>IF('Final Calculation Sheet'!$P$17="","",'Final Calculation Sheet'!$P$17)</f>
        <v/>
      </c>
      <c r="Q47" s="294">
        <f>IF('Final Calculation Sheet'!$Q$17="","",'Final Calculation Sheet'!$Q$17)</f>
        <v/>
      </c>
      <c r="R47" s="290">
        <f>IF('Final Calculation Sheet'!$R$17="","",'Final Calculation Sheet'!$R$17)</f>
        <v/>
      </c>
      <c r="S47" s="290">
        <f>IF('Final Calculation Sheet'!$S$17="","",'Final Calculation Sheet'!$S$17)</f>
        <v/>
      </c>
      <c r="T47" s="290">
        <f>IF('Final Calculation Sheet'!$T$17="","",'Final Calculation Sheet'!$T$17)</f>
        <v/>
      </c>
      <c r="U47" s="290">
        <f>IF('Final Calculation Sheet'!$U$17="","",'Final Calculation Sheet'!$U$17)</f>
        <v/>
      </c>
      <c r="V47" s="292">
        <f>IF('Final Calculation Sheet'!$V$17="","",'Final Calculation Sheet'!$V$17)</f>
        <v/>
      </c>
      <c r="W47" s="290">
        <f>IF('Final Calculation Sheet'!$W$17="","",'Final Calculation Sheet'!$W$17)</f>
        <v/>
      </c>
      <c r="X47" s="290">
        <f>IF('Final Calculation Sheet'!$X$17="","",'Final Calculation Sheet'!$X$17)</f>
        <v/>
      </c>
      <c r="Y47" s="292">
        <f>IF('Final Calculation Sheet'!$Y$17="","",'Final Calculation Sheet'!$Y$17)</f>
        <v/>
      </c>
      <c r="Z47" s="290">
        <f>IF('Final Calculation Sheet'!$Z$17="","",'Final Calculation Sheet'!$Z$17)</f>
        <v/>
      </c>
      <c r="AA47" s="290">
        <f>IF('Final Calculation Sheet'!$AA$17="","",'Final Calculation Sheet'!$AA$17)</f>
        <v/>
      </c>
      <c r="AB47" s="292">
        <f>IF('Final Calculation Sheet'!$AB$17="","",'Final Calculation Sheet'!$AB$17)</f>
        <v/>
      </c>
      <c r="AC47" s="290">
        <f>IF('Final Calculation Sheet'!$AC$17="","",'Final Calculation Sheet'!$AC$17)</f>
        <v/>
      </c>
      <c r="AD47" s="290">
        <f>IF('Final Calculation Sheet'!$AD$17="","",'Final Calculation Sheet'!$AD$17)</f>
        <v/>
      </c>
      <c r="AE47" s="292">
        <f>IF('Final Calculation Sheet'!$AD$17="","",IF('Final Calculation Sheet'!$AD$17&lt;=0,"SETTLED","OUTSTANDING"))</f>
        <v/>
      </c>
      <c r="AF47" s="292">
        <f>IF('Final Calculation Sheet'!$AE$17="","",'Final Calculation Sheet'!$AE$17)</f>
        <v/>
      </c>
      <c r="AG47" s="290">
        <f>IF('Final Calculation Sheet'!$AF$17="","",'Final Calculation Sheet'!$AF$17)</f>
        <v/>
      </c>
      <c r="AH47" s="292">
        <f>IF('Final Calculation Sheet'!$AG$17="","",'Final Calculation Sheet'!$AG$17)</f>
        <v/>
      </c>
      <c r="AI47" s="290" t="n">
        <v>17</v>
      </c>
    </row>
    <row r="48" outlineLevel="1" ht="15" customHeight="1">
      <c r="A48" s="367">
        <f>IF('Final Calculation Sheet'!$G$23="","",'Final Calculation Sheet'!$G$23)</f>
        <v/>
      </c>
      <c r="B48" s="368">
        <f>IF('Final Calculation Sheet'!$F$23="","",'Final Calculation Sheet'!$F$23)</f>
        <v/>
      </c>
      <c r="C48" s="367">
        <f>IF('Final Calculation Sheet'!$B$23="","",'Final Calculation Sheet'!$B$23)</f>
        <v/>
      </c>
      <c r="D48" s="368">
        <f>IF('Final Calculation Sheet'!$D$23="","",'Final Calculation Sheet'!$D$23)</f>
        <v/>
      </c>
      <c r="E48" s="369">
        <f>IF('Final Calculation Sheet'!$A$23="","",'Final Calculation Sheet'!$A$23)</f>
        <v/>
      </c>
      <c r="F48" s="370">
        <f>IF('Final Calculation Sheet'!$E$23="","",'Final Calculation Sheet'!$E$23)</f>
        <v/>
      </c>
      <c r="G48" s="368">
        <f>IF('Final Calculation Sheet'!$C$23="","",'Final Calculation Sheet'!$C$23)</f>
        <v/>
      </c>
      <c r="H48" s="368">
        <f>IF('Final Calculation Sheet'!$H$23="","",'Final Calculation Sheet'!$H$23)</f>
        <v/>
      </c>
      <c r="I48" s="368">
        <f>IF('Final Calculation Sheet'!$I$23="","",'Final Calculation Sheet'!$I$23)</f>
        <v/>
      </c>
      <c r="J48" s="368">
        <f>IF('Final Calculation Sheet'!$J$23="","",'Final Calculation Sheet'!$J$23)</f>
        <v/>
      </c>
      <c r="K48" s="368">
        <f>IF('Final Calculation Sheet'!$K$23="","",'Final Calculation Sheet'!$K$23)</f>
        <v/>
      </c>
      <c r="L48" s="371">
        <f>IF('Final Calculation Sheet'!$L$23="","",'Final Calculation Sheet'!$L$23)</f>
        <v/>
      </c>
      <c r="M48" s="371">
        <f>IF('Final Calculation Sheet'!$M$23="","",'Final Calculation Sheet'!$M$23)</f>
        <v/>
      </c>
      <c r="N48" s="371">
        <f>IF('Final Calculation Sheet'!$N$23="","",'Final Calculation Sheet'!$N$23)</f>
        <v/>
      </c>
      <c r="O48" s="371">
        <f>IF('Final Calculation Sheet'!$O$23="","",'Final Calculation Sheet'!$O$23)</f>
        <v/>
      </c>
      <c r="P48" s="368">
        <f>IF('Final Calculation Sheet'!$P$23="","",'Final Calculation Sheet'!$P$23)</f>
        <v/>
      </c>
      <c r="Q48" s="372">
        <f>IF('Final Calculation Sheet'!$Q$23="","",'Final Calculation Sheet'!$Q$23)</f>
        <v/>
      </c>
      <c r="R48" s="368">
        <f>IF('Final Calculation Sheet'!$R$23="","",'Final Calculation Sheet'!$R$23)</f>
        <v/>
      </c>
      <c r="S48" s="368">
        <f>IF('Final Calculation Sheet'!$S$23="","",'Final Calculation Sheet'!$S$23)</f>
        <v/>
      </c>
      <c r="T48" s="368">
        <f>IF('Final Calculation Sheet'!$T$23="","",'Final Calculation Sheet'!$T$23)</f>
        <v/>
      </c>
      <c r="U48" s="368">
        <f>IF('Final Calculation Sheet'!$U$23="","",'Final Calculation Sheet'!$U$23)</f>
        <v/>
      </c>
      <c r="V48" s="370">
        <f>IF('Final Calculation Sheet'!$V$23="","",'Final Calculation Sheet'!$V$23)</f>
        <v/>
      </c>
      <c r="W48" s="368">
        <f>IF('Final Calculation Sheet'!$W$23="","",'Final Calculation Sheet'!$W$23)</f>
        <v/>
      </c>
      <c r="X48" s="368">
        <f>IF('Final Calculation Sheet'!$X$23="","",'Final Calculation Sheet'!$X$23)</f>
        <v/>
      </c>
      <c r="Y48" s="370">
        <f>IF('Final Calculation Sheet'!$Y$23="","",'Final Calculation Sheet'!$Y$23)</f>
        <v/>
      </c>
      <c r="Z48" s="368">
        <f>IF('Final Calculation Sheet'!$Z$23="","",'Final Calculation Sheet'!$Z$23)</f>
        <v/>
      </c>
      <c r="AA48" s="368">
        <f>IF('Final Calculation Sheet'!$AA$23="","",'Final Calculation Sheet'!$AA$23)</f>
        <v/>
      </c>
      <c r="AB48" s="370">
        <f>IF('Final Calculation Sheet'!$AB$23="","",'Final Calculation Sheet'!$AB$23)</f>
        <v/>
      </c>
      <c r="AC48" s="368">
        <f>IF('Final Calculation Sheet'!$AC$23="","",'Final Calculation Sheet'!$AC$23)</f>
        <v/>
      </c>
      <c r="AD48" s="368">
        <f>IF('Final Calculation Sheet'!$AD$23="","",'Final Calculation Sheet'!$AD$23)</f>
        <v/>
      </c>
      <c r="AE48" s="370">
        <f>IF('Final Calculation Sheet'!$AD$23="","",IF('Final Calculation Sheet'!$AD$23&lt;=0,"SETTLED","OUTSTANDING"))</f>
        <v/>
      </c>
      <c r="AF48" s="370">
        <f>IF('Final Calculation Sheet'!$AE$23="","",'Final Calculation Sheet'!$AE$23)</f>
        <v/>
      </c>
      <c r="AG48" s="368">
        <f>IF('Final Calculation Sheet'!$AF$23="","",'Final Calculation Sheet'!$AF$23)</f>
        <v/>
      </c>
      <c r="AH48" s="370">
        <f>IF('Final Calculation Sheet'!$AG$23="","",'Final Calculation Sheet'!$AG$23)</f>
        <v/>
      </c>
      <c r="AI48" s="368" t="n">
        <v>23</v>
      </c>
    </row>
    <row r="49" outlineLevel="1" ht="15" customHeight="1">
      <c r="A49" s="289">
        <f>IF('Final Calculation Sheet'!$G$29="","",'Final Calculation Sheet'!$G$29)</f>
        <v/>
      </c>
      <c r="B49" s="290">
        <f>IF('Final Calculation Sheet'!$F$29="","",'Final Calculation Sheet'!$F$29)</f>
        <v/>
      </c>
      <c r="C49" s="289">
        <f>IF('Final Calculation Sheet'!$B$29="","",'Final Calculation Sheet'!$B$29)</f>
        <v/>
      </c>
      <c r="D49" s="290">
        <f>IF('Final Calculation Sheet'!$D$29="","",'Final Calculation Sheet'!$D$29)</f>
        <v/>
      </c>
      <c r="E49" s="291">
        <f>IF('Final Calculation Sheet'!$A$29="","",'Final Calculation Sheet'!$A$29)</f>
        <v/>
      </c>
      <c r="F49" s="292">
        <f>IF('Final Calculation Sheet'!$E$29="","",'Final Calculation Sheet'!$E$29)</f>
        <v/>
      </c>
      <c r="G49" s="290">
        <f>IF('Final Calculation Sheet'!$C$29="","",'Final Calculation Sheet'!$C$29)</f>
        <v/>
      </c>
      <c r="H49" s="290">
        <f>IF('Final Calculation Sheet'!$H$29="","",'Final Calculation Sheet'!$H$29)</f>
        <v/>
      </c>
      <c r="I49" s="290">
        <f>IF('Final Calculation Sheet'!$I$29="","",'Final Calculation Sheet'!$I$29)</f>
        <v/>
      </c>
      <c r="J49" s="290">
        <f>IF('Final Calculation Sheet'!$J$29="","",'Final Calculation Sheet'!$J$29)</f>
        <v/>
      </c>
      <c r="K49" s="290">
        <f>IF('Final Calculation Sheet'!$K$29="","",'Final Calculation Sheet'!$K$29)</f>
        <v/>
      </c>
      <c r="L49" s="293">
        <f>IF('Final Calculation Sheet'!$L$29="","",'Final Calculation Sheet'!$L$29)</f>
        <v/>
      </c>
      <c r="M49" s="293">
        <f>IF('Final Calculation Sheet'!$M$29="","",'Final Calculation Sheet'!$M$29)</f>
        <v/>
      </c>
      <c r="N49" s="293">
        <f>IF('Final Calculation Sheet'!$N$29="","",'Final Calculation Sheet'!$N$29)</f>
        <v/>
      </c>
      <c r="O49" s="293">
        <f>IF('Final Calculation Sheet'!$O$29="","",'Final Calculation Sheet'!$O$29)</f>
        <v/>
      </c>
      <c r="P49" s="290">
        <f>IF('Final Calculation Sheet'!$P$29="","",'Final Calculation Sheet'!$P$29)</f>
        <v/>
      </c>
      <c r="Q49" s="294">
        <f>IF('Final Calculation Sheet'!$Q$29="","",'Final Calculation Sheet'!$Q$29)</f>
        <v/>
      </c>
      <c r="R49" s="290">
        <f>IF('Final Calculation Sheet'!$R$29="","",'Final Calculation Sheet'!$R$29)</f>
        <v/>
      </c>
      <c r="S49" s="290">
        <f>IF('Final Calculation Sheet'!$S$29="","",'Final Calculation Sheet'!$S$29)</f>
        <v/>
      </c>
      <c r="T49" s="290">
        <f>IF('Final Calculation Sheet'!$T$29="","",'Final Calculation Sheet'!$T$29)</f>
        <v/>
      </c>
      <c r="U49" s="290">
        <f>IF('Final Calculation Sheet'!$U$29="","",'Final Calculation Sheet'!$U$29)</f>
        <v/>
      </c>
      <c r="V49" s="292">
        <f>IF('Final Calculation Sheet'!$V$29="","",'Final Calculation Sheet'!$V$29)</f>
        <v/>
      </c>
      <c r="W49" s="290">
        <f>IF('Final Calculation Sheet'!$W$29="","",'Final Calculation Sheet'!$W$29)</f>
        <v/>
      </c>
      <c r="X49" s="290">
        <f>IF('Final Calculation Sheet'!$X$29="","",'Final Calculation Sheet'!$X$29)</f>
        <v/>
      </c>
      <c r="Y49" s="292">
        <f>IF('Final Calculation Sheet'!$Y$29="","",'Final Calculation Sheet'!$Y$29)</f>
        <v/>
      </c>
      <c r="Z49" s="290">
        <f>IF('Final Calculation Sheet'!$Z$29="","",'Final Calculation Sheet'!$Z$29)</f>
        <v/>
      </c>
      <c r="AA49" s="290">
        <f>IF('Final Calculation Sheet'!$AA$29="","",'Final Calculation Sheet'!$AA$29)</f>
        <v/>
      </c>
      <c r="AB49" s="292">
        <f>IF('Final Calculation Sheet'!$AB$29="","",'Final Calculation Sheet'!$AB$29)</f>
        <v/>
      </c>
      <c r="AC49" s="290">
        <f>IF('Final Calculation Sheet'!$AC$29="","",'Final Calculation Sheet'!$AC$29)</f>
        <v/>
      </c>
      <c r="AD49" s="290">
        <f>IF('Final Calculation Sheet'!$AD$29="","",'Final Calculation Sheet'!$AD$29)</f>
        <v/>
      </c>
      <c r="AE49" s="292">
        <f>IF('Final Calculation Sheet'!$AD$29="","",IF('Final Calculation Sheet'!$AD$29&lt;=0,"SETTLED","OUTSTANDING"))</f>
        <v/>
      </c>
      <c r="AF49" s="292">
        <f>IF('Final Calculation Sheet'!$AE$29="","",'Final Calculation Sheet'!$AE$29)</f>
        <v/>
      </c>
      <c r="AG49" s="290">
        <f>IF('Final Calculation Sheet'!$AF$29="","",'Final Calculation Sheet'!$AF$29)</f>
        <v/>
      </c>
      <c r="AH49" s="292">
        <f>IF('Final Calculation Sheet'!$AG$29="","",'Final Calculation Sheet'!$AG$29)</f>
        <v/>
      </c>
      <c r="AI49" s="290" t="n">
        <v>29</v>
      </c>
    </row>
    <row r="50" outlineLevel="1" ht="15" customHeight="1">
      <c r="A50" s="367">
        <f>IF('Final Calculation Sheet'!$G$34="","",'Final Calculation Sheet'!$G$34)</f>
        <v/>
      </c>
      <c r="B50" s="368">
        <f>IF('Final Calculation Sheet'!$F$34="","",'Final Calculation Sheet'!$F$34)</f>
        <v/>
      </c>
      <c r="C50" s="367">
        <f>IF('Final Calculation Sheet'!$B$34="","",'Final Calculation Sheet'!$B$34)</f>
        <v/>
      </c>
      <c r="D50" s="368">
        <f>IF('Final Calculation Sheet'!$D$34="","",'Final Calculation Sheet'!$D$34)</f>
        <v/>
      </c>
      <c r="E50" s="369">
        <f>IF('Final Calculation Sheet'!$A$34="","",'Final Calculation Sheet'!$A$34)</f>
        <v/>
      </c>
      <c r="F50" s="370">
        <f>IF('Final Calculation Sheet'!$E$34="","",'Final Calculation Sheet'!$E$34)</f>
        <v/>
      </c>
      <c r="G50" s="368">
        <f>IF('Final Calculation Sheet'!$C$34="","",'Final Calculation Sheet'!$C$34)</f>
        <v/>
      </c>
      <c r="H50" s="368">
        <f>IF('Final Calculation Sheet'!$H$34="","",'Final Calculation Sheet'!$H$34)</f>
        <v/>
      </c>
      <c r="I50" s="368">
        <f>IF('Final Calculation Sheet'!$I$34="","",'Final Calculation Sheet'!$I$34)</f>
        <v/>
      </c>
      <c r="J50" s="368">
        <f>IF('Final Calculation Sheet'!$J$34="","",'Final Calculation Sheet'!$J$34)</f>
        <v/>
      </c>
      <c r="K50" s="368">
        <f>IF('Final Calculation Sheet'!$K$34="","",'Final Calculation Sheet'!$K$34)</f>
        <v/>
      </c>
      <c r="L50" s="371">
        <f>IF('Final Calculation Sheet'!$L$34="","",'Final Calculation Sheet'!$L$34)</f>
        <v/>
      </c>
      <c r="M50" s="371">
        <f>IF('Final Calculation Sheet'!$M$34="","",'Final Calculation Sheet'!$M$34)</f>
        <v/>
      </c>
      <c r="N50" s="371">
        <f>IF('Final Calculation Sheet'!$N$34="","",'Final Calculation Sheet'!$N$34)</f>
        <v/>
      </c>
      <c r="O50" s="371">
        <f>IF('Final Calculation Sheet'!$O$34="","",'Final Calculation Sheet'!$O$34)</f>
        <v/>
      </c>
      <c r="P50" s="368">
        <f>IF('Final Calculation Sheet'!$P$34="","",'Final Calculation Sheet'!$P$34)</f>
        <v/>
      </c>
      <c r="Q50" s="372">
        <f>IF('Final Calculation Sheet'!$Q$34="","",'Final Calculation Sheet'!$Q$34)</f>
        <v/>
      </c>
      <c r="R50" s="368">
        <f>IF('Final Calculation Sheet'!$R$34="","",'Final Calculation Sheet'!$R$34)</f>
        <v/>
      </c>
      <c r="S50" s="368">
        <f>IF('Final Calculation Sheet'!$S$34="","",'Final Calculation Sheet'!$S$34)</f>
        <v/>
      </c>
      <c r="T50" s="368">
        <f>IF('Final Calculation Sheet'!$T$34="","",'Final Calculation Sheet'!$T$34)</f>
        <v/>
      </c>
      <c r="U50" s="368">
        <f>IF('Final Calculation Sheet'!$U$34="","",'Final Calculation Sheet'!$U$34)</f>
        <v/>
      </c>
      <c r="V50" s="370">
        <f>IF('Final Calculation Sheet'!$V$34="","",'Final Calculation Sheet'!$V$34)</f>
        <v/>
      </c>
      <c r="W50" s="368">
        <f>IF('Final Calculation Sheet'!$W$34="","",'Final Calculation Sheet'!$W$34)</f>
        <v/>
      </c>
      <c r="X50" s="368">
        <f>IF('Final Calculation Sheet'!$X$34="","",'Final Calculation Sheet'!$X$34)</f>
        <v/>
      </c>
      <c r="Y50" s="370">
        <f>IF('Final Calculation Sheet'!$Y$34="","",'Final Calculation Sheet'!$Y$34)</f>
        <v/>
      </c>
      <c r="Z50" s="368">
        <f>IF('Final Calculation Sheet'!$Z$34="","",'Final Calculation Sheet'!$Z$34)</f>
        <v/>
      </c>
      <c r="AA50" s="368">
        <f>IF('Final Calculation Sheet'!$AA$34="","",'Final Calculation Sheet'!$AA$34)</f>
        <v/>
      </c>
      <c r="AB50" s="370">
        <f>IF('Final Calculation Sheet'!$AB$34="","",'Final Calculation Sheet'!$AB$34)</f>
        <v/>
      </c>
      <c r="AC50" s="368">
        <f>IF('Final Calculation Sheet'!$AC$34="","",'Final Calculation Sheet'!$AC$34)</f>
        <v/>
      </c>
      <c r="AD50" s="368">
        <f>IF('Final Calculation Sheet'!$AD$34="","",'Final Calculation Sheet'!$AD$34)</f>
        <v/>
      </c>
      <c r="AE50" s="370">
        <f>IF('Final Calculation Sheet'!$AD$34="","",IF('Final Calculation Sheet'!$AD$34&lt;=0,"SETTLED","OUTSTANDING"))</f>
        <v/>
      </c>
      <c r="AF50" s="370">
        <f>IF('Final Calculation Sheet'!$AE$34="","",'Final Calculation Sheet'!$AE$34)</f>
        <v/>
      </c>
      <c r="AG50" s="368">
        <f>IF('Final Calculation Sheet'!$AF$34="","",'Final Calculation Sheet'!$AF$34)</f>
        <v/>
      </c>
      <c r="AH50" s="370">
        <f>IF('Final Calculation Sheet'!$AG$34="","",'Final Calculation Sheet'!$AG$34)</f>
        <v/>
      </c>
      <c r="AI50" s="368" t="n">
        <v>34</v>
      </c>
    </row>
    <row r="51" outlineLevel="1" ht="15" customHeight="1">
      <c r="A51" s="289">
        <f>IF('Final Calculation Sheet'!$G$36="","",'Final Calculation Sheet'!$G$36)</f>
        <v/>
      </c>
      <c r="B51" s="290">
        <f>IF('Final Calculation Sheet'!$F$36="","",'Final Calculation Sheet'!$F$36)</f>
        <v/>
      </c>
      <c r="C51" s="289">
        <f>IF('Final Calculation Sheet'!$B$36="","",'Final Calculation Sheet'!$B$36)</f>
        <v/>
      </c>
      <c r="D51" s="290">
        <f>IF('Final Calculation Sheet'!$D$36="","",'Final Calculation Sheet'!$D$36)</f>
        <v/>
      </c>
      <c r="E51" s="291">
        <f>IF('Final Calculation Sheet'!$A$36="","",'Final Calculation Sheet'!$A$36)</f>
        <v/>
      </c>
      <c r="F51" s="292">
        <f>IF('Final Calculation Sheet'!$E$36="","",'Final Calculation Sheet'!$E$36)</f>
        <v/>
      </c>
      <c r="G51" s="290">
        <f>IF('Final Calculation Sheet'!$C$36="","",'Final Calculation Sheet'!$C$36)</f>
        <v/>
      </c>
      <c r="H51" s="290">
        <f>IF('Final Calculation Sheet'!$H$36="","",'Final Calculation Sheet'!$H$36)</f>
        <v/>
      </c>
      <c r="I51" s="290">
        <f>IF('Final Calculation Sheet'!$I$36="","",'Final Calculation Sheet'!$I$36)</f>
        <v/>
      </c>
      <c r="J51" s="290">
        <f>IF('Final Calculation Sheet'!$J$36="","",'Final Calculation Sheet'!$J$36)</f>
        <v/>
      </c>
      <c r="K51" s="290">
        <f>IF('Final Calculation Sheet'!$K$36="","",'Final Calculation Sheet'!$K$36)</f>
        <v/>
      </c>
      <c r="L51" s="293">
        <f>IF('Final Calculation Sheet'!$L$36="","",'Final Calculation Sheet'!$L$36)</f>
        <v/>
      </c>
      <c r="M51" s="293">
        <f>IF('Final Calculation Sheet'!$M$36="","",'Final Calculation Sheet'!$M$36)</f>
        <v/>
      </c>
      <c r="N51" s="293">
        <f>IF('Final Calculation Sheet'!$N$36="","",'Final Calculation Sheet'!$N$36)</f>
        <v/>
      </c>
      <c r="O51" s="293">
        <f>IF('Final Calculation Sheet'!$O$36="","",'Final Calculation Sheet'!$O$36)</f>
        <v/>
      </c>
      <c r="P51" s="290">
        <f>IF('Final Calculation Sheet'!$P$36="","",'Final Calculation Sheet'!$P$36)</f>
        <v/>
      </c>
      <c r="Q51" s="294">
        <f>IF('Final Calculation Sheet'!$Q$36="","",'Final Calculation Sheet'!$Q$36)</f>
        <v/>
      </c>
      <c r="R51" s="290">
        <f>IF('Final Calculation Sheet'!$R$36="","",'Final Calculation Sheet'!$R$36)</f>
        <v/>
      </c>
      <c r="S51" s="290">
        <f>IF('Final Calculation Sheet'!$S$36="","",'Final Calculation Sheet'!$S$36)</f>
        <v/>
      </c>
      <c r="T51" s="290">
        <f>IF('Final Calculation Sheet'!$T$36="","",'Final Calculation Sheet'!$T$36)</f>
        <v/>
      </c>
      <c r="U51" s="290">
        <f>IF('Final Calculation Sheet'!$U$36="","",'Final Calculation Sheet'!$U$36)</f>
        <v/>
      </c>
      <c r="V51" s="292">
        <f>IF('Final Calculation Sheet'!$V$36="","",'Final Calculation Sheet'!$V$36)</f>
        <v/>
      </c>
      <c r="W51" s="290">
        <f>IF('Final Calculation Sheet'!$W$36="","",'Final Calculation Sheet'!$W$36)</f>
        <v/>
      </c>
      <c r="X51" s="290">
        <f>IF('Final Calculation Sheet'!$X$36="","",'Final Calculation Sheet'!$X$36)</f>
        <v/>
      </c>
      <c r="Y51" s="292">
        <f>IF('Final Calculation Sheet'!$Y$36="","",'Final Calculation Sheet'!$Y$36)</f>
        <v/>
      </c>
      <c r="Z51" s="290">
        <f>IF('Final Calculation Sheet'!$Z$36="","",'Final Calculation Sheet'!$Z$36)</f>
        <v/>
      </c>
      <c r="AA51" s="290">
        <f>IF('Final Calculation Sheet'!$AA$36="","",'Final Calculation Sheet'!$AA$36)</f>
        <v/>
      </c>
      <c r="AB51" s="292">
        <f>IF('Final Calculation Sheet'!$AB$36="","",'Final Calculation Sheet'!$AB$36)</f>
        <v/>
      </c>
      <c r="AC51" s="290">
        <f>IF('Final Calculation Sheet'!$AC$36="","",'Final Calculation Sheet'!$AC$36)</f>
        <v/>
      </c>
      <c r="AD51" s="290">
        <f>IF('Final Calculation Sheet'!$AD$36="","",'Final Calculation Sheet'!$AD$36)</f>
        <v/>
      </c>
      <c r="AE51" s="292">
        <f>IF('Final Calculation Sheet'!$AD$36="","",IF('Final Calculation Sheet'!$AD$36&lt;=0,"SETTLED","OUTSTANDING"))</f>
        <v/>
      </c>
      <c r="AF51" s="292">
        <f>IF('Final Calculation Sheet'!$AE$36="","",'Final Calculation Sheet'!$AE$36)</f>
        <v/>
      </c>
      <c r="AG51" s="290">
        <f>IF('Final Calculation Sheet'!$AF$36="","",'Final Calculation Sheet'!$AF$36)</f>
        <v/>
      </c>
      <c r="AH51" s="292">
        <f>IF('Final Calculation Sheet'!$AG$36="","",'Final Calculation Sheet'!$AG$36)</f>
        <v/>
      </c>
      <c r="AI51" s="290" t="n">
        <v>36</v>
      </c>
    </row>
    <row r="52" ht="20" customHeight="1">
      <c r="A52" s="295" t="inlineStr">
        <is>
          <t>▼  WATAN SCRAP TRADERS</t>
        </is>
      </c>
      <c r="B52" s="296" t="n"/>
      <c r="C52" s="297" t="inlineStr">
        <is>
          <t>3 lots  —  click − to fold this buyer</t>
        </is>
      </c>
      <c r="D52" s="296" t="n"/>
      <c r="E52" s="298">
        <f>SUBTOTAL(109,E53:E55)</f>
        <v/>
      </c>
      <c r="F52" s="296" t="n"/>
      <c r="G52" s="296" t="n"/>
      <c r="H52" s="299">
        <f>SUBTOTAL(109,H53:H55)</f>
        <v/>
      </c>
      <c r="I52" s="299">
        <f>SUBTOTAL(109,I53:I55)</f>
        <v/>
      </c>
      <c r="J52" s="299">
        <f>SUBTOTAL(109,J53:J55)</f>
        <v/>
      </c>
      <c r="K52" s="299">
        <f>SUBTOTAL(109,K53:K55)</f>
        <v/>
      </c>
      <c r="L52" s="300">
        <f>SUBTOTAL(109,L53:L55)</f>
        <v/>
      </c>
      <c r="M52" s="300">
        <f>SUBTOTAL(109,M53:M55)</f>
        <v/>
      </c>
      <c r="N52" s="300">
        <f>SUBTOTAL(109,N53:N55)</f>
        <v/>
      </c>
      <c r="O52" s="300">
        <f>SUBTOTAL(109,O53:O55)</f>
        <v/>
      </c>
      <c r="P52" s="299">
        <f>SUBTOTAL(109,P53:P55)</f>
        <v/>
      </c>
      <c r="Q52" s="296" t="n"/>
      <c r="R52" s="299">
        <f>SUBTOTAL(109,R53:R55)</f>
        <v/>
      </c>
      <c r="S52" s="299">
        <f>SUBTOTAL(109,S53:S55)</f>
        <v/>
      </c>
      <c r="T52" s="299">
        <f>SUBTOTAL(109,T53:T55)</f>
        <v/>
      </c>
      <c r="U52" s="299">
        <f>SUBTOTAL(109,U53:U55)</f>
        <v/>
      </c>
      <c r="V52" s="296" t="n"/>
      <c r="W52" s="299">
        <f>SUBTOTAL(109,W53:W55)</f>
        <v/>
      </c>
      <c r="X52" s="299">
        <f>SUBTOTAL(109,X53:X55)</f>
        <v/>
      </c>
      <c r="Y52" s="296" t="n"/>
      <c r="Z52" s="299">
        <f>SUBTOTAL(109,Z53:Z55)</f>
        <v/>
      </c>
      <c r="AA52" s="299">
        <f>SUBTOTAL(109,AA53:AA55)</f>
        <v/>
      </c>
      <c r="AB52" s="296" t="n"/>
      <c r="AC52" s="299">
        <f>SUBTOTAL(109,AC53:AC55)</f>
        <v/>
      </c>
      <c r="AD52" s="299">
        <f>SUBTOTAL(109,AD53:AD55)</f>
        <v/>
      </c>
      <c r="AE52" s="296" t="n"/>
      <c r="AF52" s="296" t="n"/>
      <c r="AG52" s="296" t="n"/>
      <c r="AH52" s="296" t="n"/>
      <c r="AI52" s="296" t="n"/>
    </row>
    <row r="53" outlineLevel="1" ht="15" customHeight="1">
      <c r="A53" s="301">
        <f>IF('Final Calculation Sheet'!$G$25="","",'Final Calculation Sheet'!$G$25)</f>
        <v/>
      </c>
      <c r="B53" s="302">
        <f>IF('Final Calculation Sheet'!$F$25="","",'Final Calculation Sheet'!$F$25)</f>
        <v/>
      </c>
      <c r="C53" s="301">
        <f>IF('Final Calculation Sheet'!$B$25="","",'Final Calculation Sheet'!$B$25)</f>
        <v/>
      </c>
      <c r="D53" s="302">
        <f>IF('Final Calculation Sheet'!$D$25="","",'Final Calculation Sheet'!$D$25)</f>
        <v/>
      </c>
      <c r="E53" s="303">
        <f>IF('Final Calculation Sheet'!$A$25="","",'Final Calculation Sheet'!$A$25)</f>
        <v/>
      </c>
      <c r="F53" s="304">
        <f>IF('Final Calculation Sheet'!$E$25="","",'Final Calculation Sheet'!$E$25)</f>
        <v/>
      </c>
      <c r="G53" s="302">
        <f>IF('Final Calculation Sheet'!$C$25="","",'Final Calculation Sheet'!$C$25)</f>
        <v/>
      </c>
      <c r="H53" s="302">
        <f>IF('Final Calculation Sheet'!$H$25="","",'Final Calculation Sheet'!$H$25)</f>
        <v/>
      </c>
      <c r="I53" s="302">
        <f>IF('Final Calculation Sheet'!$I$25="","",'Final Calculation Sheet'!$I$25)</f>
        <v/>
      </c>
      <c r="J53" s="302">
        <f>IF('Final Calculation Sheet'!$J$25="","",'Final Calculation Sheet'!$J$25)</f>
        <v/>
      </c>
      <c r="K53" s="302">
        <f>IF('Final Calculation Sheet'!$K$25="","",'Final Calculation Sheet'!$K$25)</f>
        <v/>
      </c>
      <c r="L53" s="305">
        <f>IF('Final Calculation Sheet'!$L$25="","",'Final Calculation Sheet'!$L$25)</f>
        <v/>
      </c>
      <c r="M53" s="305">
        <f>IF('Final Calculation Sheet'!$M$25="","",'Final Calculation Sheet'!$M$25)</f>
        <v/>
      </c>
      <c r="N53" s="305">
        <f>IF('Final Calculation Sheet'!$N$25="","",'Final Calculation Sheet'!$N$25)</f>
        <v/>
      </c>
      <c r="O53" s="305">
        <f>IF('Final Calculation Sheet'!$O$25="","",'Final Calculation Sheet'!$O$25)</f>
        <v/>
      </c>
      <c r="P53" s="302">
        <f>IF('Final Calculation Sheet'!$P$25="","",'Final Calculation Sheet'!$P$25)</f>
        <v/>
      </c>
      <c r="Q53" s="306">
        <f>IF('Final Calculation Sheet'!$Q$25="","",'Final Calculation Sheet'!$Q$25)</f>
        <v/>
      </c>
      <c r="R53" s="302">
        <f>IF('Final Calculation Sheet'!$R$25="","",'Final Calculation Sheet'!$R$25)</f>
        <v/>
      </c>
      <c r="S53" s="302">
        <f>IF('Final Calculation Sheet'!$S$25="","",'Final Calculation Sheet'!$S$25)</f>
        <v/>
      </c>
      <c r="T53" s="302">
        <f>IF('Final Calculation Sheet'!$T$25="","",'Final Calculation Sheet'!$T$25)</f>
        <v/>
      </c>
      <c r="U53" s="302">
        <f>IF('Final Calculation Sheet'!$U$25="","",'Final Calculation Sheet'!$U$25)</f>
        <v/>
      </c>
      <c r="V53" s="304">
        <f>IF('Final Calculation Sheet'!$V$25="","",'Final Calculation Sheet'!$V$25)</f>
        <v/>
      </c>
      <c r="W53" s="302">
        <f>IF('Final Calculation Sheet'!$W$25="","",'Final Calculation Sheet'!$W$25)</f>
        <v/>
      </c>
      <c r="X53" s="302">
        <f>IF('Final Calculation Sheet'!$X$25="","",'Final Calculation Sheet'!$X$25)</f>
        <v/>
      </c>
      <c r="Y53" s="304">
        <f>IF('Final Calculation Sheet'!$Y$25="","",'Final Calculation Sheet'!$Y$25)</f>
        <v/>
      </c>
      <c r="Z53" s="302">
        <f>IF('Final Calculation Sheet'!$Z$25="","",'Final Calculation Sheet'!$Z$25)</f>
        <v/>
      </c>
      <c r="AA53" s="302">
        <f>IF('Final Calculation Sheet'!$AA$25="","",'Final Calculation Sheet'!$AA$25)</f>
        <v/>
      </c>
      <c r="AB53" s="304">
        <f>IF('Final Calculation Sheet'!$AB$25="","",'Final Calculation Sheet'!$AB$25)</f>
        <v/>
      </c>
      <c r="AC53" s="302">
        <f>IF('Final Calculation Sheet'!$AC$25="","",'Final Calculation Sheet'!$AC$25)</f>
        <v/>
      </c>
      <c r="AD53" s="302">
        <f>IF('Final Calculation Sheet'!$AD$25="","",'Final Calculation Sheet'!$AD$25)</f>
        <v/>
      </c>
      <c r="AE53" s="304">
        <f>IF('Final Calculation Sheet'!$AD$25="","",IF('Final Calculation Sheet'!$AD$25&lt;=0,"SETTLED","OUTSTANDING"))</f>
        <v/>
      </c>
      <c r="AF53" s="304">
        <f>IF('Final Calculation Sheet'!$AE$25="","",'Final Calculation Sheet'!$AE$25)</f>
        <v/>
      </c>
      <c r="AG53" s="302">
        <f>IF('Final Calculation Sheet'!$AF$25="","",'Final Calculation Sheet'!$AF$25)</f>
        <v/>
      </c>
      <c r="AH53" s="304">
        <f>IF('Final Calculation Sheet'!$AG$25="","",'Final Calculation Sheet'!$AG$25)</f>
        <v/>
      </c>
      <c r="AI53" s="302" t="n">
        <v>25</v>
      </c>
    </row>
    <row r="54" outlineLevel="1" ht="15" customHeight="1">
      <c r="A54" s="373">
        <f>IF('Final Calculation Sheet'!$G$28="","",'Final Calculation Sheet'!$G$28)</f>
        <v/>
      </c>
      <c r="B54" s="374">
        <f>IF('Final Calculation Sheet'!$F$28="","",'Final Calculation Sheet'!$F$28)</f>
        <v/>
      </c>
      <c r="C54" s="373">
        <f>IF('Final Calculation Sheet'!$B$28="","",'Final Calculation Sheet'!$B$28)</f>
        <v/>
      </c>
      <c r="D54" s="374">
        <f>IF('Final Calculation Sheet'!$D$28="","",'Final Calculation Sheet'!$D$28)</f>
        <v/>
      </c>
      <c r="E54" s="375">
        <f>IF('Final Calculation Sheet'!$A$28="","",'Final Calculation Sheet'!$A$28)</f>
        <v/>
      </c>
      <c r="F54" s="376">
        <f>IF('Final Calculation Sheet'!$E$28="","",'Final Calculation Sheet'!$E$28)</f>
        <v/>
      </c>
      <c r="G54" s="374">
        <f>IF('Final Calculation Sheet'!$C$28="","",'Final Calculation Sheet'!$C$28)</f>
        <v/>
      </c>
      <c r="H54" s="374">
        <f>IF('Final Calculation Sheet'!$H$28="","",'Final Calculation Sheet'!$H$28)</f>
        <v/>
      </c>
      <c r="I54" s="374">
        <f>IF('Final Calculation Sheet'!$I$28="","",'Final Calculation Sheet'!$I$28)</f>
        <v/>
      </c>
      <c r="J54" s="374">
        <f>IF('Final Calculation Sheet'!$J$28="","",'Final Calculation Sheet'!$J$28)</f>
        <v/>
      </c>
      <c r="K54" s="374">
        <f>IF('Final Calculation Sheet'!$K$28="","",'Final Calculation Sheet'!$K$28)</f>
        <v/>
      </c>
      <c r="L54" s="377">
        <f>IF('Final Calculation Sheet'!$L$28="","",'Final Calculation Sheet'!$L$28)</f>
        <v/>
      </c>
      <c r="M54" s="377">
        <f>IF('Final Calculation Sheet'!$M$28="","",'Final Calculation Sheet'!$M$28)</f>
        <v/>
      </c>
      <c r="N54" s="377">
        <f>IF('Final Calculation Sheet'!$N$28="","",'Final Calculation Sheet'!$N$28)</f>
        <v/>
      </c>
      <c r="O54" s="377">
        <f>IF('Final Calculation Sheet'!$O$28="","",'Final Calculation Sheet'!$O$28)</f>
        <v/>
      </c>
      <c r="P54" s="374">
        <f>IF('Final Calculation Sheet'!$P$28="","",'Final Calculation Sheet'!$P$28)</f>
        <v/>
      </c>
      <c r="Q54" s="378">
        <f>IF('Final Calculation Sheet'!$Q$28="","",'Final Calculation Sheet'!$Q$28)</f>
        <v/>
      </c>
      <c r="R54" s="374">
        <f>IF('Final Calculation Sheet'!$R$28="","",'Final Calculation Sheet'!$R$28)</f>
        <v/>
      </c>
      <c r="S54" s="374">
        <f>IF('Final Calculation Sheet'!$S$28="","",'Final Calculation Sheet'!$S$28)</f>
        <v/>
      </c>
      <c r="T54" s="374">
        <f>IF('Final Calculation Sheet'!$T$28="","",'Final Calculation Sheet'!$T$28)</f>
        <v/>
      </c>
      <c r="U54" s="374">
        <f>IF('Final Calculation Sheet'!$U$28="","",'Final Calculation Sheet'!$U$28)</f>
        <v/>
      </c>
      <c r="V54" s="376">
        <f>IF('Final Calculation Sheet'!$V$28="","",'Final Calculation Sheet'!$V$28)</f>
        <v/>
      </c>
      <c r="W54" s="374">
        <f>IF('Final Calculation Sheet'!$W$28="","",'Final Calculation Sheet'!$W$28)</f>
        <v/>
      </c>
      <c r="X54" s="374">
        <f>IF('Final Calculation Sheet'!$X$28="","",'Final Calculation Sheet'!$X$28)</f>
        <v/>
      </c>
      <c r="Y54" s="376">
        <f>IF('Final Calculation Sheet'!$Y$28="","",'Final Calculation Sheet'!$Y$28)</f>
        <v/>
      </c>
      <c r="Z54" s="374">
        <f>IF('Final Calculation Sheet'!$Z$28="","",'Final Calculation Sheet'!$Z$28)</f>
        <v/>
      </c>
      <c r="AA54" s="374">
        <f>IF('Final Calculation Sheet'!$AA$28="","",'Final Calculation Sheet'!$AA$28)</f>
        <v/>
      </c>
      <c r="AB54" s="376">
        <f>IF('Final Calculation Sheet'!$AB$28="","",'Final Calculation Sheet'!$AB$28)</f>
        <v/>
      </c>
      <c r="AC54" s="374">
        <f>IF('Final Calculation Sheet'!$AC$28="","",'Final Calculation Sheet'!$AC$28)</f>
        <v/>
      </c>
      <c r="AD54" s="374">
        <f>IF('Final Calculation Sheet'!$AD$28="","",'Final Calculation Sheet'!$AD$28)</f>
        <v/>
      </c>
      <c r="AE54" s="376">
        <f>IF('Final Calculation Sheet'!$AD$28="","",IF('Final Calculation Sheet'!$AD$28&lt;=0,"SETTLED","OUTSTANDING"))</f>
        <v/>
      </c>
      <c r="AF54" s="376">
        <f>IF('Final Calculation Sheet'!$AE$28="","",'Final Calculation Sheet'!$AE$28)</f>
        <v/>
      </c>
      <c r="AG54" s="374">
        <f>IF('Final Calculation Sheet'!$AF$28="","",'Final Calculation Sheet'!$AF$28)</f>
        <v/>
      </c>
      <c r="AH54" s="376">
        <f>IF('Final Calculation Sheet'!$AG$28="","",'Final Calculation Sheet'!$AG$28)</f>
        <v/>
      </c>
      <c r="AI54" s="374" t="n">
        <v>28</v>
      </c>
    </row>
    <row r="55" outlineLevel="1" ht="15" customHeight="1">
      <c r="A55" s="301">
        <f>IF('Final Calculation Sheet'!$G$35="","",'Final Calculation Sheet'!$G$35)</f>
        <v/>
      </c>
      <c r="B55" s="302">
        <f>IF('Final Calculation Sheet'!$F$35="","",'Final Calculation Sheet'!$F$35)</f>
        <v/>
      </c>
      <c r="C55" s="301">
        <f>IF('Final Calculation Sheet'!$B$35="","",'Final Calculation Sheet'!$B$35)</f>
        <v/>
      </c>
      <c r="D55" s="302">
        <f>IF('Final Calculation Sheet'!$D$35="","",'Final Calculation Sheet'!$D$35)</f>
        <v/>
      </c>
      <c r="E55" s="303">
        <f>IF('Final Calculation Sheet'!$A$35="","",'Final Calculation Sheet'!$A$35)</f>
        <v/>
      </c>
      <c r="F55" s="304">
        <f>IF('Final Calculation Sheet'!$E$35="","",'Final Calculation Sheet'!$E$35)</f>
        <v/>
      </c>
      <c r="G55" s="302">
        <f>IF('Final Calculation Sheet'!$C$35="","",'Final Calculation Sheet'!$C$35)</f>
        <v/>
      </c>
      <c r="H55" s="302">
        <f>IF('Final Calculation Sheet'!$H$35="","",'Final Calculation Sheet'!$H$35)</f>
        <v/>
      </c>
      <c r="I55" s="302">
        <f>IF('Final Calculation Sheet'!$I$35="","",'Final Calculation Sheet'!$I$35)</f>
        <v/>
      </c>
      <c r="J55" s="302">
        <f>IF('Final Calculation Sheet'!$J$35="","",'Final Calculation Sheet'!$J$35)</f>
        <v/>
      </c>
      <c r="K55" s="302">
        <f>IF('Final Calculation Sheet'!$K$35="","",'Final Calculation Sheet'!$K$35)</f>
        <v/>
      </c>
      <c r="L55" s="305">
        <f>IF('Final Calculation Sheet'!$L$35="","",'Final Calculation Sheet'!$L$35)</f>
        <v/>
      </c>
      <c r="M55" s="305">
        <f>IF('Final Calculation Sheet'!$M$35="","",'Final Calculation Sheet'!$M$35)</f>
        <v/>
      </c>
      <c r="N55" s="305">
        <f>IF('Final Calculation Sheet'!$N$35="","",'Final Calculation Sheet'!$N$35)</f>
        <v/>
      </c>
      <c r="O55" s="305">
        <f>IF('Final Calculation Sheet'!$O$35="","",'Final Calculation Sheet'!$O$35)</f>
        <v/>
      </c>
      <c r="P55" s="302">
        <f>IF('Final Calculation Sheet'!$P$35="","",'Final Calculation Sheet'!$P$35)</f>
        <v/>
      </c>
      <c r="Q55" s="306">
        <f>IF('Final Calculation Sheet'!$Q$35="","",'Final Calculation Sheet'!$Q$35)</f>
        <v/>
      </c>
      <c r="R55" s="302">
        <f>IF('Final Calculation Sheet'!$R$35="","",'Final Calculation Sheet'!$R$35)</f>
        <v/>
      </c>
      <c r="S55" s="302">
        <f>IF('Final Calculation Sheet'!$S$35="","",'Final Calculation Sheet'!$S$35)</f>
        <v/>
      </c>
      <c r="T55" s="302">
        <f>IF('Final Calculation Sheet'!$T$35="","",'Final Calculation Sheet'!$T$35)</f>
        <v/>
      </c>
      <c r="U55" s="302">
        <f>IF('Final Calculation Sheet'!$U$35="","",'Final Calculation Sheet'!$U$35)</f>
        <v/>
      </c>
      <c r="V55" s="304">
        <f>IF('Final Calculation Sheet'!$V$35="","",'Final Calculation Sheet'!$V$35)</f>
        <v/>
      </c>
      <c r="W55" s="302">
        <f>IF('Final Calculation Sheet'!$W$35="","",'Final Calculation Sheet'!$W$35)</f>
        <v/>
      </c>
      <c r="X55" s="302">
        <f>IF('Final Calculation Sheet'!$X$35="","",'Final Calculation Sheet'!$X$35)</f>
        <v/>
      </c>
      <c r="Y55" s="304">
        <f>IF('Final Calculation Sheet'!$Y$35="","",'Final Calculation Sheet'!$Y$35)</f>
        <v/>
      </c>
      <c r="Z55" s="302">
        <f>IF('Final Calculation Sheet'!$Z$35="","",'Final Calculation Sheet'!$Z$35)</f>
        <v/>
      </c>
      <c r="AA55" s="302">
        <f>IF('Final Calculation Sheet'!$AA$35="","",'Final Calculation Sheet'!$AA$35)</f>
        <v/>
      </c>
      <c r="AB55" s="304">
        <f>IF('Final Calculation Sheet'!$AB$35="","",'Final Calculation Sheet'!$AB$35)</f>
        <v/>
      </c>
      <c r="AC55" s="302">
        <f>IF('Final Calculation Sheet'!$AC$35="","",'Final Calculation Sheet'!$AC$35)</f>
        <v/>
      </c>
      <c r="AD55" s="302">
        <f>IF('Final Calculation Sheet'!$AD$35="","",'Final Calculation Sheet'!$AD$35)</f>
        <v/>
      </c>
      <c r="AE55" s="304">
        <f>IF('Final Calculation Sheet'!$AD$35="","",IF('Final Calculation Sheet'!$AD$35&lt;=0,"SETTLED","OUTSTANDING"))</f>
        <v/>
      </c>
      <c r="AF55" s="304">
        <f>IF('Final Calculation Sheet'!$AE$35="","",'Final Calculation Sheet'!$AE$35)</f>
        <v/>
      </c>
      <c r="AG55" s="302">
        <f>IF('Final Calculation Sheet'!$AF$35="","",'Final Calculation Sheet'!$AF$35)</f>
        <v/>
      </c>
      <c r="AH55" s="304">
        <f>IF('Final Calculation Sheet'!$AG$35="","",'Final Calculation Sheet'!$AG$35)</f>
        <v/>
      </c>
      <c r="AI55" s="302" t="n">
        <v>35</v>
      </c>
    </row>
    <row r="56" ht="20" customHeight="1">
      <c r="A56" s="379" t="inlineStr">
        <is>
          <t>∑  GRAND TOTAL (follows the filter)</t>
        </is>
      </c>
      <c r="B56" s="380" t="n"/>
      <c r="C56" s="380" t="n"/>
      <c r="D56" s="380" t="n"/>
      <c r="E56" s="381">
        <f>SUBTOTAL(109,E7:E55)</f>
        <v/>
      </c>
      <c r="F56" s="380" t="n"/>
      <c r="G56" s="380" t="n"/>
      <c r="H56" s="382">
        <f>SUBTOTAL(109,H7:H55)</f>
        <v/>
      </c>
      <c r="I56" s="382">
        <f>SUBTOTAL(109,I7:I55)</f>
        <v/>
      </c>
      <c r="J56" s="382">
        <f>SUBTOTAL(109,J7:J55)</f>
        <v/>
      </c>
      <c r="K56" s="382">
        <f>SUBTOTAL(109,K7:K55)</f>
        <v/>
      </c>
      <c r="L56" s="383">
        <f>SUBTOTAL(109,L7:L55)</f>
        <v/>
      </c>
      <c r="M56" s="383">
        <f>SUBTOTAL(109,M7:M55)</f>
        <v/>
      </c>
      <c r="N56" s="383">
        <f>SUBTOTAL(109,N7:N55)</f>
        <v/>
      </c>
      <c r="O56" s="383">
        <f>SUBTOTAL(109,O7:O55)</f>
        <v/>
      </c>
      <c r="P56" s="382">
        <f>SUBTOTAL(109,P7:P55)</f>
        <v/>
      </c>
      <c r="Q56" s="380" t="n"/>
      <c r="R56" s="382">
        <f>SUBTOTAL(109,R7:R55)</f>
        <v/>
      </c>
      <c r="S56" s="382">
        <f>SUBTOTAL(109,S7:S55)</f>
        <v/>
      </c>
      <c r="T56" s="382">
        <f>SUBTOTAL(109,T7:T55)</f>
        <v/>
      </c>
      <c r="U56" s="382">
        <f>SUBTOTAL(109,U7:U55)</f>
        <v/>
      </c>
      <c r="V56" s="380" t="n"/>
      <c r="W56" s="382">
        <f>SUBTOTAL(109,W7:W55)</f>
        <v/>
      </c>
      <c r="X56" s="382">
        <f>SUBTOTAL(109,X7:X55)</f>
        <v/>
      </c>
      <c r="Y56" s="380" t="n"/>
      <c r="Z56" s="382">
        <f>SUBTOTAL(109,Z7:Z55)</f>
        <v/>
      </c>
      <c r="AA56" s="382">
        <f>SUBTOTAL(109,AA7:AA55)</f>
        <v/>
      </c>
      <c r="AB56" s="380" t="n"/>
      <c r="AC56" s="382">
        <f>SUBTOTAL(109,AC7:AC55)</f>
        <v/>
      </c>
      <c r="AD56" s="382">
        <f>SUBTOTAL(109,AD7:AD55)</f>
        <v/>
      </c>
      <c r="AE56" s="380" t="n"/>
      <c r="AF56" s="380" t="n"/>
      <c r="AG56" s="380" t="n"/>
      <c r="AH56" s="380" t="n"/>
      <c r="AI56" s="380" t="n"/>
    </row>
  </sheetData>
  <autoFilter ref="A5:AI55"/>
  <mergeCells count="24">
    <mergeCell ref="O3:P3"/>
    <mergeCell ref="Q3:R3"/>
    <mergeCell ref="Y3:Z3"/>
    <mergeCell ref="AC4:AE4"/>
    <mergeCell ref="S3:T3"/>
    <mergeCell ref="C4:G4"/>
    <mergeCell ref="A1:AI1"/>
    <mergeCell ref="Z4:AB4"/>
    <mergeCell ref="W3:X3"/>
    <mergeCell ref="A3:B3"/>
    <mergeCell ref="G3:H3"/>
    <mergeCell ref="I3:J3"/>
    <mergeCell ref="AF4:AH4"/>
    <mergeCell ref="U3:V3"/>
    <mergeCell ref="W4:Y4"/>
    <mergeCell ref="M3:N3"/>
    <mergeCell ref="A4:B4"/>
    <mergeCell ref="A2:AI2"/>
    <mergeCell ref="AA3:AB3"/>
    <mergeCell ref="T4:V4"/>
    <mergeCell ref="H4:S4"/>
    <mergeCell ref="C3:D3"/>
    <mergeCell ref="E3:F3"/>
    <mergeCell ref="K3:L3"/>
  </mergeCells>
  <conditionalFormatting sqref="AD7:AD55">
    <cfRule type="cellIs" priority="1" operator="greaterThan" dxfId="1">
      <formula>0</formula>
    </cfRule>
    <cfRule type="cellIs" priority="2" operator="lessThanOrEqual" dxfId="2">
      <formula>0</formula>
    </cfRule>
  </conditionalFormatting>
  <conditionalFormatting sqref="AE7:AE55">
    <cfRule type="cellIs" priority="3" operator="equal" dxfId="0">
      <formula>"SETTLED"</formula>
    </cfRule>
    <cfRule type="cellIs" priority="4" operator="equal" dxfId="1">
      <formula>"OUTSTANDING"</formula>
    </cfRule>
  </conditionalFormatting>
  <conditionalFormatting sqref="A7:AI55">
    <cfRule type="expression" priority="5" dxfId="3">
      <formula>AND(ISNUMBER($B7),$AF7="")</formula>
    </cfRule>
  </conditionalFormatting>
  <conditionalFormatting sqref="H7:H55">
    <cfRule type="dataBar" priority="6">
      <dataBar showValue="1">
        <cfvo type="num" val="0"/>
        <cfvo type="max"/>
        <color rgb="00638EC6"/>
      </dataBar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00B0F0"/>
    <outlinePr summaryBelow="0" summaryRight="1"/>
    <pageSetUpPr fitToPage="1"/>
  </sheetPr>
  <dimension ref="A1:AM4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Row="1" outlineLevelCol="1"/>
  <cols>
    <col width="34" customWidth="1" min="1" max="1"/>
    <col outlineLevel="1" width="14" customWidth="1" min="2" max="2"/>
    <col outlineLevel="1" width="14" customWidth="1" min="3" max="3"/>
    <col outlineLevel="1" width="14" customWidth="1" min="4" max="4"/>
    <col outlineLevel="1" width="14" customWidth="1" min="5" max="5"/>
    <col outlineLevel="1" width="14" customWidth="1" min="6" max="6"/>
    <col outlineLevel="1" width="14" customWidth="1" min="7" max="7"/>
    <col outlineLevel="1" width="14" customWidth="1" min="8" max="8"/>
    <col outlineLevel="1" width="14" customWidth="1" min="9" max="9"/>
    <col outlineLevel="1" width="14" customWidth="1" min="10" max="10"/>
    <col outlineLevel="1" width="14" customWidth="1" min="11" max="11"/>
    <col outlineLevel="1" width="14" customWidth="1" min="12" max="12"/>
    <col outlineLevel="1" width="14" customWidth="1" min="13" max="13"/>
    <col outlineLevel="1" width="14" customWidth="1" min="14" max="14"/>
    <col outlineLevel="1" width="14" customWidth="1" min="15" max="15"/>
    <col outlineLevel="1" width="14" customWidth="1" min="16" max="16"/>
    <col outlineLevel="1" width="14" customWidth="1" min="17" max="17"/>
    <col outlineLevel="1" width="14" customWidth="1" min="18" max="18"/>
    <col outlineLevel="1" width="14" customWidth="1" min="19" max="19"/>
    <col outlineLevel="1" width="14" customWidth="1" min="20" max="20"/>
    <col outlineLevel="1" width="14" customWidth="1" min="21" max="21"/>
    <col outlineLevel="1" width="14" customWidth="1" min="22" max="22"/>
    <col outlineLevel="1" width="14" customWidth="1" min="23" max="23"/>
    <col outlineLevel="1" width="14" customWidth="1" min="24" max="24"/>
    <col outlineLevel="1" width="14" customWidth="1" min="25" max="25"/>
    <col outlineLevel="1" width="14" customWidth="1" min="26" max="26"/>
    <col outlineLevel="1" width="14" customWidth="1" min="27" max="27"/>
    <col outlineLevel="1" width="14" customWidth="1" min="28" max="28"/>
    <col outlineLevel="1" width="14" customWidth="1" min="29" max="29"/>
    <col outlineLevel="1" width="14" customWidth="1" min="30" max="30"/>
    <col outlineLevel="1" width="14" customWidth="1" min="31" max="31"/>
    <col outlineLevel="1" width="14" customWidth="1" min="32" max="32"/>
    <col outlineLevel="1" width="14" customWidth="1" min="33" max="33"/>
    <col outlineLevel="1" width="14" customWidth="1" min="34" max="34"/>
    <col outlineLevel="1" width="14" customWidth="1" min="35" max="35"/>
    <col outlineLevel="1" width="14" customWidth="1" min="36" max="36"/>
    <col outlineLevel="1" width="14" customWidth="1" min="37" max="37"/>
    <col outlineLevel="1" width="14" customWidth="1" min="38" max="38"/>
    <col width="17" customWidth="1" min="39" max="39"/>
  </cols>
  <sheetData>
    <row r="1" ht="30" customHeight="1">
      <c r="A1" s="59" t="inlineStr">
        <is>
          <t>MSTC LIMITED  •  BUYER &amp; LOT LEDGER  (filter + fold)   (fields ↓ rows  |  lots → columns)</t>
        </is>
      </c>
    </row>
    <row r="2" ht="30" customHeight="1">
      <c r="A2" s="61" t="inlineStr">
        <is>
          <t>HOW TO USE  ▶  filter with the ▼ arrow on the FIELD column in row 5 to keep only the lines you need   •   the − / + in the left margin folds a whole field category   •   the − / + above column AM folds all 37 lot columns away and keeps the totals   •   every figure is a live link to 'Final Calculation Sheet'</t>
        </is>
      </c>
    </row>
    <row r="3" ht="18" customHeight="1">
      <c r="A3" s="399" t="inlineStr">
        <is>
          <t>BUYER  →</t>
        </is>
      </c>
      <c r="B3" s="233" t="inlineStr">
        <is>
          <t>AL HAMD TRADE CORPORATION  (1)</t>
        </is>
      </c>
      <c r="C3" s="234" t="inlineStr">
        <is>
          <t>F R KHANS ENTERPRISES  (2)</t>
        </is>
      </c>
      <c r="D3" s="385" t="n"/>
      <c r="E3" s="235" t="inlineStr">
        <is>
          <t>HIND TRADERS  (1)</t>
        </is>
      </c>
      <c r="F3" s="236" t="inlineStr">
        <is>
          <t>KASHYAP TRADING CO  (1)</t>
        </is>
      </c>
      <c r="G3" s="238" t="inlineStr">
        <is>
          <t>M I SCRAP TRADERS  (1)</t>
        </is>
      </c>
      <c r="H3" s="237" t="inlineStr">
        <is>
          <t>NATIONAL ENTERPRISES  (13)</t>
        </is>
      </c>
      <c r="I3" s="388" t="n"/>
      <c r="J3" s="388" t="n"/>
      <c r="K3" s="388" t="n"/>
      <c r="L3" s="388" t="n"/>
      <c r="M3" s="388" t="n"/>
      <c r="N3" s="388" t="n"/>
      <c r="O3" s="388" t="n"/>
      <c r="P3" s="388" t="n"/>
      <c r="Q3" s="388" t="n"/>
      <c r="R3" s="388" t="n"/>
      <c r="S3" s="388" t="n"/>
      <c r="T3" s="388" t="n"/>
      <c r="U3" s="239" t="inlineStr">
        <is>
          <t>NATIONAL SCRAP AND BUILDING MATERIAL SUPPLIER  (1)</t>
        </is>
      </c>
      <c r="V3" s="400" t="inlineStr">
        <is>
          <t>OMKAR STEELS  (2)</t>
        </is>
      </c>
      <c r="W3" s="401" t="n"/>
      <c r="X3" s="233" t="inlineStr">
        <is>
          <t>S M ENTERPRISES  (2)</t>
        </is>
      </c>
      <c r="Y3" s="384" t="n"/>
      <c r="Z3" s="234" t="inlineStr">
        <is>
          <t>SAHARA ENTERPRISES  (1)</t>
        </is>
      </c>
      <c r="AA3" s="235" t="inlineStr">
        <is>
          <t>SHAR JAHAN TRADERS  (2)</t>
        </is>
      </c>
      <c r="AB3" s="386" t="n"/>
      <c r="AC3" s="236" t="inlineStr">
        <is>
          <t>STERLING ENTERPRISES  (7)</t>
        </is>
      </c>
      <c r="AD3" s="387" t="n"/>
      <c r="AE3" s="387" t="n"/>
      <c r="AF3" s="387" t="n"/>
      <c r="AG3" s="387" t="n"/>
      <c r="AH3" s="387" t="n"/>
      <c r="AI3" s="387" t="n"/>
      <c r="AJ3" s="238" t="inlineStr">
        <is>
          <t>WATAN SCRAP TRADERS  (3)</t>
        </is>
      </c>
      <c r="AK3" s="389" t="n"/>
      <c r="AL3" s="389" t="n"/>
      <c r="AM3" s="402" t="n"/>
    </row>
    <row r="4" ht="18" customHeight="1">
      <c r="A4" s="403" t="inlineStr">
        <is>
          <t>LOT NO.  →</t>
        </is>
      </c>
      <c r="B4" s="404">
        <f>IF('Final Calculation Sheet'!$F$4="","",'Final Calculation Sheet'!$F$4)</f>
        <v/>
      </c>
      <c r="C4" s="404">
        <f>IF('Final Calculation Sheet'!$F$6="","",'Final Calculation Sheet'!$F$6)</f>
        <v/>
      </c>
      <c r="D4" s="404">
        <f>IF('Final Calculation Sheet'!$F$7="","",'Final Calculation Sheet'!$F$7)</f>
        <v/>
      </c>
      <c r="E4" s="404">
        <f>IF('Final Calculation Sheet'!$F$15="","",'Final Calculation Sheet'!$F$15)</f>
        <v/>
      </c>
      <c r="F4" s="404">
        <f>IF('Final Calculation Sheet'!$F$38="","",'Final Calculation Sheet'!$F$38)</f>
        <v/>
      </c>
      <c r="G4" s="404">
        <f>IF('Final Calculation Sheet'!$F$27="","",'Final Calculation Sheet'!$F$27)</f>
        <v/>
      </c>
      <c r="H4" s="404">
        <f>IF('Final Calculation Sheet'!$F$5="","",'Final Calculation Sheet'!$F$5)</f>
        <v/>
      </c>
      <c r="I4" s="404">
        <f>IF('Final Calculation Sheet'!$F$10="","",'Final Calculation Sheet'!$F$10)</f>
        <v/>
      </c>
      <c r="J4" s="404">
        <f>IF('Final Calculation Sheet'!$F$11="","",'Final Calculation Sheet'!$F$11)</f>
        <v/>
      </c>
      <c r="K4" s="404">
        <f>IF('Final Calculation Sheet'!$F$12="","",'Final Calculation Sheet'!$F$12)</f>
        <v/>
      </c>
      <c r="L4" s="404">
        <f>IF('Final Calculation Sheet'!$F$18="","",'Final Calculation Sheet'!$F$18)</f>
        <v/>
      </c>
      <c r="M4" s="404">
        <f>IF('Final Calculation Sheet'!$F$19="","",'Final Calculation Sheet'!$F$19)</f>
        <v/>
      </c>
      <c r="N4" s="404">
        <f>IF('Final Calculation Sheet'!$F$22="","",'Final Calculation Sheet'!$F$22)</f>
        <v/>
      </c>
      <c r="O4" s="404">
        <f>IF('Final Calculation Sheet'!$F$24="","",'Final Calculation Sheet'!$F$24)</f>
        <v/>
      </c>
      <c r="P4" s="404">
        <f>IF('Final Calculation Sheet'!$F$26="","",'Final Calculation Sheet'!$F$26)</f>
        <v/>
      </c>
      <c r="Q4" s="404">
        <f>IF('Final Calculation Sheet'!$F$30="","",'Final Calculation Sheet'!$F$30)</f>
        <v/>
      </c>
      <c r="R4" s="404">
        <f>IF('Final Calculation Sheet'!$F$32="","",'Final Calculation Sheet'!$F$32)</f>
        <v/>
      </c>
      <c r="S4" s="404">
        <f>IF('Final Calculation Sheet'!$F$33="","",'Final Calculation Sheet'!$F$33)</f>
        <v/>
      </c>
      <c r="T4" s="404">
        <f>IF('Final Calculation Sheet'!$F$37="","",'Final Calculation Sheet'!$F$37)</f>
        <v/>
      </c>
      <c r="U4" s="404">
        <f>IF('Final Calculation Sheet'!$F$21="","",'Final Calculation Sheet'!$F$21)</f>
        <v/>
      </c>
      <c r="V4" s="404">
        <f>IF('Final Calculation Sheet'!$F$8="","",'Final Calculation Sheet'!$F$8)</f>
        <v/>
      </c>
      <c r="W4" s="404">
        <f>IF('Final Calculation Sheet'!$F$20="","",'Final Calculation Sheet'!$F$20)</f>
        <v/>
      </c>
      <c r="X4" s="404">
        <f>IF('Final Calculation Sheet'!$F$39="","",'Final Calculation Sheet'!$F$39)</f>
        <v/>
      </c>
      <c r="Y4" s="404">
        <f>IF('Final Calculation Sheet'!$F$40="","",'Final Calculation Sheet'!$F$40)</f>
        <v/>
      </c>
      <c r="Z4" s="404">
        <f>IF('Final Calculation Sheet'!$F$31="","",'Final Calculation Sheet'!$F$31)</f>
        <v/>
      </c>
      <c r="AA4" s="404">
        <f>IF('Final Calculation Sheet'!$F$9="","",'Final Calculation Sheet'!$F$9)</f>
        <v/>
      </c>
      <c r="AB4" s="404">
        <f>IF('Final Calculation Sheet'!$F$14="","",'Final Calculation Sheet'!$F$14)</f>
        <v/>
      </c>
      <c r="AC4" s="404">
        <f>IF('Final Calculation Sheet'!$F$13="","",'Final Calculation Sheet'!$F$13)</f>
        <v/>
      </c>
      <c r="AD4" s="404">
        <f>IF('Final Calculation Sheet'!$F$16="","",'Final Calculation Sheet'!$F$16)</f>
        <v/>
      </c>
      <c r="AE4" s="404">
        <f>IF('Final Calculation Sheet'!$F$17="","",'Final Calculation Sheet'!$F$17)</f>
        <v/>
      </c>
      <c r="AF4" s="404">
        <f>IF('Final Calculation Sheet'!$F$23="","",'Final Calculation Sheet'!$F$23)</f>
        <v/>
      </c>
      <c r="AG4" s="404">
        <f>IF('Final Calculation Sheet'!$F$29="","",'Final Calculation Sheet'!$F$29)</f>
        <v/>
      </c>
      <c r="AH4" s="404">
        <f>IF('Final Calculation Sheet'!$F$34="","",'Final Calculation Sheet'!$F$34)</f>
        <v/>
      </c>
      <c r="AI4" s="404">
        <f>IF('Final Calculation Sheet'!$F$36="","",'Final Calculation Sheet'!$F$36)</f>
        <v/>
      </c>
      <c r="AJ4" s="404">
        <f>IF('Final Calculation Sheet'!$F$25="","",'Final Calculation Sheet'!$F$25)</f>
        <v/>
      </c>
      <c r="AK4" s="404">
        <f>IF('Final Calculation Sheet'!$F$28="","",'Final Calculation Sheet'!$F$28)</f>
        <v/>
      </c>
      <c r="AL4" s="404">
        <f>IF('Final Calculation Sheet'!$F$35="","",'Final Calculation Sheet'!$F$35)</f>
        <v/>
      </c>
      <c r="AM4" s="405" t="inlineStr">
        <is>
          <t>∑ ALL</t>
        </is>
      </c>
    </row>
    <row r="5" ht="26" customHeight="1">
      <c r="A5" s="406" t="inlineStr">
        <is>
          <t>FIELD  ▸</t>
        </is>
      </c>
      <c r="B5" s="406" t="inlineStr">
        <is>
          <t>LOT 1</t>
        </is>
      </c>
      <c r="C5" s="406" t="inlineStr">
        <is>
          <t>LOT 2</t>
        </is>
      </c>
      <c r="D5" s="406" t="inlineStr">
        <is>
          <t>LOT 3</t>
        </is>
      </c>
      <c r="E5" s="406" t="inlineStr">
        <is>
          <t>LOT 4</t>
        </is>
      </c>
      <c r="F5" s="406" t="inlineStr">
        <is>
          <t>LOT 5</t>
        </is>
      </c>
      <c r="G5" s="406" t="inlineStr">
        <is>
          <t>LOT 6</t>
        </is>
      </c>
      <c r="H5" s="406" t="inlineStr">
        <is>
          <t>LOT 7</t>
        </is>
      </c>
      <c r="I5" s="406" t="inlineStr">
        <is>
          <t>LOT 8</t>
        </is>
      </c>
      <c r="J5" s="406" t="inlineStr">
        <is>
          <t>LOT 9</t>
        </is>
      </c>
      <c r="K5" s="406" t="inlineStr">
        <is>
          <t>LOT 10</t>
        </is>
      </c>
      <c r="L5" s="406" t="inlineStr">
        <is>
          <t>LOT 11</t>
        </is>
      </c>
      <c r="M5" s="406" t="inlineStr">
        <is>
          <t>LOT 12</t>
        </is>
      </c>
      <c r="N5" s="406" t="inlineStr">
        <is>
          <t>LOT 13</t>
        </is>
      </c>
      <c r="O5" s="406" t="inlineStr">
        <is>
          <t>LOT 14</t>
        </is>
      </c>
      <c r="P5" s="406" t="inlineStr">
        <is>
          <t>LOT 15</t>
        </is>
      </c>
      <c r="Q5" s="406" t="inlineStr">
        <is>
          <t>LOT 16</t>
        </is>
      </c>
      <c r="R5" s="406" t="inlineStr">
        <is>
          <t>LOT 17</t>
        </is>
      </c>
      <c r="S5" s="406" t="inlineStr">
        <is>
          <t>LOT 18</t>
        </is>
      </c>
      <c r="T5" s="406" t="inlineStr">
        <is>
          <t>LOT 19</t>
        </is>
      </c>
      <c r="U5" s="406" t="inlineStr">
        <is>
          <t>LOT 20</t>
        </is>
      </c>
      <c r="V5" s="406" t="inlineStr">
        <is>
          <t>LOT 21</t>
        </is>
      </c>
      <c r="W5" s="406" t="inlineStr">
        <is>
          <t>LOT 22</t>
        </is>
      </c>
      <c r="X5" s="406" t="inlineStr">
        <is>
          <t>LOT 23</t>
        </is>
      </c>
      <c r="Y5" s="406" t="inlineStr">
        <is>
          <t>LOT 24</t>
        </is>
      </c>
      <c r="Z5" s="406" t="inlineStr">
        <is>
          <t>LOT 25</t>
        </is>
      </c>
      <c r="AA5" s="406" t="inlineStr">
        <is>
          <t>LOT 26</t>
        </is>
      </c>
      <c r="AB5" s="406" t="inlineStr">
        <is>
          <t>LOT 27</t>
        </is>
      </c>
      <c r="AC5" s="406" t="inlineStr">
        <is>
          <t>LOT 28</t>
        </is>
      </c>
      <c r="AD5" s="406" t="inlineStr">
        <is>
          <t>LOT 29</t>
        </is>
      </c>
      <c r="AE5" s="406" t="inlineStr">
        <is>
          <t>LOT 30</t>
        </is>
      </c>
      <c r="AF5" s="406" t="inlineStr">
        <is>
          <t>LOT 31</t>
        </is>
      </c>
      <c r="AG5" s="406" t="inlineStr">
        <is>
          <t>LOT 32</t>
        </is>
      </c>
      <c r="AH5" s="406" t="inlineStr">
        <is>
          <t>LOT 33</t>
        </is>
      </c>
      <c r="AI5" s="406" t="inlineStr">
        <is>
          <t>LOT 34</t>
        </is>
      </c>
      <c r="AJ5" s="406" t="inlineStr">
        <is>
          <t>LOT 35</t>
        </is>
      </c>
      <c r="AK5" s="406" t="inlineStr">
        <is>
          <t>LOT 36</t>
        </is>
      </c>
      <c r="AL5" s="406" t="inlineStr">
        <is>
          <t>LOT 37</t>
        </is>
      </c>
      <c r="AM5" s="406" t="inlineStr">
        <is>
          <t>TOTAL</t>
        </is>
      </c>
    </row>
    <row r="6" ht="17" customHeight="1">
      <c r="A6" s="407" t="inlineStr">
        <is>
          <t xml:space="preserve">  ▸ LOT INFORMATION</t>
        </is>
      </c>
      <c r="B6" s="384" t="n"/>
      <c r="C6" s="384" t="n"/>
      <c r="D6" s="384" t="n"/>
      <c r="E6" s="384" t="n"/>
      <c r="F6" s="384" t="n"/>
      <c r="G6" s="384" t="n"/>
      <c r="H6" s="384" t="n"/>
      <c r="I6" s="384" t="n"/>
      <c r="J6" s="384" t="n"/>
      <c r="K6" s="384" t="n"/>
      <c r="L6" s="384" t="n"/>
      <c r="M6" s="384" t="n"/>
      <c r="N6" s="384" t="n"/>
      <c r="O6" s="384" t="n"/>
      <c r="P6" s="384" t="n"/>
      <c r="Q6" s="384" t="n"/>
      <c r="R6" s="384" t="n"/>
      <c r="S6" s="384" t="n"/>
      <c r="T6" s="384" t="n"/>
      <c r="U6" s="384" t="n"/>
      <c r="V6" s="384" t="n"/>
      <c r="W6" s="384" t="n"/>
      <c r="X6" s="384" t="n"/>
      <c r="Y6" s="384" t="n"/>
      <c r="Z6" s="384" t="n"/>
      <c r="AA6" s="384" t="n"/>
      <c r="AB6" s="384" t="n"/>
      <c r="AC6" s="384" t="n"/>
      <c r="AD6" s="384" t="n"/>
      <c r="AE6" s="384" t="n"/>
      <c r="AF6" s="384" t="n"/>
      <c r="AG6" s="384" t="n"/>
      <c r="AH6" s="384" t="n"/>
      <c r="AI6" s="384" t="n"/>
      <c r="AJ6" s="384" t="n"/>
      <c r="AK6" s="384" t="n"/>
      <c r="AL6" s="384" t="n"/>
      <c r="AM6" s="384" t="n"/>
    </row>
    <row r="7" outlineLevel="1" ht="15" customHeight="1">
      <c r="A7" s="69" t="inlineStr">
        <is>
          <t xml:space="preserve">      Lot No.</t>
        </is>
      </c>
      <c r="B7" s="70">
        <f>IF('Final Calculation Sheet'!$F$4="","",'Final Calculation Sheet'!$F$4)</f>
        <v/>
      </c>
      <c r="C7" s="408">
        <f>IF('Final Calculation Sheet'!$F$6="","",'Final Calculation Sheet'!$F$6)</f>
        <v/>
      </c>
      <c r="D7" s="70">
        <f>IF('Final Calculation Sheet'!$F$7="","",'Final Calculation Sheet'!$F$7)</f>
        <v/>
      </c>
      <c r="E7" s="408">
        <f>IF('Final Calculation Sheet'!$F$15="","",'Final Calculation Sheet'!$F$15)</f>
        <v/>
      </c>
      <c r="F7" s="70">
        <f>IF('Final Calculation Sheet'!$F$38="","",'Final Calculation Sheet'!$F$38)</f>
        <v/>
      </c>
      <c r="G7" s="408">
        <f>IF('Final Calculation Sheet'!$F$27="","",'Final Calculation Sheet'!$F$27)</f>
        <v/>
      </c>
      <c r="H7" s="70">
        <f>IF('Final Calculation Sheet'!$F$5="","",'Final Calculation Sheet'!$F$5)</f>
        <v/>
      </c>
      <c r="I7" s="408">
        <f>IF('Final Calculation Sheet'!$F$10="","",'Final Calculation Sheet'!$F$10)</f>
        <v/>
      </c>
      <c r="J7" s="70">
        <f>IF('Final Calculation Sheet'!$F$11="","",'Final Calculation Sheet'!$F$11)</f>
        <v/>
      </c>
      <c r="K7" s="408">
        <f>IF('Final Calculation Sheet'!$F$12="","",'Final Calculation Sheet'!$F$12)</f>
        <v/>
      </c>
      <c r="L7" s="70">
        <f>IF('Final Calculation Sheet'!$F$18="","",'Final Calculation Sheet'!$F$18)</f>
        <v/>
      </c>
      <c r="M7" s="408">
        <f>IF('Final Calculation Sheet'!$F$19="","",'Final Calculation Sheet'!$F$19)</f>
        <v/>
      </c>
      <c r="N7" s="70">
        <f>IF('Final Calculation Sheet'!$F$22="","",'Final Calculation Sheet'!$F$22)</f>
        <v/>
      </c>
      <c r="O7" s="408">
        <f>IF('Final Calculation Sheet'!$F$24="","",'Final Calculation Sheet'!$F$24)</f>
        <v/>
      </c>
      <c r="P7" s="70">
        <f>IF('Final Calculation Sheet'!$F$26="","",'Final Calculation Sheet'!$F$26)</f>
        <v/>
      </c>
      <c r="Q7" s="408">
        <f>IF('Final Calculation Sheet'!$F$30="","",'Final Calculation Sheet'!$F$30)</f>
        <v/>
      </c>
      <c r="R7" s="70">
        <f>IF('Final Calculation Sheet'!$F$32="","",'Final Calculation Sheet'!$F$32)</f>
        <v/>
      </c>
      <c r="S7" s="408">
        <f>IF('Final Calculation Sheet'!$F$33="","",'Final Calculation Sheet'!$F$33)</f>
        <v/>
      </c>
      <c r="T7" s="70">
        <f>IF('Final Calculation Sheet'!$F$37="","",'Final Calculation Sheet'!$F$37)</f>
        <v/>
      </c>
      <c r="U7" s="408">
        <f>IF('Final Calculation Sheet'!$F$21="","",'Final Calculation Sheet'!$F$21)</f>
        <v/>
      </c>
      <c r="V7" s="70">
        <f>IF('Final Calculation Sheet'!$F$8="","",'Final Calculation Sheet'!$F$8)</f>
        <v/>
      </c>
      <c r="W7" s="408">
        <f>IF('Final Calculation Sheet'!$F$20="","",'Final Calculation Sheet'!$F$20)</f>
        <v/>
      </c>
      <c r="X7" s="70">
        <f>IF('Final Calculation Sheet'!$F$39="","",'Final Calculation Sheet'!$F$39)</f>
        <v/>
      </c>
      <c r="Y7" s="408">
        <f>IF('Final Calculation Sheet'!$F$40="","",'Final Calculation Sheet'!$F$40)</f>
        <v/>
      </c>
      <c r="Z7" s="70">
        <f>IF('Final Calculation Sheet'!$F$31="","",'Final Calculation Sheet'!$F$31)</f>
        <v/>
      </c>
      <c r="AA7" s="408">
        <f>IF('Final Calculation Sheet'!$F$9="","",'Final Calculation Sheet'!$F$9)</f>
        <v/>
      </c>
      <c r="AB7" s="70">
        <f>IF('Final Calculation Sheet'!$F$14="","",'Final Calculation Sheet'!$F$14)</f>
        <v/>
      </c>
      <c r="AC7" s="408">
        <f>IF('Final Calculation Sheet'!$F$13="","",'Final Calculation Sheet'!$F$13)</f>
        <v/>
      </c>
      <c r="AD7" s="70">
        <f>IF('Final Calculation Sheet'!$F$16="","",'Final Calculation Sheet'!$F$16)</f>
        <v/>
      </c>
      <c r="AE7" s="408">
        <f>IF('Final Calculation Sheet'!$F$17="","",'Final Calculation Sheet'!$F$17)</f>
        <v/>
      </c>
      <c r="AF7" s="70">
        <f>IF('Final Calculation Sheet'!$F$23="","",'Final Calculation Sheet'!$F$23)</f>
        <v/>
      </c>
      <c r="AG7" s="408">
        <f>IF('Final Calculation Sheet'!$F$29="","",'Final Calculation Sheet'!$F$29)</f>
        <v/>
      </c>
      <c r="AH7" s="70">
        <f>IF('Final Calculation Sheet'!$F$34="","",'Final Calculation Sheet'!$F$34)</f>
        <v/>
      </c>
      <c r="AI7" s="408">
        <f>IF('Final Calculation Sheet'!$F$36="","",'Final Calculation Sheet'!$F$36)</f>
        <v/>
      </c>
      <c r="AJ7" s="70">
        <f>IF('Final Calculation Sheet'!$F$25="","",'Final Calculation Sheet'!$F$25)</f>
        <v/>
      </c>
      <c r="AK7" s="408">
        <f>IF('Final Calculation Sheet'!$F$28="","",'Final Calculation Sheet'!$F$28)</f>
        <v/>
      </c>
      <c r="AL7" s="70">
        <f>IF('Final Calculation Sheet'!$F$35="","",'Final Calculation Sheet'!$F$35)</f>
        <v/>
      </c>
      <c r="AM7" s="72" t="inlineStr">
        <is>
          <t>–</t>
        </is>
      </c>
    </row>
    <row r="8" outlineLevel="1" ht="44" customHeight="1">
      <c r="A8" s="69" t="inlineStr">
        <is>
          <t xml:space="preserve">      Lot Name</t>
        </is>
      </c>
      <c r="B8" s="73">
        <f>IF('Final Calculation Sheet'!$B$4="","",'Final Calculation Sheet'!$B$4)</f>
        <v/>
      </c>
      <c r="C8" s="409">
        <f>IF('Final Calculation Sheet'!$B$6="","",'Final Calculation Sheet'!$B$6)</f>
        <v/>
      </c>
      <c r="D8" s="73">
        <f>IF('Final Calculation Sheet'!$B$7="","",'Final Calculation Sheet'!$B$7)</f>
        <v/>
      </c>
      <c r="E8" s="409">
        <f>IF('Final Calculation Sheet'!$B$15="","",'Final Calculation Sheet'!$B$15)</f>
        <v/>
      </c>
      <c r="F8" s="73">
        <f>IF('Final Calculation Sheet'!$B$38="","",'Final Calculation Sheet'!$B$38)</f>
        <v/>
      </c>
      <c r="G8" s="409">
        <f>IF('Final Calculation Sheet'!$B$27="","",'Final Calculation Sheet'!$B$27)</f>
        <v/>
      </c>
      <c r="H8" s="73">
        <f>IF('Final Calculation Sheet'!$B$5="","",'Final Calculation Sheet'!$B$5)</f>
        <v/>
      </c>
      <c r="I8" s="409">
        <f>IF('Final Calculation Sheet'!$B$10="","",'Final Calculation Sheet'!$B$10)</f>
        <v/>
      </c>
      <c r="J8" s="73">
        <f>IF('Final Calculation Sheet'!$B$11="","",'Final Calculation Sheet'!$B$11)</f>
        <v/>
      </c>
      <c r="K8" s="409">
        <f>IF('Final Calculation Sheet'!$B$12="","",'Final Calculation Sheet'!$B$12)</f>
        <v/>
      </c>
      <c r="L8" s="73">
        <f>IF('Final Calculation Sheet'!$B$18="","",'Final Calculation Sheet'!$B$18)</f>
        <v/>
      </c>
      <c r="M8" s="409">
        <f>IF('Final Calculation Sheet'!$B$19="","",'Final Calculation Sheet'!$B$19)</f>
        <v/>
      </c>
      <c r="N8" s="73">
        <f>IF('Final Calculation Sheet'!$B$22="","",'Final Calculation Sheet'!$B$22)</f>
        <v/>
      </c>
      <c r="O8" s="409">
        <f>IF('Final Calculation Sheet'!$B$24="","",'Final Calculation Sheet'!$B$24)</f>
        <v/>
      </c>
      <c r="P8" s="73">
        <f>IF('Final Calculation Sheet'!$B$26="","",'Final Calculation Sheet'!$B$26)</f>
        <v/>
      </c>
      <c r="Q8" s="409">
        <f>IF('Final Calculation Sheet'!$B$30="","",'Final Calculation Sheet'!$B$30)</f>
        <v/>
      </c>
      <c r="R8" s="73">
        <f>IF('Final Calculation Sheet'!$B$32="","",'Final Calculation Sheet'!$B$32)</f>
        <v/>
      </c>
      <c r="S8" s="409">
        <f>IF('Final Calculation Sheet'!$B$33="","",'Final Calculation Sheet'!$B$33)</f>
        <v/>
      </c>
      <c r="T8" s="73">
        <f>IF('Final Calculation Sheet'!$B$37="","",'Final Calculation Sheet'!$B$37)</f>
        <v/>
      </c>
      <c r="U8" s="409">
        <f>IF('Final Calculation Sheet'!$B$21="","",'Final Calculation Sheet'!$B$21)</f>
        <v/>
      </c>
      <c r="V8" s="73">
        <f>IF('Final Calculation Sheet'!$B$8="","",'Final Calculation Sheet'!$B$8)</f>
        <v/>
      </c>
      <c r="W8" s="409">
        <f>IF('Final Calculation Sheet'!$B$20="","",'Final Calculation Sheet'!$B$20)</f>
        <v/>
      </c>
      <c r="X8" s="73">
        <f>IF('Final Calculation Sheet'!$B$39="","",'Final Calculation Sheet'!$B$39)</f>
        <v/>
      </c>
      <c r="Y8" s="409">
        <f>IF('Final Calculation Sheet'!$B$40="","",'Final Calculation Sheet'!$B$40)</f>
        <v/>
      </c>
      <c r="Z8" s="73">
        <f>IF('Final Calculation Sheet'!$B$31="","",'Final Calculation Sheet'!$B$31)</f>
        <v/>
      </c>
      <c r="AA8" s="409">
        <f>IF('Final Calculation Sheet'!$B$9="","",'Final Calculation Sheet'!$B$9)</f>
        <v/>
      </c>
      <c r="AB8" s="73">
        <f>IF('Final Calculation Sheet'!$B$14="","",'Final Calculation Sheet'!$B$14)</f>
        <v/>
      </c>
      <c r="AC8" s="409">
        <f>IF('Final Calculation Sheet'!$B$13="","",'Final Calculation Sheet'!$B$13)</f>
        <v/>
      </c>
      <c r="AD8" s="73">
        <f>IF('Final Calculation Sheet'!$B$16="","",'Final Calculation Sheet'!$B$16)</f>
        <v/>
      </c>
      <c r="AE8" s="409">
        <f>IF('Final Calculation Sheet'!$B$17="","",'Final Calculation Sheet'!$B$17)</f>
        <v/>
      </c>
      <c r="AF8" s="73">
        <f>IF('Final Calculation Sheet'!$B$23="","",'Final Calculation Sheet'!$B$23)</f>
        <v/>
      </c>
      <c r="AG8" s="409">
        <f>IF('Final Calculation Sheet'!$B$29="","",'Final Calculation Sheet'!$B$29)</f>
        <v/>
      </c>
      <c r="AH8" s="73">
        <f>IF('Final Calculation Sheet'!$B$34="","",'Final Calculation Sheet'!$B$34)</f>
        <v/>
      </c>
      <c r="AI8" s="409">
        <f>IF('Final Calculation Sheet'!$B$36="","",'Final Calculation Sheet'!$B$36)</f>
        <v/>
      </c>
      <c r="AJ8" s="73">
        <f>IF('Final Calculation Sheet'!$B$25="","",'Final Calculation Sheet'!$B$25)</f>
        <v/>
      </c>
      <c r="AK8" s="409">
        <f>IF('Final Calculation Sheet'!$B$28="","",'Final Calculation Sheet'!$B$28)</f>
        <v/>
      </c>
      <c r="AL8" s="73">
        <f>IF('Final Calculation Sheet'!$B$35="","",'Final Calculation Sheet'!$B$35)</f>
        <v/>
      </c>
      <c r="AM8" s="72" t="inlineStr">
        <is>
          <t>–</t>
        </is>
      </c>
    </row>
    <row r="9" outlineLevel="1" ht="15" customHeight="1">
      <c r="A9" s="69" t="inlineStr">
        <is>
          <t xml:space="preserve">      Bid Sheet / Auction</t>
        </is>
      </c>
      <c r="B9" s="70">
        <f>IF('Final Calculation Sheet'!$D$4="","",'Final Calculation Sheet'!$D$4)</f>
        <v/>
      </c>
      <c r="C9" s="408">
        <f>IF('Final Calculation Sheet'!$D$6="","",'Final Calculation Sheet'!$D$6)</f>
        <v/>
      </c>
      <c r="D9" s="70">
        <f>IF('Final Calculation Sheet'!$D$7="","",'Final Calculation Sheet'!$D$7)</f>
        <v/>
      </c>
      <c r="E9" s="408">
        <f>IF('Final Calculation Sheet'!$D$15="","",'Final Calculation Sheet'!$D$15)</f>
        <v/>
      </c>
      <c r="F9" s="70">
        <f>IF('Final Calculation Sheet'!$D$38="","",'Final Calculation Sheet'!$D$38)</f>
        <v/>
      </c>
      <c r="G9" s="408">
        <f>IF('Final Calculation Sheet'!$D$27="","",'Final Calculation Sheet'!$D$27)</f>
        <v/>
      </c>
      <c r="H9" s="70">
        <f>IF('Final Calculation Sheet'!$D$5="","",'Final Calculation Sheet'!$D$5)</f>
        <v/>
      </c>
      <c r="I9" s="408">
        <f>IF('Final Calculation Sheet'!$D$10="","",'Final Calculation Sheet'!$D$10)</f>
        <v/>
      </c>
      <c r="J9" s="70">
        <f>IF('Final Calculation Sheet'!$D$11="","",'Final Calculation Sheet'!$D$11)</f>
        <v/>
      </c>
      <c r="K9" s="408">
        <f>IF('Final Calculation Sheet'!$D$12="","",'Final Calculation Sheet'!$D$12)</f>
        <v/>
      </c>
      <c r="L9" s="70">
        <f>IF('Final Calculation Sheet'!$D$18="","",'Final Calculation Sheet'!$D$18)</f>
        <v/>
      </c>
      <c r="M9" s="408">
        <f>IF('Final Calculation Sheet'!$D$19="","",'Final Calculation Sheet'!$D$19)</f>
        <v/>
      </c>
      <c r="N9" s="70">
        <f>IF('Final Calculation Sheet'!$D$22="","",'Final Calculation Sheet'!$D$22)</f>
        <v/>
      </c>
      <c r="O9" s="408">
        <f>IF('Final Calculation Sheet'!$D$24="","",'Final Calculation Sheet'!$D$24)</f>
        <v/>
      </c>
      <c r="P9" s="70">
        <f>IF('Final Calculation Sheet'!$D$26="","",'Final Calculation Sheet'!$D$26)</f>
        <v/>
      </c>
      <c r="Q9" s="408">
        <f>IF('Final Calculation Sheet'!$D$30="","",'Final Calculation Sheet'!$D$30)</f>
        <v/>
      </c>
      <c r="R9" s="70">
        <f>IF('Final Calculation Sheet'!$D$32="","",'Final Calculation Sheet'!$D$32)</f>
        <v/>
      </c>
      <c r="S9" s="408">
        <f>IF('Final Calculation Sheet'!$D$33="","",'Final Calculation Sheet'!$D$33)</f>
        <v/>
      </c>
      <c r="T9" s="70">
        <f>IF('Final Calculation Sheet'!$D$37="","",'Final Calculation Sheet'!$D$37)</f>
        <v/>
      </c>
      <c r="U9" s="408">
        <f>IF('Final Calculation Sheet'!$D$21="","",'Final Calculation Sheet'!$D$21)</f>
        <v/>
      </c>
      <c r="V9" s="70">
        <f>IF('Final Calculation Sheet'!$D$8="","",'Final Calculation Sheet'!$D$8)</f>
        <v/>
      </c>
      <c r="W9" s="408">
        <f>IF('Final Calculation Sheet'!$D$20="","",'Final Calculation Sheet'!$D$20)</f>
        <v/>
      </c>
      <c r="X9" s="70">
        <f>IF('Final Calculation Sheet'!$D$39="","",'Final Calculation Sheet'!$D$39)</f>
        <v/>
      </c>
      <c r="Y9" s="408">
        <f>IF('Final Calculation Sheet'!$D$40="","",'Final Calculation Sheet'!$D$40)</f>
        <v/>
      </c>
      <c r="Z9" s="70">
        <f>IF('Final Calculation Sheet'!$D$31="","",'Final Calculation Sheet'!$D$31)</f>
        <v/>
      </c>
      <c r="AA9" s="408">
        <f>IF('Final Calculation Sheet'!$D$9="","",'Final Calculation Sheet'!$D$9)</f>
        <v/>
      </c>
      <c r="AB9" s="70">
        <f>IF('Final Calculation Sheet'!$D$14="","",'Final Calculation Sheet'!$D$14)</f>
        <v/>
      </c>
      <c r="AC9" s="408">
        <f>IF('Final Calculation Sheet'!$D$13="","",'Final Calculation Sheet'!$D$13)</f>
        <v/>
      </c>
      <c r="AD9" s="70">
        <f>IF('Final Calculation Sheet'!$D$16="","",'Final Calculation Sheet'!$D$16)</f>
        <v/>
      </c>
      <c r="AE9" s="408">
        <f>IF('Final Calculation Sheet'!$D$17="","",'Final Calculation Sheet'!$D$17)</f>
        <v/>
      </c>
      <c r="AF9" s="70">
        <f>IF('Final Calculation Sheet'!$D$23="","",'Final Calculation Sheet'!$D$23)</f>
        <v/>
      </c>
      <c r="AG9" s="408">
        <f>IF('Final Calculation Sheet'!$D$29="","",'Final Calculation Sheet'!$D$29)</f>
        <v/>
      </c>
      <c r="AH9" s="70">
        <f>IF('Final Calculation Sheet'!$D$34="","",'Final Calculation Sheet'!$D$34)</f>
        <v/>
      </c>
      <c r="AI9" s="408">
        <f>IF('Final Calculation Sheet'!$D$36="","",'Final Calculation Sheet'!$D$36)</f>
        <v/>
      </c>
      <c r="AJ9" s="70">
        <f>IF('Final Calculation Sheet'!$D$25="","",'Final Calculation Sheet'!$D$25)</f>
        <v/>
      </c>
      <c r="AK9" s="408">
        <f>IF('Final Calculation Sheet'!$D$28="","",'Final Calculation Sheet'!$D$28)</f>
        <v/>
      </c>
      <c r="AL9" s="70">
        <f>IF('Final Calculation Sheet'!$D$35="","",'Final Calculation Sheet'!$D$35)</f>
        <v/>
      </c>
      <c r="AM9" s="72" t="inlineStr">
        <is>
          <t>–</t>
        </is>
      </c>
    </row>
    <row r="10" outlineLevel="1" ht="15" customHeight="1">
      <c r="A10" s="69" t="inlineStr">
        <is>
          <t xml:space="preserve">      Quantity</t>
        </is>
      </c>
      <c r="B10" s="74">
        <f>IF('Final Calculation Sheet'!$A$4="","",'Final Calculation Sheet'!$A$4)</f>
        <v/>
      </c>
      <c r="C10" s="410">
        <f>IF('Final Calculation Sheet'!$A$6="","",'Final Calculation Sheet'!$A$6)</f>
        <v/>
      </c>
      <c r="D10" s="74">
        <f>IF('Final Calculation Sheet'!$A$7="","",'Final Calculation Sheet'!$A$7)</f>
        <v/>
      </c>
      <c r="E10" s="410">
        <f>IF('Final Calculation Sheet'!$A$15="","",'Final Calculation Sheet'!$A$15)</f>
        <v/>
      </c>
      <c r="F10" s="74">
        <f>IF('Final Calculation Sheet'!$A$38="","",'Final Calculation Sheet'!$A$38)</f>
        <v/>
      </c>
      <c r="G10" s="410">
        <f>IF('Final Calculation Sheet'!$A$27="","",'Final Calculation Sheet'!$A$27)</f>
        <v/>
      </c>
      <c r="H10" s="74">
        <f>IF('Final Calculation Sheet'!$A$5="","",'Final Calculation Sheet'!$A$5)</f>
        <v/>
      </c>
      <c r="I10" s="410">
        <f>IF('Final Calculation Sheet'!$A$10="","",'Final Calculation Sheet'!$A$10)</f>
        <v/>
      </c>
      <c r="J10" s="74">
        <f>IF('Final Calculation Sheet'!$A$11="","",'Final Calculation Sheet'!$A$11)</f>
        <v/>
      </c>
      <c r="K10" s="410">
        <f>IF('Final Calculation Sheet'!$A$12="","",'Final Calculation Sheet'!$A$12)</f>
        <v/>
      </c>
      <c r="L10" s="74">
        <f>IF('Final Calculation Sheet'!$A$18="","",'Final Calculation Sheet'!$A$18)</f>
        <v/>
      </c>
      <c r="M10" s="410">
        <f>IF('Final Calculation Sheet'!$A$19="","",'Final Calculation Sheet'!$A$19)</f>
        <v/>
      </c>
      <c r="N10" s="74">
        <f>IF('Final Calculation Sheet'!$A$22="","",'Final Calculation Sheet'!$A$22)</f>
        <v/>
      </c>
      <c r="O10" s="410">
        <f>IF('Final Calculation Sheet'!$A$24="","",'Final Calculation Sheet'!$A$24)</f>
        <v/>
      </c>
      <c r="P10" s="74">
        <f>IF('Final Calculation Sheet'!$A$26="","",'Final Calculation Sheet'!$A$26)</f>
        <v/>
      </c>
      <c r="Q10" s="410">
        <f>IF('Final Calculation Sheet'!$A$30="","",'Final Calculation Sheet'!$A$30)</f>
        <v/>
      </c>
      <c r="R10" s="74">
        <f>IF('Final Calculation Sheet'!$A$32="","",'Final Calculation Sheet'!$A$32)</f>
        <v/>
      </c>
      <c r="S10" s="410">
        <f>IF('Final Calculation Sheet'!$A$33="","",'Final Calculation Sheet'!$A$33)</f>
        <v/>
      </c>
      <c r="T10" s="74">
        <f>IF('Final Calculation Sheet'!$A$37="","",'Final Calculation Sheet'!$A$37)</f>
        <v/>
      </c>
      <c r="U10" s="410">
        <f>IF('Final Calculation Sheet'!$A$21="","",'Final Calculation Sheet'!$A$21)</f>
        <v/>
      </c>
      <c r="V10" s="74">
        <f>IF('Final Calculation Sheet'!$A$8="","",'Final Calculation Sheet'!$A$8)</f>
        <v/>
      </c>
      <c r="W10" s="410">
        <f>IF('Final Calculation Sheet'!$A$20="","",'Final Calculation Sheet'!$A$20)</f>
        <v/>
      </c>
      <c r="X10" s="74">
        <f>IF('Final Calculation Sheet'!$A$39="","",'Final Calculation Sheet'!$A$39)</f>
        <v/>
      </c>
      <c r="Y10" s="410">
        <f>IF('Final Calculation Sheet'!$A$40="","",'Final Calculation Sheet'!$A$40)</f>
        <v/>
      </c>
      <c r="Z10" s="74">
        <f>IF('Final Calculation Sheet'!$A$31="","",'Final Calculation Sheet'!$A$31)</f>
        <v/>
      </c>
      <c r="AA10" s="410">
        <f>IF('Final Calculation Sheet'!$A$9="","",'Final Calculation Sheet'!$A$9)</f>
        <v/>
      </c>
      <c r="AB10" s="74">
        <f>IF('Final Calculation Sheet'!$A$14="","",'Final Calculation Sheet'!$A$14)</f>
        <v/>
      </c>
      <c r="AC10" s="410">
        <f>IF('Final Calculation Sheet'!$A$13="","",'Final Calculation Sheet'!$A$13)</f>
        <v/>
      </c>
      <c r="AD10" s="74">
        <f>IF('Final Calculation Sheet'!$A$16="","",'Final Calculation Sheet'!$A$16)</f>
        <v/>
      </c>
      <c r="AE10" s="410">
        <f>IF('Final Calculation Sheet'!$A$17="","",'Final Calculation Sheet'!$A$17)</f>
        <v/>
      </c>
      <c r="AF10" s="74">
        <f>IF('Final Calculation Sheet'!$A$23="","",'Final Calculation Sheet'!$A$23)</f>
        <v/>
      </c>
      <c r="AG10" s="410">
        <f>IF('Final Calculation Sheet'!$A$29="","",'Final Calculation Sheet'!$A$29)</f>
        <v/>
      </c>
      <c r="AH10" s="74">
        <f>IF('Final Calculation Sheet'!$A$34="","",'Final Calculation Sheet'!$A$34)</f>
        <v/>
      </c>
      <c r="AI10" s="410">
        <f>IF('Final Calculation Sheet'!$A$36="","",'Final Calculation Sheet'!$A$36)</f>
        <v/>
      </c>
      <c r="AJ10" s="74">
        <f>IF('Final Calculation Sheet'!$A$25="","",'Final Calculation Sheet'!$A$25)</f>
        <v/>
      </c>
      <c r="AK10" s="410">
        <f>IF('Final Calculation Sheet'!$A$28="","",'Final Calculation Sheet'!$A$28)</f>
        <v/>
      </c>
      <c r="AL10" s="74">
        <f>IF('Final Calculation Sheet'!$A$35="","",'Final Calculation Sheet'!$A$35)</f>
        <v/>
      </c>
      <c r="AM10" s="411">
        <f>SUM(B10:AL10)</f>
        <v/>
      </c>
    </row>
    <row r="11" outlineLevel="1" ht="15" customHeight="1">
      <c r="A11" s="69" t="inlineStr">
        <is>
          <t xml:space="preserve">      Unit</t>
        </is>
      </c>
      <c r="B11" s="76">
        <f>IF('Final Calculation Sheet'!$E$4="","",'Final Calculation Sheet'!$E$4)</f>
        <v/>
      </c>
      <c r="C11" s="412">
        <f>IF('Final Calculation Sheet'!$E$6="","",'Final Calculation Sheet'!$E$6)</f>
        <v/>
      </c>
      <c r="D11" s="76">
        <f>IF('Final Calculation Sheet'!$E$7="","",'Final Calculation Sheet'!$E$7)</f>
        <v/>
      </c>
      <c r="E11" s="412">
        <f>IF('Final Calculation Sheet'!$E$15="","",'Final Calculation Sheet'!$E$15)</f>
        <v/>
      </c>
      <c r="F11" s="76">
        <f>IF('Final Calculation Sheet'!$E$38="","",'Final Calculation Sheet'!$E$38)</f>
        <v/>
      </c>
      <c r="G11" s="412">
        <f>IF('Final Calculation Sheet'!$E$27="","",'Final Calculation Sheet'!$E$27)</f>
        <v/>
      </c>
      <c r="H11" s="76">
        <f>IF('Final Calculation Sheet'!$E$5="","",'Final Calculation Sheet'!$E$5)</f>
        <v/>
      </c>
      <c r="I11" s="412">
        <f>IF('Final Calculation Sheet'!$E$10="","",'Final Calculation Sheet'!$E$10)</f>
        <v/>
      </c>
      <c r="J11" s="76">
        <f>IF('Final Calculation Sheet'!$E$11="","",'Final Calculation Sheet'!$E$11)</f>
        <v/>
      </c>
      <c r="K11" s="412">
        <f>IF('Final Calculation Sheet'!$E$12="","",'Final Calculation Sheet'!$E$12)</f>
        <v/>
      </c>
      <c r="L11" s="76">
        <f>IF('Final Calculation Sheet'!$E$18="","",'Final Calculation Sheet'!$E$18)</f>
        <v/>
      </c>
      <c r="M11" s="412">
        <f>IF('Final Calculation Sheet'!$E$19="","",'Final Calculation Sheet'!$E$19)</f>
        <v/>
      </c>
      <c r="N11" s="76">
        <f>IF('Final Calculation Sheet'!$E$22="","",'Final Calculation Sheet'!$E$22)</f>
        <v/>
      </c>
      <c r="O11" s="412">
        <f>IF('Final Calculation Sheet'!$E$24="","",'Final Calculation Sheet'!$E$24)</f>
        <v/>
      </c>
      <c r="P11" s="76">
        <f>IF('Final Calculation Sheet'!$E$26="","",'Final Calculation Sheet'!$E$26)</f>
        <v/>
      </c>
      <c r="Q11" s="412">
        <f>IF('Final Calculation Sheet'!$E$30="","",'Final Calculation Sheet'!$E$30)</f>
        <v/>
      </c>
      <c r="R11" s="76">
        <f>IF('Final Calculation Sheet'!$E$32="","",'Final Calculation Sheet'!$E$32)</f>
        <v/>
      </c>
      <c r="S11" s="412">
        <f>IF('Final Calculation Sheet'!$E$33="","",'Final Calculation Sheet'!$E$33)</f>
        <v/>
      </c>
      <c r="T11" s="76">
        <f>IF('Final Calculation Sheet'!$E$37="","",'Final Calculation Sheet'!$E$37)</f>
        <v/>
      </c>
      <c r="U11" s="412">
        <f>IF('Final Calculation Sheet'!$E$21="","",'Final Calculation Sheet'!$E$21)</f>
        <v/>
      </c>
      <c r="V11" s="76">
        <f>IF('Final Calculation Sheet'!$E$8="","",'Final Calculation Sheet'!$E$8)</f>
        <v/>
      </c>
      <c r="W11" s="412">
        <f>IF('Final Calculation Sheet'!$E$20="","",'Final Calculation Sheet'!$E$20)</f>
        <v/>
      </c>
      <c r="X11" s="76">
        <f>IF('Final Calculation Sheet'!$E$39="","",'Final Calculation Sheet'!$E$39)</f>
        <v/>
      </c>
      <c r="Y11" s="412">
        <f>IF('Final Calculation Sheet'!$E$40="","",'Final Calculation Sheet'!$E$40)</f>
        <v/>
      </c>
      <c r="Z11" s="76">
        <f>IF('Final Calculation Sheet'!$E$31="","",'Final Calculation Sheet'!$E$31)</f>
        <v/>
      </c>
      <c r="AA11" s="412">
        <f>IF('Final Calculation Sheet'!$E$9="","",'Final Calculation Sheet'!$E$9)</f>
        <v/>
      </c>
      <c r="AB11" s="76">
        <f>IF('Final Calculation Sheet'!$E$14="","",'Final Calculation Sheet'!$E$14)</f>
        <v/>
      </c>
      <c r="AC11" s="412">
        <f>IF('Final Calculation Sheet'!$E$13="","",'Final Calculation Sheet'!$E$13)</f>
        <v/>
      </c>
      <c r="AD11" s="76">
        <f>IF('Final Calculation Sheet'!$E$16="","",'Final Calculation Sheet'!$E$16)</f>
        <v/>
      </c>
      <c r="AE11" s="412">
        <f>IF('Final Calculation Sheet'!$E$17="","",'Final Calculation Sheet'!$E$17)</f>
        <v/>
      </c>
      <c r="AF11" s="76">
        <f>IF('Final Calculation Sheet'!$E$23="","",'Final Calculation Sheet'!$E$23)</f>
        <v/>
      </c>
      <c r="AG11" s="412">
        <f>IF('Final Calculation Sheet'!$E$29="","",'Final Calculation Sheet'!$E$29)</f>
        <v/>
      </c>
      <c r="AH11" s="76">
        <f>IF('Final Calculation Sheet'!$E$34="","",'Final Calculation Sheet'!$E$34)</f>
        <v/>
      </c>
      <c r="AI11" s="412">
        <f>IF('Final Calculation Sheet'!$E$36="","",'Final Calculation Sheet'!$E$36)</f>
        <v/>
      </c>
      <c r="AJ11" s="76">
        <f>IF('Final Calculation Sheet'!$E$25="","",'Final Calculation Sheet'!$E$25)</f>
        <v/>
      </c>
      <c r="AK11" s="412">
        <f>IF('Final Calculation Sheet'!$E$28="","",'Final Calculation Sheet'!$E$28)</f>
        <v/>
      </c>
      <c r="AL11" s="76">
        <f>IF('Final Calculation Sheet'!$E$35="","",'Final Calculation Sheet'!$E$35)</f>
        <v/>
      </c>
      <c r="AM11" s="72" t="inlineStr">
        <is>
          <t>–</t>
        </is>
      </c>
    </row>
    <row r="12" outlineLevel="1" ht="15" customHeight="1">
      <c r="A12" s="69" t="inlineStr">
        <is>
          <t xml:space="preserve">      Rate (₹)</t>
        </is>
      </c>
      <c r="B12" s="70">
        <f>IF('Final Calculation Sheet'!$C$4="","",'Final Calculation Sheet'!$C$4)</f>
        <v/>
      </c>
      <c r="C12" s="408">
        <f>IF('Final Calculation Sheet'!$C$6="","",'Final Calculation Sheet'!$C$6)</f>
        <v/>
      </c>
      <c r="D12" s="70">
        <f>IF('Final Calculation Sheet'!$C$7="","",'Final Calculation Sheet'!$C$7)</f>
        <v/>
      </c>
      <c r="E12" s="408">
        <f>IF('Final Calculation Sheet'!$C$15="","",'Final Calculation Sheet'!$C$15)</f>
        <v/>
      </c>
      <c r="F12" s="70">
        <f>IF('Final Calculation Sheet'!$C$38="","",'Final Calculation Sheet'!$C$38)</f>
        <v/>
      </c>
      <c r="G12" s="408">
        <f>IF('Final Calculation Sheet'!$C$27="","",'Final Calculation Sheet'!$C$27)</f>
        <v/>
      </c>
      <c r="H12" s="70">
        <f>IF('Final Calculation Sheet'!$C$5="","",'Final Calculation Sheet'!$C$5)</f>
        <v/>
      </c>
      <c r="I12" s="408">
        <f>IF('Final Calculation Sheet'!$C$10="","",'Final Calculation Sheet'!$C$10)</f>
        <v/>
      </c>
      <c r="J12" s="70">
        <f>IF('Final Calculation Sheet'!$C$11="","",'Final Calculation Sheet'!$C$11)</f>
        <v/>
      </c>
      <c r="K12" s="408">
        <f>IF('Final Calculation Sheet'!$C$12="","",'Final Calculation Sheet'!$C$12)</f>
        <v/>
      </c>
      <c r="L12" s="70">
        <f>IF('Final Calculation Sheet'!$C$18="","",'Final Calculation Sheet'!$C$18)</f>
        <v/>
      </c>
      <c r="M12" s="408">
        <f>IF('Final Calculation Sheet'!$C$19="","",'Final Calculation Sheet'!$C$19)</f>
        <v/>
      </c>
      <c r="N12" s="70">
        <f>IF('Final Calculation Sheet'!$C$22="","",'Final Calculation Sheet'!$C$22)</f>
        <v/>
      </c>
      <c r="O12" s="408">
        <f>IF('Final Calculation Sheet'!$C$24="","",'Final Calculation Sheet'!$C$24)</f>
        <v/>
      </c>
      <c r="P12" s="70">
        <f>IF('Final Calculation Sheet'!$C$26="","",'Final Calculation Sheet'!$C$26)</f>
        <v/>
      </c>
      <c r="Q12" s="408">
        <f>IF('Final Calculation Sheet'!$C$30="","",'Final Calculation Sheet'!$C$30)</f>
        <v/>
      </c>
      <c r="R12" s="70">
        <f>IF('Final Calculation Sheet'!$C$32="","",'Final Calculation Sheet'!$C$32)</f>
        <v/>
      </c>
      <c r="S12" s="408">
        <f>IF('Final Calculation Sheet'!$C$33="","",'Final Calculation Sheet'!$C$33)</f>
        <v/>
      </c>
      <c r="T12" s="70">
        <f>IF('Final Calculation Sheet'!$C$37="","",'Final Calculation Sheet'!$C$37)</f>
        <v/>
      </c>
      <c r="U12" s="408">
        <f>IF('Final Calculation Sheet'!$C$21="","",'Final Calculation Sheet'!$C$21)</f>
        <v/>
      </c>
      <c r="V12" s="70">
        <f>IF('Final Calculation Sheet'!$C$8="","",'Final Calculation Sheet'!$C$8)</f>
        <v/>
      </c>
      <c r="W12" s="408">
        <f>IF('Final Calculation Sheet'!$C$20="","",'Final Calculation Sheet'!$C$20)</f>
        <v/>
      </c>
      <c r="X12" s="70">
        <f>IF('Final Calculation Sheet'!$C$39="","",'Final Calculation Sheet'!$C$39)</f>
        <v/>
      </c>
      <c r="Y12" s="408">
        <f>IF('Final Calculation Sheet'!$C$40="","",'Final Calculation Sheet'!$C$40)</f>
        <v/>
      </c>
      <c r="Z12" s="70">
        <f>IF('Final Calculation Sheet'!$C$31="","",'Final Calculation Sheet'!$C$31)</f>
        <v/>
      </c>
      <c r="AA12" s="408">
        <f>IF('Final Calculation Sheet'!$C$9="","",'Final Calculation Sheet'!$C$9)</f>
        <v/>
      </c>
      <c r="AB12" s="70">
        <f>IF('Final Calculation Sheet'!$C$14="","",'Final Calculation Sheet'!$C$14)</f>
        <v/>
      </c>
      <c r="AC12" s="408">
        <f>IF('Final Calculation Sheet'!$C$13="","",'Final Calculation Sheet'!$C$13)</f>
        <v/>
      </c>
      <c r="AD12" s="70">
        <f>IF('Final Calculation Sheet'!$C$16="","",'Final Calculation Sheet'!$C$16)</f>
        <v/>
      </c>
      <c r="AE12" s="408">
        <f>IF('Final Calculation Sheet'!$C$17="","",'Final Calculation Sheet'!$C$17)</f>
        <v/>
      </c>
      <c r="AF12" s="70">
        <f>IF('Final Calculation Sheet'!$C$23="","",'Final Calculation Sheet'!$C$23)</f>
        <v/>
      </c>
      <c r="AG12" s="408">
        <f>IF('Final Calculation Sheet'!$C$29="","",'Final Calculation Sheet'!$C$29)</f>
        <v/>
      </c>
      <c r="AH12" s="70">
        <f>IF('Final Calculation Sheet'!$C$34="","",'Final Calculation Sheet'!$C$34)</f>
        <v/>
      </c>
      <c r="AI12" s="408">
        <f>IF('Final Calculation Sheet'!$C$36="","",'Final Calculation Sheet'!$C$36)</f>
        <v/>
      </c>
      <c r="AJ12" s="70">
        <f>IF('Final Calculation Sheet'!$C$25="","",'Final Calculation Sheet'!$C$25)</f>
        <v/>
      </c>
      <c r="AK12" s="408">
        <f>IF('Final Calculation Sheet'!$C$28="","",'Final Calculation Sheet'!$C$28)</f>
        <v/>
      </c>
      <c r="AL12" s="70">
        <f>IF('Final Calculation Sheet'!$C$35="","",'Final Calculation Sheet'!$C$35)</f>
        <v/>
      </c>
      <c r="AM12" s="72" t="inlineStr">
        <is>
          <t>–</t>
        </is>
      </c>
    </row>
    <row r="13" ht="17" customHeight="1">
      <c r="A13" s="413" t="inlineStr">
        <is>
          <t xml:space="preserve">  ▸ FINANCIALS</t>
        </is>
      </c>
      <c r="B13" s="385" t="n"/>
      <c r="C13" s="385" t="n"/>
      <c r="D13" s="385" t="n"/>
      <c r="E13" s="385" t="n"/>
      <c r="F13" s="385" t="n"/>
      <c r="G13" s="385" t="n"/>
      <c r="H13" s="385" t="n"/>
      <c r="I13" s="385" t="n"/>
      <c r="J13" s="385" t="n"/>
      <c r="K13" s="385" t="n"/>
      <c r="L13" s="385" t="n"/>
      <c r="M13" s="385" t="n"/>
      <c r="N13" s="385" t="n"/>
      <c r="O13" s="385" t="n"/>
      <c r="P13" s="385" t="n"/>
      <c r="Q13" s="385" t="n"/>
      <c r="R13" s="385" t="n"/>
      <c r="S13" s="385" t="n"/>
      <c r="T13" s="385" t="n"/>
      <c r="U13" s="385" t="n"/>
      <c r="V13" s="385" t="n"/>
      <c r="W13" s="385" t="n"/>
      <c r="X13" s="385" t="n"/>
      <c r="Y13" s="385" t="n"/>
      <c r="Z13" s="385" t="n"/>
      <c r="AA13" s="385" t="n"/>
      <c r="AB13" s="385" t="n"/>
      <c r="AC13" s="385" t="n"/>
      <c r="AD13" s="385" t="n"/>
      <c r="AE13" s="385" t="n"/>
      <c r="AF13" s="385" t="n"/>
      <c r="AG13" s="385" t="n"/>
      <c r="AH13" s="385" t="n"/>
      <c r="AI13" s="385" t="n"/>
      <c r="AJ13" s="385" t="n"/>
      <c r="AK13" s="385" t="n"/>
      <c r="AL13" s="385" t="n"/>
      <c r="AM13" s="385" t="n"/>
    </row>
    <row r="14" outlineLevel="1" ht="15" customHeight="1">
      <c r="A14" s="69" t="inlineStr">
        <is>
          <t xml:space="preserve">      Mat. Value (₹)</t>
        </is>
      </c>
      <c r="B14" s="70">
        <f>IF('Final Calculation Sheet'!$H$4="","",'Final Calculation Sheet'!$H$4)</f>
        <v/>
      </c>
      <c r="C14" s="408">
        <f>IF('Final Calculation Sheet'!$H$6="","",'Final Calculation Sheet'!$H$6)</f>
        <v/>
      </c>
      <c r="D14" s="70">
        <f>IF('Final Calculation Sheet'!$H$7="","",'Final Calculation Sheet'!$H$7)</f>
        <v/>
      </c>
      <c r="E14" s="408">
        <f>IF('Final Calculation Sheet'!$H$15="","",'Final Calculation Sheet'!$H$15)</f>
        <v/>
      </c>
      <c r="F14" s="70">
        <f>IF('Final Calculation Sheet'!$H$38="","",'Final Calculation Sheet'!$H$38)</f>
        <v/>
      </c>
      <c r="G14" s="408">
        <f>IF('Final Calculation Sheet'!$H$27="","",'Final Calculation Sheet'!$H$27)</f>
        <v/>
      </c>
      <c r="H14" s="70">
        <f>IF('Final Calculation Sheet'!$H$5="","",'Final Calculation Sheet'!$H$5)</f>
        <v/>
      </c>
      <c r="I14" s="408">
        <f>IF('Final Calculation Sheet'!$H$10="","",'Final Calculation Sheet'!$H$10)</f>
        <v/>
      </c>
      <c r="J14" s="70">
        <f>IF('Final Calculation Sheet'!$H$11="","",'Final Calculation Sheet'!$H$11)</f>
        <v/>
      </c>
      <c r="K14" s="408">
        <f>IF('Final Calculation Sheet'!$H$12="","",'Final Calculation Sheet'!$H$12)</f>
        <v/>
      </c>
      <c r="L14" s="70">
        <f>IF('Final Calculation Sheet'!$H$18="","",'Final Calculation Sheet'!$H$18)</f>
        <v/>
      </c>
      <c r="M14" s="408">
        <f>IF('Final Calculation Sheet'!$H$19="","",'Final Calculation Sheet'!$H$19)</f>
        <v/>
      </c>
      <c r="N14" s="70">
        <f>IF('Final Calculation Sheet'!$H$22="","",'Final Calculation Sheet'!$H$22)</f>
        <v/>
      </c>
      <c r="O14" s="408">
        <f>IF('Final Calculation Sheet'!$H$24="","",'Final Calculation Sheet'!$H$24)</f>
        <v/>
      </c>
      <c r="P14" s="70">
        <f>IF('Final Calculation Sheet'!$H$26="","",'Final Calculation Sheet'!$H$26)</f>
        <v/>
      </c>
      <c r="Q14" s="408">
        <f>IF('Final Calculation Sheet'!$H$30="","",'Final Calculation Sheet'!$H$30)</f>
        <v/>
      </c>
      <c r="R14" s="70">
        <f>IF('Final Calculation Sheet'!$H$32="","",'Final Calculation Sheet'!$H$32)</f>
        <v/>
      </c>
      <c r="S14" s="408">
        <f>IF('Final Calculation Sheet'!$H$33="","",'Final Calculation Sheet'!$H$33)</f>
        <v/>
      </c>
      <c r="T14" s="70">
        <f>IF('Final Calculation Sheet'!$H$37="","",'Final Calculation Sheet'!$H$37)</f>
        <v/>
      </c>
      <c r="U14" s="408">
        <f>IF('Final Calculation Sheet'!$H$21="","",'Final Calculation Sheet'!$H$21)</f>
        <v/>
      </c>
      <c r="V14" s="70">
        <f>IF('Final Calculation Sheet'!$H$8="","",'Final Calculation Sheet'!$H$8)</f>
        <v/>
      </c>
      <c r="W14" s="408">
        <f>IF('Final Calculation Sheet'!$H$20="","",'Final Calculation Sheet'!$H$20)</f>
        <v/>
      </c>
      <c r="X14" s="70">
        <f>IF('Final Calculation Sheet'!$H$39="","",'Final Calculation Sheet'!$H$39)</f>
        <v/>
      </c>
      <c r="Y14" s="408">
        <f>IF('Final Calculation Sheet'!$H$40="","",'Final Calculation Sheet'!$H$40)</f>
        <v/>
      </c>
      <c r="Z14" s="70">
        <f>IF('Final Calculation Sheet'!$H$31="","",'Final Calculation Sheet'!$H$31)</f>
        <v/>
      </c>
      <c r="AA14" s="408">
        <f>IF('Final Calculation Sheet'!$H$9="","",'Final Calculation Sheet'!$H$9)</f>
        <v/>
      </c>
      <c r="AB14" s="70">
        <f>IF('Final Calculation Sheet'!$H$14="","",'Final Calculation Sheet'!$H$14)</f>
        <v/>
      </c>
      <c r="AC14" s="408">
        <f>IF('Final Calculation Sheet'!$H$13="","",'Final Calculation Sheet'!$H$13)</f>
        <v/>
      </c>
      <c r="AD14" s="70">
        <f>IF('Final Calculation Sheet'!$H$16="","",'Final Calculation Sheet'!$H$16)</f>
        <v/>
      </c>
      <c r="AE14" s="408">
        <f>IF('Final Calculation Sheet'!$H$17="","",'Final Calculation Sheet'!$H$17)</f>
        <v/>
      </c>
      <c r="AF14" s="70">
        <f>IF('Final Calculation Sheet'!$H$23="","",'Final Calculation Sheet'!$H$23)</f>
        <v/>
      </c>
      <c r="AG14" s="408">
        <f>IF('Final Calculation Sheet'!$H$29="","",'Final Calculation Sheet'!$H$29)</f>
        <v/>
      </c>
      <c r="AH14" s="70">
        <f>IF('Final Calculation Sheet'!$H$34="","",'Final Calculation Sheet'!$H$34)</f>
        <v/>
      </c>
      <c r="AI14" s="408">
        <f>IF('Final Calculation Sheet'!$H$36="","",'Final Calculation Sheet'!$H$36)</f>
        <v/>
      </c>
      <c r="AJ14" s="70">
        <f>IF('Final Calculation Sheet'!$H$25="","",'Final Calculation Sheet'!$H$25)</f>
        <v/>
      </c>
      <c r="AK14" s="408">
        <f>IF('Final Calculation Sheet'!$H$28="","",'Final Calculation Sheet'!$H$28)</f>
        <v/>
      </c>
      <c r="AL14" s="70">
        <f>IF('Final Calculation Sheet'!$H$35="","",'Final Calculation Sheet'!$H$35)</f>
        <v/>
      </c>
      <c r="AM14" s="414">
        <f>SUM(B14:AL14)</f>
        <v/>
      </c>
    </row>
    <row r="15" outlineLevel="1" ht="15" customHeight="1">
      <c r="A15" s="69" t="inlineStr">
        <is>
          <t xml:space="preserve">      GST @ 18% (₹)</t>
        </is>
      </c>
      <c r="B15" s="70">
        <f>IF('Final Calculation Sheet'!$I$4="","",'Final Calculation Sheet'!$I$4)</f>
        <v/>
      </c>
      <c r="C15" s="408">
        <f>IF('Final Calculation Sheet'!$I$6="","",'Final Calculation Sheet'!$I$6)</f>
        <v/>
      </c>
      <c r="D15" s="70">
        <f>IF('Final Calculation Sheet'!$I$7="","",'Final Calculation Sheet'!$I$7)</f>
        <v/>
      </c>
      <c r="E15" s="408">
        <f>IF('Final Calculation Sheet'!$I$15="","",'Final Calculation Sheet'!$I$15)</f>
        <v/>
      </c>
      <c r="F15" s="70">
        <f>IF('Final Calculation Sheet'!$I$38="","",'Final Calculation Sheet'!$I$38)</f>
        <v/>
      </c>
      <c r="G15" s="408">
        <f>IF('Final Calculation Sheet'!$I$27="","",'Final Calculation Sheet'!$I$27)</f>
        <v/>
      </c>
      <c r="H15" s="70">
        <f>IF('Final Calculation Sheet'!$I$5="","",'Final Calculation Sheet'!$I$5)</f>
        <v/>
      </c>
      <c r="I15" s="408">
        <f>IF('Final Calculation Sheet'!$I$10="","",'Final Calculation Sheet'!$I$10)</f>
        <v/>
      </c>
      <c r="J15" s="70">
        <f>IF('Final Calculation Sheet'!$I$11="","",'Final Calculation Sheet'!$I$11)</f>
        <v/>
      </c>
      <c r="K15" s="408">
        <f>IF('Final Calculation Sheet'!$I$12="","",'Final Calculation Sheet'!$I$12)</f>
        <v/>
      </c>
      <c r="L15" s="70">
        <f>IF('Final Calculation Sheet'!$I$18="","",'Final Calculation Sheet'!$I$18)</f>
        <v/>
      </c>
      <c r="M15" s="408">
        <f>IF('Final Calculation Sheet'!$I$19="","",'Final Calculation Sheet'!$I$19)</f>
        <v/>
      </c>
      <c r="N15" s="70">
        <f>IF('Final Calculation Sheet'!$I$22="","",'Final Calculation Sheet'!$I$22)</f>
        <v/>
      </c>
      <c r="O15" s="408">
        <f>IF('Final Calculation Sheet'!$I$24="","",'Final Calculation Sheet'!$I$24)</f>
        <v/>
      </c>
      <c r="P15" s="70">
        <f>IF('Final Calculation Sheet'!$I$26="","",'Final Calculation Sheet'!$I$26)</f>
        <v/>
      </c>
      <c r="Q15" s="408">
        <f>IF('Final Calculation Sheet'!$I$30="","",'Final Calculation Sheet'!$I$30)</f>
        <v/>
      </c>
      <c r="R15" s="70">
        <f>IF('Final Calculation Sheet'!$I$32="","",'Final Calculation Sheet'!$I$32)</f>
        <v/>
      </c>
      <c r="S15" s="408">
        <f>IF('Final Calculation Sheet'!$I$33="","",'Final Calculation Sheet'!$I$33)</f>
        <v/>
      </c>
      <c r="T15" s="70">
        <f>IF('Final Calculation Sheet'!$I$37="","",'Final Calculation Sheet'!$I$37)</f>
        <v/>
      </c>
      <c r="U15" s="408">
        <f>IF('Final Calculation Sheet'!$I$21="","",'Final Calculation Sheet'!$I$21)</f>
        <v/>
      </c>
      <c r="V15" s="70">
        <f>IF('Final Calculation Sheet'!$I$8="","",'Final Calculation Sheet'!$I$8)</f>
        <v/>
      </c>
      <c r="W15" s="408">
        <f>IF('Final Calculation Sheet'!$I$20="","",'Final Calculation Sheet'!$I$20)</f>
        <v/>
      </c>
      <c r="X15" s="70">
        <f>IF('Final Calculation Sheet'!$I$39="","",'Final Calculation Sheet'!$I$39)</f>
        <v/>
      </c>
      <c r="Y15" s="408">
        <f>IF('Final Calculation Sheet'!$I$40="","",'Final Calculation Sheet'!$I$40)</f>
        <v/>
      </c>
      <c r="Z15" s="70">
        <f>IF('Final Calculation Sheet'!$I$31="","",'Final Calculation Sheet'!$I$31)</f>
        <v/>
      </c>
      <c r="AA15" s="408">
        <f>IF('Final Calculation Sheet'!$I$9="","",'Final Calculation Sheet'!$I$9)</f>
        <v/>
      </c>
      <c r="AB15" s="70">
        <f>IF('Final Calculation Sheet'!$I$14="","",'Final Calculation Sheet'!$I$14)</f>
        <v/>
      </c>
      <c r="AC15" s="408">
        <f>IF('Final Calculation Sheet'!$I$13="","",'Final Calculation Sheet'!$I$13)</f>
        <v/>
      </c>
      <c r="AD15" s="70">
        <f>IF('Final Calculation Sheet'!$I$16="","",'Final Calculation Sheet'!$I$16)</f>
        <v/>
      </c>
      <c r="AE15" s="408">
        <f>IF('Final Calculation Sheet'!$I$17="","",'Final Calculation Sheet'!$I$17)</f>
        <v/>
      </c>
      <c r="AF15" s="70">
        <f>IF('Final Calculation Sheet'!$I$23="","",'Final Calculation Sheet'!$I$23)</f>
        <v/>
      </c>
      <c r="AG15" s="408">
        <f>IF('Final Calculation Sheet'!$I$29="","",'Final Calculation Sheet'!$I$29)</f>
        <v/>
      </c>
      <c r="AH15" s="70">
        <f>IF('Final Calculation Sheet'!$I$34="","",'Final Calculation Sheet'!$I$34)</f>
        <v/>
      </c>
      <c r="AI15" s="408">
        <f>IF('Final Calculation Sheet'!$I$36="","",'Final Calculation Sheet'!$I$36)</f>
        <v/>
      </c>
      <c r="AJ15" s="70">
        <f>IF('Final Calculation Sheet'!$I$25="","",'Final Calculation Sheet'!$I$25)</f>
        <v/>
      </c>
      <c r="AK15" s="408">
        <f>IF('Final Calculation Sheet'!$I$28="","",'Final Calculation Sheet'!$I$28)</f>
        <v/>
      </c>
      <c r="AL15" s="70">
        <f>IF('Final Calculation Sheet'!$I$35="","",'Final Calculation Sheet'!$I$35)</f>
        <v/>
      </c>
      <c r="AM15" s="414">
        <f>SUM(B15:AL15)</f>
        <v/>
      </c>
    </row>
    <row r="16" outlineLevel="1" ht="15" customHeight="1">
      <c r="A16" s="69" t="inlineStr">
        <is>
          <t xml:space="preserve">      Mat. Value + GST (₹)</t>
        </is>
      </c>
      <c r="B16" s="70">
        <f>IF('Final Calculation Sheet'!$J$4="","",'Final Calculation Sheet'!$J$4)</f>
        <v/>
      </c>
      <c r="C16" s="408">
        <f>IF('Final Calculation Sheet'!$J$6="","",'Final Calculation Sheet'!$J$6)</f>
        <v/>
      </c>
      <c r="D16" s="70">
        <f>IF('Final Calculation Sheet'!$J$7="","",'Final Calculation Sheet'!$J$7)</f>
        <v/>
      </c>
      <c r="E16" s="408">
        <f>IF('Final Calculation Sheet'!$J$15="","",'Final Calculation Sheet'!$J$15)</f>
        <v/>
      </c>
      <c r="F16" s="70">
        <f>IF('Final Calculation Sheet'!$J$38="","",'Final Calculation Sheet'!$J$38)</f>
        <v/>
      </c>
      <c r="G16" s="408">
        <f>IF('Final Calculation Sheet'!$J$27="","",'Final Calculation Sheet'!$J$27)</f>
        <v/>
      </c>
      <c r="H16" s="70">
        <f>IF('Final Calculation Sheet'!$J$5="","",'Final Calculation Sheet'!$J$5)</f>
        <v/>
      </c>
      <c r="I16" s="408">
        <f>IF('Final Calculation Sheet'!$J$10="","",'Final Calculation Sheet'!$J$10)</f>
        <v/>
      </c>
      <c r="J16" s="70">
        <f>IF('Final Calculation Sheet'!$J$11="","",'Final Calculation Sheet'!$J$11)</f>
        <v/>
      </c>
      <c r="K16" s="408">
        <f>IF('Final Calculation Sheet'!$J$12="","",'Final Calculation Sheet'!$J$12)</f>
        <v/>
      </c>
      <c r="L16" s="70">
        <f>IF('Final Calculation Sheet'!$J$18="","",'Final Calculation Sheet'!$J$18)</f>
        <v/>
      </c>
      <c r="M16" s="408">
        <f>IF('Final Calculation Sheet'!$J$19="","",'Final Calculation Sheet'!$J$19)</f>
        <v/>
      </c>
      <c r="N16" s="70">
        <f>IF('Final Calculation Sheet'!$J$22="","",'Final Calculation Sheet'!$J$22)</f>
        <v/>
      </c>
      <c r="O16" s="408">
        <f>IF('Final Calculation Sheet'!$J$24="","",'Final Calculation Sheet'!$J$24)</f>
        <v/>
      </c>
      <c r="P16" s="70">
        <f>IF('Final Calculation Sheet'!$J$26="","",'Final Calculation Sheet'!$J$26)</f>
        <v/>
      </c>
      <c r="Q16" s="408">
        <f>IF('Final Calculation Sheet'!$J$30="","",'Final Calculation Sheet'!$J$30)</f>
        <v/>
      </c>
      <c r="R16" s="70">
        <f>IF('Final Calculation Sheet'!$J$32="","",'Final Calculation Sheet'!$J$32)</f>
        <v/>
      </c>
      <c r="S16" s="408">
        <f>IF('Final Calculation Sheet'!$J$33="","",'Final Calculation Sheet'!$J$33)</f>
        <v/>
      </c>
      <c r="T16" s="70">
        <f>IF('Final Calculation Sheet'!$J$37="","",'Final Calculation Sheet'!$J$37)</f>
        <v/>
      </c>
      <c r="U16" s="408">
        <f>IF('Final Calculation Sheet'!$J$21="","",'Final Calculation Sheet'!$J$21)</f>
        <v/>
      </c>
      <c r="V16" s="70">
        <f>IF('Final Calculation Sheet'!$J$8="","",'Final Calculation Sheet'!$J$8)</f>
        <v/>
      </c>
      <c r="W16" s="408">
        <f>IF('Final Calculation Sheet'!$J$20="","",'Final Calculation Sheet'!$J$20)</f>
        <v/>
      </c>
      <c r="X16" s="70">
        <f>IF('Final Calculation Sheet'!$J$39="","",'Final Calculation Sheet'!$J$39)</f>
        <v/>
      </c>
      <c r="Y16" s="408">
        <f>IF('Final Calculation Sheet'!$J$40="","",'Final Calculation Sheet'!$J$40)</f>
        <v/>
      </c>
      <c r="Z16" s="70">
        <f>IF('Final Calculation Sheet'!$J$31="","",'Final Calculation Sheet'!$J$31)</f>
        <v/>
      </c>
      <c r="AA16" s="408">
        <f>IF('Final Calculation Sheet'!$J$9="","",'Final Calculation Sheet'!$J$9)</f>
        <v/>
      </c>
      <c r="AB16" s="70">
        <f>IF('Final Calculation Sheet'!$J$14="","",'Final Calculation Sheet'!$J$14)</f>
        <v/>
      </c>
      <c r="AC16" s="408">
        <f>IF('Final Calculation Sheet'!$J$13="","",'Final Calculation Sheet'!$J$13)</f>
        <v/>
      </c>
      <c r="AD16" s="70">
        <f>IF('Final Calculation Sheet'!$J$16="","",'Final Calculation Sheet'!$J$16)</f>
        <v/>
      </c>
      <c r="AE16" s="408">
        <f>IF('Final Calculation Sheet'!$J$17="","",'Final Calculation Sheet'!$J$17)</f>
        <v/>
      </c>
      <c r="AF16" s="70">
        <f>IF('Final Calculation Sheet'!$J$23="","",'Final Calculation Sheet'!$J$23)</f>
        <v/>
      </c>
      <c r="AG16" s="408">
        <f>IF('Final Calculation Sheet'!$J$29="","",'Final Calculation Sheet'!$J$29)</f>
        <v/>
      </c>
      <c r="AH16" s="70">
        <f>IF('Final Calculation Sheet'!$J$34="","",'Final Calculation Sheet'!$J$34)</f>
        <v/>
      </c>
      <c r="AI16" s="408">
        <f>IF('Final Calculation Sheet'!$J$36="","",'Final Calculation Sheet'!$J$36)</f>
        <v/>
      </c>
      <c r="AJ16" s="70">
        <f>IF('Final Calculation Sheet'!$J$25="","",'Final Calculation Sheet'!$J$25)</f>
        <v/>
      </c>
      <c r="AK16" s="408">
        <f>IF('Final Calculation Sheet'!$J$28="","",'Final Calculation Sheet'!$J$28)</f>
        <v/>
      </c>
      <c r="AL16" s="70">
        <f>IF('Final Calculation Sheet'!$J$35="","",'Final Calculation Sheet'!$J$35)</f>
        <v/>
      </c>
      <c r="AM16" s="414">
        <f>SUM(B16:AL16)</f>
        <v/>
      </c>
    </row>
    <row r="17" outlineLevel="1" ht="15" customHeight="1">
      <c r="A17" s="69" t="inlineStr">
        <is>
          <t xml:space="preserve">      TCS @ 2% (₹)</t>
        </is>
      </c>
      <c r="B17" s="70">
        <f>IF('Final Calculation Sheet'!$K$4="","",'Final Calculation Sheet'!$K$4)</f>
        <v/>
      </c>
      <c r="C17" s="408">
        <f>IF('Final Calculation Sheet'!$K$6="","",'Final Calculation Sheet'!$K$6)</f>
        <v/>
      </c>
      <c r="D17" s="70">
        <f>IF('Final Calculation Sheet'!$K$7="","",'Final Calculation Sheet'!$K$7)</f>
        <v/>
      </c>
      <c r="E17" s="408">
        <f>IF('Final Calculation Sheet'!$K$15="","",'Final Calculation Sheet'!$K$15)</f>
        <v/>
      </c>
      <c r="F17" s="70">
        <f>IF('Final Calculation Sheet'!$K$38="","",'Final Calculation Sheet'!$K$38)</f>
        <v/>
      </c>
      <c r="G17" s="408">
        <f>IF('Final Calculation Sheet'!$K$27="","",'Final Calculation Sheet'!$K$27)</f>
        <v/>
      </c>
      <c r="H17" s="70">
        <f>IF('Final Calculation Sheet'!$K$5="","",'Final Calculation Sheet'!$K$5)</f>
        <v/>
      </c>
      <c r="I17" s="408">
        <f>IF('Final Calculation Sheet'!$K$10="","",'Final Calculation Sheet'!$K$10)</f>
        <v/>
      </c>
      <c r="J17" s="70">
        <f>IF('Final Calculation Sheet'!$K$11="","",'Final Calculation Sheet'!$K$11)</f>
        <v/>
      </c>
      <c r="K17" s="408">
        <f>IF('Final Calculation Sheet'!$K$12="","",'Final Calculation Sheet'!$K$12)</f>
        <v/>
      </c>
      <c r="L17" s="70">
        <f>IF('Final Calculation Sheet'!$K$18="","",'Final Calculation Sheet'!$K$18)</f>
        <v/>
      </c>
      <c r="M17" s="408">
        <f>IF('Final Calculation Sheet'!$K$19="","",'Final Calculation Sheet'!$K$19)</f>
        <v/>
      </c>
      <c r="N17" s="70">
        <f>IF('Final Calculation Sheet'!$K$22="","",'Final Calculation Sheet'!$K$22)</f>
        <v/>
      </c>
      <c r="O17" s="408">
        <f>IF('Final Calculation Sheet'!$K$24="","",'Final Calculation Sheet'!$K$24)</f>
        <v/>
      </c>
      <c r="P17" s="70">
        <f>IF('Final Calculation Sheet'!$K$26="","",'Final Calculation Sheet'!$K$26)</f>
        <v/>
      </c>
      <c r="Q17" s="408">
        <f>IF('Final Calculation Sheet'!$K$30="","",'Final Calculation Sheet'!$K$30)</f>
        <v/>
      </c>
      <c r="R17" s="70">
        <f>IF('Final Calculation Sheet'!$K$32="","",'Final Calculation Sheet'!$K$32)</f>
        <v/>
      </c>
      <c r="S17" s="408">
        <f>IF('Final Calculation Sheet'!$K$33="","",'Final Calculation Sheet'!$K$33)</f>
        <v/>
      </c>
      <c r="T17" s="70">
        <f>IF('Final Calculation Sheet'!$K$37="","",'Final Calculation Sheet'!$K$37)</f>
        <v/>
      </c>
      <c r="U17" s="408">
        <f>IF('Final Calculation Sheet'!$K$21="","",'Final Calculation Sheet'!$K$21)</f>
        <v/>
      </c>
      <c r="V17" s="70">
        <f>IF('Final Calculation Sheet'!$K$8="","",'Final Calculation Sheet'!$K$8)</f>
        <v/>
      </c>
      <c r="W17" s="408">
        <f>IF('Final Calculation Sheet'!$K$20="","",'Final Calculation Sheet'!$K$20)</f>
        <v/>
      </c>
      <c r="X17" s="70">
        <f>IF('Final Calculation Sheet'!$K$39="","",'Final Calculation Sheet'!$K$39)</f>
        <v/>
      </c>
      <c r="Y17" s="408">
        <f>IF('Final Calculation Sheet'!$K$40="","",'Final Calculation Sheet'!$K$40)</f>
        <v/>
      </c>
      <c r="Z17" s="70">
        <f>IF('Final Calculation Sheet'!$K$31="","",'Final Calculation Sheet'!$K$31)</f>
        <v/>
      </c>
      <c r="AA17" s="408">
        <f>IF('Final Calculation Sheet'!$K$9="","",'Final Calculation Sheet'!$K$9)</f>
        <v/>
      </c>
      <c r="AB17" s="70">
        <f>IF('Final Calculation Sheet'!$K$14="","",'Final Calculation Sheet'!$K$14)</f>
        <v/>
      </c>
      <c r="AC17" s="408">
        <f>IF('Final Calculation Sheet'!$K$13="","",'Final Calculation Sheet'!$K$13)</f>
        <v/>
      </c>
      <c r="AD17" s="70">
        <f>IF('Final Calculation Sheet'!$K$16="","",'Final Calculation Sheet'!$K$16)</f>
        <v/>
      </c>
      <c r="AE17" s="408">
        <f>IF('Final Calculation Sheet'!$K$17="","",'Final Calculation Sheet'!$K$17)</f>
        <v/>
      </c>
      <c r="AF17" s="70">
        <f>IF('Final Calculation Sheet'!$K$23="","",'Final Calculation Sheet'!$K$23)</f>
        <v/>
      </c>
      <c r="AG17" s="408">
        <f>IF('Final Calculation Sheet'!$K$29="","",'Final Calculation Sheet'!$K$29)</f>
        <v/>
      </c>
      <c r="AH17" s="70">
        <f>IF('Final Calculation Sheet'!$K$34="","",'Final Calculation Sheet'!$K$34)</f>
        <v/>
      </c>
      <c r="AI17" s="408">
        <f>IF('Final Calculation Sheet'!$K$36="","",'Final Calculation Sheet'!$K$36)</f>
        <v/>
      </c>
      <c r="AJ17" s="70">
        <f>IF('Final Calculation Sheet'!$K$25="","",'Final Calculation Sheet'!$K$25)</f>
        <v/>
      </c>
      <c r="AK17" s="408">
        <f>IF('Final Calculation Sheet'!$K$28="","",'Final Calculation Sheet'!$K$28)</f>
        <v/>
      </c>
      <c r="AL17" s="70">
        <f>IF('Final Calculation Sheet'!$K$35="","",'Final Calculation Sheet'!$K$35)</f>
        <v/>
      </c>
      <c r="AM17" s="414">
        <f>SUM(B17:AL17)</f>
        <v/>
      </c>
    </row>
    <row r="18" outlineLevel="1" ht="15" customHeight="1">
      <c r="A18" s="69" t="inlineStr">
        <is>
          <t xml:space="preserve">      TDS u/s 194(O) (₹)</t>
        </is>
      </c>
      <c r="B18" s="78">
        <f>IF('Final Calculation Sheet'!$L$4="","",'Final Calculation Sheet'!$L$4)</f>
        <v/>
      </c>
      <c r="C18" s="415">
        <f>IF('Final Calculation Sheet'!$L$6="","",'Final Calculation Sheet'!$L$6)</f>
        <v/>
      </c>
      <c r="D18" s="78">
        <f>IF('Final Calculation Sheet'!$L$7="","",'Final Calculation Sheet'!$L$7)</f>
        <v/>
      </c>
      <c r="E18" s="415">
        <f>IF('Final Calculation Sheet'!$L$15="","",'Final Calculation Sheet'!$L$15)</f>
        <v/>
      </c>
      <c r="F18" s="78">
        <f>IF('Final Calculation Sheet'!$L$38="","",'Final Calculation Sheet'!$L$38)</f>
        <v/>
      </c>
      <c r="G18" s="415">
        <f>IF('Final Calculation Sheet'!$L$27="","",'Final Calculation Sheet'!$L$27)</f>
        <v/>
      </c>
      <c r="H18" s="78">
        <f>IF('Final Calculation Sheet'!$L$5="","",'Final Calculation Sheet'!$L$5)</f>
        <v/>
      </c>
      <c r="I18" s="415">
        <f>IF('Final Calculation Sheet'!$L$10="","",'Final Calculation Sheet'!$L$10)</f>
        <v/>
      </c>
      <c r="J18" s="78">
        <f>IF('Final Calculation Sheet'!$L$11="","",'Final Calculation Sheet'!$L$11)</f>
        <v/>
      </c>
      <c r="K18" s="415">
        <f>IF('Final Calculation Sheet'!$L$12="","",'Final Calculation Sheet'!$L$12)</f>
        <v/>
      </c>
      <c r="L18" s="78">
        <f>IF('Final Calculation Sheet'!$L$18="","",'Final Calculation Sheet'!$L$18)</f>
        <v/>
      </c>
      <c r="M18" s="415">
        <f>IF('Final Calculation Sheet'!$L$19="","",'Final Calculation Sheet'!$L$19)</f>
        <v/>
      </c>
      <c r="N18" s="78">
        <f>IF('Final Calculation Sheet'!$L$22="","",'Final Calculation Sheet'!$L$22)</f>
        <v/>
      </c>
      <c r="O18" s="415">
        <f>IF('Final Calculation Sheet'!$L$24="","",'Final Calculation Sheet'!$L$24)</f>
        <v/>
      </c>
      <c r="P18" s="78">
        <f>IF('Final Calculation Sheet'!$L$26="","",'Final Calculation Sheet'!$L$26)</f>
        <v/>
      </c>
      <c r="Q18" s="415">
        <f>IF('Final Calculation Sheet'!$L$30="","",'Final Calculation Sheet'!$L$30)</f>
        <v/>
      </c>
      <c r="R18" s="78">
        <f>IF('Final Calculation Sheet'!$L$32="","",'Final Calculation Sheet'!$L$32)</f>
        <v/>
      </c>
      <c r="S18" s="415">
        <f>IF('Final Calculation Sheet'!$L$33="","",'Final Calculation Sheet'!$L$33)</f>
        <v/>
      </c>
      <c r="T18" s="78">
        <f>IF('Final Calculation Sheet'!$L$37="","",'Final Calculation Sheet'!$L$37)</f>
        <v/>
      </c>
      <c r="U18" s="415">
        <f>IF('Final Calculation Sheet'!$L$21="","",'Final Calculation Sheet'!$L$21)</f>
        <v/>
      </c>
      <c r="V18" s="78">
        <f>IF('Final Calculation Sheet'!$L$8="","",'Final Calculation Sheet'!$L$8)</f>
        <v/>
      </c>
      <c r="W18" s="415">
        <f>IF('Final Calculation Sheet'!$L$20="","",'Final Calculation Sheet'!$L$20)</f>
        <v/>
      </c>
      <c r="X18" s="78">
        <f>IF('Final Calculation Sheet'!$L$39="","",'Final Calculation Sheet'!$L$39)</f>
        <v/>
      </c>
      <c r="Y18" s="415">
        <f>IF('Final Calculation Sheet'!$L$40="","",'Final Calculation Sheet'!$L$40)</f>
        <v/>
      </c>
      <c r="Z18" s="78">
        <f>IF('Final Calculation Sheet'!$L$31="","",'Final Calculation Sheet'!$L$31)</f>
        <v/>
      </c>
      <c r="AA18" s="415">
        <f>IF('Final Calculation Sheet'!$L$9="","",'Final Calculation Sheet'!$L$9)</f>
        <v/>
      </c>
      <c r="AB18" s="78">
        <f>IF('Final Calculation Sheet'!$L$14="","",'Final Calculation Sheet'!$L$14)</f>
        <v/>
      </c>
      <c r="AC18" s="415">
        <f>IF('Final Calculation Sheet'!$L$13="","",'Final Calculation Sheet'!$L$13)</f>
        <v/>
      </c>
      <c r="AD18" s="78">
        <f>IF('Final Calculation Sheet'!$L$16="","",'Final Calculation Sheet'!$L$16)</f>
        <v/>
      </c>
      <c r="AE18" s="415">
        <f>IF('Final Calculation Sheet'!$L$17="","",'Final Calculation Sheet'!$L$17)</f>
        <v/>
      </c>
      <c r="AF18" s="78">
        <f>IF('Final Calculation Sheet'!$L$23="","",'Final Calculation Sheet'!$L$23)</f>
        <v/>
      </c>
      <c r="AG18" s="415">
        <f>IF('Final Calculation Sheet'!$L$29="","",'Final Calculation Sheet'!$L$29)</f>
        <v/>
      </c>
      <c r="AH18" s="78">
        <f>IF('Final Calculation Sheet'!$L$34="","",'Final Calculation Sheet'!$L$34)</f>
        <v/>
      </c>
      <c r="AI18" s="415">
        <f>IF('Final Calculation Sheet'!$L$36="","",'Final Calculation Sheet'!$L$36)</f>
        <v/>
      </c>
      <c r="AJ18" s="78">
        <f>IF('Final Calculation Sheet'!$L$25="","",'Final Calculation Sheet'!$L$25)</f>
        <v/>
      </c>
      <c r="AK18" s="415">
        <f>IF('Final Calculation Sheet'!$L$28="","",'Final Calculation Sheet'!$L$28)</f>
        <v/>
      </c>
      <c r="AL18" s="78">
        <f>IF('Final Calculation Sheet'!$L$35="","",'Final Calculation Sheet'!$L$35)</f>
        <v/>
      </c>
      <c r="AM18" s="416">
        <f>SUM(B18:AL18)</f>
        <v/>
      </c>
    </row>
    <row r="19" outlineLevel="1" ht="15" customHeight="1">
      <c r="A19" s="69" t="inlineStr">
        <is>
          <t xml:space="preserve">      Service Charge gross (₹)</t>
        </is>
      </c>
      <c r="B19" s="78">
        <f>IF('Final Calculation Sheet'!$M$4="","",'Final Calculation Sheet'!$M$4)</f>
        <v/>
      </c>
      <c r="C19" s="415">
        <f>IF('Final Calculation Sheet'!$M$6="","",'Final Calculation Sheet'!$M$6)</f>
        <v/>
      </c>
      <c r="D19" s="78">
        <f>IF('Final Calculation Sheet'!$M$7="","",'Final Calculation Sheet'!$M$7)</f>
        <v/>
      </c>
      <c r="E19" s="415">
        <f>IF('Final Calculation Sheet'!$M$15="","",'Final Calculation Sheet'!$M$15)</f>
        <v/>
      </c>
      <c r="F19" s="78">
        <f>IF('Final Calculation Sheet'!$M$38="","",'Final Calculation Sheet'!$M$38)</f>
        <v/>
      </c>
      <c r="G19" s="415">
        <f>IF('Final Calculation Sheet'!$M$27="","",'Final Calculation Sheet'!$M$27)</f>
        <v/>
      </c>
      <c r="H19" s="78">
        <f>IF('Final Calculation Sheet'!$M$5="","",'Final Calculation Sheet'!$M$5)</f>
        <v/>
      </c>
      <c r="I19" s="415">
        <f>IF('Final Calculation Sheet'!$M$10="","",'Final Calculation Sheet'!$M$10)</f>
        <v/>
      </c>
      <c r="J19" s="78">
        <f>IF('Final Calculation Sheet'!$M$11="","",'Final Calculation Sheet'!$M$11)</f>
        <v/>
      </c>
      <c r="K19" s="415">
        <f>IF('Final Calculation Sheet'!$M$12="","",'Final Calculation Sheet'!$M$12)</f>
        <v/>
      </c>
      <c r="L19" s="78">
        <f>IF('Final Calculation Sheet'!$M$18="","",'Final Calculation Sheet'!$M$18)</f>
        <v/>
      </c>
      <c r="M19" s="415">
        <f>IF('Final Calculation Sheet'!$M$19="","",'Final Calculation Sheet'!$M$19)</f>
        <v/>
      </c>
      <c r="N19" s="78">
        <f>IF('Final Calculation Sheet'!$M$22="","",'Final Calculation Sheet'!$M$22)</f>
        <v/>
      </c>
      <c r="O19" s="415">
        <f>IF('Final Calculation Sheet'!$M$24="","",'Final Calculation Sheet'!$M$24)</f>
        <v/>
      </c>
      <c r="P19" s="78">
        <f>IF('Final Calculation Sheet'!$M$26="","",'Final Calculation Sheet'!$M$26)</f>
        <v/>
      </c>
      <c r="Q19" s="415">
        <f>IF('Final Calculation Sheet'!$M$30="","",'Final Calculation Sheet'!$M$30)</f>
        <v/>
      </c>
      <c r="R19" s="78">
        <f>IF('Final Calculation Sheet'!$M$32="","",'Final Calculation Sheet'!$M$32)</f>
        <v/>
      </c>
      <c r="S19" s="415">
        <f>IF('Final Calculation Sheet'!$M$33="","",'Final Calculation Sheet'!$M$33)</f>
        <v/>
      </c>
      <c r="T19" s="78">
        <f>IF('Final Calculation Sheet'!$M$37="","",'Final Calculation Sheet'!$M$37)</f>
        <v/>
      </c>
      <c r="U19" s="415">
        <f>IF('Final Calculation Sheet'!$M$21="","",'Final Calculation Sheet'!$M$21)</f>
        <v/>
      </c>
      <c r="V19" s="78">
        <f>IF('Final Calculation Sheet'!$M$8="","",'Final Calculation Sheet'!$M$8)</f>
        <v/>
      </c>
      <c r="W19" s="415">
        <f>IF('Final Calculation Sheet'!$M$20="","",'Final Calculation Sheet'!$M$20)</f>
        <v/>
      </c>
      <c r="X19" s="78">
        <f>IF('Final Calculation Sheet'!$M$39="","",'Final Calculation Sheet'!$M$39)</f>
        <v/>
      </c>
      <c r="Y19" s="415">
        <f>IF('Final Calculation Sheet'!$M$40="","",'Final Calculation Sheet'!$M$40)</f>
        <v/>
      </c>
      <c r="Z19" s="78">
        <f>IF('Final Calculation Sheet'!$M$31="","",'Final Calculation Sheet'!$M$31)</f>
        <v/>
      </c>
      <c r="AA19" s="415">
        <f>IF('Final Calculation Sheet'!$M$9="","",'Final Calculation Sheet'!$M$9)</f>
        <v/>
      </c>
      <c r="AB19" s="78">
        <f>IF('Final Calculation Sheet'!$M$14="","",'Final Calculation Sheet'!$M$14)</f>
        <v/>
      </c>
      <c r="AC19" s="415">
        <f>IF('Final Calculation Sheet'!$M$13="","",'Final Calculation Sheet'!$M$13)</f>
        <v/>
      </c>
      <c r="AD19" s="78">
        <f>IF('Final Calculation Sheet'!$M$16="","",'Final Calculation Sheet'!$M$16)</f>
        <v/>
      </c>
      <c r="AE19" s="415">
        <f>IF('Final Calculation Sheet'!$M$17="","",'Final Calculation Sheet'!$M$17)</f>
        <v/>
      </c>
      <c r="AF19" s="78">
        <f>IF('Final Calculation Sheet'!$M$23="","",'Final Calculation Sheet'!$M$23)</f>
        <v/>
      </c>
      <c r="AG19" s="415">
        <f>IF('Final Calculation Sheet'!$M$29="","",'Final Calculation Sheet'!$M$29)</f>
        <v/>
      </c>
      <c r="AH19" s="78">
        <f>IF('Final Calculation Sheet'!$M$34="","",'Final Calculation Sheet'!$M$34)</f>
        <v/>
      </c>
      <c r="AI19" s="415">
        <f>IF('Final Calculation Sheet'!$M$36="","",'Final Calculation Sheet'!$M$36)</f>
        <v/>
      </c>
      <c r="AJ19" s="78">
        <f>IF('Final Calculation Sheet'!$M$25="","",'Final Calculation Sheet'!$M$25)</f>
        <v/>
      </c>
      <c r="AK19" s="415">
        <f>IF('Final Calculation Sheet'!$M$28="","",'Final Calculation Sheet'!$M$28)</f>
        <v/>
      </c>
      <c r="AL19" s="78">
        <f>IF('Final Calculation Sheet'!$M$35="","",'Final Calculation Sheet'!$M$35)</f>
        <v/>
      </c>
      <c r="AM19" s="416">
        <f>SUM(B19:AL19)</f>
        <v/>
      </c>
    </row>
    <row r="20" outlineLevel="1" ht="15" customHeight="1">
      <c r="A20" s="69" t="inlineStr">
        <is>
          <t xml:space="preserve">      TDS u/s 194(H) (₹)</t>
        </is>
      </c>
      <c r="B20" s="78">
        <f>IF('Final Calculation Sheet'!$N$4="","",'Final Calculation Sheet'!$N$4)</f>
        <v/>
      </c>
      <c r="C20" s="415">
        <f>IF('Final Calculation Sheet'!$N$6="","",'Final Calculation Sheet'!$N$6)</f>
        <v/>
      </c>
      <c r="D20" s="78">
        <f>IF('Final Calculation Sheet'!$N$7="","",'Final Calculation Sheet'!$N$7)</f>
        <v/>
      </c>
      <c r="E20" s="415">
        <f>IF('Final Calculation Sheet'!$N$15="","",'Final Calculation Sheet'!$N$15)</f>
        <v/>
      </c>
      <c r="F20" s="78">
        <f>IF('Final Calculation Sheet'!$N$38="","",'Final Calculation Sheet'!$N$38)</f>
        <v/>
      </c>
      <c r="G20" s="415">
        <f>IF('Final Calculation Sheet'!$N$27="","",'Final Calculation Sheet'!$N$27)</f>
        <v/>
      </c>
      <c r="H20" s="78">
        <f>IF('Final Calculation Sheet'!$N$5="","",'Final Calculation Sheet'!$N$5)</f>
        <v/>
      </c>
      <c r="I20" s="415">
        <f>IF('Final Calculation Sheet'!$N$10="","",'Final Calculation Sheet'!$N$10)</f>
        <v/>
      </c>
      <c r="J20" s="78">
        <f>IF('Final Calculation Sheet'!$N$11="","",'Final Calculation Sheet'!$N$11)</f>
        <v/>
      </c>
      <c r="K20" s="415">
        <f>IF('Final Calculation Sheet'!$N$12="","",'Final Calculation Sheet'!$N$12)</f>
        <v/>
      </c>
      <c r="L20" s="78">
        <f>IF('Final Calculation Sheet'!$N$18="","",'Final Calculation Sheet'!$N$18)</f>
        <v/>
      </c>
      <c r="M20" s="415">
        <f>IF('Final Calculation Sheet'!$N$19="","",'Final Calculation Sheet'!$N$19)</f>
        <v/>
      </c>
      <c r="N20" s="78">
        <f>IF('Final Calculation Sheet'!$N$22="","",'Final Calculation Sheet'!$N$22)</f>
        <v/>
      </c>
      <c r="O20" s="415">
        <f>IF('Final Calculation Sheet'!$N$24="","",'Final Calculation Sheet'!$N$24)</f>
        <v/>
      </c>
      <c r="P20" s="78">
        <f>IF('Final Calculation Sheet'!$N$26="","",'Final Calculation Sheet'!$N$26)</f>
        <v/>
      </c>
      <c r="Q20" s="415">
        <f>IF('Final Calculation Sheet'!$N$30="","",'Final Calculation Sheet'!$N$30)</f>
        <v/>
      </c>
      <c r="R20" s="78">
        <f>IF('Final Calculation Sheet'!$N$32="","",'Final Calculation Sheet'!$N$32)</f>
        <v/>
      </c>
      <c r="S20" s="415">
        <f>IF('Final Calculation Sheet'!$N$33="","",'Final Calculation Sheet'!$N$33)</f>
        <v/>
      </c>
      <c r="T20" s="78">
        <f>IF('Final Calculation Sheet'!$N$37="","",'Final Calculation Sheet'!$N$37)</f>
        <v/>
      </c>
      <c r="U20" s="415">
        <f>IF('Final Calculation Sheet'!$N$21="","",'Final Calculation Sheet'!$N$21)</f>
        <v/>
      </c>
      <c r="V20" s="78">
        <f>IF('Final Calculation Sheet'!$N$8="","",'Final Calculation Sheet'!$N$8)</f>
        <v/>
      </c>
      <c r="W20" s="415">
        <f>IF('Final Calculation Sheet'!$N$20="","",'Final Calculation Sheet'!$N$20)</f>
        <v/>
      </c>
      <c r="X20" s="78">
        <f>IF('Final Calculation Sheet'!$N$39="","",'Final Calculation Sheet'!$N$39)</f>
        <v/>
      </c>
      <c r="Y20" s="415">
        <f>IF('Final Calculation Sheet'!$N$40="","",'Final Calculation Sheet'!$N$40)</f>
        <v/>
      </c>
      <c r="Z20" s="78">
        <f>IF('Final Calculation Sheet'!$N$31="","",'Final Calculation Sheet'!$N$31)</f>
        <v/>
      </c>
      <c r="AA20" s="415">
        <f>IF('Final Calculation Sheet'!$N$9="","",'Final Calculation Sheet'!$N$9)</f>
        <v/>
      </c>
      <c r="AB20" s="78">
        <f>IF('Final Calculation Sheet'!$N$14="","",'Final Calculation Sheet'!$N$14)</f>
        <v/>
      </c>
      <c r="AC20" s="415">
        <f>IF('Final Calculation Sheet'!$N$13="","",'Final Calculation Sheet'!$N$13)</f>
        <v/>
      </c>
      <c r="AD20" s="78">
        <f>IF('Final Calculation Sheet'!$N$16="","",'Final Calculation Sheet'!$N$16)</f>
        <v/>
      </c>
      <c r="AE20" s="415">
        <f>IF('Final Calculation Sheet'!$N$17="","",'Final Calculation Sheet'!$N$17)</f>
        <v/>
      </c>
      <c r="AF20" s="78">
        <f>IF('Final Calculation Sheet'!$N$23="","",'Final Calculation Sheet'!$N$23)</f>
        <v/>
      </c>
      <c r="AG20" s="415">
        <f>IF('Final Calculation Sheet'!$N$29="","",'Final Calculation Sheet'!$N$29)</f>
        <v/>
      </c>
      <c r="AH20" s="78">
        <f>IF('Final Calculation Sheet'!$N$34="","",'Final Calculation Sheet'!$N$34)</f>
        <v/>
      </c>
      <c r="AI20" s="415">
        <f>IF('Final Calculation Sheet'!$N$36="","",'Final Calculation Sheet'!$N$36)</f>
        <v/>
      </c>
      <c r="AJ20" s="78">
        <f>IF('Final Calculation Sheet'!$N$25="","",'Final Calculation Sheet'!$N$25)</f>
        <v/>
      </c>
      <c r="AK20" s="415">
        <f>IF('Final Calculation Sheet'!$N$28="","",'Final Calculation Sheet'!$N$28)</f>
        <v/>
      </c>
      <c r="AL20" s="78">
        <f>IF('Final Calculation Sheet'!$N$35="","",'Final Calculation Sheet'!$N$35)</f>
        <v/>
      </c>
      <c r="AM20" s="416">
        <f>SUM(B20:AL20)</f>
        <v/>
      </c>
    </row>
    <row r="21" outlineLevel="1" ht="15" customHeight="1">
      <c r="A21" s="69" t="inlineStr">
        <is>
          <t xml:space="preserve">      Net Service Charge (₹)</t>
        </is>
      </c>
      <c r="B21" s="78">
        <f>IF('Final Calculation Sheet'!$O$4="","",'Final Calculation Sheet'!$O$4)</f>
        <v/>
      </c>
      <c r="C21" s="415">
        <f>IF('Final Calculation Sheet'!$O$6="","",'Final Calculation Sheet'!$O$6)</f>
        <v/>
      </c>
      <c r="D21" s="78">
        <f>IF('Final Calculation Sheet'!$O$7="","",'Final Calculation Sheet'!$O$7)</f>
        <v/>
      </c>
      <c r="E21" s="415">
        <f>IF('Final Calculation Sheet'!$O$15="","",'Final Calculation Sheet'!$O$15)</f>
        <v/>
      </c>
      <c r="F21" s="78">
        <f>IF('Final Calculation Sheet'!$O$38="","",'Final Calculation Sheet'!$O$38)</f>
        <v/>
      </c>
      <c r="G21" s="415">
        <f>IF('Final Calculation Sheet'!$O$27="","",'Final Calculation Sheet'!$O$27)</f>
        <v/>
      </c>
      <c r="H21" s="78">
        <f>IF('Final Calculation Sheet'!$O$5="","",'Final Calculation Sheet'!$O$5)</f>
        <v/>
      </c>
      <c r="I21" s="415">
        <f>IF('Final Calculation Sheet'!$O$10="","",'Final Calculation Sheet'!$O$10)</f>
        <v/>
      </c>
      <c r="J21" s="78">
        <f>IF('Final Calculation Sheet'!$O$11="","",'Final Calculation Sheet'!$O$11)</f>
        <v/>
      </c>
      <c r="K21" s="415">
        <f>IF('Final Calculation Sheet'!$O$12="","",'Final Calculation Sheet'!$O$12)</f>
        <v/>
      </c>
      <c r="L21" s="78">
        <f>IF('Final Calculation Sheet'!$O$18="","",'Final Calculation Sheet'!$O$18)</f>
        <v/>
      </c>
      <c r="M21" s="415">
        <f>IF('Final Calculation Sheet'!$O$19="","",'Final Calculation Sheet'!$O$19)</f>
        <v/>
      </c>
      <c r="N21" s="78">
        <f>IF('Final Calculation Sheet'!$O$22="","",'Final Calculation Sheet'!$O$22)</f>
        <v/>
      </c>
      <c r="O21" s="415">
        <f>IF('Final Calculation Sheet'!$O$24="","",'Final Calculation Sheet'!$O$24)</f>
        <v/>
      </c>
      <c r="P21" s="78">
        <f>IF('Final Calculation Sheet'!$O$26="","",'Final Calculation Sheet'!$O$26)</f>
        <v/>
      </c>
      <c r="Q21" s="415">
        <f>IF('Final Calculation Sheet'!$O$30="","",'Final Calculation Sheet'!$O$30)</f>
        <v/>
      </c>
      <c r="R21" s="78">
        <f>IF('Final Calculation Sheet'!$O$32="","",'Final Calculation Sheet'!$O$32)</f>
        <v/>
      </c>
      <c r="S21" s="415">
        <f>IF('Final Calculation Sheet'!$O$33="","",'Final Calculation Sheet'!$O$33)</f>
        <v/>
      </c>
      <c r="T21" s="78">
        <f>IF('Final Calculation Sheet'!$O$37="","",'Final Calculation Sheet'!$O$37)</f>
        <v/>
      </c>
      <c r="U21" s="415">
        <f>IF('Final Calculation Sheet'!$O$21="","",'Final Calculation Sheet'!$O$21)</f>
        <v/>
      </c>
      <c r="V21" s="78">
        <f>IF('Final Calculation Sheet'!$O$8="","",'Final Calculation Sheet'!$O$8)</f>
        <v/>
      </c>
      <c r="W21" s="415">
        <f>IF('Final Calculation Sheet'!$O$20="","",'Final Calculation Sheet'!$O$20)</f>
        <v/>
      </c>
      <c r="X21" s="78">
        <f>IF('Final Calculation Sheet'!$O$39="","",'Final Calculation Sheet'!$O$39)</f>
        <v/>
      </c>
      <c r="Y21" s="415">
        <f>IF('Final Calculation Sheet'!$O$40="","",'Final Calculation Sheet'!$O$40)</f>
        <v/>
      </c>
      <c r="Z21" s="78">
        <f>IF('Final Calculation Sheet'!$O$31="","",'Final Calculation Sheet'!$O$31)</f>
        <v/>
      </c>
      <c r="AA21" s="415">
        <f>IF('Final Calculation Sheet'!$O$9="","",'Final Calculation Sheet'!$O$9)</f>
        <v/>
      </c>
      <c r="AB21" s="78">
        <f>IF('Final Calculation Sheet'!$O$14="","",'Final Calculation Sheet'!$O$14)</f>
        <v/>
      </c>
      <c r="AC21" s="415">
        <f>IF('Final Calculation Sheet'!$O$13="","",'Final Calculation Sheet'!$O$13)</f>
        <v/>
      </c>
      <c r="AD21" s="78">
        <f>IF('Final Calculation Sheet'!$O$16="","",'Final Calculation Sheet'!$O$16)</f>
        <v/>
      </c>
      <c r="AE21" s="415">
        <f>IF('Final Calculation Sheet'!$O$17="","",'Final Calculation Sheet'!$O$17)</f>
        <v/>
      </c>
      <c r="AF21" s="78">
        <f>IF('Final Calculation Sheet'!$O$23="","",'Final Calculation Sheet'!$O$23)</f>
        <v/>
      </c>
      <c r="AG21" s="415">
        <f>IF('Final Calculation Sheet'!$O$29="","",'Final Calculation Sheet'!$O$29)</f>
        <v/>
      </c>
      <c r="AH21" s="78">
        <f>IF('Final Calculation Sheet'!$O$34="","",'Final Calculation Sheet'!$O$34)</f>
        <v/>
      </c>
      <c r="AI21" s="415">
        <f>IF('Final Calculation Sheet'!$O$36="","",'Final Calculation Sheet'!$O$36)</f>
        <v/>
      </c>
      <c r="AJ21" s="78">
        <f>IF('Final Calculation Sheet'!$O$25="","",'Final Calculation Sheet'!$O$25)</f>
        <v/>
      </c>
      <c r="AK21" s="415">
        <f>IF('Final Calculation Sheet'!$O$28="","",'Final Calculation Sheet'!$O$28)</f>
        <v/>
      </c>
      <c r="AL21" s="78">
        <f>IF('Final Calculation Sheet'!$O$35="","",'Final Calculation Sheet'!$O$35)</f>
        <v/>
      </c>
      <c r="AM21" s="416">
        <f>SUM(B21:AL21)</f>
        <v/>
      </c>
    </row>
    <row r="22" outlineLevel="1" ht="15" customHeight="1">
      <c r="A22" s="69" t="inlineStr">
        <is>
          <t xml:space="preserve">      Svc Charge to MSTC (₹)</t>
        </is>
      </c>
      <c r="B22" s="70">
        <f>IF('Final Calculation Sheet'!$P$4="","",'Final Calculation Sheet'!$P$4)</f>
        <v/>
      </c>
      <c r="C22" s="408">
        <f>IF('Final Calculation Sheet'!$P$6="","",'Final Calculation Sheet'!$P$6)</f>
        <v/>
      </c>
      <c r="D22" s="70">
        <f>IF('Final Calculation Sheet'!$P$7="","",'Final Calculation Sheet'!$P$7)</f>
        <v/>
      </c>
      <c r="E22" s="408">
        <f>IF('Final Calculation Sheet'!$P$15="","",'Final Calculation Sheet'!$P$15)</f>
        <v/>
      </c>
      <c r="F22" s="70">
        <f>IF('Final Calculation Sheet'!$P$38="","",'Final Calculation Sheet'!$P$38)</f>
        <v/>
      </c>
      <c r="G22" s="408">
        <f>IF('Final Calculation Sheet'!$P$27="","",'Final Calculation Sheet'!$P$27)</f>
        <v/>
      </c>
      <c r="H22" s="70">
        <f>IF('Final Calculation Sheet'!$P$5="","",'Final Calculation Sheet'!$P$5)</f>
        <v/>
      </c>
      <c r="I22" s="408">
        <f>IF('Final Calculation Sheet'!$P$10="","",'Final Calculation Sheet'!$P$10)</f>
        <v/>
      </c>
      <c r="J22" s="70">
        <f>IF('Final Calculation Sheet'!$P$11="","",'Final Calculation Sheet'!$P$11)</f>
        <v/>
      </c>
      <c r="K22" s="408">
        <f>IF('Final Calculation Sheet'!$P$12="","",'Final Calculation Sheet'!$P$12)</f>
        <v/>
      </c>
      <c r="L22" s="70">
        <f>IF('Final Calculation Sheet'!$P$18="","",'Final Calculation Sheet'!$P$18)</f>
        <v/>
      </c>
      <c r="M22" s="408">
        <f>IF('Final Calculation Sheet'!$P$19="","",'Final Calculation Sheet'!$P$19)</f>
        <v/>
      </c>
      <c r="N22" s="70">
        <f>IF('Final Calculation Sheet'!$P$22="","",'Final Calculation Sheet'!$P$22)</f>
        <v/>
      </c>
      <c r="O22" s="408">
        <f>IF('Final Calculation Sheet'!$P$24="","",'Final Calculation Sheet'!$P$24)</f>
        <v/>
      </c>
      <c r="P22" s="70">
        <f>IF('Final Calculation Sheet'!$P$26="","",'Final Calculation Sheet'!$P$26)</f>
        <v/>
      </c>
      <c r="Q22" s="408">
        <f>IF('Final Calculation Sheet'!$P$30="","",'Final Calculation Sheet'!$P$30)</f>
        <v/>
      </c>
      <c r="R22" s="70">
        <f>IF('Final Calculation Sheet'!$P$32="","",'Final Calculation Sheet'!$P$32)</f>
        <v/>
      </c>
      <c r="S22" s="408">
        <f>IF('Final Calculation Sheet'!$P$33="","",'Final Calculation Sheet'!$P$33)</f>
        <v/>
      </c>
      <c r="T22" s="70">
        <f>IF('Final Calculation Sheet'!$P$37="","",'Final Calculation Sheet'!$P$37)</f>
        <v/>
      </c>
      <c r="U22" s="408">
        <f>IF('Final Calculation Sheet'!$P$21="","",'Final Calculation Sheet'!$P$21)</f>
        <v/>
      </c>
      <c r="V22" s="70">
        <f>IF('Final Calculation Sheet'!$P$8="","",'Final Calculation Sheet'!$P$8)</f>
        <v/>
      </c>
      <c r="W22" s="408">
        <f>IF('Final Calculation Sheet'!$P$20="","",'Final Calculation Sheet'!$P$20)</f>
        <v/>
      </c>
      <c r="X22" s="70">
        <f>IF('Final Calculation Sheet'!$P$39="","",'Final Calculation Sheet'!$P$39)</f>
        <v/>
      </c>
      <c r="Y22" s="408">
        <f>IF('Final Calculation Sheet'!$P$40="","",'Final Calculation Sheet'!$P$40)</f>
        <v/>
      </c>
      <c r="Z22" s="70">
        <f>IF('Final Calculation Sheet'!$P$31="","",'Final Calculation Sheet'!$P$31)</f>
        <v/>
      </c>
      <c r="AA22" s="408">
        <f>IF('Final Calculation Sheet'!$P$9="","",'Final Calculation Sheet'!$P$9)</f>
        <v/>
      </c>
      <c r="AB22" s="70">
        <f>IF('Final Calculation Sheet'!$P$14="","",'Final Calculation Sheet'!$P$14)</f>
        <v/>
      </c>
      <c r="AC22" s="408">
        <f>IF('Final Calculation Sheet'!$P$13="","",'Final Calculation Sheet'!$P$13)</f>
        <v/>
      </c>
      <c r="AD22" s="70">
        <f>IF('Final Calculation Sheet'!$P$16="","",'Final Calculation Sheet'!$P$16)</f>
        <v/>
      </c>
      <c r="AE22" s="408">
        <f>IF('Final Calculation Sheet'!$P$17="","",'Final Calculation Sheet'!$P$17)</f>
        <v/>
      </c>
      <c r="AF22" s="70">
        <f>IF('Final Calculation Sheet'!$P$23="","",'Final Calculation Sheet'!$P$23)</f>
        <v/>
      </c>
      <c r="AG22" s="408">
        <f>IF('Final Calculation Sheet'!$P$29="","",'Final Calculation Sheet'!$P$29)</f>
        <v/>
      </c>
      <c r="AH22" s="70">
        <f>IF('Final Calculation Sheet'!$P$34="","",'Final Calculation Sheet'!$P$34)</f>
        <v/>
      </c>
      <c r="AI22" s="408">
        <f>IF('Final Calculation Sheet'!$P$36="","",'Final Calculation Sheet'!$P$36)</f>
        <v/>
      </c>
      <c r="AJ22" s="70">
        <f>IF('Final Calculation Sheet'!$P$25="","",'Final Calculation Sheet'!$P$25)</f>
        <v/>
      </c>
      <c r="AK22" s="408">
        <f>IF('Final Calculation Sheet'!$P$28="","",'Final Calculation Sheet'!$P$28)</f>
        <v/>
      </c>
      <c r="AL22" s="70">
        <f>IF('Final Calculation Sheet'!$P$35="","",'Final Calculation Sheet'!$P$35)</f>
        <v/>
      </c>
      <c r="AM22" s="414">
        <f>SUM(B22:AL22)</f>
        <v/>
      </c>
    </row>
    <row r="23" outlineLevel="1" ht="15" customHeight="1">
      <c r="A23" s="69" t="inlineStr">
        <is>
          <t xml:space="preserve">      GST TDS Rate</t>
        </is>
      </c>
      <c r="B23" s="80">
        <f>IF('Final Calculation Sheet'!$Q$4="","",'Final Calculation Sheet'!$Q$4)</f>
        <v/>
      </c>
      <c r="C23" s="417">
        <f>IF('Final Calculation Sheet'!$Q$6="","",'Final Calculation Sheet'!$Q$6)</f>
        <v/>
      </c>
      <c r="D23" s="80">
        <f>IF('Final Calculation Sheet'!$Q$7="","",'Final Calculation Sheet'!$Q$7)</f>
        <v/>
      </c>
      <c r="E23" s="417">
        <f>IF('Final Calculation Sheet'!$Q$15="","",'Final Calculation Sheet'!$Q$15)</f>
        <v/>
      </c>
      <c r="F23" s="80">
        <f>IF('Final Calculation Sheet'!$Q$38="","",'Final Calculation Sheet'!$Q$38)</f>
        <v/>
      </c>
      <c r="G23" s="417">
        <f>IF('Final Calculation Sheet'!$Q$27="","",'Final Calculation Sheet'!$Q$27)</f>
        <v/>
      </c>
      <c r="H23" s="80">
        <f>IF('Final Calculation Sheet'!$Q$5="","",'Final Calculation Sheet'!$Q$5)</f>
        <v/>
      </c>
      <c r="I23" s="417">
        <f>IF('Final Calculation Sheet'!$Q$10="","",'Final Calculation Sheet'!$Q$10)</f>
        <v/>
      </c>
      <c r="J23" s="80">
        <f>IF('Final Calculation Sheet'!$Q$11="","",'Final Calculation Sheet'!$Q$11)</f>
        <v/>
      </c>
      <c r="K23" s="417">
        <f>IF('Final Calculation Sheet'!$Q$12="","",'Final Calculation Sheet'!$Q$12)</f>
        <v/>
      </c>
      <c r="L23" s="80">
        <f>IF('Final Calculation Sheet'!$Q$18="","",'Final Calculation Sheet'!$Q$18)</f>
        <v/>
      </c>
      <c r="M23" s="417">
        <f>IF('Final Calculation Sheet'!$Q$19="","",'Final Calculation Sheet'!$Q$19)</f>
        <v/>
      </c>
      <c r="N23" s="80">
        <f>IF('Final Calculation Sheet'!$Q$22="","",'Final Calculation Sheet'!$Q$22)</f>
        <v/>
      </c>
      <c r="O23" s="417">
        <f>IF('Final Calculation Sheet'!$Q$24="","",'Final Calculation Sheet'!$Q$24)</f>
        <v/>
      </c>
      <c r="P23" s="80">
        <f>IF('Final Calculation Sheet'!$Q$26="","",'Final Calculation Sheet'!$Q$26)</f>
        <v/>
      </c>
      <c r="Q23" s="417">
        <f>IF('Final Calculation Sheet'!$Q$30="","",'Final Calculation Sheet'!$Q$30)</f>
        <v/>
      </c>
      <c r="R23" s="80">
        <f>IF('Final Calculation Sheet'!$Q$32="","",'Final Calculation Sheet'!$Q$32)</f>
        <v/>
      </c>
      <c r="S23" s="417">
        <f>IF('Final Calculation Sheet'!$Q$33="","",'Final Calculation Sheet'!$Q$33)</f>
        <v/>
      </c>
      <c r="T23" s="80">
        <f>IF('Final Calculation Sheet'!$Q$37="","",'Final Calculation Sheet'!$Q$37)</f>
        <v/>
      </c>
      <c r="U23" s="417">
        <f>IF('Final Calculation Sheet'!$Q$21="","",'Final Calculation Sheet'!$Q$21)</f>
        <v/>
      </c>
      <c r="V23" s="80">
        <f>IF('Final Calculation Sheet'!$Q$8="","",'Final Calculation Sheet'!$Q$8)</f>
        <v/>
      </c>
      <c r="W23" s="417">
        <f>IF('Final Calculation Sheet'!$Q$20="","",'Final Calculation Sheet'!$Q$20)</f>
        <v/>
      </c>
      <c r="X23" s="80">
        <f>IF('Final Calculation Sheet'!$Q$39="","",'Final Calculation Sheet'!$Q$39)</f>
        <v/>
      </c>
      <c r="Y23" s="417">
        <f>IF('Final Calculation Sheet'!$Q$40="","",'Final Calculation Sheet'!$Q$40)</f>
        <v/>
      </c>
      <c r="Z23" s="80">
        <f>IF('Final Calculation Sheet'!$Q$31="","",'Final Calculation Sheet'!$Q$31)</f>
        <v/>
      </c>
      <c r="AA23" s="417">
        <f>IF('Final Calculation Sheet'!$Q$9="","",'Final Calculation Sheet'!$Q$9)</f>
        <v/>
      </c>
      <c r="AB23" s="80">
        <f>IF('Final Calculation Sheet'!$Q$14="","",'Final Calculation Sheet'!$Q$14)</f>
        <v/>
      </c>
      <c r="AC23" s="417">
        <f>IF('Final Calculation Sheet'!$Q$13="","",'Final Calculation Sheet'!$Q$13)</f>
        <v/>
      </c>
      <c r="AD23" s="80">
        <f>IF('Final Calculation Sheet'!$Q$16="","",'Final Calculation Sheet'!$Q$16)</f>
        <v/>
      </c>
      <c r="AE23" s="417">
        <f>IF('Final Calculation Sheet'!$Q$17="","",'Final Calculation Sheet'!$Q$17)</f>
        <v/>
      </c>
      <c r="AF23" s="80">
        <f>IF('Final Calculation Sheet'!$Q$23="","",'Final Calculation Sheet'!$Q$23)</f>
        <v/>
      </c>
      <c r="AG23" s="417">
        <f>IF('Final Calculation Sheet'!$Q$29="","",'Final Calculation Sheet'!$Q$29)</f>
        <v/>
      </c>
      <c r="AH23" s="80">
        <f>IF('Final Calculation Sheet'!$Q$34="","",'Final Calculation Sheet'!$Q$34)</f>
        <v/>
      </c>
      <c r="AI23" s="417">
        <f>IF('Final Calculation Sheet'!$Q$36="","",'Final Calculation Sheet'!$Q$36)</f>
        <v/>
      </c>
      <c r="AJ23" s="80">
        <f>IF('Final Calculation Sheet'!$Q$25="","",'Final Calculation Sheet'!$Q$25)</f>
        <v/>
      </c>
      <c r="AK23" s="417">
        <f>IF('Final Calculation Sheet'!$Q$28="","",'Final Calculation Sheet'!$Q$28)</f>
        <v/>
      </c>
      <c r="AL23" s="80">
        <f>IF('Final Calculation Sheet'!$Q$35="","",'Final Calculation Sheet'!$Q$35)</f>
        <v/>
      </c>
      <c r="AM23" s="72" t="inlineStr">
        <is>
          <t>–</t>
        </is>
      </c>
    </row>
    <row r="24" outlineLevel="1" ht="15" customHeight="1">
      <c r="A24" s="69" t="inlineStr">
        <is>
          <t xml:space="preserve">      GST TDS (₹)</t>
        </is>
      </c>
      <c r="B24" s="70">
        <f>IF('Final Calculation Sheet'!$R$4="","",'Final Calculation Sheet'!$R$4)</f>
        <v/>
      </c>
      <c r="C24" s="408">
        <f>IF('Final Calculation Sheet'!$R$6="","",'Final Calculation Sheet'!$R$6)</f>
        <v/>
      </c>
      <c r="D24" s="70">
        <f>IF('Final Calculation Sheet'!$R$7="","",'Final Calculation Sheet'!$R$7)</f>
        <v/>
      </c>
      <c r="E24" s="408">
        <f>IF('Final Calculation Sheet'!$R$15="","",'Final Calculation Sheet'!$R$15)</f>
        <v/>
      </c>
      <c r="F24" s="70">
        <f>IF('Final Calculation Sheet'!$R$38="","",'Final Calculation Sheet'!$R$38)</f>
        <v/>
      </c>
      <c r="G24" s="408">
        <f>IF('Final Calculation Sheet'!$R$27="","",'Final Calculation Sheet'!$R$27)</f>
        <v/>
      </c>
      <c r="H24" s="70">
        <f>IF('Final Calculation Sheet'!$R$5="","",'Final Calculation Sheet'!$R$5)</f>
        <v/>
      </c>
      <c r="I24" s="408">
        <f>IF('Final Calculation Sheet'!$R$10="","",'Final Calculation Sheet'!$R$10)</f>
        <v/>
      </c>
      <c r="J24" s="70">
        <f>IF('Final Calculation Sheet'!$R$11="","",'Final Calculation Sheet'!$R$11)</f>
        <v/>
      </c>
      <c r="K24" s="408">
        <f>IF('Final Calculation Sheet'!$R$12="","",'Final Calculation Sheet'!$R$12)</f>
        <v/>
      </c>
      <c r="L24" s="70">
        <f>IF('Final Calculation Sheet'!$R$18="","",'Final Calculation Sheet'!$R$18)</f>
        <v/>
      </c>
      <c r="M24" s="408">
        <f>IF('Final Calculation Sheet'!$R$19="","",'Final Calculation Sheet'!$R$19)</f>
        <v/>
      </c>
      <c r="N24" s="70">
        <f>IF('Final Calculation Sheet'!$R$22="","",'Final Calculation Sheet'!$R$22)</f>
        <v/>
      </c>
      <c r="O24" s="408">
        <f>IF('Final Calculation Sheet'!$R$24="","",'Final Calculation Sheet'!$R$24)</f>
        <v/>
      </c>
      <c r="P24" s="70">
        <f>IF('Final Calculation Sheet'!$R$26="","",'Final Calculation Sheet'!$R$26)</f>
        <v/>
      </c>
      <c r="Q24" s="408">
        <f>IF('Final Calculation Sheet'!$R$30="","",'Final Calculation Sheet'!$R$30)</f>
        <v/>
      </c>
      <c r="R24" s="70">
        <f>IF('Final Calculation Sheet'!$R$32="","",'Final Calculation Sheet'!$R$32)</f>
        <v/>
      </c>
      <c r="S24" s="408">
        <f>IF('Final Calculation Sheet'!$R$33="","",'Final Calculation Sheet'!$R$33)</f>
        <v/>
      </c>
      <c r="T24" s="70">
        <f>IF('Final Calculation Sheet'!$R$37="","",'Final Calculation Sheet'!$R$37)</f>
        <v/>
      </c>
      <c r="U24" s="408">
        <f>IF('Final Calculation Sheet'!$R$21="","",'Final Calculation Sheet'!$R$21)</f>
        <v/>
      </c>
      <c r="V24" s="70">
        <f>IF('Final Calculation Sheet'!$R$8="","",'Final Calculation Sheet'!$R$8)</f>
        <v/>
      </c>
      <c r="W24" s="408">
        <f>IF('Final Calculation Sheet'!$R$20="","",'Final Calculation Sheet'!$R$20)</f>
        <v/>
      </c>
      <c r="X24" s="70">
        <f>IF('Final Calculation Sheet'!$R$39="","",'Final Calculation Sheet'!$R$39)</f>
        <v/>
      </c>
      <c r="Y24" s="408">
        <f>IF('Final Calculation Sheet'!$R$40="","",'Final Calculation Sheet'!$R$40)</f>
        <v/>
      </c>
      <c r="Z24" s="70">
        <f>IF('Final Calculation Sheet'!$R$31="","",'Final Calculation Sheet'!$R$31)</f>
        <v/>
      </c>
      <c r="AA24" s="408">
        <f>IF('Final Calculation Sheet'!$R$9="","",'Final Calculation Sheet'!$R$9)</f>
        <v/>
      </c>
      <c r="AB24" s="70">
        <f>IF('Final Calculation Sheet'!$R$14="","",'Final Calculation Sheet'!$R$14)</f>
        <v/>
      </c>
      <c r="AC24" s="408">
        <f>IF('Final Calculation Sheet'!$R$13="","",'Final Calculation Sheet'!$R$13)</f>
        <v/>
      </c>
      <c r="AD24" s="70">
        <f>IF('Final Calculation Sheet'!$R$16="","",'Final Calculation Sheet'!$R$16)</f>
        <v/>
      </c>
      <c r="AE24" s="408">
        <f>IF('Final Calculation Sheet'!$R$17="","",'Final Calculation Sheet'!$R$17)</f>
        <v/>
      </c>
      <c r="AF24" s="70">
        <f>IF('Final Calculation Sheet'!$R$23="","",'Final Calculation Sheet'!$R$23)</f>
        <v/>
      </c>
      <c r="AG24" s="408">
        <f>IF('Final Calculation Sheet'!$R$29="","",'Final Calculation Sheet'!$R$29)</f>
        <v/>
      </c>
      <c r="AH24" s="70">
        <f>IF('Final Calculation Sheet'!$R$34="","",'Final Calculation Sheet'!$R$34)</f>
        <v/>
      </c>
      <c r="AI24" s="408">
        <f>IF('Final Calculation Sheet'!$R$36="","",'Final Calculation Sheet'!$R$36)</f>
        <v/>
      </c>
      <c r="AJ24" s="70">
        <f>IF('Final Calculation Sheet'!$R$25="","",'Final Calculation Sheet'!$R$25)</f>
        <v/>
      </c>
      <c r="AK24" s="408">
        <f>IF('Final Calculation Sheet'!$R$28="","",'Final Calculation Sheet'!$R$28)</f>
        <v/>
      </c>
      <c r="AL24" s="70">
        <f>IF('Final Calculation Sheet'!$R$35="","",'Final Calculation Sheet'!$R$35)</f>
        <v/>
      </c>
      <c r="AM24" s="414">
        <f>SUM(B24:AL24)</f>
        <v/>
      </c>
    </row>
    <row r="25" outlineLevel="1" ht="15" customHeight="1">
      <c r="A25" s="69" t="inlineStr">
        <is>
          <t xml:space="preserve">      Total Receivables (₹)</t>
        </is>
      </c>
      <c r="B25" s="70">
        <f>IF('Final Calculation Sheet'!$S$4="","",'Final Calculation Sheet'!$S$4)</f>
        <v/>
      </c>
      <c r="C25" s="408">
        <f>IF('Final Calculation Sheet'!$S$6="","",'Final Calculation Sheet'!$S$6)</f>
        <v/>
      </c>
      <c r="D25" s="70">
        <f>IF('Final Calculation Sheet'!$S$7="","",'Final Calculation Sheet'!$S$7)</f>
        <v/>
      </c>
      <c r="E25" s="408">
        <f>IF('Final Calculation Sheet'!$S$15="","",'Final Calculation Sheet'!$S$15)</f>
        <v/>
      </c>
      <c r="F25" s="70">
        <f>IF('Final Calculation Sheet'!$S$38="","",'Final Calculation Sheet'!$S$38)</f>
        <v/>
      </c>
      <c r="G25" s="408">
        <f>IF('Final Calculation Sheet'!$S$27="","",'Final Calculation Sheet'!$S$27)</f>
        <v/>
      </c>
      <c r="H25" s="70">
        <f>IF('Final Calculation Sheet'!$S$5="","",'Final Calculation Sheet'!$S$5)</f>
        <v/>
      </c>
      <c r="I25" s="408">
        <f>IF('Final Calculation Sheet'!$S$10="","",'Final Calculation Sheet'!$S$10)</f>
        <v/>
      </c>
      <c r="J25" s="70">
        <f>IF('Final Calculation Sheet'!$S$11="","",'Final Calculation Sheet'!$S$11)</f>
        <v/>
      </c>
      <c r="K25" s="408">
        <f>IF('Final Calculation Sheet'!$S$12="","",'Final Calculation Sheet'!$S$12)</f>
        <v/>
      </c>
      <c r="L25" s="70">
        <f>IF('Final Calculation Sheet'!$S$18="","",'Final Calculation Sheet'!$S$18)</f>
        <v/>
      </c>
      <c r="M25" s="408">
        <f>IF('Final Calculation Sheet'!$S$19="","",'Final Calculation Sheet'!$S$19)</f>
        <v/>
      </c>
      <c r="N25" s="70">
        <f>IF('Final Calculation Sheet'!$S$22="","",'Final Calculation Sheet'!$S$22)</f>
        <v/>
      </c>
      <c r="O25" s="408">
        <f>IF('Final Calculation Sheet'!$S$24="","",'Final Calculation Sheet'!$S$24)</f>
        <v/>
      </c>
      <c r="P25" s="70">
        <f>IF('Final Calculation Sheet'!$S$26="","",'Final Calculation Sheet'!$S$26)</f>
        <v/>
      </c>
      <c r="Q25" s="408">
        <f>IF('Final Calculation Sheet'!$S$30="","",'Final Calculation Sheet'!$S$30)</f>
        <v/>
      </c>
      <c r="R25" s="70">
        <f>IF('Final Calculation Sheet'!$S$32="","",'Final Calculation Sheet'!$S$32)</f>
        <v/>
      </c>
      <c r="S25" s="408">
        <f>IF('Final Calculation Sheet'!$S$33="","",'Final Calculation Sheet'!$S$33)</f>
        <v/>
      </c>
      <c r="T25" s="70">
        <f>IF('Final Calculation Sheet'!$S$37="","",'Final Calculation Sheet'!$S$37)</f>
        <v/>
      </c>
      <c r="U25" s="408">
        <f>IF('Final Calculation Sheet'!$S$21="","",'Final Calculation Sheet'!$S$21)</f>
        <v/>
      </c>
      <c r="V25" s="70">
        <f>IF('Final Calculation Sheet'!$S$8="","",'Final Calculation Sheet'!$S$8)</f>
        <v/>
      </c>
      <c r="W25" s="408">
        <f>IF('Final Calculation Sheet'!$S$20="","",'Final Calculation Sheet'!$S$20)</f>
        <v/>
      </c>
      <c r="X25" s="70">
        <f>IF('Final Calculation Sheet'!$S$39="","",'Final Calculation Sheet'!$S$39)</f>
        <v/>
      </c>
      <c r="Y25" s="408">
        <f>IF('Final Calculation Sheet'!$S$40="","",'Final Calculation Sheet'!$S$40)</f>
        <v/>
      </c>
      <c r="Z25" s="70">
        <f>IF('Final Calculation Sheet'!$S$31="","",'Final Calculation Sheet'!$S$31)</f>
        <v/>
      </c>
      <c r="AA25" s="408">
        <f>IF('Final Calculation Sheet'!$S$9="","",'Final Calculation Sheet'!$S$9)</f>
        <v/>
      </c>
      <c r="AB25" s="70">
        <f>IF('Final Calculation Sheet'!$S$14="","",'Final Calculation Sheet'!$S$14)</f>
        <v/>
      </c>
      <c r="AC25" s="408">
        <f>IF('Final Calculation Sheet'!$S$13="","",'Final Calculation Sheet'!$S$13)</f>
        <v/>
      </c>
      <c r="AD25" s="70">
        <f>IF('Final Calculation Sheet'!$S$16="","",'Final Calculation Sheet'!$S$16)</f>
        <v/>
      </c>
      <c r="AE25" s="408">
        <f>IF('Final Calculation Sheet'!$S$17="","",'Final Calculation Sheet'!$S$17)</f>
        <v/>
      </c>
      <c r="AF25" s="70">
        <f>IF('Final Calculation Sheet'!$S$23="","",'Final Calculation Sheet'!$S$23)</f>
        <v/>
      </c>
      <c r="AG25" s="408">
        <f>IF('Final Calculation Sheet'!$S$29="","",'Final Calculation Sheet'!$S$29)</f>
        <v/>
      </c>
      <c r="AH25" s="70">
        <f>IF('Final Calculation Sheet'!$S$34="","",'Final Calculation Sheet'!$S$34)</f>
        <v/>
      </c>
      <c r="AI25" s="408">
        <f>IF('Final Calculation Sheet'!$S$36="","",'Final Calculation Sheet'!$S$36)</f>
        <v/>
      </c>
      <c r="AJ25" s="70">
        <f>IF('Final Calculation Sheet'!$S$25="","",'Final Calculation Sheet'!$S$25)</f>
        <v/>
      </c>
      <c r="AK25" s="408">
        <f>IF('Final Calculation Sheet'!$S$28="","",'Final Calculation Sheet'!$S$28)</f>
        <v/>
      </c>
      <c r="AL25" s="70">
        <f>IF('Final Calculation Sheet'!$S$35="","",'Final Calculation Sheet'!$S$35)</f>
        <v/>
      </c>
      <c r="AM25" s="414">
        <f>SUM(B25:AL25)</f>
        <v/>
      </c>
    </row>
    <row r="26" ht="17" customHeight="1">
      <c r="A26" s="418" t="inlineStr">
        <is>
          <t xml:space="preserve">  ▸ SECURITY DEPOSIT</t>
        </is>
      </c>
      <c r="B26" s="386" t="n"/>
      <c r="C26" s="386" t="n"/>
      <c r="D26" s="386" t="n"/>
      <c r="E26" s="386" t="n"/>
      <c r="F26" s="386" t="n"/>
      <c r="G26" s="386" t="n"/>
      <c r="H26" s="386" t="n"/>
      <c r="I26" s="386" t="n"/>
      <c r="J26" s="386" t="n"/>
      <c r="K26" s="386" t="n"/>
      <c r="L26" s="386" t="n"/>
      <c r="M26" s="386" t="n"/>
      <c r="N26" s="386" t="n"/>
      <c r="O26" s="386" t="n"/>
      <c r="P26" s="386" t="n"/>
      <c r="Q26" s="386" t="n"/>
      <c r="R26" s="386" t="n"/>
      <c r="S26" s="386" t="n"/>
      <c r="T26" s="386" t="n"/>
      <c r="U26" s="386" t="n"/>
      <c r="V26" s="386" t="n"/>
      <c r="W26" s="386" t="n"/>
      <c r="X26" s="386" t="n"/>
      <c r="Y26" s="386" t="n"/>
      <c r="Z26" s="386" t="n"/>
      <c r="AA26" s="386" t="n"/>
      <c r="AB26" s="386" t="n"/>
      <c r="AC26" s="386" t="n"/>
      <c r="AD26" s="386" t="n"/>
      <c r="AE26" s="386" t="n"/>
      <c r="AF26" s="386" t="n"/>
      <c r="AG26" s="386" t="n"/>
      <c r="AH26" s="386" t="n"/>
      <c r="AI26" s="386" t="n"/>
      <c r="AJ26" s="386" t="n"/>
      <c r="AK26" s="386" t="n"/>
      <c r="AL26" s="386" t="n"/>
      <c r="AM26" s="386" t="n"/>
    </row>
    <row r="27" outlineLevel="1" ht="15" customHeight="1">
      <c r="A27" s="69" t="inlineStr">
        <is>
          <t xml:space="preserve">      SD Expected (₹)</t>
        </is>
      </c>
      <c r="B27" s="70">
        <f>IF('Final Calculation Sheet'!$T$4="","",'Final Calculation Sheet'!$T$4)</f>
        <v/>
      </c>
      <c r="C27" s="408">
        <f>IF('Final Calculation Sheet'!$T$6="","",'Final Calculation Sheet'!$T$6)</f>
        <v/>
      </c>
      <c r="D27" s="70">
        <f>IF('Final Calculation Sheet'!$T$7="","",'Final Calculation Sheet'!$T$7)</f>
        <v/>
      </c>
      <c r="E27" s="408">
        <f>IF('Final Calculation Sheet'!$T$15="","",'Final Calculation Sheet'!$T$15)</f>
        <v/>
      </c>
      <c r="F27" s="70">
        <f>IF('Final Calculation Sheet'!$T$38="","",'Final Calculation Sheet'!$T$38)</f>
        <v/>
      </c>
      <c r="G27" s="408">
        <f>IF('Final Calculation Sheet'!$T$27="","",'Final Calculation Sheet'!$T$27)</f>
        <v/>
      </c>
      <c r="H27" s="70">
        <f>IF('Final Calculation Sheet'!$T$5="","",'Final Calculation Sheet'!$T$5)</f>
        <v/>
      </c>
      <c r="I27" s="408">
        <f>IF('Final Calculation Sheet'!$T$10="","",'Final Calculation Sheet'!$T$10)</f>
        <v/>
      </c>
      <c r="J27" s="70">
        <f>IF('Final Calculation Sheet'!$T$11="","",'Final Calculation Sheet'!$T$11)</f>
        <v/>
      </c>
      <c r="K27" s="408">
        <f>IF('Final Calculation Sheet'!$T$12="","",'Final Calculation Sheet'!$T$12)</f>
        <v/>
      </c>
      <c r="L27" s="70">
        <f>IF('Final Calculation Sheet'!$T$18="","",'Final Calculation Sheet'!$T$18)</f>
        <v/>
      </c>
      <c r="M27" s="408">
        <f>IF('Final Calculation Sheet'!$T$19="","",'Final Calculation Sheet'!$T$19)</f>
        <v/>
      </c>
      <c r="N27" s="70">
        <f>IF('Final Calculation Sheet'!$T$22="","",'Final Calculation Sheet'!$T$22)</f>
        <v/>
      </c>
      <c r="O27" s="408">
        <f>IF('Final Calculation Sheet'!$T$24="","",'Final Calculation Sheet'!$T$24)</f>
        <v/>
      </c>
      <c r="P27" s="70">
        <f>IF('Final Calculation Sheet'!$T$26="","",'Final Calculation Sheet'!$T$26)</f>
        <v/>
      </c>
      <c r="Q27" s="408">
        <f>IF('Final Calculation Sheet'!$T$30="","",'Final Calculation Sheet'!$T$30)</f>
        <v/>
      </c>
      <c r="R27" s="70">
        <f>IF('Final Calculation Sheet'!$T$32="","",'Final Calculation Sheet'!$T$32)</f>
        <v/>
      </c>
      <c r="S27" s="408">
        <f>IF('Final Calculation Sheet'!$T$33="","",'Final Calculation Sheet'!$T$33)</f>
        <v/>
      </c>
      <c r="T27" s="70">
        <f>IF('Final Calculation Sheet'!$T$37="","",'Final Calculation Sheet'!$T$37)</f>
        <v/>
      </c>
      <c r="U27" s="408">
        <f>IF('Final Calculation Sheet'!$T$21="","",'Final Calculation Sheet'!$T$21)</f>
        <v/>
      </c>
      <c r="V27" s="70">
        <f>IF('Final Calculation Sheet'!$T$8="","",'Final Calculation Sheet'!$T$8)</f>
        <v/>
      </c>
      <c r="W27" s="408">
        <f>IF('Final Calculation Sheet'!$T$20="","",'Final Calculation Sheet'!$T$20)</f>
        <v/>
      </c>
      <c r="X27" s="70">
        <f>IF('Final Calculation Sheet'!$T$39="","",'Final Calculation Sheet'!$T$39)</f>
        <v/>
      </c>
      <c r="Y27" s="408">
        <f>IF('Final Calculation Sheet'!$T$40="","",'Final Calculation Sheet'!$T$40)</f>
        <v/>
      </c>
      <c r="Z27" s="70">
        <f>IF('Final Calculation Sheet'!$T$31="","",'Final Calculation Sheet'!$T$31)</f>
        <v/>
      </c>
      <c r="AA27" s="408">
        <f>IF('Final Calculation Sheet'!$T$9="","",'Final Calculation Sheet'!$T$9)</f>
        <v/>
      </c>
      <c r="AB27" s="70">
        <f>IF('Final Calculation Sheet'!$T$14="","",'Final Calculation Sheet'!$T$14)</f>
        <v/>
      </c>
      <c r="AC27" s="408">
        <f>IF('Final Calculation Sheet'!$T$13="","",'Final Calculation Sheet'!$T$13)</f>
        <v/>
      </c>
      <c r="AD27" s="70">
        <f>IF('Final Calculation Sheet'!$T$16="","",'Final Calculation Sheet'!$T$16)</f>
        <v/>
      </c>
      <c r="AE27" s="408">
        <f>IF('Final Calculation Sheet'!$T$17="","",'Final Calculation Sheet'!$T$17)</f>
        <v/>
      </c>
      <c r="AF27" s="70">
        <f>IF('Final Calculation Sheet'!$T$23="","",'Final Calculation Sheet'!$T$23)</f>
        <v/>
      </c>
      <c r="AG27" s="408">
        <f>IF('Final Calculation Sheet'!$T$29="","",'Final Calculation Sheet'!$T$29)</f>
        <v/>
      </c>
      <c r="AH27" s="70">
        <f>IF('Final Calculation Sheet'!$T$34="","",'Final Calculation Sheet'!$T$34)</f>
        <v/>
      </c>
      <c r="AI27" s="408">
        <f>IF('Final Calculation Sheet'!$T$36="","",'Final Calculation Sheet'!$T$36)</f>
        <v/>
      </c>
      <c r="AJ27" s="70">
        <f>IF('Final Calculation Sheet'!$T$25="","",'Final Calculation Sheet'!$T$25)</f>
        <v/>
      </c>
      <c r="AK27" s="408">
        <f>IF('Final Calculation Sheet'!$T$28="","",'Final Calculation Sheet'!$T$28)</f>
        <v/>
      </c>
      <c r="AL27" s="70">
        <f>IF('Final Calculation Sheet'!$T$35="","",'Final Calculation Sheet'!$T$35)</f>
        <v/>
      </c>
      <c r="AM27" s="414">
        <f>SUM(B27:AL27)</f>
        <v/>
      </c>
    </row>
    <row r="28" outlineLevel="1" ht="15" customHeight="1">
      <c r="A28" s="69" t="inlineStr">
        <is>
          <t xml:space="preserve">      SD Received (₹)</t>
        </is>
      </c>
      <c r="B28" s="70">
        <f>IF('Final Calculation Sheet'!$U$4="","",'Final Calculation Sheet'!$U$4)</f>
        <v/>
      </c>
      <c r="C28" s="408">
        <f>IF('Final Calculation Sheet'!$U$6="","",'Final Calculation Sheet'!$U$6)</f>
        <v/>
      </c>
      <c r="D28" s="70">
        <f>IF('Final Calculation Sheet'!$U$7="","",'Final Calculation Sheet'!$U$7)</f>
        <v/>
      </c>
      <c r="E28" s="408">
        <f>IF('Final Calculation Sheet'!$U$15="","",'Final Calculation Sheet'!$U$15)</f>
        <v/>
      </c>
      <c r="F28" s="70">
        <f>IF('Final Calculation Sheet'!$U$38="","",'Final Calculation Sheet'!$U$38)</f>
        <v/>
      </c>
      <c r="G28" s="408">
        <f>IF('Final Calculation Sheet'!$U$27="","",'Final Calculation Sheet'!$U$27)</f>
        <v/>
      </c>
      <c r="H28" s="70">
        <f>IF('Final Calculation Sheet'!$U$5="","",'Final Calculation Sheet'!$U$5)</f>
        <v/>
      </c>
      <c r="I28" s="408">
        <f>IF('Final Calculation Sheet'!$U$10="","",'Final Calculation Sheet'!$U$10)</f>
        <v/>
      </c>
      <c r="J28" s="70">
        <f>IF('Final Calculation Sheet'!$U$11="","",'Final Calculation Sheet'!$U$11)</f>
        <v/>
      </c>
      <c r="K28" s="408">
        <f>IF('Final Calculation Sheet'!$U$12="","",'Final Calculation Sheet'!$U$12)</f>
        <v/>
      </c>
      <c r="L28" s="70">
        <f>IF('Final Calculation Sheet'!$U$18="","",'Final Calculation Sheet'!$U$18)</f>
        <v/>
      </c>
      <c r="M28" s="408">
        <f>IF('Final Calculation Sheet'!$U$19="","",'Final Calculation Sheet'!$U$19)</f>
        <v/>
      </c>
      <c r="N28" s="70">
        <f>IF('Final Calculation Sheet'!$U$22="","",'Final Calculation Sheet'!$U$22)</f>
        <v/>
      </c>
      <c r="O28" s="408">
        <f>IF('Final Calculation Sheet'!$U$24="","",'Final Calculation Sheet'!$U$24)</f>
        <v/>
      </c>
      <c r="P28" s="70">
        <f>IF('Final Calculation Sheet'!$U$26="","",'Final Calculation Sheet'!$U$26)</f>
        <v/>
      </c>
      <c r="Q28" s="408">
        <f>IF('Final Calculation Sheet'!$U$30="","",'Final Calculation Sheet'!$U$30)</f>
        <v/>
      </c>
      <c r="R28" s="70">
        <f>IF('Final Calculation Sheet'!$U$32="","",'Final Calculation Sheet'!$U$32)</f>
        <v/>
      </c>
      <c r="S28" s="408">
        <f>IF('Final Calculation Sheet'!$U$33="","",'Final Calculation Sheet'!$U$33)</f>
        <v/>
      </c>
      <c r="T28" s="70">
        <f>IF('Final Calculation Sheet'!$U$37="","",'Final Calculation Sheet'!$U$37)</f>
        <v/>
      </c>
      <c r="U28" s="408">
        <f>IF('Final Calculation Sheet'!$U$21="","",'Final Calculation Sheet'!$U$21)</f>
        <v/>
      </c>
      <c r="V28" s="70">
        <f>IF('Final Calculation Sheet'!$U$8="","",'Final Calculation Sheet'!$U$8)</f>
        <v/>
      </c>
      <c r="W28" s="408">
        <f>IF('Final Calculation Sheet'!$U$20="","",'Final Calculation Sheet'!$U$20)</f>
        <v/>
      </c>
      <c r="X28" s="70">
        <f>IF('Final Calculation Sheet'!$U$39="","",'Final Calculation Sheet'!$U$39)</f>
        <v/>
      </c>
      <c r="Y28" s="408">
        <f>IF('Final Calculation Sheet'!$U$40="","",'Final Calculation Sheet'!$U$40)</f>
        <v/>
      </c>
      <c r="Z28" s="70">
        <f>IF('Final Calculation Sheet'!$U$31="","",'Final Calculation Sheet'!$U$31)</f>
        <v/>
      </c>
      <c r="AA28" s="408">
        <f>IF('Final Calculation Sheet'!$U$9="","",'Final Calculation Sheet'!$U$9)</f>
        <v/>
      </c>
      <c r="AB28" s="70">
        <f>IF('Final Calculation Sheet'!$U$14="","",'Final Calculation Sheet'!$U$14)</f>
        <v/>
      </c>
      <c r="AC28" s="408">
        <f>IF('Final Calculation Sheet'!$U$13="","",'Final Calculation Sheet'!$U$13)</f>
        <v/>
      </c>
      <c r="AD28" s="70">
        <f>IF('Final Calculation Sheet'!$U$16="","",'Final Calculation Sheet'!$U$16)</f>
        <v/>
      </c>
      <c r="AE28" s="408">
        <f>IF('Final Calculation Sheet'!$U$17="","",'Final Calculation Sheet'!$U$17)</f>
        <v/>
      </c>
      <c r="AF28" s="70">
        <f>IF('Final Calculation Sheet'!$U$23="","",'Final Calculation Sheet'!$U$23)</f>
        <v/>
      </c>
      <c r="AG28" s="408">
        <f>IF('Final Calculation Sheet'!$U$29="","",'Final Calculation Sheet'!$U$29)</f>
        <v/>
      </c>
      <c r="AH28" s="70">
        <f>IF('Final Calculation Sheet'!$U$34="","",'Final Calculation Sheet'!$U$34)</f>
        <v/>
      </c>
      <c r="AI28" s="408">
        <f>IF('Final Calculation Sheet'!$U$36="","",'Final Calculation Sheet'!$U$36)</f>
        <v/>
      </c>
      <c r="AJ28" s="70">
        <f>IF('Final Calculation Sheet'!$U$25="","",'Final Calculation Sheet'!$U$25)</f>
        <v/>
      </c>
      <c r="AK28" s="408">
        <f>IF('Final Calculation Sheet'!$U$28="","",'Final Calculation Sheet'!$U$28)</f>
        <v/>
      </c>
      <c r="AL28" s="70">
        <f>IF('Final Calculation Sheet'!$U$35="","",'Final Calculation Sheet'!$U$35)</f>
        <v/>
      </c>
      <c r="AM28" s="414">
        <f>SUM(B28:AL28)</f>
        <v/>
      </c>
    </row>
    <row r="29" outlineLevel="1" ht="15" customHeight="1">
      <c r="A29" s="69" t="inlineStr">
        <is>
          <t xml:space="preserve">      SD Receipt Date</t>
        </is>
      </c>
      <c r="B29" s="76">
        <f>IF('Final Calculation Sheet'!$V$4="","",'Final Calculation Sheet'!$V$4)</f>
        <v/>
      </c>
      <c r="C29" s="412">
        <f>IF('Final Calculation Sheet'!$V$6="","",'Final Calculation Sheet'!$V$6)</f>
        <v/>
      </c>
      <c r="D29" s="76">
        <f>IF('Final Calculation Sheet'!$V$7="","",'Final Calculation Sheet'!$V$7)</f>
        <v/>
      </c>
      <c r="E29" s="412">
        <f>IF('Final Calculation Sheet'!$V$15="","",'Final Calculation Sheet'!$V$15)</f>
        <v/>
      </c>
      <c r="F29" s="76">
        <f>IF('Final Calculation Sheet'!$V$38="","",'Final Calculation Sheet'!$V$38)</f>
        <v/>
      </c>
      <c r="G29" s="412">
        <f>IF('Final Calculation Sheet'!$V$27="","",'Final Calculation Sheet'!$V$27)</f>
        <v/>
      </c>
      <c r="H29" s="76">
        <f>IF('Final Calculation Sheet'!$V$5="","",'Final Calculation Sheet'!$V$5)</f>
        <v/>
      </c>
      <c r="I29" s="412">
        <f>IF('Final Calculation Sheet'!$V$10="","",'Final Calculation Sheet'!$V$10)</f>
        <v/>
      </c>
      <c r="J29" s="76">
        <f>IF('Final Calculation Sheet'!$V$11="","",'Final Calculation Sheet'!$V$11)</f>
        <v/>
      </c>
      <c r="K29" s="412">
        <f>IF('Final Calculation Sheet'!$V$12="","",'Final Calculation Sheet'!$V$12)</f>
        <v/>
      </c>
      <c r="L29" s="76">
        <f>IF('Final Calculation Sheet'!$V$18="","",'Final Calculation Sheet'!$V$18)</f>
        <v/>
      </c>
      <c r="M29" s="412">
        <f>IF('Final Calculation Sheet'!$V$19="","",'Final Calculation Sheet'!$V$19)</f>
        <v/>
      </c>
      <c r="N29" s="76">
        <f>IF('Final Calculation Sheet'!$V$22="","",'Final Calculation Sheet'!$V$22)</f>
        <v/>
      </c>
      <c r="O29" s="412">
        <f>IF('Final Calculation Sheet'!$V$24="","",'Final Calculation Sheet'!$V$24)</f>
        <v/>
      </c>
      <c r="P29" s="76">
        <f>IF('Final Calculation Sheet'!$V$26="","",'Final Calculation Sheet'!$V$26)</f>
        <v/>
      </c>
      <c r="Q29" s="412">
        <f>IF('Final Calculation Sheet'!$V$30="","",'Final Calculation Sheet'!$V$30)</f>
        <v/>
      </c>
      <c r="R29" s="76">
        <f>IF('Final Calculation Sheet'!$V$32="","",'Final Calculation Sheet'!$V$32)</f>
        <v/>
      </c>
      <c r="S29" s="412">
        <f>IF('Final Calculation Sheet'!$V$33="","",'Final Calculation Sheet'!$V$33)</f>
        <v/>
      </c>
      <c r="T29" s="76">
        <f>IF('Final Calculation Sheet'!$V$37="","",'Final Calculation Sheet'!$V$37)</f>
        <v/>
      </c>
      <c r="U29" s="412">
        <f>IF('Final Calculation Sheet'!$V$21="","",'Final Calculation Sheet'!$V$21)</f>
        <v/>
      </c>
      <c r="V29" s="76">
        <f>IF('Final Calculation Sheet'!$V$8="","",'Final Calculation Sheet'!$V$8)</f>
        <v/>
      </c>
      <c r="W29" s="412">
        <f>IF('Final Calculation Sheet'!$V$20="","",'Final Calculation Sheet'!$V$20)</f>
        <v/>
      </c>
      <c r="X29" s="76">
        <f>IF('Final Calculation Sheet'!$V$39="","",'Final Calculation Sheet'!$V$39)</f>
        <v/>
      </c>
      <c r="Y29" s="412">
        <f>IF('Final Calculation Sheet'!$V$40="","",'Final Calculation Sheet'!$V$40)</f>
        <v/>
      </c>
      <c r="Z29" s="76">
        <f>IF('Final Calculation Sheet'!$V$31="","",'Final Calculation Sheet'!$V$31)</f>
        <v/>
      </c>
      <c r="AA29" s="412">
        <f>IF('Final Calculation Sheet'!$V$9="","",'Final Calculation Sheet'!$V$9)</f>
        <v/>
      </c>
      <c r="AB29" s="76">
        <f>IF('Final Calculation Sheet'!$V$14="","",'Final Calculation Sheet'!$V$14)</f>
        <v/>
      </c>
      <c r="AC29" s="412">
        <f>IF('Final Calculation Sheet'!$V$13="","",'Final Calculation Sheet'!$V$13)</f>
        <v/>
      </c>
      <c r="AD29" s="76">
        <f>IF('Final Calculation Sheet'!$V$16="","",'Final Calculation Sheet'!$V$16)</f>
        <v/>
      </c>
      <c r="AE29" s="412">
        <f>IF('Final Calculation Sheet'!$V$17="","",'Final Calculation Sheet'!$V$17)</f>
        <v/>
      </c>
      <c r="AF29" s="76">
        <f>IF('Final Calculation Sheet'!$V$23="","",'Final Calculation Sheet'!$V$23)</f>
        <v/>
      </c>
      <c r="AG29" s="412">
        <f>IF('Final Calculation Sheet'!$V$29="","",'Final Calculation Sheet'!$V$29)</f>
        <v/>
      </c>
      <c r="AH29" s="76">
        <f>IF('Final Calculation Sheet'!$V$34="","",'Final Calculation Sheet'!$V$34)</f>
        <v/>
      </c>
      <c r="AI29" s="412">
        <f>IF('Final Calculation Sheet'!$V$36="","",'Final Calculation Sheet'!$V$36)</f>
        <v/>
      </c>
      <c r="AJ29" s="76">
        <f>IF('Final Calculation Sheet'!$V$25="","",'Final Calculation Sheet'!$V$25)</f>
        <v/>
      </c>
      <c r="AK29" s="412">
        <f>IF('Final Calculation Sheet'!$V$28="","",'Final Calculation Sheet'!$V$28)</f>
        <v/>
      </c>
      <c r="AL29" s="76">
        <f>IF('Final Calculation Sheet'!$V$35="","",'Final Calculation Sheet'!$V$35)</f>
        <v/>
      </c>
      <c r="AM29" s="72" t="inlineStr">
        <is>
          <t>–</t>
        </is>
      </c>
    </row>
    <row r="30" ht="17" customHeight="1">
      <c r="A30" s="419" t="inlineStr">
        <is>
          <t xml:space="preserve">  ▸ FINAL PAYMENT</t>
        </is>
      </c>
      <c r="B30" s="387" t="n"/>
      <c r="C30" s="387" t="n"/>
      <c r="D30" s="387" t="n"/>
      <c r="E30" s="387" t="n"/>
      <c r="F30" s="387" t="n"/>
      <c r="G30" s="387" t="n"/>
      <c r="H30" s="387" t="n"/>
      <c r="I30" s="387" t="n"/>
      <c r="J30" s="387" t="n"/>
      <c r="K30" s="387" t="n"/>
      <c r="L30" s="387" t="n"/>
      <c r="M30" s="387" t="n"/>
      <c r="N30" s="387" t="n"/>
      <c r="O30" s="387" t="n"/>
      <c r="P30" s="387" t="n"/>
      <c r="Q30" s="387" t="n"/>
      <c r="R30" s="387" t="n"/>
      <c r="S30" s="387" t="n"/>
      <c r="T30" s="387" t="n"/>
      <c r="U30" s="387" t="n"/>
      <c r="V30" s="387" t="n"/>
      <c r="W30" s="387" t="n"/>
      <c r="X30" s="387" t="n"/>
      <c r="Y30" s="387" t="n"/>
      <c r="Z30" s="387" t="n"/>
      <c r="AA30" s="387" t="n"/>
      <c r="AB30" s="387" t="n"/>
      <c r="AC30" s="387" t="n"/>
      <c r="AD30" s="387" t="n"/>
      <c r="AE30" s="387" t="n"/>
      <c r="AF30" s="387" t="n"/>
      <c r="AG30" s="387" t="n"/>
      <c r="AH30" s="387" t="n"/>
      <c r="AI30" s="387" t="n"/>
      <c r="AJ30" s="387" t="n"/>
      <c r="AK30" s="387" t="n"/>
      <c r="AL30" s="387" t="n"/>
      <c r="AM30" s="387" t="n"/>
    </row>
    <row r="31" outlineLevel="1" ht="15" customHeight="1">
      <c r="A31" s="69" t="inlineStr">
        <is>
          <t xml:space="preserve">      FP Expected (₹)</t>
        </is>
      </c>
      <c r="B31" s="70">
        <f>IF('Final Calculation Sheet'!$W$4="","",'Final Calculation Sheet'!$W$4)</f>
        <v/>
      </c>
      <c r="C31" s="408">
        <f>IF('Final Calculation Sheet'!$W$6="","",'Final Calculation Sheet'!$W$6)</f>
        <v/>
      </c>
      <c r="D31" s="70">
        <f>IF('Final Calculation Sheet'!$W$7="","",'Final Calculation Sheet'!$W$7)</f>
        <v/>
      </c>
      <c r="E31" s="408">
        <f>IF('Final Calculation Sheet'!$W$15="","",'Final Calculation Sheet'!$W$15)</f>
        <v/>
      </c>
      <c r="F31" s="70">
        <f>IF('Final Calculation Sheet'!$W$38="","",'Final Calculation Sheet'!$W$38)</f>
        <v/>
      </c>
      <c r="G31" s="408">
        <f>IF('Final Calculation Sheet'!$W$27="","",'Final Calculation Sheet'!$W$27)</f>
        <v/>
      </c>
      <c r="H31" s="70">
        <f>IF('Final Calculation Sheet'!$W$5="","",'Final Calculation Sheet'!$W$5)</f>
        <v/>
      </c>
      <c r="I31" s="408">
        <f>IF('Final Calculation Sheet'!$W$10="","",'Final Calculation Sheet'!$W$10)</f>
        <v/>
      </c>
      <c r="J31" s="70">
        <f>IF('Final Calculation Sheet'!$W$11="","",'Final Calculation Sheet'!$W$11)</f>
        <v/>
      </c>
      <c r="K31" s="408">
        <f>IF('Final Calculation Sheet'!$W$12="","",'Final Calculation Sheet'!$W$12)</f>
        <v/>
      </c>
      <c r="L31" s="70">
        <f>IF('Final Calculation Sheet'!$W$18="","",'Final Calculation Sheet'!$W$18)</f>
        <v/>
      </c>
      <c r="M31" s="408">
        <f>IF('Final Calculation Sheet'!$W$19="","",'Final Calculation Sheet'!$W$19)</f>
        <v/>
      </c>
      <c r="N31" s="70">
        <f>IF('Final Calculation Sheet'!$W$22="","",'Final Calculation Sheet'!$W$22)</f>
        <v/>
      </c>
      <c r="O31" s="408">
        <f>IF('Final Calculation Sheet'!$W$24="","",'Final Calculation Sheet'!$W$24)</f>
        <v/>
      </c>
      <c r="P31" s="70">
        <f>IF('Final Calculation Sheet'!$W$26="","",'Final Calculation Sheet'!$W$26)</f>
        <v/>
      </c>
      <c r="Q31" s="408">
        <f>IF('Final Calculation Sheet'!$W$30="","",'Final Calculation Sheet'!$W$30)</f>
        <v/>
      </c>
      <c r="R31" s="70">
        <f>IF('Final Calculation Sheet'!$W$32="","",'Final Calculation Sheet'!$W$32)</f>
        <v/>
      </c>
      <c r="S31" s="408">
        <f>IF('Final Calculation Sheet'!$W$33="","",'Final Calculation Sheet'!$W$33)</f>
        <v/>
      </c>
      <c r="T31" s="70">
        <f>IF('Final Calculation Sheet'!$W$37="","",'Final Calculation Sheet'!$W$37)</f>
        <v/>
      </c>
      <c r="U31" s="408">
        <f>IF('Final Calculation Sheet'!$W$21="","",'Final Calculation Sheet'!$W$21)</f>
        <v/>
      </c>
      <c r="V31" s="70">
        <f>IF('Final Calculation Sheet'!$W$8="","",'Final Calculation Sheet'!$W$8)</f>
        <v/>
      </c>
      <c r="W31" s="408">
        <f>IF('Final Calculation Sheet'!$W$20="","",'Final Calculation Sheet'!$W$20)</f>
        <v/>
      </c>
      <c r="X31" s="70">
        <f>IF('Final Calculation Sheet'!$W$39="","",'Final Calculation Sheet'!$W$39)</f>
        <v/>
      </c>
      <c r="Y31" s="408">
        <f>IF('Final Calculation Sheet'!$W$40="","",'Final Calculation Sheet'!$W$40)</f>
        <v/>
      </c>
      <c r="Z31" s="70">
        <f>IF('Final Calculation Sheet'!$W$31="","",'Final Calculation Sheet'!$W$31)</f>
        <v/>
      </c>
      <c r="AA31" s="408">
        <f>IF('Final Calculation Sheet'!$W$9="","",'Final Calculation Sheet'!$W$9)</f>
        <v/>
      </c>
      <c r="AB31" s="70">
        <f>IF('Final Calculation Sheet'!$W$14="","",'Final Calculation Sheet'!$W$14)</f>
        <v/>
      </c>
      <c r="AC31" s="408">
        <f>IF('Final Calculation Sheet'!$W$13="","",'Final Calculation Sheet'!$W$13)</f>
        <v/>
      </c>
      <c r="AD31" s="70">
        <f>IF('Final Calculation Sheet'!$W$16="","",'Final Calculation Sheet'!$W$16)</f>
        <v/>
      </c>
      <c r="AE31" s="408">
        <f>IF('Final Calculation Sheet'!$W$17="","",'Final Calculation Sheet'!$W$17)</f>
        <v/>
      </c>
      <c r="AF31" s="70">
        <f>IF('Final Calculation Sheet'!$W$23="","",'Final Calculation Sheet'!$W$23)</f>
        <v/>
      </c>
      <c r="AG31" s="408">
        <f>IF('Final Calculation Sheet'!$W$29="","",'Final Calculation Sheet'!$W$29)</f>
        <v/>
      </c>
      <c r="AH31" s="70">
        <f>IF('Final Calculation Sheet'!$W$34="","",'Final Calculation Sheet'!$W$34)</f>
        <v/>
      </c>
      <c r="AI31" s="408">
        <f>IF('Final Calculation Sheet'!$W$36="","",'Final Calculation Sheet'!$W$36)</f>
        <v/>
      </c>
      <c r="AJ31" s="70">
        <f>IF('Final Calculation Sheet'!$W$25="","",'Final Calculation Sheet'!$W$25)</f>
        <v/>
      </c>
      <c r="AK31" s="408">
        <f>IF('Final Calculation Sheet'!$W$28="","",'Final Calculation Sheet'!$W$28)</f>
        <v/>
      </c>
      <c r="AL31" s="70">
        <f>IF('Final Calculation Sheet'!$W$35="","",'Final Calculation Sheet'!$W$35)</f>
        <v/>
      </c>
      <c r="AM31" s="414">
        <f>SUM(B31:AL31)</f>
        <v/>
      </c>
    </row>
    <row r="32" outlineLevel="1" ht="15" customHeight="1">
      <c r="A32" s="69" t="inlineStr">
        <is>
          <t xml:space="preserve">      FP Received (₹)</t>
        </is>
      </c>
      <c r="B32" s="70">
        <f>IF('Final Calculation Sheet'!$X$4="","",'Final Calculation Sheet'!$X$4)</f>
        <v/>
      </c>
      <c r="C32" s="408">
        <f>IF('Final Calculation Sheet'!$X$6="","",'Final Calculation Sheet'!$X$6)</f>
        <v/>
      </c>
      <c r="D32" s="70">
        <f>IF('Final Calculation Sheet'!$X$7="","",'Final Calculation Sheet'!$X$7)</f>
        <v/>
      </c>
      <c r="E32" s="408">
        <f>IF('Final Calculation Sheet'!$X$15="","",'Final Calculation Sheet'!$X$15)</f>
        <v/>
      </c>
      <c r="F32" s="70">
        <f>IF('Final Calculation Sheet'!$X$38="","",'Final Calculation Sheet'!$X$38)</f>
        <v/>
      </c>
      <c r="G32" s="408">
        <f>IF('Final Calculation Sheet'!$X$27="","",'Final Calculation Sheet'!$X$27)</f>
        <v/>
      </c>
      <c r="H32" s="70">
        <f>IF('Final Calculation Sheet'!$X$5="","",'Final Calculation Sheet'!$X$5)</f>
        <v/>
      </c>
      <c r="I32" s="408">
        <f>IF('Final Calculation Sheet'!$X$10="","",'Final Calculation Sheet'!$X$10)</f>
        <v/>
      </c>
      <c r="J32" s="70">
        <f>IF('Final Calculation Sheet'!$X$11="","",'Final Calculation Sheet'!$X$11)</f>
        <v/>
      </c>
      <c r="K32" s="408">
        <f>IF('Final Calculation Sheet'!$X$12="","",'Final Calculation Sheet'!$X$12)</f>
        <v/>
      </c>
      <c r="L32" s="70">
        <f>IF('Final Calculation Sheet'!$X$18="","",'Final Calculation Sheet'!$X$18)</f>
        <v/>
      </c>
      <c r="M32" s="408">
        <f>IF('Final Calculation Sheet'!$X$19="","",'Final Calculation Sheet'!$X$19)</f>
        <v/>
      </c>
      <c r="N32" s="70">
        <f>IF('Final Calculation Sheet'!$X$22="","",'Final Calculation Sheet'!$X$22)</f>
        <v/>
      </c>
      <c r="O32" s="408">
        <f>IF('Final Calculation Sheet'!$X$24="","",'Final Calculation Sheet'!$X$24)</f>
        <v/>
      </c>
      <c r="P32" s="70">
        <f>IF('Final Calculation Sheet'!$X$26="","",'Final Calculation Sheet'!$X$26)</f>
        <v/>
      </c>
      <c r="Q32" s="408">
        <f>IF('Final Calculation Sheet'!$X$30="","",'Final Calculation Sheet'!$X$30)</f>
        <v/>
      </c>
      <c r="R32" s="70">
        <f>IF('Final Calculation Sheet'!$X$32="","",'Final Calculation Sheet'!$X$32)</f>
        <v/>
      </c>
      <c r="S32" s="408">
        <f>IF('Final Calculation Sheet'!$X$33="","",'Final Calculation Sheet'!$X$33)</f>
        <v/>
      </c>
      <c r="T32" s="70">
        <f>IF('Final Calculation Sheet'!$X$37="","",'Final Calculation Sheet'!$X$37)</f>
        <v/>
      </c>
      <c r="U32" s="408">
        <f>IF('Final Calculation Sheet'!$X$21="","",'Final Calculation Sheet'!$X$21)</f>
        <v/>
      </c>
      <c r="V32" s="70">
        <f>IF('Final Calculation Sheet'!$X$8="","",'Final Calculation Sheet'!$X$8)</f>
        <v/>
      </c>
      <c r="W32" s="408">
        <f>IF('Final Calculation Sheet'!$X$20="","",'Final Calculation Sheet'!$X$20)</f>
        <v/>
      </c>
      <c r="X32" s="70">
        <f>IF('Final Calculation Sheet'!$X$39="","",'Final Calculation Sheet'!$X$39)</f>
        <v/>
      </c>
      <c r="Y32" s="408">
        <f>IF('Final Calculation Sheet'!$X$40="","",'Final Calculation Sheet'!$X$40)</f>
        <v/>
      </c>
      <c r="Z32" s="70">
        <f>IF('Final Calculation Sheet'!$X$31="","",'Final Calculation Sheet'!$X$31)</f>
        <v/>
      </c>
      <c r="AA32" s="408">
        <f>IF('Final Calculation Sheet'!$X$9="","",'Final Calculation Sheet'!$X$9)</f>
        <v/>
      </c>
      <c r="AB32" s="70">
        <f>IF('Final Calculation Sheet'!$X$14="","",'Final Calculation Sheet'!$X$14)</f>
        <v/>
      </c>
      <c r="AC32" s="408">
        <f>IF('Final Calculation Sheet'!$X$13="","",'Final Calculation Sheet'!$X$13)</f>
        <v/>
      </c>
      <c r="AD32" s="70">
        <f>IF('Final Calculation Sheet'!$X$16="","",'Final Calculation Sheet'!$X$16)</f>
        <v/>
      </c>
      <c r="AE32" s="408">
        <f>IF('Final Calculation Sheet'!$X$17="","",'Final Calculation Sheet'!$X$17)</f>
        <v/>
      </c>
      <c r="AF32" s="70">
        <f>IF('Final Calculation Sheet'!$X$23="","",'Final Calculation Sheet'!$X$23)</f>
        <v/>
      </c>
      <c r="AG32" s="408">
        <f>IF('Final Calculation Sheet'!$X$29="","",'Final Calculation Sheet'!$X$29)</f>
        <v/>
      </c>
      <c r="AH32" s="70">
        <f>IF('Final Calculation Sheet'!$X$34="","",'Final Calculation Sheet'!$X$34)</f>
        <v/>
      </c>
      <c r="AI32" s="408">
        <f>IF('Final Calculation Sheet'!$X$36="","",'Final Calculation Sheet'!$X$36)</f>
        <v/>
      </c>
      <c r="AJ32" s="70">
        <f>IF('Final Calculation Sheet'!$X$25="","",'Final Calculation Sheet'!$X$25)</f>
        <v/>
      </c>
      <c r="AK32" s="408">
        <f>IF('Final Calculation Sheet'!$X$28="","",'Final Calculation Sheet'!$X$28)</f>
        <v/>
      </c>
      <c r="AL32" s="70">
        <f>IF('Final Calculation Sheet'!$X$35="","",'Final Calculation Sheet'!$X$35)</f>
        <v/>
      </c>
      <c r="AM32" s="414">
        <f>SUM(B32:AL32)</f>
        <v/>
      </c>
    </row>
    <row r="33" outlineLevel="1" ht="15" customHeight="1">
      <c r="A33" s="69" t="inlineStr">
        <is>
          <t xml:space="preserve">      FP Receipt Date</t>
        </is>
      </c>
      <c r="B33" s="76">
        <f>IF('Final Calculation Sheet'!$Y$4="","",'Final Calculation Sheet'!$Y$4)</f>
        <v/>
      </c>
      <c r="C33" s="412">
        <f>IF('Final Calculation Sheet'!$Y$6="","",'Final Calculation Sheet'!$Y$6)</f>
        <v/>
      </c>
      <c r="D33" s="76">
        <f>IF('Final Calculation Sheet'!$Y$7="","",'Final Calculation Sheet'!$Y$7)</f>
        <v/>
      </c>
      <c r="E33" s="412">
        <f>IF('Final Calculation Sheet'!$Y$15="","",'Final Calculation Sheet'!$Y$15)</f>
        <v/>
      </c>
      <c r="F33" s="76">
        <f>IF('Final Calculation Sheet'!$Y$38="","",'Final Calculation Sheet'!$Y$38)</f>
        <v/>
      </c>
      <c r="G33" s="412">
        <f>IF('Final Calculation Sheet'!$Y$27="","",'Final Calculation Sheet'!$Y$27)</f>
        <v/>
      </c>
      <c r="H33" s="76">
        <f>IF('Final Calculation Sheet'!$Y$5="","",'Final Calculation Sheet'!$Y$5)</f>
        <v/>
      </c>
      <c r="I33" s="412">
        <f>IF('Final Calculation Sheet'!$Y$10="","",'Final Calculation Sheet'!$Y$10)</f>
        <v/>
      </c>
      <c r="J33" s="76">
        <f>IF('Final Calculation Sheet'!$Y$11="","",'Final Calculation Sheet'!$Y$11)</f>
        <v/>
      </c>
      <c r="K33" s="412">
        <f>IF('Final Calculation Sheet'!$Y$12="","",'Final Calculation Sheet'!$Y$12)</f>
        <v/>
      </c>
      <c r="L33" s="76">
        <f>IF('Final Calculation Sheet'!$Y$18="","",'Final Calculation Sheet'!$Y$18)</f>
        <v/>
      </c>
      <c r="M33" s="412">
        <f>IF('Final Calculation Sheet'!$Y$19="","",'Final Calculation Sheet'!$Y$19)</f>
        <v/>
      </c>
      <c r="N33" s="76">
        <f>IF('Final Calculation Sheet'!$Y$22="","",'Final Calculation Sheet'!$Y$22)</f>
        <v/>
      </c>
      <c r="O33" s="412">
        <f>IF('Final Calculation Sheet'!$Y$24="","",'Final Calculation Sheet'!$Y$24)</f>
        <v/>
      </c>
      <c r="P33" s="76">
        <f>IF('Final Calculation Sheet'!$Y$26="","",'Final Calculation Sheet'!$Y$26)</f>
        <v/>
      </c>
      <c r="Q33" s="412">
        <f>IF('Final Calculation Sheet'!$Y$30="","",'Final Calculation Sheet'!$Y$30)</f>
        <v/>
      </c>
      <c r="R33" s="76">
        <f>IF('Final Calculation Sheet'!$Y$32="","",'Final Calculation Sheet'!$Y$32)</f>
        <v/>
      </c>
      <c r="S33" s="412">
        <f>IF('Final Calculation Sheet'!$Y$33="","",'Final Calculation Sheet'!$Y$33)</f>
        <v/>
      </c>
      <c r="T33" s="76">
        <f>IF('Final Calculation Sheet'!$Y$37="","",'Final Calculation Sheet'!$Y$37)</f>
        <v/>
      </c>
      <c r="U33" s="412">
        <f>IF('Final Calculation Sheet'!$Y$21="","",'Final Calculation Sheet'!$Y$21)</f>
        <v/>
      </c>
      <c r="V33" s="76">
        <f>IF('Final Calculation Sheet'!$Y$8="","",'Final Calculation Sheet'!$Y$8)</f>
        <v/>
      </c>
      <c r="W33" s="412">
        <f>IF('Final Calculation Sheet'!$Y$20="","",'Final Calculation Sheet'!$Y$20)</f>
        <v/>
      </c>
      <c r="X33" s="76">
        <f>IF('Final Calculation Sheet'!$Y$39="","",'Final Calculation Sheet'!$Y$39)</f>
        <v/>
      </c>
      <c r="Y33" s="412">
        <f>IF('Final Calculation Sheet'!$Y$40="","",'Final Calculation Sheet'!$Y$40)</f>
        <v/>
      </c>
      <c r="Z33" s="76">
        <f>IF('Final Calculation Sheet'!$Y$31="","",'Final Calculation Sheet'!$Y$31)</f>
        <v/>
      </c>
      <c r="AA33" s="412">
        <f>IF('Final Calculation Sheet'!$Y$9="","",'Final Calculation Sheet'!$Y$9)</f>
        <v/>
      </c>
      <c r="AB33" s="76">
        <f>IF('Final Calculation Sheet'!$Y$14="","",'Final Calculation Sheet'!$Y$14)</f>
        <v/>
      </c>
      <c r="AC33" s="412">
        <f>IF('Final Calculation Sheet'!$Y$13="","",'Final Calculation Sheet'!$Y$13)</f>
        <v/>
      </c>
      <c r="AD33" s="76">
        <f>IF('Final Calculation Sheet'!$Y$16="","",'Final Calculation Sheet'!$Y$16)</f>
        <v/>
      </c>
      <c r="AE33" s="412">
        <f>IF('Final Calculation Sheet'!$Y$17="","",'Final Calculation Sheet'!$Y$17)</f>
        <v/>
      </c>
      <c r="AF33" s="76">
        <f>IF('Final Calculation Sheet'!$Y$23="","",'Final Calculation Sheet'!$Y$23)</f>
        <v/>
      </c>
      <c r="AG33" s="412">
        <f>IF('Final Calculation Sheet'!$Y$29="","",'Final Calculation Sheet'!$Y$29)</f>
        <v/>
      </c>
      <c r="AH33" s="76">
        <f>IF('Final Calculation Sheet'!$Y$34="","",'Final Calculation Sheet'!$Y$34)</f>
        <v/>
      </c>
      <c r="AI33" s="412">
        <f>IF('Final Calculation Sheet'!$Y$36="","",'Final Calculation Sheet'!$Y$36)</f>
        <v/>
      </c>
      <c r="AJ33" s="76">
        <f>IF('Final Calculation Sheet'!$Y$25="","",'Final Calculation Sheet'!$Y$25)</f>
        <v/>
      </c>
      <c r="AK33" s="412">
        <f>IF('Final Calculation Sheet'!$Y$28="","",'Final Calculation Sheet'!$Y$28)</f>
        <v/>
      </c>
      <c r="AL33" s="76">
        <f>IF('Final Calculation Sheet'!$Y$35="","",'Final Calculation Sheet'!$Y$35)</f>
        <v/>
      </c>
      <c r="AM33" s="72" t="inlineStr">
        <is>
          <t>–</t>
        </is>
      </c>
    </row>
    <row r="34" ht="17" customHeight="1">
      <c r="A34" s="420" t="inlineStr">
        <is>
          <t xml:space="preserve">  ▸ LPP</t>
        </is>
      </c>
      <c r="B34" s="388" t="n"/>
      <c r="C34" s="388" t="n"/>
      <c r="D34" s="388" t="n"/>
      <c r="E34" s="388" t="n"/>
      <c r="F34" s="388" t="n"/>
      <c r="G34" s="388" t="n"/>
      <c r="H34" s="388" t="n"/>
      <c r="I34" s="388" t="n"/>
      <c r="J34" s="388" t="n"/>
      <c r="K34" s="388" t="n"/>
      <c r="L34" s="388" t="n"/>
      <c r="M34" s="388" t="n"/>
      <c r="N34" s="388" t="n"/>
      <c r="O34" s="388" t="n"/>
      <c r="P34" s="388" t="n"/>
      <c r="Q34" s="388" t="n"/>
      <c r="R34" s="388" t="n"/>
      <c r="S34" s="388" t="n"/>
      <c r="T34" s="388" t="n"/>
      <c r="U34" s="388" t="n"/>
      <c r="V34" s="388" t="n"/>
      <c r="W34" s="388" t="n"/>
      <c r="X34" s="388" t="n"/>
      <c r="Y34" s="388" t="n"/>
      <c r="Z34" s="388" t="n"/>
      <c r="AA34" s="388" t="n"/>
      <c r="AB34" s="388" t="n"/>
      <c r="AC34" s="388" t="n"/>
      <c r="AD34" s="388" t="n"/>
      <c r="AE34" s="388" t="n"/>
      <c r="AF34" s="388" t="n"/>
      <c r="AG34" s="388" t="n"/>
      <c r="AH34" s="388" t="n"/>
      <c r="AI34" s="388" t="n"/>
      <c r="AJ34" s="388" t="n"/>
      <c r="AK34" s="388" t="n"/>
      <c r="AL34" s="388" t="n"/>
      <c r="AM34" s="388" t="n"/>
    </row>
    <row r="35" outlineLevel="1" ht="15" customHeight="1">
      <c r="A35" s="69" t="inlineStr">
        <is>
          <t xml:space="preserve">      LPP Expected (₹)</t>
        </is>
      </c>
      <c r="B35" s="70">
        <f>IF('Final Calculation Sheet'!$Z$4="","",'Final Calculation Sheet'!$Z$4)</f>
        <v/>
      </c>
      <c r="C35" s="408">
        <f>IF('Final Calculation Sheet'!$Z$6="","",'Final Calculation Sheet'!$Z$6)</f>
        <v/>
      </c>
      <c r="D35" s="70">
        <f>IF('Final Calculation Sheet'!$Z$7="","",'Final Calculation Sheet'!$Z$7)</f>
        <v/>
      </c>
      <c r="E35" s="408">
        <f>IF('Final Calculation Sheet'!$Z$15="","",'Final Calculation Sheet'!$Z$15)</f>
        <v/>
      </c>
      <c r="F35" s="70">
        <f>IF('Final Calculation Sheet'!$Z$38="","",'Final Calculation Sheet'!$Z$38)</f>
        <v/>
      </c>
      <c r="G35" s="408">
        <f>IF('Final Calculation Sheet'!$Z$27="","",'Final Calculation Sheet'!$Z$27)</f>
        <v/>
      </c>
      <c r="H35" s="70">
        <f>IF('Final Calculation Sheet'!$Z$5="","",'Final Calculation Sheet'!$Z$5)</f>
        <v/>
      </c>
      <c r="I35" s="408">
        <f>IF('Final Calculation Sheet'!$Z$10="","",'Final Calculation Sheet'!$Z$10)</f>
        <v/>
      </c>
      <c r="J35" s="70">
        <f>IF('Final Calculation Sheet'!$Z$11="","",'Final Calculation Sheet'!$Z$11)</f>
        <v/>
      </c>
      <c r="K35" s="408">
        <f>IF('Final Calculation Sheet'!$Z$12="","",'Final Calculation Sheet'!$Z$12)</f>
        <v/>
      </c>
      <c r="L35" s="70">
        <f>IF('Final Calculation Sheet'!$Z$18="","",'Final Calculation Sheet'!$Z$18)</f>
        <v/>
      </c>
      <c r="M35" s="408">
        <f>IF('Final Calculation Sheet'!$Z$19="","",'Final Calculation Sheet'!$Z$19)</f>
        <v/>
      </c>
      <c r="N35" s="70">
        <f>IF('Final Calculation Sheet'!$Z$22="","",'Final Calculation Sheet'!$Z$22)</f>
        <v/>
      </c>
      <c r="O35" s="408">
        <f>IF('Final Calculation Sheet'!$Z$24="","",'Final Calculation Sheet'!$Z$24)</f>
        <v/>
      </c>
      <c r="P35" s="70">
        <f>IF('Final Calculation Sheet'!$Z$26="","",'Final Calculation Sheet'!$Z$26)</f>
        <v/>
      </c>
      <c r="Q35" s="408">
        <f>IF('Final Calculation Sheet'!$Z$30="","",'Final Calculation Sheet'!$Z$30)</f>
        <v/>
      </c>
      <c r="R35" s="70">
        <f>IF('Final Calculation Sheet'!$Z$32="","",'Final Calculation Sheet'!$Z$32)</f>
        <v/>
      </c>
      <c r="S35" s="408">
        <f>IF('Final Calculation Sheet'!$Z$33="","",'Final Calculation Sheet'!$Z$33)</f>
        <v/>
      </c>
      <c r="T35" s="70">
        <f>IF('Final Calculation Sheet'!$Z$37="","",'Final Calculation Sheet'!$Z$37)</f>
        <v/>
      </c>
      <c r="U35" s="408">
        <f>IF('Final Calculation Sheet'!$Z$21="","",'Final Calculation Sheet'!$Z$21)</f>
        <v/>
      </c>
      <c r="V35" s="70">
        <f>IF('Final Calculation Sheet'!$Z$8="","",'Final Calculation Sheet'!$Z$8)</f>
        <v/>
      </c>
      <c r="W35" s="408">
        <f>IF('Final Calculation Sheet'!$Z$20="","",'Final Calculation Sheet'!$Z$20)</f>
        <v/>
      </c>
      <c r="X35" s="70">
        <f>IF('Final Calculation Sheet'!$Z$39="","",'Final Calculation Sheet'!$Z$39)</f>
        <v/>
      </c>
      <c r="Y35" s="408">
        <f>IF('Final Calculation Sheet'!$Z$40="","",'Final Calculation Sheet'!$Z$40)</f>
        <v/>
      </c>
      <c r="Z35" s="70">
        <f>IF('Final Calculation Sheet'!$Z$31="","",'Final Calculation Sheet'!$Z$31)</f>
        <v/>
      </c>
      <c r="AA35" s="408">
        <f>IF('Final Calculation Sheet'!$Z$9="","",'Final Calculation Sheet'!$Z$9)</f>
        <v/>
      </c>
      <c r="AB35" s="70">
        <f>IF('Final Calculation Sheet'!$Z$14="","",'Final Calculation Sheet'!$Z$14)</f>
        <v/>
      </c>
      <c r="AC35" s="408">
        <f>IF('Final Calculation Sheet'!$Z$13="","",'Final Calculation Sheet'!$Z$13)</f>
        <v/>
      </c>
      <c r="AD35" s="70">
        <f>IF('Final Calculation Sheet'!$Z$16="","",'Final Calculation Sheet'!$Z$16)</f>
        <v/>
      </c>
      <c r="AE35" s="408">
        <f>IF('Final Calculation Sheet'!$Z$17="","",'Final Calculation Sheet'!$Z$17)</f>
        <v/>
      </c>
      <c r="AF35" s="70">
        <f>IF('Final Calculation Sheet'!$Z$23="","",'Final Calculation Sheet'!$Z$23)</f>
        <v/>
      </c>
      <c r="AG35" s="408">
        <f>IF('Final Calculation Sheet'!$Z$29="","",'Final Calculation Sheet'!$Z$29)</f>
        <v/>
      </c>
      <c r="AH35" s="70">
        <f>IF('Final Calculation Sheet'!$Z$34="","",'Final Calculation Sheet'!$Z$34)</f>
        <v/>
      </c>
      <c r="AI35" s="408">
        <f>IF('Final Calculation Sheet'!$Z$36="","",'Final Calculation Sheet'!$Z$36)</f>
        <v/>
      </c>
      <c r="AJ35" s="70">
        <f>IF('Final Calculation Sheet'!$Z$25="","",'Final Calculation Sheet'!$Z$25)</f>
        <v/>
      </c>
      <c r="AK35" s="408">
        <f>IF('Final Calculation Sheet'!$Z$28="","",'Final Calculation Sheet'!$Z$28)</f>
        <v/>
      </c>
      <c r="AL35" s="70">
        <f>IF('Final Calculation Sheet'!$Z$35="","",'Final Calculation Sheet'!$Z$35)</f>
        <v/>
      </c>
      <c r="AM35" s="414">
        <f>SUM(B35:AL35)</f>
        <v/>
      </c>
    </row>
    <row r="36" outlineLevel="1" ht="15" customHeight="1">
      <c r="A36" s="69" t="inlineStr">
        <is>
          <t xml:space="preserve">      LPP Received (₹)</t>
        </is>
      </c>
      <c r="B36" s="70">
        <f>IF('Final Calculation Sheet'!$AA$4="","",'Final Calculation Sheet'!$AA$4)</f>
        <v/>
      </c>
      <c r="C36" s="408">
        <f>IF('Final Calculation Sheet'!$AA$6="","",'Final Calculation Sheet'!$AA$6)</f>
        <v/>
      </c>
      <c r="D36" s="70">
        <f>IF('Final Calculation Sheet'!$AA$7="","",'Final Calculation Sheet'!$AA$7)</f>
        <v/>
      </c>
      <c r="E36" s="408">
        <f>IF('Final Calculation Sheet'!$AA$15="","",'Final Calculation Sheet'!$AA$15)</f>
        <v/>
      </c>
      <c r="F36" s="70">
        <f>IF('Final Calculation Sheet'!$AA$38="","",'Final Calculation Sheet'!$AA$38)</f>
        <v/>
      </c>
      <c r="G36" s="408">
        <f>IF('Final Calculation Sheet'!$AA$27="","",'Final Calculation Sheet'!$AA$27)</f>
        <v/>
      </c>
      <c r="H36" s="70">
        <f>IF('Final Calculation Sheet'!$AA$5="","",'Final Calculation Sheet'!$AA$5)</f>
        <v/>
      </c>
      <c r="I36" s="408">
        <f>IF('Final Calculation Sheet'!$AA$10="","",'Final Calculation Sheet'!$AA$10)</f>
        <v/>
      </c>
      <c r="J36" s="70">
        <f>IF('Final Calculation Sheet'!$AA$11="","",'Final Calculation Sheet'!$AA$11)</f>
        <v/>
      </c>
      <c r="K36" s="408">
        <f>IF('Final Calculation Sheet'!$AA$12="","",'Final Calculation Sheet'!$AA$12)</f>
        <v/>
      </c>
      <c r="L36" s="70">
        <f>IF('Final Calculation Sheet'!$AA$18="","",'Final Calculation Sheet'!$AA$18)</f>
        <v/>
      </c>
      <c r="M36" s="408">
        <f>IF('Final Calculation Sheet'!$AA$19="","",'Final Calculation Sheet'!$AA$19)</f>
        <v/>
      </c>
      <c r="N36" s="70">
        <f>IF('Final Calculation Sheet'!$AA$22="","",'Final Calculation Sheet'!$AA$22)</f>
        <v/>
      </c>
      <c r="O36" s="408">
        <f>IF('Final Calculation Sheet'!$AA$24="","",'Final Calculation Sheet'!$AA$24)</f>
        <v/>
      </c>
      <c r="P36" s="70">
        <f>IF('Final Calculation Sheet'!$AA$26="","",'Final Calculation Sheet'!$AA$26)</f>
        <v/>
      </c>
      <c r="Q36" s="408">
        <f>IF('Final Calculation Sheet'!$AA$30="","",'Final Calculation Sheet'!$AA$30)</f>
        <v/>
      </c>
      <c r="R36" s="70">
        <f>IF('Final Calculation Sheet'!$AA$32="","",'Final Calculation Sheet'!$AA$32)</f>
        <v/>
      </c>
      <c r="S36" s="408">
        <f>IF('Final Calculation Sheet'!$AA$33="","",'Final Calculation Sheet'!$AA$33)</f>
        <v/>
      </c>
      <c r="T36" s="70">
        <f>IF('Final Calculation Sheet'!$AA$37="","",'Final Calculation Sheet'!$AA$37)</f>
        <v/>
      </c>
      <c r="U36" s="408">
        <f>IF('Final Calculation Sheet'!$AA$21="","",'Final Calculation Sheet'!$AA$21)</f>
        <v/>
      </c>
      <c r="V36" s="70">
        <f>IF('Final Calculation Sheet'!$AA$8="","",'Final Calculation Sheet'!$AA$8)</f>
        <v/>
      </c>
      <c r="W36" s="408">
        <f>IF('Final Calculation Sheet'!$AA$20="","",'Final Calculation Sheet'!$AA$20)</f>
        <v/>
      </c>
      <c r="X36" s="70">
        <f>IF('Final Calculation Sheet'!$AA$39="","",'Final Calculation Sheet'!$AA$39)</f>
        <v/>
      </c>
      <c r="Y36" s="408">
        <f>IF('Final Calculation Sheet'!$AA$40="","",'Final Calculation Sheet'!$AA$40)</f>
        <v/>
      </c>
      <c r="Z36" s="70">
        <f>IF('Final Calculation Sheet'!$AA$31="","",'Final Calculation Sheet'!$AA$31)</f>
        <v/>
      </c>
      <c r="AA36" s="408">
        <f>IF('Final Calculation Sheet'!$AA$9="","",'Final Calculation Sheet'!$AA$9)</f>
        <v/>
      </c>
      <c r="AB36" s="70">
        <f>IF('Final Calculation Sheet'!$AA$14="","",'Final Calculation Sheet'!$AA$14)</f>
        <v/>
      </c>
      <c r="AC36" s="408">
        <f>IF('Final Calculation Sheet'!$AA$13="","",'Final Calculation Sheet'!$AA$13)</f>
        <v/>
      </c>
      <c r="AD36" s="70">
        <f>IF('Final Calculation Sheet'!$AA$16="","",'Final Calculation Sheet'!$AA$16)</f>
        <v/>
      </c>
      <c r="AE36" s="408">
        <f>IF('Final Calculation Sheet'!$AA$17="","",'Final Calculation Sheet'!$AA$17)</f>
        <v/>
      </c>
      <c r="AF36" s="70">
        <f>IF('Final Calculation Sheet'!$AA$23="","",'Final Calculation Sheet'!$AA$23)</f>
        <v/>
      </c>
      <c r="AG36" s="408">
        <f>IF('Final Calculation Sheet'!$AA$29="","",'Final Calculation Sheet'!$AA$29)</f>
        <v/>
      </c>
      <c r="AH36" s="70">
        <f>IF('Final Calculation Sheet'!$AA$34="","",'Final Calculation Sheet'!$AA$34)</f>
        <v/>
      </c>
      <c r="AI36" s="408">
        <f>IF('Final Calculation Sheet'!$AA$36="","",'Final Calculation Sheet'!$AA$36)</f>
        <v/>
      </c>
      <c r="AJ36" s="70">
        <f>IF('Final Calculation Sheet'!$AA$25="","",'Final Calculation Sheet'!$AA$25)</f>
        <v/>
      </c>
      <c r="AK36" s="408">
        <f>IF('Final Calculation Sheet'!$AA$28="","",'Final Calculation Sheet'!$AA$28)</f>
        <v/>
      </c>
      <c r="AL36" s="70">
        <f>IF('Final Calculation Sheet'!$AA$35="","",'Final Calculation Sheet'!$AA$35)</f>
        <v/>
      </c>
      <c r="AM36" s="414">
        <f>SUM(B36:AL36)</f>
        <v/>
      </c>
    </row>
    <row r="37" outlineLevel="1" ht="15" customHeight="1">
      <c r="A37" s="69" t="inlineStr">
        <is>
          <t xml:space="preserve">      LPP Receipt Date</t>
        </is>
      </c>
      <c r="B37" s="76">
        <f>IF('Final Calculation Sheet'!$AB$4="","",'Final Calculation Sheet'!$AB$4)</f>
        <v/>
      </c>
      <c r="C37" s="412">
        <f>IF('Final Calculation Sheet'!$AB$6="","",'Final Calculation Sheet'!$AB$6)</f>
        <v/>
      </c>
      <c r="D37" s="76">
        <f>IF('Final Calculation Sheet'!$AB$7="","",'Final Calculation Sheet'!$AB$7)</f>
        <v/>
      </c>
      <c r="E37" s="412">
        <f>IF('Final Calculation Sheet'!$AB$15="","",'Final Calculation Sheet'!$AB$15)</f>
        <v/>
      </c>
      <c r="F37" s="76">
        <f>IF('Final Calculation Sheet'!$AB$38="","",'Final Calculation Sheet'!$AB$38)</f>
        <v/>
      </c>
      <c r="G37" s="412">
        <f>IF('Final Calculation Sheet'!$AB$27="","",'Final Calculation Sheet'!$AB$27)</f>
        <v/>
      </c>
      <c r="H37" s="76">
        <f>IF('Final Calculation Sheet'!$AB$5="","",'Final Calculation Sheet'!$AB$5)</f>
        <v/>
      </c>
      <c r="I37" s="412">
        <f>IF('Final Calculation Sheet'!$AB$10="","",'Final Calculation Sheet'!$AB$10)</f>
        <v/>
      </c>
      <c r="J37" s="76">
        <f>IF('Final Calculation Sheet'!$AB$11="","",'Final Calculation Sheet'!$AB$11)</f>
        <v/>
      </c>
      <c r="K37" s="412">
        <f>IF('Final Calculation Sheet'!$AB$12="","",'Final Calculation Sheet'!$AB$12)</f>
        <v/>
      </c>
      <c r="L37" s="76">
        <f>IF('Final Calculation Sheet'!$AB$18="","",'Final Calculation Sheet'!$AB$18)</f>
        <v/>
      </c>
      <c r="M37" s="412">
        <f>IF('Final Calculation Sheet'!$AB$19="","",'Final Calculation Sheet'!$AB$19)</f>
        <v/>
      </c>
      <c r="N37" s="76">
        <f>IF('Final Calculation Sheet'!$AB$22="","",'Final Calculation Sheet'!$AB$22)</f>
        <v/>
      </c>
      <c r="O37" s="412">
        <f>IF('Final Calculation Sheet'!$AB$24="","",'Final Calculation Sheet'!$AB$24)</f>
        <v/>
      </c>
      <c r="P37" s="76">
        <f>IF('Final Calculation Sheet'!$AB$26="","",'Final Calculation Sheet'!$AB$26)</f>
        <v/>
      </c>
      <c r="Q37" s="412">
        <f>IF('Final Calculation Sheet'!$AB$30="","",'Final Calculation Sheet'!$AB$30)</f>
        <v/>
      </c>
      <c r="R37" s="76">
        <f>IF('Final Calculation Sheet'!$AB$32="","",'Final Calculation Sheet'!$AB$32)</f>
        <v/>
      </c>
      <c r="S37" s="412">
        <f>IF('Final Calculation Sheet'!$AB$33="","",'Final Calculation Sheet'!$AB$33)</f>
        <v/>
      </c>
      <c r="T37" s="76">
        <f>IF('Final Calculation Sheet'!$AB$37="","",'Final Calculation Sheet'!$AB$37)</f>
        <v/>
      </c>
      <c r="U37" s="412">
        <f>IF('Final Calculation Sheet'!$AB$21="","",'Final Calculation Sheet'!$AB$21)</f>
        <v/>
      </c>
      <c r="V37" s="76">
        <f>IF('Final Calculation Sheet'!$AB$8="","",'Final Calculation Sheet'!$AB$8)</f>
        <v/>
      </c>
      <c r="W37" s="412">
        <f>IF('Final Calculation Sheet'!$AB$20="","",'Final Calculation Sheet'!$AB$20)</f>
        <v/>
      </c>
      <c r="X37" s="76">
        <f>IF('Final Calculation Sheet'!$AB$39="","",'Final Calculation Sheet'!$AB$39)</f>
        <v/>
      </c>
      <c r="Y37" s="412">
        <f>IF('Final Calculation Sheet'!$AB$40="","",'Final Calculation Sheet'!$AB$40)</f>
        <v/>
      </c>
      <c r="Z37" s="76">
        <f>IF('Final Calculation Sheet'!$AB$31="","",'Final Calculation Sheet'!$AB$31)</f>
        <v/>
      </c>
      <c r="AA37" s="412">
        <f>IF('Final Calculation Sheet'!$AB$9="","",'Final Calculation Sheet'!$AB$9)</f>
        <v/>
      </c>
      <c r="AB37" s="76">
        <f>IF('Final Calculation Sheet'!$AB$14="","",'Final Calculation Sheet'!$AB$14)</f>
        <v/>
      </c>
      <c r="AC37" s="412">
        <f>IF('Final Calculation Sheet'!$AB$13="","",'Final Calculation Sheet'!$AB$13)</f>
        <v/>
      </c>
      <c r="AD37" s="76">
        <f>IF('Final Calculation Sheet'!$AB$16="","",'Final Calculation Sheet'!$AB$16)</f>
        <v/>
      </c>
      <c r="AE37" s="412">
        <f>IF('Final Calculation Sheet'!$AB$17="","",'Final Calculation Sheet'!$AB$17)</f>
        <v/>
      </c>
      <c r="AF37" s="76">
        <f>IF('Final Calculation Sheet'!$AB$23="","",'Final Calculation Sheet'!$AB$23)</f>
        <v/>
      </c>
      <c r="AG37" s="412">
        <f>IF('Final Calculation Sheet'!$AB$29="","",'Final Calculation Sheet'!$AB$29)</f>
        <v/>
      </c>
      <c r="AH37" s="76">
        <f>IF('Final Calculation Sheet'!$AB$34="","",'Final Calculation Sheet'!$AB$34)</f>
        <v/>
      </c>
      <c r="AI37" s="412">
        <f>IF('Final Calculation Sheet'!$AB$36="","",'Final Calculation Sheet'!$AB$36)</f>
        <v/>
      </c>
      <c r="AJ37" s="76">
        <f>IF('Final Calculation Sheet'!$AB$25="","",'Final Calculation Sheet'!$AB$25)</f>
        <v/>
      </c>
      <c r="AK37" s="412">
        <f>IF('Final Calculation Sheet'!$AB$28="","",'Final Calculation Sheet'!$AB$28)</f>
        <v/>
      </c>
      <c r="AL37" s="76">
        <f>IF('Final Calculation Sheet'!$AB$35="","",'Final Calculation Sheet'!$AB$35)</f>
        <v/>
      </c>
      <c r="AM37" s="72" t="inlineStr">
        <is>
          <t>–</t>
        </is>
      </c>
    </row>
    <row r="38" ht="17" customHeight="1">
      <c r="A38" s="421" t="inlineStr">
        <is>
          <t xml:space="preserve">  ▸ SUMMARY</t>
        </is>
      </c>
      <c r="B38" s="389" t="n"/>
      <c r="C38" s="389" t="n"/>
      <c r="D38" s="389" t="n"/>
      <c r="E38" s="389" t="n"/>
      <c r="F38" s="389" t="n"/>
      <c r="G38" s="389" t="n"/>
      <c r="H38" s="389" t="n"/>
      <c r="I38" s="389" t="n"/>
      <c r="J38" s="389" t="n"/>
      <c r="K38" s="389" t="n"/>
      <c r="L38" s="389" t="n"/>
      <c r="M38" s="389" t="n"/>
      <c r="N38" s="389" t="n"/>
      <c r="O38" s="389" t="n"/>
      <c r="P38" s="389" t="n"/>
      <c r="Q38" s="389" t="n"/>
      <c r="R38" s="389" t="n"/>
      <c r="S38" s="389" t="n"/>
      <c r="T38" s="389" t="n"/>
      <c r="U38" s="389" t="n"/>
      <c r="V38" s="389" t="n"/>
      <c r="W38" s="389" t="n"/>
      <c r="X38" s="389" t="n"/>
      <c r="Y38" s="389" t="n"/>
      <c r="Z38" s="389" t="n"/>
      <c r="AA38" s="389" t="n"/>
      <c r="AB38" s="389" t="n"/>
      <c r="AC38" s="389" t="n"/>
      <c r="AD38" s="389" t="n"/>
      <c r="AE38" s="389" t="n"/>
      <c r="AF38" s="389" t="n"/>
      <c r="AG38" s="389" t="n"/>
      <c r="AH38" s="389" t="n"/>
      <c r="AI38" s="389" t="n"/>
      <c r="AJ38" s="389" t="n"/>
      <c r="AK38" s="389" t="n"/>
      <c r="AL38" s="389" t="n"/>
      <c r="AM38" s="389" t="n"/>
    </row>
    <row r="39" outlineLevel="1" ht="15" customHeight="1">
      <c r="A39" s="69" t="inlineStr">
        <is>
          <t xml:space="preserve">      Total Received (₹)</t>
        </is>
      </c>
      <c r="B39" s="70">
        <f>IF('Final Calculation Sheet'!$AC$4="","",'Final Calculation Sheet'!$AC$4)</f>
        <v/>
      </c>
      <c r="C39" s="408">
        <f>IF('Final Calculation Sheet'!$AC$6="","",'Final Calculation Sheet'!$AC$6)</f>
        <v/>
      </c>
      <c r="D39" s="70">
        <f>IF('Final Calculation Sheet'!$AC$7="","",'Final Calculation Sheet'!$AC$7)</f>
        <v/>
      </c>
      <c r="E39" s="408">
        <f>IF('Final Calculation Sheet'!$AC$15="","",'Final Calculation Sheet'!$AC$15)</f>
        <v/>
      </c>
      <c r="F39" s="70">
        <f>IF('Final Calculation Sheet'!$AC$38="","",'Final Calculation Sheet'!$AC$38)</f>
        <v/>
      </c>
      <c r="G39" s="408">
        <f>IF('Final Calculation Sheet'!$AC$27="","",'Final Calculation Sheet'!$AC$27)</f>
        <v/>
      </c>
      <c r="H39" s="70">
        <f>IF('Final Calculation Sheet'!$AC$5="","",'Final Calculation Sheet'!$AC$5)</f>
        <v/>
      </c>
      <c r="I39" s="408">
        <f>IF('Final Calculation Sheet'!$AC$10="","",'Final Calculation Sheet'!$AC$10)</f>
        <v/>
      </c>
      <c r="J39" s="70">
        <f>IF('Final Calculation Sheet'!$AC$11="","",'Final Calculation Sheet'!$AC$11)</f>
        <v/>
      </c>
      <c r="K39" s="408">
        <f>IF('Final Calculation Sheet'!$AC$12="","",'Final Calculation Sheet'!$AC$12)</f>
        <v/>
      </c>
      <c r="L39" s="70">
        <f>IF('Final Calculation Sheet'!$AC$18="","",'Final Calculation Sheet'!$AC$18)</f>
        <v/>
      </c>
      <c r="M39" s="408">
        <f>IF('Final Calculation Sheet'!$AC$19="","",'Final Calculation Sheet'!$AC$19)</f>
        <v/>
      </c>
      <c r="N39" s="70">
        <f>IF('Final Calculation Sheet'!$AC$22="","",'Final Calculation Sheet'!$AC$22)</f>
        <v/>
      </c>
      <c r="O39" s="408">
        <f>IF('Final Calculation Sheet'!$AC$24="","",'Final Calculation Sheet'!$AC$24)</f>
        <v/>
      </c>
      <c r="P39" s="70">
        <f>IF('Final Calculation Sheet'!$AC$26="","",'Final Calculation Sheet'!$AC$26)</f>
        <v/>
      </c>
      <c r="Q39" s="408">
        <f>IF('Final Calculation Sheet'!$AC$30="","",'Final Calculation Sheet'!$AC$30)</f>
        <v/>
      </c>
      <c r="R39" s="70">
        <f>IF('Final Calculation Sheet'!$AC$32="","",'Final Calculation Sheet'!$AC$32)</f>
        <v/>
      </c>
      <c r="S39" s="408">
        <f>IF('Final Calculation Sheet'!$AC$33="","",'Final Calculation Sheet'!$AC$33)</f>
        <v/>
      </c>
      <c r="T39" s="70">
        <f>IF('Final Calculation Sheet'!$AC$37="","",'Final Calculation Sheet'!$AC$37)</f>
        <v/>
      </c>
      <c r="U39" s="408">
        <f>IF('Final Calculation Sheet'!$AC$21="","",'Final Calculation Sheet'!$AC$21)</f>
        <v/>
      </c>
      <c r="V39" s="70">
        <f>IF('Final Calculation Sheet'!$AC$8="","",'Final Calculation Sheet'!$AC$8)</f>
        <v/>
      </c>
      <c r="W39" s="408">
        <f>IF('Final Calculation Sheet'!$AC$20="","",'Final Calculation Sheet'!$AC$20)</f>
        <v/>
      </c>
      <c r="X39" s="70">
        <f>IF('Final Calculation Sheet'!$AC$39="","",'Final Calculation Sheet'!$AC$39)</f>
        <v/>
      </c>
      <c r="Y39" s="408">
        <f>IF('Final Calculation Sheet'!$AC$40="","",'Final Calculation Sheet'!$AC$40)</f>
        <v/>
      </c>
      <c r="Z39" s="70">
        <f>IF('Final Calculation Sheet'!$AC$31="","",'Final Calculation Sheet'!$AC$31)</f>
        <v/>
      </c>
      <c r="AA39" s="408">
        <f>IF('Final Calculation Sheet'!$AC$9="","",'Final Calculation Sheet'!$AC$9)</f>
        <v/>
      </c>
      <c r="AB39" s="70">
        <f>IF('Final Calculation Sheet'!$AC$14="","",'Final Calculation Sheet'!$AC$14)</f>
        <v/>
      </c>
      <c r="AC39" s="408">
        <f>IF('Final Calculation Sheet'!$AC$13="","",'Final Calculation Sheet'!$AC$13)</f>
        <v/>
      </c>
      <c r="AD39" s="70">
        <f>IF('Final Calculation Sheet'!$AC$16="","",'Final Calculation Sheet'!$AC$16)</f>
        <v/>
      </c>
      <c r="AE39" s="408">
        <f>IF('Final Calculation Sheet'!$AC$17="","",'Final Calculation Sheet'!$AC$17)</f>
        <v/>
      </c>
      <c r="AF39" s="70">
        <f>IF('Final Calculation Sheet'!$AC$23="","",'Final Calculation Sheet'!$AC$23)</f>
        <v/>
      </c>
      <c r="AG39" s="408">
        <f>IF('Final Calculation Sheet'!$AC$29="","",'Final Calculation Sheet'!$AC$29)</f>
        <v/>
      </c>
      <c r="AH39" s="70">
        <f>IF('Final Calculation Sheet'!$AC$34="","",'Final Calculation Sheet'!$AC$34)</f>
        <v/>
      </c>
      <c r="AI39" s="408">
        <f>IF('Final Calculation Sheet'!$AC$36="","",'Final Calculation Sheet'!$AC$36)</f>
        <v/>
      </c>
      <c r="AJ39" s="70">
        <f>IF('Final Calculation Sheet'!$AC$25="","",'Final Calculation Sheet'!$AC$25)</f>
        <v/>
      </c>
      <c r="AK39" s="408">
        <f>IF('Final Calculation Sheet'!$AC$28="","",'Final Calculation Sheet'!$AC$28)</f>
        <v/>
      </c>
      <c r="AL39" s="70">
        <f>IF('Final Calculation Sheet'!$AC$35="","",'Final Calculation Sheet'!$AC$35)</f>
        <v/>
      </c>
      <c r="AM39" s="414">
        <f>SUM(B39:AL39)</f>
        <v/>
      </c>
    </row>
    <row r="40" outlineLevel="1" ht="15" customHeight="1">
      <c r="A40" s="69" t="inlineStr">
        <is>
          <t xml:space="preserve">      Outstanding (₹)</t>
        </is>
      </c>
      <c r="B40" s="70">
        <f>IF('Final Calculation Sheet'!$AD$4="","",'Final Calculation Sheet'!$AD$4)</f>
        <v/>
      </c>
      <c r="C40" s="408">
        <f>IF('Final Calculation Sheet'!$AD$6="","",'Final Calculation Sheet'!$AD$6)</f>
        <v/>
      </c>
      <c r="D40" s="70">
        <f>IF('Final Calculation Sheet'!$AD$7="","",'Final Calculation Sheet'!$AD$7)</f>
        <v/>
      </c>
      <c r="E40" s="408">
        <f>IF('Final Calculation Sheet'!$AD$15="","",'Final Calculation Sheet'!$AD$15)</f>
        <v/>
      </c>
      <c r="F40" s="70">
        <f>IF('Final Calculation Sheet'!$AD$38="","",'Final Calculation Sheet'!$AD$38)</f>
        <v/>
      </c>
      <c r="G40" s="408">
        <f>IF('Final Calculation Sheet'!$AD$27="","",'Final Calculation Sheet'!$AD$27)</f>
        <v/>
      </c>
      <c r="H40" s="70">
        <f>IF('Final Calculation Sheet'!$AD$5="","",'Final Calculation Sheet'!$AD$5)</f>
        <v/>
      </c>
      <c r="I40" s="408">
        <f>IF('Final Calculation Sheet'!$AD$10="","",'Final Calculation Sheet'!$AD$10)</f>
        <v/>
      </c>
      <c r="J40" s="70">
        <f>IF('Final Calculation Sheet'!$AD$11="","",'Final Calculation Sheet'!$AD$11)</f>
        <v/>
      </c>
      <c r="K40" s="408">
        <f>IF('Final Calculation Sheet'!$AD$12="","",'Final Calculation Sheet'!$AD$12)</f>
        <v/>
      </c>
      <c r="L40" s="70">
        <f>IF('Final Calculation Sheet'!$AD$18="","",'Final Calculation Sheet'!$AD$18)</f>
        <v/>
      </c>
      <c r="M40" s="408">
        <f>IF('Final Calculation Sheet'!$AD$19="","",'Final Calculation Sheet'!$AD$19)</f>
        <v/>
      </c>
      <c r="N40" s="70">
        <f>IF('Final Calculation Sheet'!$AD$22="","",'Final Calculation Sheet'!$AD$22)</f>
        <v/>
      </c>
      <c r="O40" s="408">
        <f>IF('Final Calculation Sheet'!$AD$24="","",'Final Calculation Sheet'!$AD$24)</f>
        <v/>
      </c>
      <c r="P40" s="70">
        <f>IF('Final Calculation Sheet'!$AD$26="","",'Final Calculation Sheet'!$AD$26)</f>
        <v/>
      </c>
      <c r="Q40" s="408">
        <f>IF('Final Calculation Sheet'!$AD$30="","",'Final Calculation Sheet'!$AD$30)</f>
        <v/>
      </c>
      <c r="R40" s="70">
        <f>IF('Final Calculation Sheet'!$AD$32="","",'Final Calculation Sheet'!$AD$32)</f>
        <v/>
      </c>
      <c r="S40" s="408">
        <f>IF('Final Calculation Sheet'!$AD$33="","",'Final Calculation Sheet'!$AD$33)</f>
        <v/>
      </c>
      <c r="T40" s="70">
        <f>IF('Final Calculation Sheet'!$AD$37="","",'Final Calculation Sheet'!$AD$37)</f>
        <v/>
      </c>
      <c r="U40" s="408">
        <f>IF('Final Calculation Sheet'!$AD$21="","",'Final Calculation Sheet'!$AD$21)</f>
        <v/>
      </c>
      <c r="V40" s="70">
        <f>IF('Final Calculation Sheet'!$AD$8="","",'Final Calculation Sheet'!$AD$8)</f>
        <v/>
      </c>
      <c r="W40" s="408">
        <f>IF('Final Calculation Sheet'!$AD$20="","",'Final Calculation Sheet'!$AD$20)</f>
        <v/>
      </c>
      <c r="X40" s="70">
        <f>IF('Final Calculation Sheet'!$AD$39="","",'Final Calculation Sheet'!$AD$39)</f>
        <v/>
      </c>
      <c r="Y40" s="408">
        <f>IF('Final Calculation Sheet'!$AD$40="","",'Final Calculation Sheet'!$AD$40)</f>
        <v/>
      </c>
      <c r="Z40" s="70">
        <f>IF('Final Calculation Sheet'!$AD$31="","",'Final Calculation Sheet'!$AD$31)</f>
        <v/>
      </c>
      <c r="AA40" s="408">
        <f>IF('Final Calculation Sheet'!$AD$9="","",'Final Calculation Sheet'!$AD$9)</f>
        <v/>
      </c>
      <c r="AB40" s="70">
        <f>IF('Final Calculation Sheet'!$AD$14="","",'Final Calculation Sheet'!$AD$14)</f>
        <v/>
      </c>
      <c r="AC40" s="408">
        <f>IF('Final Calculation Sheet'!$AD$13="","",'Final Calculation Sheet'!$AD$13)</f>
        <v/>
      </c>
      <c r="AD40" s="70">
        <f>IF('Final Calculation Sheet'!$AD$16="","",'Final Calculation Sheet'!$AD$16)</f>
        <v/>
      </c>
      <c r="AE40" s="408">
        <f>IF('Final Calculation Sheet'!$AD$17="","",'Final Calculation Sheet'!$AD$17)</f>
        <v/>
      </c>
      <c r="AF40" s="70">
        <f>IF('Final Calculation Sheet'!$AD$23="","",'Final Calculation Sheet'!$AD$23)</f>
        <v/>
      </c>
      <c r="AG40" s="408">
        <f>IF('Final Calculation Sheet'!$AD$29="","",'Final Calculation Sheet'!$AD$29)</f>
        <v/>
      </c>
      <c r="AH40" s="70">
        <f>IF('Final Calculation Sheet'!$AD$34="","",'Final Calculation Sheet'!$AD$34)</f>
        <v/>
      </c>
      <c r="AI40" s="408">
        <f>IF('Final Calculation Sheet'!$AD$36="","",'Final Calculation Sheet'!$AD$36)</f>
        <v/>
      </c>
      <c r="AJ40" s="70">
        <f>IF('Final Calculation Sheet'!$AD$25="","",'Final Calculation Sheet'!$AD$25)</f>
        <v/>
      </c>
      <c r="AK40" s="408">
        <f>IF('Final Calculation Sheet'!$AD$28="","",'Final Calculation Sheet'!$AD$28)</f>
        <v/>
      </c>
      <c r="AL40" s="70">
        <f>IF('Final Calculation Sheet'!$AD$35="","",'Final Calculation Sheet'!$AD$35)</f>
        <v/>
      </c>
      <c r="AM40" s="414">
        <f>SUM(B40:AL40)</f>
        <v/>
      </c>
    </row>
    <row r="41" outlineLevel="1" ht="15" customHeight="1">
      <c r="A41" s="69" t="inlineStr">
        <is>
          <t xml:space="preserve">      Payment Status</t>
        </is>
      </c>
      <c r="B41" s="81">
        <f>IF('Final Calculation Sheet'!$AD$4="","",IF('Final Calculation Sheet'!$AD$4&lt;=0,"SETTLED","OUTSTANDING"))</f>
        <v/>
      </c>
      <c r="C41" s="422">
        <f>IF('Final Calculation Sheet'!$AD$6="","",IF('Final Calculation Sheet'!$AD$6&lt;=0,"SETTLED","OUTSTANDING"))</f>
        <v/>
      </c>
      <c r="D41" s="81">
        <f>IF('Final Calculation Sheet'!$AD$7="","",IF('Final Calculation Sheet'!$AD$7&lt;=0,"SETTLED","OUTSTANDING"))</f>
        <v/>
      </c>
      <c r="E41" s="422">
        <f>IF('Final Calculation Sheet'!$AD$15="","",IF('Final Calculation Sheet'!$AD$15&lt;=0,"SETTLED","OUTSTANDING"))</f>
        <v/>
      </c>
      <c r="F41" s="81">
        <f>IF('Final Calculation Sheet'!$AD$38="","",IF('Final Calculation Sheet'!$AD$38&lt;=0,"SETTLED","OUTSTANDING"))</f>
        <v/>
      </c>
      <c r="G41" s="422">
        <f>IF('Final Calculation Sheet'!$AD$27="","",IF('Final Calculation Sheet'!$AD$27&lt;=0,"SETTLED","OUTSTANDING"))</f>
        <v/>
      </c>
      <c r="H41" s="81">
        <f>IF('Final Calculation Sheet'!$AD$5="","",IF('Final Calculation Sheet'!$AD$5&lt;=0,"SETTLED","OUTSTANDING"))</f>
        <v/>
      </c>
      <c r="I41" s="422">
        <f>IF('Final Calculation Sheet'!$AD$10="","",IF('Final Calculation Sheet'!$AD$10&lt;=0,"SETTLED","OUTSTANDING"))</f>
        <v/>
      </c>
      <c r="J41" s="81">
        <f>IF('Final Calculation Sheet'!$AD$11="","",IF('Final Calculation Sheet'!$AD$11&lt;=0,"SETTLED","OUTSTANDING"))</f>
        <v/>
      </c>
      <c r="K41" s="422">
        <f>IF('Final Calculation Sheet'!$AD$12="","",IF('Final Calculation Sheet'!$AD$12&lt;=0,"SETTLED","OUTSTANDING"))</f>
        <v/>
      </c>
      <c r="L41" s="81">
        <f>IF('Final Calculation Sheet'!$AD$18="","",IF('Final Calculation Sheet'!$AD$18&lt;=0,"SETTLED","OUTSTANDING"))</f>
        <v/>
      </c>
      <c r="M41" s="422">
        <f>IF('Final Calculation Sheet'!$AD$19="","",IF('Final Calculation Sheet'!$AD$19&lt;=0,"SETTLED","OUTSTANDING"))</f>
        <v/>
      </c>
      <c r="N41" s="81">
        <f>IF('Final Calculation Sheet'!$AD$22="","",IF('Final Calculation Sheet'!$AD$22&lt;=0,"SETTLED","OUTSTANDING"))</f>
        <v/>
      </c>
      <c r="O41" s="422">
        <f>IF('Final Calculation Sheet'!$AD$24="","",IF('Final Calculation Sheet'!$AD$24&lt;=0,"SETTLED","OUTSTANDING"))</f>
        <v/>
      </c>
      <c r="P41" s="81">
        <f>IF('Final Calculation Sheet'!$AD$26="","",IF('Final Calculation Sheet'!$AD$26&lt;=0,"SETTLED","OUTSTANDING"))</f>
        <v/>
      </c>
      <c r="Q41" s="422">
        <f>IF('Final Calculation Sheet'!$AD$30="","",IF('Final Calculation Sheet'!$AD$30&lt;=0,"SETTLED","OUTSTANDING"))</f>
        <v/>
      </c>
      <c r="R41" s="81">
        <f>IF('Final Calculation Sheet'!$AD$32="","",IF('Final Calculation Sheet'!$AD$32&lt;=0,"SETTLED","OUTSTANDING"))</f>
        <v/>
      </c>
      <c r="S41" s="422">
        <f>IF('Final Calculation Sheet'!$AD$33="","",IF('Final Calculation Sheet'!$AD$33&lt;=0,"SETTLED","OUTSTANDING"))</f>
        <v/>
      </c>
      <c r="T41" s="81">
        <f>IF('Final Calculation Sheet'!$AD$37="","",IF('Final Calculation Sheet'!$AD$37&lt;=0,"SETTLED","OUTSTANDING"))</f>
        <v/>
      </c>
      <c r="U41" s="422">
        <f>IF('Final Calculation Sheet'!$AD$21="","",IF('Final Calculation Sheet'!$AD$21&lt;=0,"SETTLED","OUTSTANDING"))</f>
        <v/>
      </c>
      <c r="V41" s="81">
        <f>IF('Final Calculation Sheet'!$AD$8="","",IF('Final Calculation Sheet'!$AD$8&lt;=0,"SETTLED","OUTSTANDING"))</f>
        <v/>
      </c>
      <c r="W41" s="422">
        <f>IF('Final Calculation Sheet'!$AD$20="","",IF('Final Calculation Sheet'!$AD$20&lt;=0,"SETTLED","OUTSTANDING"))</f>
        <v/>
      </c>
      <c r="X41" s="81">
        <f>IF('Final Calculation Sheet'!$AD$39="","",IF('Final Calculation Sheet'!$AD$39&lt;=0,"SETTLED","OUTSTANDING"))</f>
        <v/>
      </c>
      <c r="Y41" s="422">
        <f>IF('Final Calculation Sheet'!$AD$40="","",IF('Final Calculation Sheet'!$AD$40&lt;=0,"SETTLED","OUTSTANDING"))</f>
        <v/>
      </c>
      <c r="Z41" s="81">
        <f>IF('Final Calculation Sheet'!$AD$31="","",IF('Final Calculation Sheet'!$AD$31&lt;=0,"SETTLED","OUTSTANDING"))</f>
        <v/>
      </c>
      <c r="AA41" s="422">
        <f>IF('Final Calculation Sheet'!$AD$9="","",IF('Final Calculation Sheet'!$AD$9&lt;=0,"SETTLED","OUTSTANDING"))</f>
        <v/>
      </c>
      <c r="AB41" s="81">
        <f>IF('Final Calculation Sheet'!$AD$14="","",IF('Final Calculation Sheet'!$AD$14&lt;=0,"SETTLED","OUTSTANDING"))</f>
        <v/>
      </c>
      <c r="AC41" s="422">
        <f>IF('Final Calculation Sheet'!$AD$13="","",IF('Final Calculation Sheet'!$AD$13&lt;=0,"SETTLED","OUTSTANDING"))</f>
        <v/>
      </c>
      <c r="AD41" s="81">
        <f>IF('Final Calculation Sheet'!$AD$16="","",IF('Final Calculation Sheet'!$AD$16&lt;=0,"SETTLED","OUTSTANDING"))</f>
        <v/>
      </c>
      <c r="AE41" s="422">
        <f>IF('Final Calculation Sheet'!$AD$17="","",IF('Final Calculation Sheet'!$AD$17&lt;=0,"SETTLED","OUTSTANDING"))</f>
        <v/>
      </c>
      <c r="AF41" s="81">
        <f>IF('Final Calculation Sheet'!$AD$23="","",IF('Final Calculation Sheet'!$AD$23&lt;=0,"SETTLED","OUTSTANDING"))</f>
        <v/>
      </c>
      <c r="AG41" s="422">
        <f>IF('Final Calculation Sheet'!$AD$29="","",IF('Final Calculation Sheet'!$AD$29&lt;=0,"SETTLED","OUTSTANDING"))</f>
        <v/>
      </c>
      <c r="AH41" s="81">
        <f>IF('Final Calculation Sheet'!$AD$34="","",IF('Final Calculation Sheet'!$AD$34&lt;=0,"SETTLED","OUTSTANDING"))</f>
        <v/>
      </c>
      <c r="AI41" s="422">
        <f>IF('Final Calculation Sheet'!$AD$36="","",IF('Final Calculation Sheet'!$AD$36&lt;=0,"SETTLED","OUTSTANDING"))</f>
        <v/>
      </c>
      <c r="AJ41" s="81">
        <f>IF('Final Calculation Sheet'!$AD$25="","",IF('Final Calculation Sheet'!$AD$25&lt;=0,"SETTLED","OUTSTANDING"))</f>
        <v/>
      </c>
      <c r="AK41" s="422">
        <f>IF('Final Calculation Sheet'!$AD$28="","",IF('Final Calculation Sheet'!$AD$28&lt;=0,"SETTLED","OUTSTANDING"))</f>
        <v/>
      </c>
      <c r="AL41" s="81">
        <f>IF('Final Calculation Sheet'!$AD$35="","",IF('Final Calculation Sheet'!$AD$35&lt;=0,"SETTLED","OUTSTANDING"))</f>
        <v/>
      </c>
      <c r="AM41" s="72" t="inlineStr">
        <is>
          <t>–</t>
        </is>
      </c>
    </row>
    <row r="42" ht="17" customHeight="1">
      <c r="A42" s="423" t="inlineStr">
        <is>
          <t xml:space="preserve">  ▸ DOCUMENT</t>
        </is>
      </c>
      <c r="B42" s="390" t="n"/>
      <c r="C42" s="390" t="n"/>
      <c r="D42" s="390" t="n"/>
      <c r="E42" s="390" t="n"/>
      <c r="F42" s="390" t="n"/>
      <c r="G42" s="390" t="n"/>
      <c r="H42" s="390" t="n"/>
      <c r="I42" s="390" t="n"/>
      <c r="J42" s="390" t="n"/>
      <c r="K42" s="390" t="n"/>
      <c r="L42" s="390" t="n"/>
      <c r="M42" s="390" t="n"/>
      <c r="N42" s="390" t="n"/>
      <c r="O42" s="390" t="n"/>
      <c r="P42" s="390" t="n"/>
      <c r="Q42" s="390" t="n"/>
      <c r="R42" s="390" t="n"/>
      <c r="S42" s="390" t="n"/>
      <c r="T42" s="390" t="n"/>
      <c r="U42" s="390" t="n"/>
      <c r="V42" s="390" t="n"/>
      <c r="W42" s="390" t="n"/>
      <c r="X42" s="390" t="n"/>
      <c r="Y42" s="390" t="n"/>
      <c r="Z42" s="390" t="n"/>
      <c r="AA42" s="390" t="n"/>
      <c r="AB42" s="390" t="n"/>
      <c r="AC42" s="390" t="n"/>
      <c r="AD42" s="390" t="n"/>
      <c r="AE42" s="390" t="n"/>
      <c r="AF42" s="390" t="n"/>
      <c r="AG42" s="390" t="n"/>
      <c r="AH42" s="390" t="n"/>
      <c r="AI42" s="390" t="n"/>
      <c r="AJ42" s="390" t="n"/>
      <c r="AK42" s="390" t="n"/>
      <c r="AL42" s="390" t="n"/>
      <c r="AM42" s="390" t="n"/>
    </row>
    <row r="43" outlineLevel="1" ht="15" customHeight="1">
      <c r="A43" s="69" t="inlineStr">
        <is>
          <t xml:space="preserve">      Invoice No.</t>
        </is>
      </c>
      <c r="B43" s="76">
        <f>IF('Final Calculation Sheet'!$AE$4="","",'Final Calculation Sheet'!$AE$4)</f>
        <v/>
      </c>
      <c r="C43" s="412">
        <f>IF('Final Calculation Sheet'!$AE$6="","",'Final Calculation Sheet'!$AE$6)</f>
        <v/>
      </c>
      <c r="D43" s="76">
        <f>IF('Final Calculation Sheet'!$AE$7="","",'Final Calculation Sheet'!$AE$7)</f>
        <v/>
      </c>
      <c r="E43" s="412">
        <f>IF('Final Calculation Sheet'!$AE$15="","",'Final Calculation Sheet'!$AE$15)</f>
        <v/>
      </c>
      <c r="F43" s="76">
        <f>IF('Final Calculation Sheet'!$AE$38="","",'Final Calculation Sheet'!$AE$38)</f>
        <v/>
      </c>
      <c r="G43" s="412">
        <f>IF('Final Calculation Sheet'!$AE$27="","",'Final Calculation Sheet'!$AE$27)</f>
        <v/>
      </c>
      <c r="H43" s="76">
        <f>IF('Final Calculation Sheet'!$AE$5="","",'Final Calculation Sheet'!$AE$5)</f>
        <v/>
      </c>
      <c r="I43" s="412">
        <f>IF('Final Calculation Sheet'!$AE$10="","",'Final Calculation Sheet'!$AE$10)</f>
        <v/>
      </c>
      <c r="J43" s="76">
        <f>IF('Final Calculation Sheet'!$AE$11="","",'Final Calculation Sheet'!$AE$11)</f>
        <v/>
      </c>
      <c r="K43" s="412">
        <f>IF('Final Calculation Sheet'!$AE$12="","",'Final Calculation Sheet'!$AE$12)</f>
        <v/>
      </c>
      <c r="L43" s="76">
        <f>IF('Final Calculation Sheet'!$AE$18="","",'Final Calculation Sheet'!$AE$18)</f>
        <v/>
      </c>
      <c r="M43" s="412">
        <f>IF('Final Calculation Sheet'!$AE$19="","",'Final Calculation Sheet'!$AE$19)</f>
        <v/>
      </c>
      <c r="N43" s="76">
        <f>IF('Final Calculation Sheet'!$AE$22="","",'Final Calculation Sheet'!$AE$22)</f>
        <v/>
      </c>
      <c r="O43" s="412">
        <f>IF('Final Calculation Sheet'!$AE$24="","",'Final Calculation Sheet'!$AE$24)</f>
        <v/>
      </c>
      <c r="P43" s="76">
        <f>IF('Final Calculation Sheet'!$AE$26="","",'Final Calculation Sheet'!$AE$26)</f>
        <v/>
      </c>
      <c r="Q43" s="412">
        <f>IF('Final Calculation Sheet'!$AE$30="","",'Final Calculation Sheet'!$AE$30)</f>
        <v/>
      </c>
      <c r="R43" s="76">
        <f>IF('Final Calculation Sheet'!$AE$32="","",'Final Calculation Sheet'!$AE$32)</f>
        <v/>
      </c>
      <c r="S43" s="412">
        <f>IF('Final Calculation Sheet'!$AE$33="","",'Final Calculation Sheet'!$AE$33)</f>
        <v/>
      </c>
      <c r="T43" s="76">
        <f>IF('Final Calculation Sheet'!$AE$37="","",'Final Calculation Sheet'!$AE$37)</f>
        <v/>
      </c>
      <c r="U43" s="412">
        <f>IF('Final Calculation Sheet'!$AE$21="","",'Final Calculation Sheet'!$AE$21)</f>
        <v/>
      </c>
      <c r="V43" s="76">
        <f>IF('Final Calculation Sheet'!$AE$8="","",'Final Calculation Sheet'!$AE$8)</f>
        <v/>
      </c>
      <c r="W43" s="412">
        <f>IF('Final Calculation Sheet'!$AE$20="","",'Final Calculation Sheet'!$AE$20)</f>
        <v/>
      </c>
      <c r="X43" s="76">
        <f>IF('Final Calculation Sheet'!$AE$39="","",'Final Calculation Sheet'!$AE$39)</f>
        <v/>
      </c>
      <c r="Y43" s="412">
        <f>IF('Final Calculation Sheet'!$AE$40="","",'Final Calculation Sheet'!$AE$40)</f>
        <v/>
      </c>
      <c r="Z43" s="76">
        <f>IF('Final Calculation Sheet'!$AE$31="","",'Final Calculation Sheet'!$AE$31)</f>
        <v/>
      </c>
      <c r="AA43" s="412">
        <f>IF('Final Calculation Sheet'!$AE$9="","",'Final Calculation Sheet'!$AE$9)</f>
        <v/>
      </c>
      <c r="AB43" s="76">
        <f>IF('Final Calculation Sheet'!$AE$14="","",'Final Calculation Sheet'!$AE$14)</f>
        <v/>
      </c>
      <c r="AC43" s="412">
        <f>IF('Final Calculation Sheet'!$AE$13="","",'Final Calculation Sheet'!$AE$13)</f>
        <v/>
      </c>
      <c r="AD43" s="76">
        <f>IF('Final Calculation Sheet'!$AE$16="","",'Final Calculation Sheet'!$AE$16)</f>
        <v/>
      </c>
      <c r="AE43" s="412">
        <f>IF('Final Calculation Sheet'!$AE$17="","",'Final Calculation Sheet'!$AE$17)</f>
        <v/>
      </c>
      <c r="AF43" s="76">
        <f>IF('Final Calculation Sheet'!$AE$23="","",'Final Calculation Sheet'!$AE$23)</f>
        <v/>
      </c>
      <c r="AG43" s="412">
        <f>IF('Final Calculation Sheet'!$AE$29="","",'Final Calculation Sheet'!$AE$29)</f>
        <v/>
      </c>
      <c r="AH43" s="76">
        <f>IF('Final Calculation Sheet'!$AE$34="","",'Final Calculation Sheet'!$AE$34)</f>
        <v/>
      </c>
      <c r="AI43" s="412">
        <f>IF('Final Calculation Sheet'!$AE$36="","",'Final Calculation Sheet'!$AE$36)</f>
        <v/>
      </c>
      <c r="AJ43" s="76">
        <f>IF('Final Calculation Sheet'!$AE$25="","",'Final Calculation Sheet'!$AE$25)</f>
        <v/>
      </c>
      <c r="AK43" s="412">
        <f>IF('Final Calculation Sheet'!$AE$28="","",'Final Calculation Sheet'!$AE$28)</f>
        <v/>
      </c>
      <c r="AL43" s="76">
        <f>IF('Final Calculation Sheet'!$AE$35="","",'Final Calculation Sheet'!$AE$35)</f>
        <v/>
      </c>
      <c r="AM43" s="72" t="inlineStr">
        <is>
          <t>–</t>
        </is>
      </c>
    </row>
    <row r="44" outlineLevel="1" ht="15" customHeight="1">
      <c r="A44" s="69" t="inlineStr">
        <is>
          <t xml:space="preserve">      SAP Document</t>
        </is>
      </c>
      <c r="B44" s="70">
        <f>IF('Final Calculation Sheet'!$AF$4="","",'Final Calculation Sheet'!$AF$4)</f>
        <v/>
      </c>
      <c r="C44" s="408">
        <f>IF('Final Calculation Sheet'!$AF$6="","",'Final Calculation Sheet'!$AF$6)</f>
        <v/>
      </c>
      <c r="D44" s="70">
        <f>IF('Final Calculation Sheet'!$AF$7="","",'Final Calculation Sheet'!$AF$7)</f>
        <v/>
      </c>
      <c r="E44" s="408">
        <f>IF('Final Calculation Sheet'!$AF$15="","",'Final Calculation Sheet'!$AF$15)</f>
        <v/>
      </c>
      <c r="F44" s="70">
        <f>IF('Final Calculation Sheet'!$AF$38="","",'Final Calculation Sheet'!$AF$38)</f>
        <v/>
      </c>
      <c r="G44" s="408">
        <f>IF('Final Calculation Sheet'!$AF$27="","",'Final Calculation Sheet'!$AF$27)</f>
        <v/>
      </c>
      <c r="H44" s="70">
        <f>IF('Final Calculation Sheet'!$AF$5="","",'Final Calculation Sheet'!$AF$5)</f>
        <v/>
      </c>
      <c r="I44" s="408">
        <f>IF('Final Calculation Sheet'!$AF$10="","",'Final Calculation Sheet'!$AF$10)</f>
        <v/>
      </c>
      <c r="J44" s="70">
        <f>IF('Final Calculation Sheet'!$AF$11="","",'Final Calculation Sheet'!$AF$11)</f>
        <v/>
      </c>
      <c r="K44" s="408">
        <f>IF('Final Calculation Sheet'!$AF$12="","",'Final Calculation Sheet'!$AF$12)</f>
        <v/>
      </c>
      <c r="L44" s="70">
        <f>IF('Final Calculation Sheet'!$AF$18="","",'Final Calculation Sheet'!$AF$18)</f>
        <v/>
      </c>
      <c r="M44" s="408">
        <f>IF('Final Calculation Sheet'!$AF$19="","",'Final Calculation Sheet'!$AF$19)</f>
        <v/>
      </c>
      <c r="N44" s="70">
        <f>IF('Final Calculation Sheet'!$AF$22="","",'Final Calculation Sheet'!$AF$22)</f>
        <v/>
      </c>
      <c r="O44" s="408">
        <f>IF('Final Calculation Sheet'!$AF$24="","",'Final Calculation Sheet'!$AF$24)</f>
        <v/>
      </c>
      <c r="P44" s="70">
        <f>IF('Final Calculation Sheet'!$AF$26="","",'Final Calculation Sheet'!$AF$26)</f>
        <v/>
      </c>
      <c r="Q44" s="408">
        <f>IF('Final Calculation Sheet'!$AF$30="","",'Final Calculation Sheet'!$AF$30)</f>
        <v/>
      </c>
      <c r="R44" s="70">
        <f>IF('Final Calculation Sheet'!$AF$32="","",'Final Calculation Sheet'!$AF$32)</f>
        <v/>
      </c>
      <c r="S44" s="408">
        <f>IF('Final Calculation Sheet'!$AF$33="","",'Final Calculation Sheet'!$AF$33)</f>
        <v/>
      </c>
      <c r="T44" s="70">
        <f>IF('Final Calculation Sheet'!$AF$37="","",'Final Calculation Sheet'!$AF$37)</f>
        <v/>
      </c>
      <c r="U44" s="408">
        <f>IF('Final Calculation Sheet'!$AF$21="","",'Final Calculation Sheet'!$AF$21)</f>
        <v/>
      </c>
      <c r="V44" s="70">
        <f>IF('Final Calculation Sheet'!$AF$8="","",'Final Calculation Sheet'!$AF$8)</f>
        <v/>
      </c>
      <c r="W44" s="408">
        <f>IF('Final Calculation Sheet'!$AF$20="","",'Final Calculation Sheet'!$AF$20)</f>
        <v/>
      </c>
      <c r="X44" s="70">
        <f>IF('Final Calculation Sheet'!$AF$39="","",'Final Calculation Sheet'!$AF$39)</f>
        <v/>
      </c>
      <c r="Y44" s="408">
        <f>IF('Final Calculation Sheet'!$AF$40="","",'Final Calculation Sheet'!$AF$40)</f>
        <v/>
      </c>
      <c r="Z44" s="70">
        <f>IF('Final Calculation Sheet'!$AF$31="","",'Final Calculation Sheet'!$AF$31)</f>
        <v/>
      </c>
      <c r="AA44" s="408">
        <f>IF('Final Calculation Sheet'!$AF$9="","",'Final Calculation Sheet'!$AF$9)</f>
        <v/>
      </c>
      <c r="AB44" s="70">
        <f>IF('Final Calculation Sheet'!$AF$14="","",'Final Calculation Sheet'!$AF$14)</f>
        <v/>
      </c>
      <c r="AC44" s="408">
        <f>IF('Final Calculation Sheet'!$AF$13="","",'Final Calculation Sheet'!$AF$13)</f>
        <v/>
      </c>
      <c r="AD44" s="70">
        <f>IF('Final Calculation Sheet'!$AF$16="","",'Final Calculation Sheet'!$AF$16)</f>
        <v/>
      </c>
      <c r="AE44" s="408">
        <f>IF('Final Calculation Sheet'!$AF$17="","",'Final Calculation Sheet'!$AF$17)</f>
        <v/>
      </c>
      <c r="AF44" s="70">
        <f>IF('Final Calculation Sheet'!$AF$23="","",'Final Calculation Sheet'!$AF$23)</f>
        <v/>
      </c>
      <c r="AG44" s="408">
        <f>IF('Final Calculation Sheet'!$AF$29="","",'Final Calculation Sheet'!$AF$29)</f>
        <v/>
      </c>
      <c r="AH44" s="70">
        <f>IF('Final Calculation Sheet'!$AF$34="","",'Final Calculation Sheet'!$AF$34)</f>
        <v/>
      </c>
      <c r="AI44" s="408">
        <f>IF('Final Calculation Sheet'!$AF$36="","",'Final Calculation Sheet'!$AF$36)</f>
        <v/>
      </c>
      <c r="AJ44" s="70">
        <f>IF('Final Calculation Sheet'!$AF$25="","",'Final Calculation Sheet'!$AF$25)</f>
        <v/>
      </c>
      <c r="AK44" s="408">
        <f>IF('Final Calculation Sheet'!$AF$28="","",'Final Calculation Sheet'!$AF$28)</f>
        <v/>
      </c>
      <c r="AL44" s="70">
        <f>IF('Final Calculation Sheet'!$AF$35="","",'Final Calculation Sheet'!$AF$35)</f>
        <v/>
      </c>
      <c r="AM44" s="72" t="inlineStr">
        <is>
          <t>–</t>
        </is>
      </c>
    </row>
    <row r="45" outlineLevel="1" ht="15" customHeight="1">
      <c r="A45" s="69" t="inlineStr">
        <is>
          <t xml:space="preserve">      Doc./Invoice Date</t>
        </is>
      </c>
      <c r="B45" s="76">
        <f>IF('Final Calculation Sheet'!$AG$4="","",'Final Calculation Sheet'!$AG$4)</f>
        <v/>
      </c>
      <c r="C45" s="412">
        <f>IF('Final Calculation Sheet'!$AG$6="","",'Final Calculation Sheet'!$AG$6)</f>
        <v/>
      </c>
      <c r="D45" s="76">
        <f>IF('Final Calculation Sheet'!$AG$7="","",'Final Calculation Sheet'!$AG$7)</f>
        <v/>
      </c>
      <c r="E45" s="412">
        <f>IF('Final Calculation Sheet'!$AG$15="","",'Final Calculation Sheet'!$AG$15)</f>
        <v/>
      </c>
      <c r="F45" s="76">
        <f>IF('Final Calculation Sheet'!$AG$38="","",'Final Calculation Sheet'!$AG$38)</f>
        <v/>
      </c>
      <c r="G45" s="412">
        <f>IF('Final Calculation Sheet'!$AG$27="","",'Final Calculation Sheet'!$AG$27)</f>
        <v/>
      </c>
      <c r="H45" s="76">
        <f>IF('Final Calculation Sheet'!$AG$5="","",'Final Calculation Sheet'!$AG$5)</f>
        <v/>
      </c>
      <c r="I45" s="412">
        <f>IF('Final Calculation Sheet'!$AG$10="","",'Final Calculation Sheet'!$AG$10)</f>
        <v/>
      </c>
      <c r="J45" s="76">
        <f>IF('Final Calculation Sheet'!$AG$11="","",'Final Calculation Sheet'!$AG$11)</f>
        <v/>
      </c>
      <c r="K45" s="412">
        <f>IF('Final Calculation Sheet'!$AG$12="","",'Final Calculation Sheet'!$AG$12)</f>
        <v/>
      </c>
      <c r="L45" s="76">
        <f>IF('Final Calculation Sheet'!$AG$18="","",'Final Calculation Sheet'!$AG$18)</f>
        <v/>
      </c>
      <c r="M45" s="412">
        <f>IF('Final Calculation Sheet'!$AG$19="","",'Final Calculation Sheet'!$AG$19)</f>
        <v/>
      </c>
      <c r="N45" s="76">
        <f>IF('Final Calculation Sheet'!$AG$22="","",'Final Calculation Sheet'!$AG$22)</f>
        <v/>
      </c>
      <c r="O45" s="412">
        <f>IF('Final Calculation Sheet'!$AG$24="","",'Final Calculation Sheet'!$AG$24)</f>
        <v/>
      </c>
      <c r="P45" s="76">
        <f>IF('Final Calculation Sheet'!$AG$26="","",'Final Calculation Sheet'!$AG$26)</f>
        <v/>
      </c>
      <c r="Q45" s="412">
        <f>IF('Final Calculation Sheet'!$AG$30="","",'Final Calculation Sheet'!$AG$30)</f>
        <v/>
      </c>
      <c r="R45" s="76">
        <f>IF('Final Calculation Sheet'!$AG$32="","",'Final Calculation Sheet'!$AG$32)</f>
        <v/>
      </c>
      <c r="S45" s="412">
        <f>IF('Final Calculation Sheet'!$AG$33="","",'Final Calculation Sheet'!$AG$33)</f>
        <v/>
      </c>
      <c r="T45" s="76">
        <f>IF('Final Calculation Sheet'!$AG$37="","",'Final Calculation Sheet'!$AG$37)</f>
        <v/>
      </c>
      <c r="U45" s="412">
        <f>IF('Final Calculation Sheet'!$AG$21="","",'Final Calculation Sheet'!$AG$21)</f>
        <v/>
      </c>
      <c r="V45" s="76">
        <f>IF('Final Calculation Sheet'!$AG$8="","",'Final Calculation Sheet'!$AG$8)</f>
        <v/>
      </c>
      <c r="W45" s="412">
        <f>IF('Final Calculation Sheet'!$AG$20="","",'Final Calculation Sheet'!$AG$20)</f>
        <v/>
      </c>
      <c r="X45" s="76">
        <f>IF('Final Calculation Sheet'!$AG$39="","",'Final Calculation Sheet'!$AG$39)</f>
        <v/>
      </c>
      <c r="Y45" s="412">
        <f>IF('Final Calculation Sheet'!$AG$40="","",'Final Calculation Sheet'!$AG$40)</f>
        <v/>
      </c>
      <c r="Z45" s="76">
        <f>IF('Final Calculation Sheet'!$AG$31="","",'Final Calculation Sheet'!$AG$31)</f>
        <v/>
      </c>
      <c r="AA45" s="412">
        <f>IF('Final Calculation Sheet'!$AG$9="","",'Final Calculation Sheet'!$AG$9)</f>
        <v/>
      </c>
      <c r="AB45" s="76">
        <f>IF('Final Calculation Sheet'!$AG$14="","",'Final Calculation Sheet'!$AG$14)</f>
        <v/>
      </c>
      <c r="AC45" s="412">
        <f>IF('Final Calculation Sheet'!$AG$13="","",'Final Calculation Sheet'!$AG$13)</f>
        <v/>
      </c>
      <c r="AD45" s="76">
        <f>IF('Final Calculation Sheet'!$AG$16="","",'Final Calculation Sheet'!$AG$16)</f>
        <v/>
      </c>
      <c r="AE45" s="412">
        <f>IF('Final Calculation Sheet'!$AG$17="","",'Final Calculation Sheet'!$AG$17)</f>
        <v/>
      </c>
      <c r="AF45" s="76">
        <f>IF('Final Calculation Sheet'!$AG$23="","",'Final Calculation Sheet'!$AG$23)</f>
        <v/>
      </c>
      <c r="AG45" s="412">
        <f>IF('Final Calculation Sheet'!$AG$29="","",'Final Calculation Sheet'!$AG$29)</f>
        <v/>
      </c>
      <c r="AH45" s="76">
        <f>IF('Final Calculation Sheet'!$AG$34="","",'Final Calculation Sheet'!$AG$34)</f>
        <v/>
      </c>
      <c r="AI45" s="412">
        <f>IF('Final Calculation Sheet'!$AG$36="","",'Final Calculation Sheet'!$AG$36)</f>
        <v/>
      </c>
      <c r="AJ45" s="76">
        <f>IF('Final Calculation Sheet'!$AG$25="","",'Final Calculation Sheet'!$AG$25)</f>
        <v/>
      </c>
      <c r="AK45" s="412">
        <f>IF('Final Calculation Sheet'!$AG$28="","",'Final Calculation Sheet'!$AG$28)</f>
        <v/>
      </c>
      <c r="AL45" s="76">
        <f>IF('Final Calculation Sheet'!$AG$35="","",'Final Calculation Sheet'!$AG$35)</f>
        <v/>
      </c>
      <c r="AM45" s="72" t="inlineStr">
        <is>
          <t>–</t>
        </is>
      </c>
    </row>
  </sheetData>
  <autoFilter ref="A5:AM45"/>
  <mergeCells count="9">
    <mergeCell ref="AA3:AB3"/>
    <mergeCell ref="A1:AM1"/>
    <mergeCell ref="AC3:AI3"/>
    <mergeCell ref="H3:T3"/>
    <mergeCell ref="AJ3:AL3"/>
    <mergeCell ref="A2:AM2"/>
    <mergeCell ref="C3:D3"/>
    <mergeCell ref="X3:Y3"/>
    <mergeCell ref="V3:W3"/>
  </mergeCells>
  <conditionalFormatting sqref="B40:AL40">
    <cfRule type="cellIs" priority="1" operator="greaterThan" dxfId="1">
      <formula>0</formula>
    </cfRule>
    <cfRule type="cellIs" priority="2" operator="lessThanOrEqual" dxfId="2">
      <formula>0</formula>
    </cfRule>
  </conditionalFormatting>
  <conditionalFormatting sqref="B41:AL41">
    <cfRule type="cellIs" priority="3" operator="equal" dxfId="0">
      <formula>"SETTLED"</formula>
    </cfRule>
    <cfRule type="cellIs" priority="4" operator="equal" dxfId="1">
      <formula>"OUTSTANDING"</formula>
    </cfRule>
  </conditionalFormatting>
  <conditionalFormatting sqref="B43:AL43">
    <cfRule type="cellIs" priority="5" operator="equal" dxfId="3">
      <formula>""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S.M.C</dc:creator>
  <dc:language>en-US</dc:language>
  <dcterms:created xsi:type="dcterms:W3CDTF">2026-09-02T06:08:07Z</dcterms:created>
  <dcterms:modified xsi:type="dcterms:W3CDTF">2026-09-06T15:25:59Z</dcterms:modified>
  <cp:lastModifiedBy>Piyush Prakash Dhabekar</cp:lastModifiedBy>
  <cp:revision>0</cp:revision>
</cp:coreProperties>
</file>