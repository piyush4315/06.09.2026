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5" autoFilterDateGrouping="1"/>
  </bookViews>
  <sheets>
    <sheet name="Final Calculation Sheet" sheetId="1" state="visible" r:id="rId1"/>
    <sheet name="Final Calc (Transposed)" sheetId="2" state="visible" r:id="rId2"/>
    <sheet name="Transposed + Field Filter" sheetId="3" state="visible" r:id="rId3"/>
    <sheet name="Transposed + Lot Folds" sheetId="4" state="visible" r:id="rId4"/>
    <sheet name="Transposed + Both Filters" sheetId="5" state="visible" r:id="rId5"/>
    <sheet name="Transposed - Pick a Buyer" sheetId="6" state="visible" r:id="rId6"/>
    <sheet name="Buyer Pivot" sheetId="7" state="visible" r:id="rId7"/>
    <sheet name="Buyer Rows (Filter)" sheetId="8" state="visible" r:id="rId8"/>
    <sheet name="Lot-wise Vertical" sheetId="9" state="visible" r:id="rId9"/>
    <sheet name="Collapsible - Lots Across" sheetId="10" state="visible" r:id="rId10"/>
    <sheet name="Collapsible + Field Filter" sheetId="11" state="visible" r:id="rId11"/>
    <sheet name="Collapsible - Lots Down" sheetId="12" state="visible" r:id="rId12"/>
    <sheet name="Ledger Filter - Lots Down" sheetId="13" state="visible" r:id="rId13"/>
    <sheet name="Ledger Filter - Lots Across" sheetId="14" state="visible" r:id="rId14"/>
  </sheets>
  <definedNames>
    <definedName name="_xlnm._FilterDatabase" localSheetId="0" hidden="1">'Final Calculation Sheet'!$A$3:$AG$43</definedName>
    <definedName name="_xlnm._FilterDatabase" localSheetId="1" hidden="1">'Final Calc (Transposed)'!$A$3:$A$36</definedName>
    <definedName name="_xlnm.Print_Titles" localSheetId="1">'Final Calc (Transposed)'!$A:$A</definedName>
    <definedName name="_xlnm._FilterDatabase" localSheetId="2" hidden="1">'Transposed + Field Filter'!$A$3:$A$36</definedName>
    <definedName name="_xlnm.Print_Titles" localSheetId="2">'Transposed + Field Filter'!$A:$A</definedName>
    <definedName name="_xlnm.Print_Titles" localSheetId="3">'Transposed + Lot Folds'!$A:$A</definedName>
    <definedName name="_xlnm._FilterDatabase" localSheetId="4" hidden="1">'Transposed + Both Filters'!$A$5:$A$38</definedName>
    <definedName name="_xlnm.Print_Titles" localSheetId="4">'Transposed + Both Filters'!$A:$A</definedName>
    <definedName name="_xlnm._FilterDatabase" localSheetId="5" hidden="1">'Transposed - Pick a Buyer'!$A$4:$A$37</definedName>
    <definedName name="_xlnm.Print_Titles" localSheetId="5">'Transposed - Pick a Buyer'!$A:$A</definedName>
    <definedName name="_xlnm._FilterDatabase" localSheetId="6" hidden="1">'Buyer Pivot'!$A$3:$O$41</definedName>
    <definedName name="_xlnm.Print_Titles" localSheetId="6">'Buyer Pivot'!$A:$A</definedName>
    <definedName name="_xlnm._FilterDatabase" localSheetId="7" hidden="1">'Buyer Rows (Filter)'!$A$4:$AE$17</definedName>
    <definedName name="_xlnm.Print_Titles" localSheetId="7">'Buyer Rows (Filter)'!$A:$A</definedName>
    <definedName name="_xlnm._FilterDatabase" localSheetId="10" hidden="1">'Collapsible + Field Filter'!$A$5:$A$563</definedName>
    <definedName name="_xlnm.Print_Titles" localSheetId="11">'Collapsible - Lots Down'!$4:$4</definedName>
    <definedName name="_xlnm._FilterDatabase" localSheetId="12" hidden="1">'Ledger Filter - Lots Down'!$A$5:$AI$55</definedName>
    <definedName name="_xlnm.Print_Titles" localSheetId="12">'Ledger Filter - Lots Down'!$5:$5</definedName>
    <definedName name="_xlnm._FilterDatabase" localSheetId="13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41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  <font>
      <b val="1"/>
      <color rgb="00FFFFFF"/>
      <sz val="8"/>
    </font>
    <font>
      <b val="1"/>
      <color rgb="001F3864"/>
      <sz val="12"/>
    </font>
    <font>
      <i val="1"/>
      <color rgb="00808080"/>
      <sz val="8"/>
    </font>
  </fonts>
  <fills count="38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  <fill>
      <patternFill patternType="solid">
        <fgColor rgb="00FFFFFF"/>
      </patternFill>
    </fill>
    <fill>
      <patternFill patternType="solid">
        <fgColor rgb="00FFE699"/>
      </patternFill>
    </fill>
  </fills>
  <borders count="3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</borders>
  <cellStyleXfs count="1">
    <xf numFmtId="0" fontId="0" fillId="0" borderId="0"/>
  </cellStyleXfs>
  <cellXfs count="622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center" vertical="center" wrapText="1"/>
    </xf>
    <xf numFmtId="1" fontId="13" fillId="9" borderId="18" applyAlignment="1" pivotButton="0" quotePrefix="0" xfId="0">
      <alignment horizontal="right" vertical="center"/>
    </xf>
    <xf numFmtId="1" fontId="13" fillId="13" borderId="18" applyAlignment="1" pivotButton="0" quotePrefix="0" xfId="0">
      <alignment horizontal="right" vertical="center"/>
    </xf>
    <xf numFmtId="1" fontId="13" fillId="15" borderId="18" applyAlignment="1" pivotButton="0" quotePrefix="0" xfId="0">
      <alignment horizontal="right" vertical="center"/>
    </xf>
    <xf numFmtId="1" fontId="13" fillId="29" borderId="18" applyAlignment="1" pivotButton="0" quotePrefix="0" xfId="0">
      <alignment horizontal="right" vertical="center"/>
    </xf>
    <xf numFmtId="1" fontId="13" fillId="19" borderId="18" applyAlignment="1" pivotButton="0" quotePrefix="0" xfId="0">
      <alignment horizontal="right" vertical="center"/>
    </xf>
    <xf numFmtId="1" fontId="13" fillId="22" borderId="18" applyAlignment="1" pivotButton="0" quotePrefix="0" xfId="0">
      <alignment horizontal="right" vertical="center"/>
    </xf>
    <xf numFmtId="1" fontId="13" fillId="6" borderId="18" applyAlignment="1" pivotButton="0" quotePrefix="0" xfId="0">
      <alignment horizontal="right" vertical="center"/>
    </xf>
    <xf numFmtId="1" fontId="13" fillId="26" borderId="18" applyAlignment="1" pivotButton="0" quotePrefix="0" xfId="0">
      <alignment horizontal="right" vertical="center"/>
    </xf>
    <xf numFmtId="1" fontId="29" fillId="9" borderId="19" applyAlignment="1" pivotButton="0" quotePrefix="0" xfId="0">
      <alignment horizontal="right" vertical="center"/>
    </xf>
    <xf numFmtId="3" fontId="13" fillId="9" borderId="18" applyAlignment="1" pivotButton="0" quotePrefix="0" xfId="0">
      <alignment horizontal="right" vertical="center"/>
    </xf>
    <xf numFmtId="3" fontId="13" fillId="15" borderId="18" applyAlignment="1" pivotButton="0" quotePrefix="0" xfId="0">
      <alignment horizontal="right" vertical="center"/>
    </xf>
    <xf numFmtId="3" fontId="13" fillId="19" borderId="18" applyAlignment="1" pivotButton="0" quotePrefix="0" xfId="0">
      <alignment horizontal="right" vertical="center"/>
    </xf>
    <xf numFmtId="3" fontId="13" fillId="6" borderId="18" applyAlignment="1" pivotButton="0" quotePrefix="0" xfId="0">
      <alignment horizontal="right" vertical="center"/>
    </xf>
    <xf numFmtId="49" fontId="16" fillId="9" borderId="18" applyAlignment="1" pivotButton="0" quotePrefix="0" xfId="0">
      <alignment horizontal="left" vertical="center"/>
    </xf>
    <xf numFmtId="49" fontId="16" fillId="15" borderId="18" applyAlignment="1" pivotButton="0" quotePrefix="0" xfId="0">
      <alignment horizontal="left" vertical="center"/>
    </xf>
    <xf numFmtId="49" fontId="16" fillId="19" borderId="18" applyAlignment="1" pivotButton="0" quotePrefix="0" xfId="0">
      <alignment horizontal="left" vertical="center"/>
    </xf>
    <xf numFmtId="49" fontId="16" fillId="6" borderId="18" applyAlignment="1" pivotButton="0" quotePrefix="0" xfId="0">
      <alignment horizontal="left" vertical="center"/>
    </xf>
    <xf numFmtId="49" fontId="29" fillId="9" borderId="19" applyAlignment="1" pivotButton="0" quotePrefix="0" xfId="0">
      <alignment horizontal="left" vertical="center"/>
    </xf>
    <xf numFmtId="166" fontId="13" fillId="9" borderId="18" applyAlignment="1" pivotButton="0" quotePrefix="0" xfId="0">
      <alignment horizontal="right" vertical="center"/>
    </xf>
    <xf numFmtId="166" fontId="13" fillId="15" borderId="18" applyAlignment="1" pivotButton="0" quotePrefix="0" xfId="0">
      <alignment horizontal="right" vertical="center"/>
    </xf>
    <xf numFmtId="166" fontId="13" fillId="19" borderId="18" applyAlignment="1" pivotButton="0" quotePrefix="0" xfId="0">
      <alignment horizontal="right" vertical="center"/>
    </xf>
    <xf numFmtId="166" fontId="13" fillId="6" borderId="18" applyAlignment="1" pivotButton="0" quotePrefix="0" xfId="0">
      <alignment horizontal="right" vertical="center"/>
    </xf>
    <xf numFmtId="4" fontId="13" fillId="9" borderId="18" applyAlignment="1" pivotButton="0" quotePrefix="0" xfId="0">
      <alignment horizontal="right" vertical="center"/>
    </xf>
    <xf numFmtId="4" fontId="13" fillId="15" borderId="18" applyAlignment="1" pivotButton="0" quotePrefix="0" xfId="0">
      <alignment horizontal="right" vertical="center"/>
    </xf>
    <xf numFmtId="4" fontId="13" fillId="19" borderId="18" applyAlignment="1" pivotButton="0" quotePrefix="0" xfId="0">
      <alignment horizontal="right" vertical="center"/>
    </xf>
    <xf numFmtId="4" fontId="13" fillId="6" borderId="18" applyAlignment="1" pivotButton="0" quotePrefix="0" xfId="0">
      <alignment horizontal="right" vertical="center"/>
    </xf>
    <xf numFmtId="10" fontId="13" fillId="9" borderId="18" applyAlignment="1" pivotButton="0" quotePrefix="0" xfId="0">
      <alignment horizontal="right" vertical="center"/>
    </xf>
    <xf numFmtId="10" fontId="13" fillId="13" borderId="18" applyAlignment="1" pivotButton="0" quotePrefix="0" xfId="0">
      <alignment horizontal="right" vertical="center"/>
    </xf>
    <xf numFmtId="10" fontId="13" fillId="15" borderId="18" applyAlignment="1" pivotButton="0" quotePrefix="0" xfId="0">
      <alignment horizontal="right" vertical="center"/>
    </xf>
    <xf numFmtId="10" fontId="13" fillId="29" borderId="18" applyAlignment="1" pivotButton="0" quotePrefix="0" xfId="0">
      <alignment horizontal="right" vertical="center"/>
    </xf>
    <xf numFmtId="10" fontId="13" fillId="19" borderId="18" applyAlignment="1" pivotButton="0" quotePrefix="0" xfId="0">
      <alignment horizontal="right" vertical="center"/>
    </xf>
    <xf numFmtId="10" fontId="13" fillId="22" borderId="18" applyAlignment="1" pivotButton="0" quotePrefix="0" xfId="0">
      <alignment horizontal="right" vertical="center"/>
    </xf>
    <xf numFmtId="10" fontId="13" fillId="6" borderId="18" applyAlignment="1" pivotButton="0" quotePrefix="0" xfId="0">
      <alignment horizontal="right" vertical="center"/>
    </xf>
    <xf numFmtId="10" fontId="13" fillId="26" borderId="18" applyAlignment="1" pivotButton="0" quotePrefix="0" xfId="0">
      <alignment horizontal="right" vertical="center"/>
    </xf>
    <xf numFmtId="10" fontId="29" fillId="9" borderId="19" applyAlignment="1" pivotButton="0" quotePrefix="0" xfId="0">
      <alignment horizontal="right" vertical="center"/>
    </xf>
    <xf numFmtId="0" fontId="8" fillId="24" borderId="18" applyAlignment="1" pivotButton="0" quotePrefix="0" xfId="0">
      <alignment horizontal="left" vertical="center"/>
    </xf>
    <xf numFmtId="167" fontId="13" fillId="9" borderId="18" applyAlignment="1" pivotButton="0" quotePrefix="0" xfId="0">
      <alignment horizontal="right" vertical="center"/>
    </xf>
    <xf numFmtId="167" fontId="13" fillId="13" borderId="18" applyAlignment="1" pivotButton="0" quotePrefix="0" xfId="0">
      <alignment horizontal="right" vertical="center"/>
    </xf>
    <xf numFmtId="167" fontId="13" fillId="15" borderId="18" applyAlignment="1" pivotButton="0" quotePrefix="0" xfId="0">
      <alignment horizontal="right" vertical="center"/>
    </xf>
    <xf numFmtId="167" fontId="13" fillId="29" borderId="18" applyAlignment="1" pivotButton="0" quotePrefix="0" xfId="0">
      <alignment horizontal="right" vertical="center"/>
    </xf>
    <xf numFmtId="167" fontId="13" fillId="19" borderId="18" applyAlignment="1" pivotButton="0" quotePrefix="0" xfId="0">
      <alignment horizontal="right" vertical="center"/>
    </xf>
    <xf numFmtId="167" fontId="13" fillId="22" borderId="18" applyAlignment="1" pivotButton="0" quotePrefix="0" xfId="0">
      <alignment horizontal="right" vertical="center"/>
    </xf>
    <xf numFmtId="167" fontId="13" fillId="6" borderId="18" applyAlignment="1" pivotButton="0" quotePrefix="0" xfId="0">
      <alignment horizontal="right" vertical="center"/>
    </xf>
    <xf numFmtId="167" fontId="13" fillId="26" borderId="18" applyAlignment="1" pivotButton="0" quotePrefix="0" xfId="0">
      <alignment horizontal="right" vertical="center"/>
    </xf>
    <xf numFmtId="167" fontId="29" fillId="9" borderId="19" applyAlignment="1" pivotButton="0" quotePrefix="0" xfId="0">
      <alignment horizontal="right" vertical="center"/>
    </xf>
    <xf numFmtId="3" fontId="8" fillId="8" borderId="17" applyAlignment="1" pivotButton="0" quotePrefix="0" xfId="0">
      <alignment horizontal="center" vertical="center" wrapText="1"/>
    </xf>
    <xf numFmtId="3" fontId="8" fillId="11" borderId="17" applyAlignment="1" pivotButton="0" quotePrefix="0" xfId="0">
      <alignment horizontal="center" vertical="center" wrapText="1"/>
    </xf>
    <xf numFmtId="3" fontId="8" fillId="14" borderId="17" applyAlignment="1" pivotButton="0" quotePrefix="0" xfId="0">
      <alignment horizontal="center" vertical="center" wrapText="1"/>
    </xf>
    <xf numFmtId="3" fontId="8" fillId="16" borderId="17" applyAlignment="1" pivotButton="0" quotePrefix="0" xfId="0">
      <alignment horizontal="center" vertical="center" wrapText="1"/>
    </xf>
    <xf numFmtId="0" fontId="29" fillId="27" borderId="18" applyAlignment="1" pivotButton="0" quotePrefix="0" xfId="0">
      <alignment horizontal="left" vertical="center" indent="1"/>
    </xf>
    <xf numFmtId="0" fontId="12" fillId="34" borderId="18" applyAlignment="1" pivotButton="0" quotePrefix="0" xfId="0">
      <alignment horizontal="left" vertical="center"/>
    </xf>
    <xf numFmtId="0" fontId="29" fillId="9" borderId="19" applyAlignment="1" pivotButton="0" quotePrefix="0" xfId="0">
      <alignment horizontal="left" vertical="center"/>
    </xf>
    <xf numFmtId="0" fontId="29" fillId="9" borderId="18" applyAlignment="1" pivotButton="0" quotePrefix="0" xfId="0">
      <alignment horizontal="left" vertical="center" indent="1"/>
    </xf>
    <xf numFmtId="164" fontId="12" fillId="0" borderId="18" applyAlignment="1" pivotButton="0" quotePrefix="0" xfId="0">
      <alignment horizontal="right" vertical="center"/>
    </xf>
    <xf numFmtId="164" fontId="12" fillId="34" borderId="18" applyAlignment="1" pivotButton="0" quotePrefix="0" xfId="0">
      <alignment horizontal="right" vertical="center"/>
    </xf>
    <xf numFmtId="164" fontId="29" fillId="9" borderId="19" applyAlignment="1" pivotButton="0" quotePrefix="0" xfId="0">
      <alignment horizontal="right" vertical="center"/>
    </xf>
    <xf numFmtId="3" fontId="12" fillId="0" borderId="18" applyAlignment="1" pivotButton="0" quotePrefix="0" xfId="0">
      <alignment horizontal="right" vertical="center"/>
    </xf>
    <xf numFmtId="3" fontId="12" fillId="34" borderId="18" applyAlignment="1" pivotButton="0" quotePrefix="0" xfId="0">
      <alignment horizontal="right" vertical="center"/>
    </xf>
    <xf numFmtId="9" fontId="12" fillId="0" borderId="18" applyAlignment="1" pivotButton="0" quotePrefix="0" xfId="0">
      <alignment horizontal="right" vertical="center"/>
    </xf>
    <xf numFmtId="9" fontId="12" fillId="34" borderId="18" applyAlignment="1" pivotButton="0" quotePrefix="0" xfId="0">
      <alignment horizontal="right" vertical="center"/>
    </xf>
    <xf numFmtId="9" fontId="29" fillId="9" borderId="19" applyAlignment="1" pivotButton="0" quotePrefix="0" xfId="0">
      <alignment horizontal="right" vertical="center"/>
    </xf>
    <xf numFmtId="165" fontId="12" fillId="0" borderId="18" applyAlignment="1" pivotButton="0" quotePrefix="0" xfId="0">
      <alignment horizontal="right" vertical="center"/>
    </xf>
    <xf numFmtId="165" fontId="12" fillId="34" borderId="18" applyAlignment="1" pivotButton="0" quotePrefix="0" xfId="0">
      <alignment horizontal="right" vertical="center"/>
    </xf>
    <xf numFmtId="165" fontId="29" fillId="9" borderId="19" applyAlignment="1" pivotButton="0" quotePrefix="0" xfId="0">
      <alignment horizontal="right" vertical="center"/>
    </xf>
    <xf numFmtId="1" fontId="12" fillId="0" borderId="18" applyAlignment="1" pivotButton="0" quotePrefix="0" xfId="0">
      <alignment horizontal="right" vertical="center"/>
    </xf>
    <xf numFmtId="1" fontId="12" fillId="34" borderId="18" applyAlignment="1" pivotButton="0" quotePrefix="0" xfId="0">
      <alignment horizontal="right" vertical="center"/>
    </xf>
    <xf numFmtId="0" fontId="38" fillId="8" borderId="18" applyAlignment="1" pivotButton="0" quotePrefix="0" xfId="0">
      <alignment horizontal="center" vertical="center" wrapText="1"/>
    </xf>
    <xf numFmtId="0" fontId="38" fillId="11" borderId="18" applyAlignment="1" pivotButton="0" quotePrefix="0" xfId="0">
      <alignment horizontal="center" vertical="center" wrapText="1"/>
    </xf>
    <xf numFmtId="0" fontId="38" fillId="14" borderId="18" applyAlignment="1" pivotButton="0" quotePrefix="0" xfId="0">
      <alignment horizontal="center" vertical="center" wrapText="1"/>
    </xf>
    <xf numFmtId="0" fontId="38" fillId="16" borderId="18" applyAlignment="1" pivotButton="0" quotePrefix="0" xfId="0">
      <alignment horizontal="center" vertical="center" wrapText="1"/>
    </xf>
    <xf numFmtId="0" fontId="38" fillId="18" borderId="18" applyAlignment="1" pivotButton="0" quotePrefix="0" xfId="0">
      <alignment horizontal="center" vertical="center" wrapText="1"/>
    </xf>
    <xf numFmtId="0" fontId="38" fillId="20" borderId="18" applyAlignment="1" pivotButton="0" quotePrefix="0" xfId="0">
      <alignment horizontal="center" vertical="center" wrapText="1"/>
    </xf>
    <xf numFmtId="0" fontId="38" fillId="23" borderId="18" applyAlignment="1" pivotButton="0" quotePrefix="0" xfId="0">
      <alignment horizontal="center" vertical="center" wrapText="1"/>
    </xf>
    <xf numFmtId="0" fontId="38" fillId="24" borderId="18" applyAlignment="1" pivotButton="0" quotePrefix="0" xfId="0">
      <alignment horizontal="center" vertical="center" wrapText="1"/>
    </xf>
    <xf numFmtId="0" fontId="0" fillId="36" borderId="0" pivotButton="0" quotePrefix="0" xfId="0"/>
    <xf numFmtId="164" fontId="12" fillId="9" borderId="18" applyAlignment="1" pivotButton="0" quotePrefix="0" xfId="0">
      <alignment horizontal="right" vertical="center"/>
    </xf>
    <xf numFmtId="164" fontId="12" fillId="12" borderId="18" applyAlignment="1" pivotButton="0" quotePrefix="0" xfId="0">
      <alignment horizontal="right" vertical="center"/>
    </xf>
    <xf numFmtId="164" fontId="12" fillId="15" borderId="18" applyAlignment="1" pivotButton="0" quotePrefix="0" xfId="0">
      <alignment horizontal="right" vertical="center"/>
    </xf>
    <xf numFmtId="164" fontId="12" fillId="17" borderId="18" applyAlignment="1" pivotButton="0" quotePrefix="0" xfId="0">
      <alignment horizontal="right" vertical="center"/>
    </xf>
    <xf numFmtId="164" fontId="12" fillId="19" borderId="18" applyAlignment="1" pivotButton="0" quotePrefix="0" xfId="0">
      <alignment horizontal="right" vertical="center"/>
    </xf>
    <xf numFmtId="164" fontId="12" fillId="25" borderId="18" applyAlignment="1" pivotButton="0" quotePrefix="0" xfId="0">
      <alignment horizontal="right" vertical="center"/>
    </xf>
    <xf numFmtId="3" fontId="12" fillId="9" borderId="18" applyAlignment="1" pivotButton="0" quotePrefix="0" xfId="0">
      <alignment horizontal="right" vertical="center"/>
    </xf>
    <xf numFmtId="3" fontId="12" fillId="12" borderId="18" applyAlignment="1" pivotButton="0" quotePrefix="0" xfId="0">
      <alignment horizontal="right" vertical="center"/>
    </xf>
    <xf numFmtId="3" fontId="12" fillId="15" borderId="18" applyAlignment="1" pivotButton="0" quotePrefix="0" xfId="0">
      <alignment horizontal="right" vertical="center"/>
    </xf>
    <xf numFmtId="3" fontId="12" fillId="17" borderId="18" applyAlignment="1" pivotButton="0" quotePrefix="0" xfId="0">
      <alignment horizontal="right" vertical="center"/>
    </xf>
    <xf numFmtId="3" fontId="12" fillId="19" borderId="18" applyAlignment="1" pivotButton="0" quotePrefix="0" xfId="0">
      <alignment horizontal="right" vertical="center"/>
    </xf>
    <xf numFmtId="3" fontId="12" fillId="25" borderId="18" applyAlignment="1" pivotButton="0" quotePrefix="0" xfId="0">
      <alignment horizontal="right" vertical="center"/>
    </xf>
    <xf numFmtId="9" fontId="12" fillId="9" borderId="18" applyAlignment="1" pivotButton="0" quotePrefix="0" xfId="0">
      <alignment horizontal="right" vertical="center"/>
    </xf>
    <xf numFmtId="9" fontId="12" fillId="12" borderId="18" applyAlignment="1" pivotButton="0" quotePrefix="0" xfId="0">
      <alignment horizontal="right" vertical="center"/>
    </xf>
    <xf numFmtId="9" fontId="12" fillId="15" borderId="18" applyAlignment="1" pivotButton="0" quotePrefix="0" xfId="0">
      <alignment horizontal="right" vertical="center"/>
    </xf>
    <xf numFmtId="9" fontId="12" fillId="17" borderId="18" applyAlignment="1" pivotButton="0" quotePrefix="0" xfId="0">
      <alignment horizontal="right" vertical="center"/>
    </xf>
    <xf numFmtId="9" fontId="12" fillId="19" borderId="18" applyAlignment="1" pivotButton="0" quotePrefix="0" xfId="0">
      <alignment horizontal="right" vertical="center"/>
    </xf>
    <xf numFmtId="9" fontId="12" fillId="25" borderId="18" applyAlignment="1" pivotButton="0" quotePrefix="0" xfId="0">
      <alignment horizontal="right" vertical="center"/>
    </xf>
    <xf numFmtId="165" fontId="12" fillId="9" borderId="18" applyAlignment="1" pivotButton="0" quotePrefix="0" xfId="0">
      <alignment horizontal="right" vertical="center"/>
    </xf>
    <xf numFmtId="165" fontId="12" fillId="12" borderId="18" applyAlignment="1" pivotButton="0" quotePrefix="0" xfId="0">
      <alignment horizontal="right" vertical="center"/>
    </xf>
    <xf numFmtId="165" fontId="12" fillId="15" borderId="18" applyAlignment="1" pivotButton="0" quotePrefix="0" xfId="0">
      <alignment horizontal="right" vertical="center"/>
    </xf>
    <xf numFmtId="165" fontId="12" fillId="17" borderId="18" applyAlignment="1" pivotButton="0" quotePrefix="0" xfId="0">
      <alignment horizontal="right" vertical="center"/>
    </xf>
    <xf numFmtId="165" fontId="12" fillId="19" borderId="18" applyAlignment="1" pivotButton="0" quotePrefix="0" xfId="0">
      <alignment horizontal="right" vertical="center"/>
    </xf>
    <xf numFmtId="165" fontId="12" fillId="25" borderId="18" applyAlignment="1" pivotButton="0" quotePrefix="0" xfId="0">
      <alignment horizontal="right" vertical="center"/>
    </xf>
    <xf numFmtId="1" fontId="12" fillId="9" borderId="18" applyAlignment="1" pivotButton="0" quotePrefix="0" xfId="0">
      <alignment horizontal="right" vertical="center"/>
    </xf>
    <xf numFmtId="1" fontId="12" fillId="12" borderId="18" applyAlignment="1" pivotButton="0" quotePrefix="0" xfId="0">
      <alignment horizontal="right" vertical="center"/>
    </xf>
    <xf numFmtId="1" fontId="12" fillId="15" borderId="18" applyAlignment="1" pivotButton="0" quotePrefix="0" xfId="0">
      <alignment horizontal="right" vertical="center"/>
    </xf>
    <xf numFmtId="1" fontId="12" fillId="17" borderId="18" applyAlignment="1" pivotButton="0" quotePrefix="0" xfId="0">
      <alignment horizontal="right" vertical="center"/>
    </xf>
    <xf numFmtId="1" fontId="12" fillId="19" borderId="18" applyAlignment="1" pivotButton="0" quotePrefix="0" xfId="0">
      <alignment horizontal="right" vertical="center"/>
    </xf>
    <xf numFmtId="1" fontId="12" fillId="25" borderId="18" applyAlignment="1" pivotButton="0" quotePrefix="0" xfId="0">
      <alignment horizontal="right" vertical="center"/>
    </xf>
    <xf numFmtId="0" fontId="40" fillId="0" borderId="0" pivotButton="0" quotePrefix="0" xfId="0"/>
    <xf numFmtId="0" fontId="27" fillId="7" borderId="0" applyAlignment="1" pivotButton="0" quotePrefix="0" xfId="0">
      <alignment horizontal="left" vertical="center" indent="1"/>
    </xf>
    <xf numFmtId="0" fontId="39" fillId="37" borderId="35" applyAlignment="1" pivotButton="0" quotePrefix="0" xfId="0">
      <alignment horizontal="center" vertical="center" wrapText="1"/>
    </xf>
    <xf numFmtId="0" fontId="0" fillId="0" borderId="35" pivotButton="0" quotePrefix="0" xfId="0"/>
    <xf numFmtId="0" fontId="29" fillId="9" borderId="0" applyAlignment="1" pivotButton="0" quotePrefix="0" xfId="0">
      <alignment horizontal="left" vertical="center" indent="1"/>
    </xf>
    <xf numFmtId="3" fontId="8" fillId="18" borderId="17" applyAlignment="1" pivotButton="0" quotePrefix="0" xfId="0">
      <alignment horizontal="center" vertical="center" wrapText="1"/>
    </xf>
    <xf numFmtId="3" fontId="8" fillId="20" borderId="17" applyAlignment="1" pivotButton="0" quotePrefix="0" xfId="0">
      <alignment horizontal="center" vertical="center" wrapText="1"/>
    </xf>
    <xf numFmtId="3" fontId="8" fillId="23" borderId="17" applyAlignment="1" pivotButton="0" quotePrefix="0" xfId="0">
      <alignment horizontal="center" vertical="center" wrapText="1"/>
    </xf>
    <xf numFmtId="3" fontId="8" fillId="24" borderId="17" applyAlignment="1" pivotButton="0" quotePrefix="0" xfId="0">
      <alignment horizontal="center" vertical="center" wrapText="1"/>
    </xf>
    <xf numFmtId="0" fontId="29" fillId="9" borderId="19" applyAlignment="1" pivotButton="0" quotePrefix="0" xfId="0">
      <alignment horizontal="right" vertical="center"/>
    </xf>
    <xf numFmtId="0" fontId="25" fillId="31" borderId="17" applyAlignment="1" pivotButton="0" quotePrefix="0" xfId="0">
      <alignment horizontal="center" vertical="bottom" textRotation="90" wrapText="1"/>
    </xf>
    <xf numFmtId="0" fontId="11" fillId="9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 indent="1"/>
    </xf>
    <xf numFmtId="0" fontId="8" fillId="4" borderId="18" applyAlignment="1" pivotButton="0" quotePrefix="0" xfId="0">
      <alignment horizontal="left" vertical="center" indent="1"/>
    </xf>
    <xf numFmtId="1" fontId="8" fillId="4" borderId="18" applyAlignment="1" pivotButton="0" quotePrefix="0" xfId="0">
      <alignment horizontal="right" vertical="center"/>
    </xf>
    <xf numFmtId="49" fontId="8" fillId="4" borderId="18" applyAlignment="1" pivotButton="0" quotePrefix="0" xfId="0">
      <alignment horizontal="left" vertical="center"/>
    </xf>
    <xf numFmtId="166" fontId="8" fillId="4" borderId="18" applyAlignment="1" pivotButton="0" quotePrefix="0" xfId="0">
      <alignment horizontal="right" vertical="center"/>
    </xf>
    <xf numFmtId="4" fontId="8" fillId="4" borderId="18" applyAlignment="1" pivotButton="0" quotePrefix="0" xfId="0">
      <alignment horizontal="right" vertical="center"/>
    </xf>
    <xf numFmtId="10" fontId="8" fillId="4" borderId="18" applyAlignment="1" pivotButton="0" quotePrefix="0" xfId="0">
      <alignment horizontal="right" vertical="center"/>
    </xf>
    <xf numFmtId="167" fontId="8" fillId="4" borderId="18" applyAlignment="1" pivotButton="0" quotePrefix="0" xfId="0">
      <alignment horizontal="right" vertical="center"/>
    </xf>
  </cellXfs>
  <cellStyles count="1">
    <cellStyle name="Normal" xfId="0" builtinId="0"/>
  </cellStyles>
  <dxfs count="5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  <dxf>
      <font>
        <color rgb="000061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1F4E79 = bid sheet 21980  •  C55A11 = bid sheet 21977  •  548235 = bid sheet 21978  •  7030A0 = bid sheet 21979   •   filter with the ▼ arrow on the FIELD column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ONE filter button, on the FIELD label cell at the top of column A: click it and tick the fields you want to see - every other row hides.  The lot headers carry no arrows.  Otherwise identical to 'Final Calc (Transposed)'.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4472C4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the lot columns are sorted by auction then buyer and grouped: the − above a thin divider folds that BUYER's lots away, the − above a wide divider folds a whole AUCTION.  The 1 / 2 buttons in the outline area collapse every buyer or every auction at once.  No filter arrows here - this sheet is for folding.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55E91"/>
    <outlinePr summaryBelow="0" summaryRight="1"/>
    <pageSetUpPr fitToPage="1"/>
  </sheetPr>
  <dimension ref="A1:BG3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2"/>
  <cols>
    <col width="34" customWidth="1" min="1" max="1"/>
    <col outlineLevel="2" width="14.5" customWidth="1" min="2" max="2"/>
    <col outlineLevel="2" width="14.5" customWidth="1" min="3" max="3"/>
    <col outlineLevel="1" width="2.6" customWidth="1" min="4" max="4"/>
    <col outlineLevel="2" width="14.5" customWidth="1" min="5" max="5"/>
    <col outlineLevel="1" width="2.6" customWidth="1" min="6" max="6"/>
    <col outlineLevel="2" width="14.5" customWidth="1" min="7" max="7"/>
    <col outlineLevel="2" width="14.5" customWidth="1" min="8" max="8"/>
    <col outlineLevel="2" width="14.5" customWidth="1" min="9" max="9"/>
    <col outlineLevel="2" width="14.5" customWidth="1" min="10" max="10"/>
    <col outlineLevel="1" width="2.6" customWidth="1" min="11" max="11"/>
    <col outlineLevel="2" width="14.5" customWidth="1" min="12" max="12"/>
    <col outlineLevel="2" width="14.5" customWidth="1" min="13" max="13"/>
    <col outlineLevel="1" width="2.6" customWidth="1" min="14" max="14"/>
    <col outlineLevel="2" width="14.5" customWidth="1" min="15" max="15"/>
    <col outlineLevel="2" width="14.5" customWidth="1" min="16" max="16"/>
    <col width="2.6" customWidth="1" min="17" max="17"/>
    <col outlineLevel="2" width="14.5" customWidth="1" min="18" max="18"/>
    <col outlineLevel="1" width="2.6" customWidth="1" min="19" max="19"/>
    <col outlineLevel="2" width="14.5" customWidth="1" min="20" max="20"/>
    <col outlineLevel="2" width="14.5" customWidth="1" min="21" max="21"/>
    <col outlineLevel="2" width="14.5" customWidth="1" min="22" max="22"/>
    <col outlineLevel="2" width="14.5" customWidth="1" min="23" max="23"/>
    <col outlineLevel="2" width="14.5" customWidth="1" min="24" max="24"/>
    <col outlineLevel="1" width="2.6" customWidth="1" min="25" max="25"/>
    <col outlineLevel="2" width="14.5" customWidth="1" min="26" max="26"/>
    <col outlineLevel="1" width="2.6" customWidth="1" min="27" max="27"/>
    <col outlineLevel="2" width="14.5" customWidth="1" min="28" max="28"/>
    <col outlineLevel="1" width="2.6" customWidth="1" min="29" max="29"/>
    <col outlineLevel="2" width="14.5" customWidth="1" min="30" max="30"/>
    <col outlineLevel="2" width="14.5" customWidth="1" min="31" max="31"/>
    <col outlineLevel="2" width="14.5" customWidth="1" min="32" max="32"/>
    <col outlineLevel="1" width="2.6" customWidth="1" min="33" max="33"/>
    <col outlineLevel="2" width="14.5" customWidth="1" min="34" max="34"/>
    <col outlineLevel="2" width="14.5" customWidth="1" min="35" max="35"/>
    <col width="2.6" customWidth="1" min="36" max="36"/>
    <col outlineLevel="2" width="14.5" customWidth="1" min="37" max="37"/>
    <col outlineLevel="2" width="14.5" customWidth="1" min="38" max="38"/>
    <col outlineLevel="2" width="14.5" customWidth="1" min="39" max="39"/>
    <col outlineLevel="1" width="2.6" customWidth="1" min="40" max="40"/>
    <col outlineLevel="2" width="14.5" customWidth="1" min="41" max="41"/>
    <col outlineLevel="1" width="2.6" customWidth="1" min="42" max="42"/>
    <col outlineLevel="2" width="14.5" customWidth="1" min="43" max="43"/>
    <col width="2.6" customWidth="1" min="44" max="44"/>
    <col outlineLevel="2" width="14.5" customWidth="1" min="45" max="45"/>
    <col outlineLevel="1" width="2.6" customWidth="1" min="46" max="46"/>
    <col outlineLevel="2" width="14.5" customWidth="1" min="47" max="47"/>
    <col outlineLevel="1" width="2.6" customWidth="1" min="48" max="48"/>
    <col outlineLevel="2" width="14.5" customWidth="1" min="49" max="49"/>
    <col outlineLevel="1" width="2.6" customWidth="1" min="50" max="50"/>
    <col outlineLevel="2" width="14.5" customWidth="1" min="51" max="51"/>
    <col outlineLevel="1" width="2.6" customWidth="1" min="52" max="52"/>
    <col outlineLevel="2" width="14.5" customWidth="1" min="53" max="53"/>
    <col outlineLevel="2" width="14.5" customWidth="1" min="54" max="54"/>
    <col outlineLevel="1" width="2.6" customWidth="1" min="55" max="55"/>
    <col outlineLevel="2" width="14.5" customWidth="1" min="56" max="56"/>
    <col outlineLevel="1" width="2.6" customWidth="1" min="57" max="57"/>
    <col outlineLevel="2" width="14.5" customWidth="1" min="58" max="58"/>
    <col width="14.5" customWidth="1" min="59" max="5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both at once: the ▼ on the FIELD label cell (A5) filters which rows show, and the − above the thin / wide dividers fold a buyer's or a whole auction's lot columns away.</t>
        </is>
      </c>
    </row>
    <row r="3" ht="16" customHeight="1">
      <c r="A3" s="399" t="inlineStr">
        <is>
          <t>AUCTION  →</t>
        </is>
      </c>
      <c r="B3" s="233" t="inlineStr">
        <is>
          <t>AUCTION 21977</t>
        </is>
      </c>
      <c r="C3" s="384" t="n"/>
      <c r="D3" s="384" t="n"/>
      <c r="E3" s="384" t="n"/>
      <c r="F3" s="384" t="n"/>
      <c r="G3" s="384" t="n"/>
      <c r="H3" s="384" t="n"/>
      <c r="I3" s="384" t="n"/>
      <c r="J3" s="384" t="n"/>
      <c r="K3" s="384" t="n"/>
      <c r="L3" s="384" t="n"/>
      <c r="M3" s="384" t="n"/>
      <c r="N3" s="384" t="n"/>
      <c r="O3" s="384" t="n"/>
      <c r="P3" s="384" t="n"/>
      <c r="R3" s="234" t="inlineStr">
        <is>
          <t>AUCTION 21978</t>
        </is>
      </c>
      <c r="S3" s="385" t="n"/>
      <c r="T3" s="385" t="n"/>
      <c r="U3" s="385" t="n"/>
      <c r="V3" s="385" t="n"/>
      <c r="W3" s="385" t="n"/>
      <c r="X3" s="385" t="n"/>
      <c r="Y3" s="385" t="n"/>
      <c r="Z3" s="385" t="n"/>
      <c r="AA3" s="385" t="n"/>
      <c r="AB3" s="385" t="n"/>
      <c r="AC3" s="385" t="n"/>
      <c r="AD3" s="385" t="n"/>
      <c r="AE3" s="385" t="n"/>
      <c r="AF3" s="385" t="n"/>
      <c r="AG3" s="385" t="n"/>
      <c r="AH3" s="385" t="n"/>
      <c r="AI3" s="385" t="n"/>
      <c r="AK3" s="235" t="inlineStr">
        <is>
          <t>AUCTION 21979</t>
        </is>
      </c>
      <c r="AL3" s="386" t="n"/>
      <c r="AM3" s="386" t="n"/>
      <c r="AN3" s="386" t="n"/>
      <c r="AO3" s="386" t="n"/>
      <c r="AP3" s="386" t="n"/>
      <c r="AQ3" s="386" t="n"/>
      <c r="AS3" s="236" t="inlineStr">
        <is>
          <t>AUCTION 21980</t>
        </is>
      </c>
      <c r="AT3" s="387" t="n"/>
      <c r="AU3" s="387" t="n"/>
      <c r="AV3" s="387" t="n"/>
      <c r="AW3" s="387" t="n"/>
      <c r="AX3" s="387" t="n"/>
      <c r="AY3" s="387" t="n"/>
      <c r="AZ3" s="387" t="n"/>
      <c r="BA3" s="387" t="n"/>
      <c r="BB3" s="387" t="n"/>
      <c r="BC3" s="387" t="n"/>
      <c r="BD3" s="387" t="n"/>
      <c r="BE3" s="387" t="n"/>
      <c r="BF3" s="387" t="n"/>
    </row>
    <row r="4" ht="46" customHeight="1">
      <c r="A4" s="399" t="inlineStr">
        <is>
          <t>BUYER  →</t>
        </is>
      </c>
      <c r="B4" s="557" t="inlineStr">
        <is>
          <t>F R KHANS ENTERPRISES  (2)</t>
        </is>
      </c>
      <c r="C4" s="384" t="n"/>
      <c r="E4" s="558" t="inlineStr">
        <is>
          <t>HIND TRADERS</t>
        </is>
      </c>
      <c r="G4" s="559" t="inlineStr">
        <is>
          <t>NATIONAL ENTERPRISES  (4)</t>
        </is>
      </c>
      <c r="H4" s="386" t="n"/>
      <c r="I4" s="386" t="n"/>
      <c r="J4" s="386" t="n"/>
      <c r="L4" s="560" t="inlineStr">
        <is>
          <t>SHAR JAHAN TRADERS  (2)</t>
        </is>
      </c>
      <c r="M4" s="387" t="n"/>
      <c r="O4" s="561" t="inlineStr">
        <is>
          <t>STERLING ENTERPRISES  (2)</t>
        </is>
      </c>
      <c r="P4" s="389" t="n"/>
      <c r="R4" s="562" t="inlineStr">
        <is>
          <t>M I SCRAP TRADERS</t>
        </is>
      </c>
      <c r="T4" s="559" t="inlineStr">
        <is>
          <t>NATIONAL ENTERPRISES  (5)</t>
        </is>
      </c>
      <c r="U4" s="386" t="n"/>
      <c r="V4" s="386" t="n"/>
      <c r="W4" s="386" t="n"/>
      <c r="X4" s="386" t="n"/>
      <c r="Z4" s="563" t="inlineStr">
        <is>
          <t>NATIONAL SCRAP AND BUILDING MATERIAL SUPPLIER</t>
        </is>
      </c>
      <c r="AB4" s="564" t="inlineStr">
        <is>
          <t>OMKAR STEELS</t>
        </is>
      </c>
      <c r="AD4" s="561" t="inlineStr">
        <is>
          <t>STERLING ENTERPRISES  (3)</t>
        </is>
      </c>
      <c r="AE4" s="389" t="n"/>
      <c r="AF4" s="389" t="n"/>
      <c r="AH4" s="557" t="inlineStr">
        <is>
          <t>WATAN SCRAP TRADERS  (2)</t>
        </is>
      </c>
      <c r="AI4" s="384" t="n"/>
      <c r="AK4" s="559" t="inlineStr">
        <is>
          <t>NATIONAL ENTERPRISES  (3)</t>
        </is>
      </c>
      <c r="AL4" s="386" t="n"/>
      <c r="AM4" s="386" t="n"/>
      <c r="AO4" s="558" t="inlineStr">
        <is>
          <t>SAHARA ENTERPRISES</t>
        </is>
      </c>
      <c r="AQ4" s="561" t="inlineStr">
        <is>
          <t>STERLING ENTERPRISES</t>
        </is>
      </c>
      <c r="AS4" s="559" t="inlineStr">
        <is>
          <t>AL HAMD TRADE CORPORATION</t>
        </is>
      </c>
      <c r="AU4" s="560" t="inlineStr">
        <is>
          <t>KASHYAP TRADING CO</t>
        </is>
      </c>
      <c r="AW4" s="559" t="inlineStr">
        <is>
          <t>NATIONAL ENTERPRISES</t>
        </is>
      </c>
      <c r="AY4" s="564" t="inlineStr">
        <is>
          <t>OMKAR STEELS</t>
        </is>
      </c>
      <c r="BA4" s="561" t="inlineStr">
        <is>
          <t>S M ENTERPRISES  (2)</t>
        </is>
      </c>
      <c r="BB4" s="389" t="n"/>
      <c r="BD4" s="561" t="inlineStr">
        <is>
          <t>STERLING ENTERPRISES</t>
        </is>
      </c>
      <c r="BF4" s="557" t="inlineStr">
        <is>
          <t>WATAN SCRAP TRADERS</t>
        </is>
      </c>
    </row>
    <row r="5" ht="30" customHeight="1">
      <c r="A5" s="424" t="inlineStr">
        <is>
          <t>FIELD (row 3 of the source)  ▸  |  LOT →</t>
        </is>
      </c>
      <c r="B5" s="536">
        <f>IF('Final Calculation Sheet'!$F$6="","",'Final Calculation Sheet'!$F$6)</f>
        <v/>
      </c>
      <c r="C5" s="536">
        <f>IF('Final Calculation Sheet'!$F$7="","",'Final Calculation Sheet'!$F$7)</f>
        <v/>
      </c>
      <c r="D5" s="565" t="n"/>
      <c r="E5" s="536">
        <f>IF('Final Calculation Sheet'!$F$15="","",'Final Calculation Sheet'!$F$15)</f>
        <v/>
      </c>
      <c r="F5" s="565" t="n"/>
      <c r="G5" s="536">
        <f>IF('Final Calculation Sheet'!$F$5="","",'Final Calculation Sheet'!$F$5)</f>
        <v/>
      </c>
      <c r="H5" s="536">
        <f>IF('Final Calculation Sheet'!$F$10="","",'Final Calculation Sheet'!$F$10)</f>
        <v/>
      </c>
      <c r="I5" s="536">
        <f>IF('Final Calculation Sheet'!$F$11="","",'Final Calculation Sheet'!$F$11)</f>
        <v/>
      </c>
      <c r="J5" s="536">
        <f>IF('Final Calculation Sheet'!$F$12="","",'Final Calculation Sheet'!$F$12)</f>
        <v/>
      </c>
      <c r="K5" s="565" t="n"/>
      <c r="L5" s="536">
        <f>IF('Final Calculation Sheet'!$F$9="","",'Final Calculation Sheet'!$F$9)</f>
        <v/>
      </c>
      <c r="M5" s="536">
        <f>IF('Final Calculation Sheet'!$F$14="","",'Final Calculation Sheet'!$F$14)</f>
        <v/>
      </c>
      <c r="N5" s="565" t="n"/>
      <c r="O5" s="536">
        <f>IF('Final Calculation Sheet'!$F$13="","",'Final Calculation Sheet'!$F$13)</f>
        <v/>
      </c>
      <c r="P5" s="536">
        <f>IF('Final Calculation Sheet'!$F$16="","",'Final Calculation Sheet'!$F$16)</f>
        <v/>
      </c>
      <c r="Q5" s="565" t="n"/>
      <c r="R5" s="537">
        <f>IF('Final Calculation Sheet'!$F$27="","",'Final Calculation Sheet'!$F$27)</f>
        <v/>
      </c>
      <c r="S5" s="565" t="n"/>
      <c r="T5" s="537">
        <f>IF('Final Calculation Sheet'!$F$18="","",'Final Calculation Sheet'!$F$18)</f>
        <v/>
      </c>
      <c r="U5" s="537">
        <f>IF('Final Calculation Sheet'!$F$19="","",'Final Calculation Sheet'!$F$19)</f>
        <v/>
      </c>
      <c r="V5" s="537">
        <f>IF('Final Calculation Sheet'!$F$22="","",'Final Calculation Sheet'!$F$22)</f>
        <v/>
      </c>
      <c r="W5" s="537">
        <f>IF('Final Calculation Sheet'!$F$24="","",'Final Calculation Sheet'!$F$24)</f>
        <v/>
      </c>
      <c r="X5" s="537">
        <f>IF('Final Calculation Sheet'!$F$26="","",'Final Calculation Sheet'!$F$26)</f>
        <v/>
      </c>
      <c r="Y5" s="565" t="n"/>
      <c r="Z5" s="537">
        <f>IF('Final Calculation Sheet'!$F$21="","",'Final Calculation Sheet'!$F$21)</f>
        <v/>
      </c>
      <c r="AA5" s="565" t="n"/>
      <c r="AB5" s="537">
        <f>IF('Final Calculation Sheet'!$F$20="","",'Final Calculation Sheet'!$F$20)</f>
        <v/>
      </c>
      <c r="AC5" s="565" t="n"/>
      <c r="AD5" s="537">
        <f>IF('Final Calculation Sheet'!$F$17="","",'Final Calculation Sheet'!$F$17)</f>
        <v/>
      </c>
      <c r="AE5" s="537">
        <f>IF('Final Calculation Sheet'!$F$23="","",'Final Calculation Sheet'!$F$23)</f>
        <v/>
      </c>
      <c r="AF5" s="537">
        <f>IF('Final Calculation Sheet'!$F$29="","",'Final Calculation Sheet'!$F$29)</f>
        <v/>
      </c>
      <c r="AG5" s="565" t="n"/>
      <c r="AH5" s="537">
        <f>IF('Final Calculation Sheet'!$F$25="","",'Final Calculation Sheet'!$F$25)</f>
        <v/>
      </c>
      <c r="AI5" s="537">
        <f>IF('Final Calculation Sheet'!$F$28="","",'Final Calculation Sheet'!$F$28)</f>
        <v/>
      </c>
      <c r="AJ5" s="565" t="n"/>
      <c r="AK5" s="538">
        <f>IF('Final Calculation Sheet'!$F$30="","",'Final Calculation Sheet'!$F$30)</f>
        <v/>
      </c>
      <c r="AL5" s="538">
        <f>IF('Final Calculation Sheet'!$F$32="","",'Final Calculation Sheet'!$F$32)</f>
        <v/>
      </c>
      <c r="AM5" s="538">
        <f>IF('Final Calculation Sheet'!$F$33="","",'Final Calculation Sheet'!$F$33)</f>
        <v/>
      </c>
      <c r="AN5" s="565" t="n"/>
      <c r="AO5" s="538">
        <f>IF('Final Calculation Sheet'!$F$31="","",'Final Calculation Sheet'!$F$31)</f>
        <v/>
      </c>
      <c r="AP5" s="565" t="n"/>
      <c r="AQ5" s="538">
        <f>IF('Final Calculation Sheet'!$F$34="","",'Final Calculation Sheet'!$F$34)</f>
        <v/>
      </c>
      <c r="AR5" s="565" t="n"/>
      <c r="AS5" s="539">
        <f>IF('Final Calculation Sheet'!$F$4="","",'Final Calculation Sheet'!$F$4)</f>
        <v/>
      </c>
      <c r="AT5" s="565" t="n"/>
      <c r="AU5" s="539">
        <f>IF('Final Calculation Sheet'!$F$38="","",'Final Calculation Sheet'!$F$38)</f>
        <v/>
      </c>
      <c r="AV5" s="565" t="n"/>
      <c r="AW5" s="539">
        <f>IF('Final Calculation Sheet'!$F$37="","",'Final Calculation Sheet'!$F$37)</f>
        <v/>
      </c>
      <c r="AX5" s="565" t="n"/>
      <c r="AY5" s="539">
        <f>IF('Final Calculation Sheet'!$F$8="","",'Final Calculation Sheet'!$F$8)</f>
        <v/>
      </c>
      <c r="AZ5" s="565" t="n"/>
      <c r="BA5" s="539">
        <f>IF('Final Calculation Sheet'!$F$39="","",'Final Calculation Sheet'!$F$39)</f>
        <v/>
      </c>
      <c r="BB5" s="539">
        <f>IF('Final Calculation Sheet'!$F$40="","",'Final Calculation Sheet'!$F$40)</f>
        <v/>
      </c>
      <c r="BC5" s="565" t="n"/>
      <c r="BD5" s="539">
        <f>IF('Final Calculation Sheet'!$F$36="","",'Final Calculation Sheet'!$F$36)</f>
        <v/>
      </c>
      <c r="BE5" s="565" t="n"/>
      <c r="BF5" s="539">
        <f>IF('Final Calculation Sheet'!$F$35="","",'Final Calculation Sheet'!$F$35)</f>
        <v/>
      </c>
      <c r="BG5" s="490" t="inlineStr">
        <is>
          <t>TOTAL (src row 41)</t>
        </is>
      </c>
    </row>
    <row r="6" ht="15" customHeight="1">
      <c r="A6" s="540" t="inlineStr">
        <is>
          <t>Quantity</t>
        </is>
      </c>
      <c r="B6" s="429">
        <f>IF('Final Calculation Sheet'!$A$6="","",'Final Calculation Sheet'!$A$6)</f>
        <v/>
      </c>
      <c r="C6" s="541">
        <f>IF('Final Calculation Sheet'!$A$7="","",'Final Calculation Sheet'!$A$7)</f>
        <v/>
      </c>
      <c r="E6" s="436">
        <f>IF('Final Calculation Sheet'!$A$15="","",'Final Calculation Sheet'!$A$15)</f>
        <v/>
      </c>
      <c r="G6" s="541">
        <f>IF('Final Calculation Sheet'!$A$5="","",'Final Calculation Sheet'!$A$5)</f>
        <v/>
      </c>
      <c r="H6" s="444">
        <f>IF('Final Calculation Sheet'!$A$10="","",'Final Calculation Sheet'!$A$10)</f>
        <v/>
      </c>
      <c r="I6" s="541">
        <f>IF('Final Calculation Sheet'!$A$11="","",'Final Calculation Sheet'!$A$11)</f>
        <v/>
      </c>
      <c r="J6" s="444">
        <f>IF('Final Calculation Sheet'!$A$12="","",'Final Calculation Sheet'!$A$12)</f>
        <v/>
      </c>
      <c r="L6" s="541">
        <f>IF('Final Calculation Sheet'!$A$9="","",'Final Calculation Sheet'!$A$9)</f>
        <v/>
      </c>
      <c r="M6" s="451">
        <f>IF('Final Calculation Sheet'!$A$14="","",'Final Calculation Sheet'!$A$14)</f>
        <v/>
      </c>
      <c r="O6" s="541">
        <f>IF('Final Calculation Sheet'!$A$13="","",'Final Calculation Sheet'!$A$13)</f>
        <v/>
      </c>
      <c r="P6" s="459">
        <f>IF('Final Calculation Sheet'!$A$16="","",'Final Calculation Sheet'!$A$16)</f>
        <v/>
      </c>
      <c r="R6" s="541">
        <f>IF('Final Calculation Sheet'!$A$27="","",'Final Calculation Sheet'!$A$27)</f>
        <v/>
      </c>
      <c r="T6" s="444">
        <f>IF('Final Calculation Sheet'!$A$18="","",'Final Calculation Sheet'!$A$18)</f>
        <v/>
      </c>
      <c r="U6" s="541">
        <f>IF('Final Calculation Sheet'!$A$19="","",'Final Calculation Sheet'!$A$19)</f>
        <v/>
      </c>
      <c r="V6" s="444">
        <f>IF('Final Calculation Sheet'!$A$22="","",'Final Calculation Sheet'!$A$22)</f>
        <v/>
      </c>
      <c r="W6" s="541">
        <f>IF('Final Calculation Sheet'!$A$24="","",'Final Calculation Sheet'!$A$24)</f>
        <v/>
      </c>
      <c r="X6" s="444">
        <f>IF('Final Calculation Sheet'!$A$26="","",'Final Calculation Sheet'!$A$26)</f>
        <v/>
      </c>
      <c r="Z6" s="541">
        <f>IF('Final Calculation Sheet'!$A$21="","",'Final Calculation Sheet'!$A$21)</f>
        <v/>
      </c>
      <c r="AB6" s="481">
        <f>IF('Final Calculation Sheet'!$A$20="","",'Final Calculation Sheet'!$A$20)</f>
        <v/>
      </c>
      <c r="AD6" s="541">
        <f>IF('Final Calculation Sheet'!$A$17="","",'Final Calculation Sheet'!$A$17)</f>
        <v/>
      </c>
      <c r="AE6" s="459">
        <f>IF('Final Calculation Sheet'!$A$23="","",'Final Calculation Sheet'!$A$23)</f>
        <v/>
      </c>
      <c r="AF6" s="541">
        <f>IF('Final Calculation Sheet'!$A$29="","",'Final Calculation Sheet'!$A$29)</f>
        <v/>
      </c>
      <c r="AH6" s="429">
        <f>IF('Final Calculation Sheet'!$A$25="","",'Final Calculation Sheet'!$A$25)</f>
        <v/>
      </c>
      <c r="AI6" s="541">
        <f>IF('Final Calculation Sheet'!$A$28="","",'Final Calculation Sheet'!$A$28)</f>
        <v/>
      </c>
      <c r="AK6" s="444">
        <f>IF('Final Calculation Sheet'!$A$30="","",'Final Calculation Sheet'!$A$30)</f>
        <v/>
      </c>
      <c r="AL6" s="541">
        <f>IF('Final Calculation Sheet'!$A$32="","",'Final Calculation Sheet'!$A$32)</f>
        <v/>
      </c>
      <c r="AM6" s="444">
        <f>IF('Final Calculation Sheet'!$A$33="","",'Final Calculation Sheet'!$A$33)</f>
        <v/>
      </c>
      <c r="AO6" s="541">
        <f>IF('Final Calculation Sheet'!$A$31="","",'Final Calculation Sheet'!$A$31)</f>
        <v/>
      </c>
      <c r="AQ6" s="459">
        <f>IF('Final Calculation Sheet'!$A$34="","",'Final Calculation Sheet'!$A$34)</f>
        <v/>
      </c>
      <c r="AS6" s="541">
        <f>IF('Final Calculation Sheet'!$A$4="","",'Final Calculation Sheet'!$A$4)</f>
        <v/>
      </c>
      <c r="AU6" s="451">
        <f>IF('Final Calculation Sheet'!$A$38="","",'Final Calculation Sheet'!$A$38)</f>
        <v/>
      </c>
      <c r="AW6" s="541">
        <f>IF('Final Calculation Sheet'!$A$37="","",'Final Calculation Sheet'!$A$37)</f>
        <v/>
      </c>
      <c r="AY6" s="481">
        <f>IF('Final Calculation Sheet'!$A$8="","",'Final Calculation Sheet'!$A$8)</f>
        <v/>
      </c>
      <c r="BA6" s="541">
        <f>IF('Final Calculation Sheet'!$A$39="","",'Final Calculation Sheet'!$A$39)</f>
        <v/>
      </c>
      <c r="BB6" s="459">
        <f>IF('Final Calculation Sheet'!$A$40="","",'Final Calculation Sheet'!$A$40)</f>
        <v/>
      </c>
      <c r="BD6" s="541">
        <f>IF('Final Calculation Sheet'!$A$36="","",'Final Calculation Sheet'!$A$36)</f>
        <v/>
      </c>
      <c r="BF6" s="429">
        <f>IF('Final Calculation Sheet'!$A$35="","",'Final Calculation Sheet'!$A$35)</f>
        <v/>
      </c>
      <c r="BG6" s="542">
        <f>IF('Final Calculation Sheet'!$A$41="","",'Final Calculation Sheet'!$A$41)</f>
        <v/>
      </c>
    </row>
    <row r="7" ht="15" customHeight="1">
      <c r="A7" s="543" t="inlineStr">
        <is>
          <t>Lot Name</t>
        </is>
      </c>
      <c r="B7" s="429">
        <f>IF('Final Calculation Sheet'!$B$6="","",'Final Calculation Sheet'!$B$6)</f>
        <v/>
      </c>
      <c r="C7" s="541">
        <f>IF('Final Calculation Sheet'!$B$7="","",'Final Calculation Sheet'!$B$7)</f>
        <v/>
      </c>
      <c r="E7" s="436">
        <f>IF('Final Calculation Sheet'!$B$15="","",'Final Calculation Sheet'!$B$15)</f>
        <v/>
      </c>
      <c r="G7" s="541">
        <f>IF('Final Calculation Sheet'!$B$5="","",'Final Calculation Sheet'!$B$5)</f>
        <v/>
      </c>
      <c r="H7" s="444">
        <f>IF('Final Calculation Sheet'!$B$10="","",'Final Calculation Sheet'!$B$10)</f>
        <v/>
      </c>
      <c r="I7" s="541">
        <f>IF('Final Calculation Sheet'!$B$11="","",'Final Calculation Sheet'!$B$11)</f>
        <v/>
      </c>
      <c r="J7" s="444">
        <f>IF('Final Calculation Sheet'!$B$12="","",'Final Calculation Sheet'!$B$12)</f>
        <v/>
      </c>
      <c r="L7" s="541">
        <f>IF('Final Calculation Sheet'!$B$9="","",'Final Calculation Sheet'!$B$9)</f>
        <v/>
      </c>
      <c r="M7" s="451">
        <f>IF('Final Calculation Sheet'!$B$14="","",'Final Calculation Sheet'!$B$14)</f>
        <v/>
      </c>
      <c r="O7" s="541">
        <f>IF('Final Calculation Sheet'!$B$13="","",'Final Calculation Sheet'!$B$13)</f>
        <v/>
      </c>
      <c r="P7" s="459">
        <f>IF('Final Calculation Sheet'!$B$16="","",'Final Calculation Sheet'!$B$16)</f>
        <v/>
      </c>
      <c r="R7" s="541">
        <f>IF('Final Calculation Sheet'!$B$27="","",'Final Calculation Sheet'!$B$27)</f>
        <v/>
      </c>
      <c r="T7" s="444">
        <f>IF('Final Calculation Sheet'!$B$18="","",'Final Calculation Sheet'!$B$18)</f>
        <v/>
      </c>
      <c r="U7" s="541">
        <f>IF('Final Calculation Sheet'!$B$19="","",'Final Calculation Sheet'!$B$19)</f>
        <v/>
      </c>
      <c r="V7" s="444">
        <f>IF('Final Calculation Sheet'!$B$22="","",'Final Calculation Sheet'!$B$22)</f>
        <v/>
      </c>
      <c r="W7" s="541">
        <f>IF('Final Calculation Sheet'!$B$24="","",'Final Calculation Sheet'!$B$24)</f>
        <v/>
      </c>
      <c r="X7" s="444">
        <f>IF('Final Calculation Sheet'!$B$26="","",'Final Calculation Sheet'!$B$26)</f>
        <v/>
      </c>
      <c r="Z7" s="541">
        <f>IF('Final Calculation Sheet'!$B$21="","",'Final Calculation Sheet'!$B$21)</f>
        <v/>
      </c>
      <c r="AB7" s="481">
        <f>IF('Final Calculation Sheet'!$B$20="","",'Final Calculation Sheet'!$B$20)</f>
        <v/>
      </c>
      <c r="AD7" s="541">
        <f>IF('Final Calculation Sheet'!$B$17="","",'Final Calculation Sheet'!$B$17)</f>
        <v/>
      </c>
      <c r="AE7" s="459">
        <f>IF('Final Calculation Sheet'!$B$23="","",'Final Calculation Sheet'!$B$23)</f>
        <v/>
      </c>
      <c r="AF7" s="541">
        <f>IF('Final Calculation Sheet'!$B$29="","",'Final Calculation Sheet'!$B$29)</f>
        <v/>
      </c>
      <c r="AH7" s="429">
        <f>IF('Final Calculation Sheet'!$B$25="","",'Final Calculation Sheet'!$B$25)</f>
        <v/>
      </c>
      <c r="AI7" s="541">
        <f>IF('Final Calculation Sheet'!$B$28="","",'Final Calculation Sheet'!$B$28)</f>
        <v/>
      </c>
      <c r="AK7" s="444">
        <f>IF('Final Calculation Sheet'!$B$30="","",'Final Calculation Sheet'!$B$30)</f>
        <v/>
      </c>
      <c r="AL7" s="541">
        <f>IF('Final Calculation Sheet'!$B$32="","",'Final Calculation Sheet'!$B$32)</f>
        <v/>
      </c>
      <c r="AM7" s="444">
        <f>IF('Final Calculation Sheet'!$B$33="","",'Final Calculation Sheet'!$B$33)</f>
        <v/>
      </c>
      <c r="AO7" s="541">
        <f>IF('Final Calculation Sheet'!$B$31="","",'Final Calculation Sheet'!$B$31)</f>
        <v/>
      </c>
      <c r="AQ7" s="459">
        <f>IF('Final Calculation Sheet'!$B$34="","",'Final Calculation Sheet'!$B$34)</f>
        <v/>
      </c>
      <c r="AS7" s="541">
        <f>IF('Final Calculation Sheet'!$B$4="","",'Final Calculation Sheet'!$B$4)</f>
        <v/>
      </c>
      <c r="AU7" s="451">
        <f>IF('Final Calculation Sheet'!$B$38="","",'Final Calculation Sheet'!$B$38)</f>
        <v/>
      </c>
      <c r="AW7" s="541">
        <f>IF('Final Calculation Sheet'!$B$37="","",'Final Calculation Sheet'!$B$37)</f>
        <v/>
      </c>
      <c r="AY7" s="481">
        <f>IF('Final Calculation Sheet'!$B$8="","",'Final Calculation Sheet'!$B$8)</f>
        <v/>
      </c>
      <c r="BA7" s="541">
        <f>IF('Final Calculation Sheet'!$B$39="","",'Final Calculation Sheet'!$B$39)</f>
        <v/>
      </c>
      <c r="BB7" s="459">
        <f>IF('Final Calculation Sheet'!$B$40="","",'Final Calculation Sheet'!$B$40)</f>
        <v/>
      </c>
      <c r="BD7" s="541">
        <f>IF('Final Calculation Sheet'!$B$36="","",'Final Calculation Sheet'!$B$36)</f>
        <v/>
      </c>
      <c r="BF7" s="429">
        <f>IF('Final Calculation Sheet'!$B$35="","",'Final Calculation Sheet'!$B$35)</f>
        <v/>
      </c>
      <c r="BG7" s="542">
        <f>IF('Final Calculation Sheet'!$B$41="","",'Final Calculation Sheet'!$B$41)</f>
        <v/>
      </c>
    </row>
    <row r="8" ht="15" customHeight="1">
      <c r="A8" s="540" t="inlineStr">
        <is>
          <t>Rate</t>
        </is>
      </c>
      <c r="B8" s="566">
        <f>IF('Final Calculation Sheet'!$C$6="","",'Final Calculation Sheet'!$C$6)</f>
        <v/>
      </c>
      <c r="C8" s="545">
        <f>IF('Final Calculation Sheet'!$C$7="","",'Final Calculation Sheet'!$C$7)</f>
        <v/>
      </c>
      <c r="E8" s="567">
        <f>IF('Final Calculation Sheet'!$C$15="","",'Final Calculation Sheet'!$C$15)</f>
        <v/>
      </c>
      <c r="G8" s="545">
        <f>IF('Final Calculation Sheet'!$C$5="","",'Final Calculation Sheet'!$C$5)</f>
        <v/>
      </c>
      <c r="H8" s="568">
        <f>IF('Final Calculation Sheet'!$C$10="","",'Final Calculation Sheet'!$C$10)</f>
        <v/>
      </c>
      <c r="I8" s="545">
        <f>IF('Final Calculation Sheet'!$C$11="","",'Final Calculation Sheet'!$C$11)</f>
        <v/>
      </c>
      <c r="J8" s="568">
        <f>IF('Final Calculation Sheet'!$C$12="","",'Final Calculation Sheet'!$C$12)</f>
        <v/>
      </c>
      <c r="L8" s="545">
        <f>IF('Final Calculation Sheet'!$C$9="","",'Final Calculation Sheet'!$C$9)</f>
        <v/>
      </c>
      <c r="M8" s="569">
        <f>IF('Final Calculation Sheet'!$C$14="","",'Final Calculation Sheet'!$C$14)</f>
        <v/>
      </c>
      <c r="O8" s="545">
        <f>IF('Final Calculation Sheet'!$C$13="","",'Final Calculation Sheet'!$C$13)</f>
        <v/>
      </c>
      <c r="P8" s="570">
        <f>IF('Final Calculation Sheet'!$C$16="","",'Final Calculation Sheet'!$C$16)</f>
        <v/>
      </c>
      <c r="R8" s="545">
        <f>IF('Final Calculation Sheet'!$C$27="","",'Final Calculation Sheet'!$C$27)</f>
        <v/>
      </c>
      <c r="T8" s="568">
        <f>IF('Final Calculation Sheet'!$C$18="","",'Final Calculation Sheet'!$C$18)</f>
        <v/>
      </c>
      <c r="U8" s="545">
        <f>IF('Final Calculation Sheet'!$C$19="","",'Final Calculation Sheet'!$C$19)</f>
        <v/>
      </c>
      <c r="V8" s="568">
        <f>IF('Final Calculation Sheet'!$C$22="","",'Final Calculation Sheet'!$C$22)</f>
        <v/>
      </c>
      <c r="W8" s="545">
        <f>IF('Final Calculation Sheet'!$C$24="","",'Final Calculation Sheet'!$C$24)</f>
        <v/>
      </c>
      <c r="X8" s="568">
        <f>IF('Final Calculation Sheet'!$C$26="","",'Final Calculation Sheet'!$C$26)</f>
        <v/>
      </c>
      <c r="Z8" s="545">
        <f>IF('Final Calculation Sheet'!$C$21="","",'Final Calculation Sheet'!$C$21)</f>
        <v/>
      </c>
      <c r="AB8" s="571">
        <f>IF('Final Calculation Sheet'!$C$20="","",'Final Calculation Sheet'!$C$20)</f>
        <v/>
      </c>
      <c r="AD8" s="545">
        <f>IF('Final Calculation Sheet'!$C$17="","",'Final Calculation Sheet'!$C$17)</f>
        <v/>
      </c>
      <c r="AE8" s="570">
        <f>IF('Final Calculation Sheet'!$C$23="","",'Final Calculation Sheet'!$C$23)</f>
        <v/>
      </c>
      <c r="AF8" s="545">
        <f>IF('Final Calculation Sheet'!$C$29="","",'Final Calculation Sheet'!$C$29)</f>
        <v/>
      </c>
      <c r="AH8" s="566">
        <f>IF('Final Calculation Sheet'!$C$25="","",'Final Calculation Sheet'!$C$25)</f>
        <v/>
      </c>
      <c r="AI8" s="545">
        <f>IF('Final Calculation Sheet'!$C$28="","",'Final Calculation Sheet'!$C$28)</f>
        <v/>
      </c>
      <c r="AK8" s="568">
        <f>IF('Final Calculation Sheet'!$C$30="","",'Final Calculation Sheet'!$C$30)</f>
        <v/>
      </c>
      <c r="AL8" s="545">
        <f>IF('Final Calculation Sheet'!$C$32="","",'Final Calculation Sheet'!$C$32)</f>
        <v/>
      </c>
      <c r="AM8" s="568">
        <f>IF('Final Calculation Sheet'!$C$33="","",'Final Calculation Sheet'!$C$33)</f>
        <v/>
      </c>
      <c r="AO8" s="545">
        <f>IF('Final Calculation Sheet'!$C$31="","",'Final Calculation Sheet'!$C$31)</f>
        <v/>
      </c>
      <c r="AQ8" s="570">
        <f>IF('Final Calculation Sheet'!$C$34="","",'Final Calculation Sheet'!$C$34)</f>
        <v/>
      </c>
      <c r="AS8" s="545">
        <f>IF('Final Calculation Sheet'!$C$4="","",'Final Calculation Sheet'!$C$4)</f>
        <v/>
      </c>
      <c r="AU8" s="569">
        <f>IF('Final Calculation Sheet'!$C$38="","",'Final Calculation Sheet'!$C$38)</f>
        <v/>
      </c>
      <c r="AW8" s="545">
        <f>IF('Final Calculation Sheet'!$C$37="","",'Final Calculation Sheet'!$C$37)</f>
        <v/>
      </c>
      <c r="AY8" s="571">
        <f>IF('Final Calculation Sheet'!$C$8="","",'Final Calculation Sheet'!$C$8)</f>
        <v/>
      </c>
      <c r="BA8" s="545">
        <f>IF('Final Calculation Sheet'!$C$39="","",'Final Calculation Sheet'!$C$39)</f>
        <v/>
      </c>
      <c r="BB8" s="570">
        <f>IF('Final Calculation Sheet'!$C$40="","",'Final Calculation Sheet'!$C$40)</f>
        <v/>
      </c>
      <c r="BD8" s="545">
        <f>IF('Final Calculation Sheet'!$C$36="","",'Final Calculation Sheet'!$C$36)</f>
        <v/>
      </c>
      <c r="BF8" s="566">
        <f>IF('Final Calculation Sheet'!$C$35="","",'Final Calculation Sheet'!$C$35)</f>
        <v/>
      </c>
      <c r="BG8" s="546">
        <f>IF('Final Calculation Sheet'!$C$41="","",'Final Calculation Sheet'!$C$41)</f>
        <v/>
      </c>
    </row>
    <row r="9" ht="15" customHeight="1">
      <c r="A9" s="543" t="inlineStr">
        <is>
          <t>Bid Sheet</t>
        </is>
      </c>
      <c r="B9" s="429">
        <f>IF('Final Calculation Sheet'!$D$6="","",'Final Calculation Sheet'!$D$6)</f>
        <v/>
      </c>
      <c r="C9" s="541">
        <f>IF('Final Calculation Sheet'!$D$7="","",'Final Calculation Sheet'!$D$7)</f>
        <v/>
      </c>
      <c r="E9" s="436">
        <f>IF('Final Calculation Sheet'!$D$15="","",'Final Calculation Sheet'!$D$15)</f>
        <v/>
      </c>
      <c r="G9" s="541">
        <f>IF('Final Calculation Sheet'!$D$5="","",'Final Calculation Sheet'!$D$5)</f>
        <v/>
      </c>
      <c r="H9" s="444">
        <f>IF('Final Calculation Sheet'!$D$10="","",'Final Calculation Sheet'!$D$10)</f>
        <v/>
      </c>
      <c r="I9" s="541">
        <f>IF('Final Calculation Sheet'!$D$11="","",'Final Calculation Sheet'!$D$11)</f>
        <v/>
      </c>
      <c r="J9" s="444">
        <f>IF('Final Calculation Sheet'!$D$12="","",'Final Calculation Sheet'!$D$12)</f>
        <v/>
      </c>
      <c r="L9" s="541">
        <f>IF('Final Calculation Sheet'!$D$9="","",'Final Calculation Sheet'!$D$9)</f>
        <v/>
      </c>
      <c r="M9" s="451">
        <f>IF('Final Calculation Sheet'!$D$14="","",'Final Calculation Sheet'!$D$14)</f>
        <v/>
      </c>
      <c r="O9" s="541">
        <f>IF('Final Calculation Sheet'!$D$13="","",'Final Calculation Sheet'!$D$13)</f>
        <v/>
      </c>
      <c r="P9" s="459">
        <f>IF('Final Calculation Sheet'!$D$16="","",'Final Calculation Sheet'!$D$16)</f>
        <v/>
      </c>
      <c r="R9" s="541">
        <f>IF('Final Calculation Sheet'!$D$27="","",'Final Calculation Sheet'!$D$27)</f>
        <v/>
      </c>
      <c r="T9" s="444">
        <f>IF('Final Calculation Sheet'!$D$18="","",'Final Calculation Sheet'!$D$18)</f>
        <v/>
      </c>
      <c r="U9" s="541">
        <f>IF('Final Calculation Sheet'!$D$19="","",'Final Calculation Sheet'!$D$19)</f>
        <v/>
      </c>
      <c r="V9" s="444">
        <f>IF('Final Calculation Sheet'!$D$22="","",'Final Calculation Sheet'!$D$22)</f>
        <v/>
      </c>
      <c r="W9" s="541">
        <f>IF('Final Calculation Sheet'!$D$24="","",'Final Calculation Sheet'!$D$24)</f>
        <v/>
      </c>
      <c r="X9" s="444">
        <f>IF('Final Calculation Sheet'!$D$26="","",'Final Calculation Sheet'!$D$26)</f>
        <v/>
      </c>
      <c r="Z9" s="541">
        <f>IF('Final Calculation Sheet'!$D$21="","",'Final Calculation Sheet'!$D$21)</f>
        <v/>
      </c>
      <c r="AB9" s="481">
        <f>IF('Final Calculation Sheet'!$D$20="","",'Final Calculation Sheet'!$D$20)</f>
        <v/>
      </c>
      <c r="AD9" s="541">
        <f>IF('Final Calculation Sheet'!$D$17="","",'Final Calculation Sheet'!$D$17)</f>
        <v/>
      </c>
      <c r="AE9" s="459">
        <f>IF('Final Calculation Sheet'!$D$23="","",'Final Calculation Sheet'!$D$23)</f>
        <v/>
      </c>
      <c r="AF9" s="541">
        <f>IF('Final Calculation Sheet'!$D$29="","",'Final Calculation Sheet'!$D$29)</f>
        <v/>
      </c>
      <c r="AH9" s="429">
        <f>IF('Final Calculation Sheet'!$D$25="","",'Final Calculation Sheet'!$D$25)</f>
        <v/>
      </c>
      <c r="AI9" s="541">
        <f>IF('Final Calculation Sheet'!$D$28="","",'Final Calculation Sheet'!$D$28)</f>
        <v/>
      </c>
      <c r="AK9" s="444">
        <f>IF('Final Calculation Sheet'!$D$30="","",'Final Calculation Sheet'!$D$30)</f>
        <v/>
      </c>
      <c r="AL9" s="541">
        <f>IF('Final Calculation Sheet'!$D$32="","",'Final Calculation Sheet'!$D$32)</f>
        <v/>
      </c>
      <c r="AM9" s="444">
        <f>IF('Final Calculation Sheet'!$D$33="","",'Final Calculation Sheet'!$D$33)</f>
        <v/>
      </c>
      <c r="AO9" s="541">
        <f>IF('Final Calculation Sheet'!$D$31="","",'Final Calculation Sheet'!$D$31)</f>
        <v/>
      </c>
      <c r="AQ9" s="459">
        <f>IF('Final Calculation Sheet'!$D$34="","",'Final Calculation Sheet'!$D$34)</f>
        <v/>
      </c>
      <c r="AS9" s="541">
        <f>IF('Final Calculation Sheet'!$D$4="","",'Final Calculation Sheet'!$D$4)</f>
        <v/>
      </c>
      <c r="AU9" s="451">
        <f>IF('Final Calculation Sheet'!$D$38="","",'Final Calculation Sheet'!$D$38)</f>
        <v/>
      </c>
      <c r="AW9" s="541">
        <f>IF('Final Calculation Sheet'!$D$37="","",'Final Calculation Sheet'!$D$37)</f>
        <v/>
      </c>
      <c r="AY9" s="481">
        <f>IF('Final Calculation Sheet'!$D$8="","",'Final Calculation Sheet'!$D$8)</f>
        <v/>
      </c>
      <c r="BA9" s="541">
        <f>IF('Final Calculation Sheet'!$D$39="","",'Final Calculation Sheet'!$D$39)</f>
        <v/>
      </c>
      <c r="BB9" s="459">
        <f>IF('Final Calculation Sheet'!$D$40="","",'Final Calculation Sheet'!$D$40)</f>
        <v/>
      </c>
      <c r="BD9" s="541">
        <f>IF('Final Calculation Sheet'!$D$36="","",'Final Calculation Sheet'!$D$36)</f>
        <v/>
      </c>
      <c r="BF9" s="429">
        <f>IF('Final Calculation Sheet'!$D$35="","",'Final Calculation Sheet'!$D$35)</f>
        <v/>
      </c>
      <c r="BG9" s="542">
        <f>IF('Final Calculation Sheet'!$D$41="","",'Final Calculation Sheet'!$D$41)</f>
        <v/>
      </c>
    </row>
    <row r="10" ht="15" customHeight="1">
      <c r="A10" s="540" t="inlineStr">
        <is>
          <t>Unit</t>
        </is>
      </c>
      <c r="B10" s="429">
        <f>IF('Final Calculation Sheet'!$E$6="","",'Final Calculation Sheet'!$E$6)</f>
        <v/>
      </c>
      <c r="C10" s="541">
        <f>IF('Final Calculation Sheet'!$E$7="","",'Final Calculation Sheet'!$E$7)</f>
        <v/>
      </c>
      <c r="E10" s="436">
        <f>IF('Final Calculation Sheet'!$E$15="","",'Final Calculation Sheet'!$E$15)</f>
        <v/>
      </c>
      <c r="G10" s="541">
        <f>IF('Final Calculation Sheet'!$E$5="","",'Final Calculation Sheet'!$E$5)</f>
        <v/>
      </c>
      <c r="H10" s="444">
        <f>IF('Final Calculation Sheet'!$E$10="","",'Final Calculation Sheet'!$E$10)</f>
        <v/>
      </c>
      <c r="I10" s="541">
        <f>IF('Final Calculation Sheet'!$E$11="","",'Final Calculation Sheet'!$E$11)</f>
        <v/>
      </c>
      <c r="J10" s="444">
        <f>IF('Final Calculation Sheet'!$E$12="","",'Final Calculation Sheet'!$E$12)</f>
        <v/>
      </c>
      <c r="L10" s="541">
        <f>IF('Final Calculation Sheet'!$E$9="","",'Final Calculation Sheet'!$E$9)</f>
        <v/>
      </c>
      <c r="M10" s="451">
        <f>IF('Final Calculation Sheet'!$E$14="","",'Final Calculation Sheet'!$E$14)</f>
        <v/>
      </c>
      <c r="O10" s="541">
        <f>IF('Final Calculation Sheet'!$E$13="","",'Final Calculation Sheet'!$E$13)</f>
        <v/>
      </c>
      <c r="P10" s="459">
        <f>IF('Final Calculation Sheet'!$E$16="","",'Final Calculation Sheet'!$E$16)</f>
        <v/>
      </c>
      <c r="R10" s="541">
        <f>IF('Final Calculation Sheet'!$E$27="","",'Final Calculation Sheet'!$E$27)</f>
        <v/>
      </c>
      <c r="T10" s="444">
        <f>IF('Final Calculation Sheet'!$E$18="","",'Final Calculation Sheet'!$E$18)</f>
        <v/>
      </c>
      <c r="U10" s="541">
        <f>IF('Final Calculation Sheet'!$E$19="","",'Final Calculation Sheet'!$E$19)</f>
        <v/>
      </c>
      <c r="V10" s="444">
        <f>IF('Final Calculation Sheet'!$E$22="","",'Final Calculation Sheet'!$E$22)</f>
        <v/>
      </c>
      <c r="W10" s="541">
        <f>IF('Final Calculation Sheet'!$E$24="","",'Final Calculation Sheet'!$E$24)</f>
        <v/>
      </c>
      <c r="X10" s="444">
        <f>IF('Final Calculation Sheet'!$E$26="","",'Final Calculation Sheet'!$E$26)</f>
        <v/>
      </c>
      <c r="Z10" s="541">
        <f>IF('Final Calculation Sheet'!$E$21="","",'Final Calculation Sheet'!$E$21)</f>
        <v/>
      </c>
      <c r="AB10" s="481">
        <f>IF('Final Calculation Sheet'!$E$20="","",'Final Calculation Sheet'!$E$20)</f>
        <v/>
      </c>
      <c r="AD10" s="541">
        <f>IF('Final Calculation Sheet'!$E$17="","",'Final Calculation Sheet'!$E$17)</f>
        <v/>
      </c>
      <c r="AE10" s="459">
        <f>IF('Final Calculation Sheet'!$E$23="","",'Final Calculation Sheet'!$E$23)</f>
        <v/>
      </c>
      <c r="AF10" s="541">
        <f>IF('Final Calculation Sheet'!$E$29="","",'Final Calculation Sheet'!$E$29)</f>
        <v/>
      </c>
      <c r="AH10" s="429">
        <f>IF('Final Calculation Sheet'!$E$25="","",'Final Calculation Sheet'!$E$25)</f>
        <v/>
      </c>
      <c r="AI10" s="541">
        <f>IF('Final Calculation Sheet'!$E$28="","",'Final Calculation Sheet'!$E$28)</f>
        <v/>
      </c>
      <c r="AK10" s="444">
        <f>IF('Final Calculation Sheet'!$E$30="","",'Final Calculation Sheet'!$E$30)</f>
        <v/>
      </c>
      <c r="AL10" s="541">
        <f>IF('Final Calculation Sheet'!$E$32="","",'Final Calculation Sheet'!$E$32)</f>
        <v/>
      </c>
      <c r="AM10" s="444">
        <f>IF('Final Calculation Sheet'!$E$33="","",'Final Calculation Sheet'!$E$33)</f>
        <v/>
      </c>
      <c r="AO10" s="541">
        <f>IF('Final Calculation Sheet'!$E$31="","",'Final Calculation Sheet'!$E$31)</f>
        <v/>
      </c>
      <c r="AQ10" s="459">
        <f>IF('Final Calculation Sheet'!$E$34="","",'Final Calculation Sheet'!$E$34)</f>
        <v/>
      </c>
      <c r="AS10" s="541">
        <f>IF('Final Calculation Sheet'!$E$4="","",'Final Calculation Sheet'!$E$4)</f>
        <v/>
      </c>
      <c r="AU10" s="451">
        <f>IF('Final Calculation Sheet'!$E$38="","",'Final Calculation Sheet'!$E$38)</f>
        <v/>
      </c>
      <c r="AW10" s="541">
        <f>IF('Final Calculation Sheet'!$E$37="","",'Final Calculation Sheet'!$E$37)</f>
        <v/>
      </c>
      <c r="AY10" s="481">
        <f>IF('Final Calculation Sheet'!$E$8="","",'Final Calculation Sheet'!$E$8)</f>
        <v/>
      </c>
      <c r="BA10" s="541">
        <f>IF('Final Calculation Sheet'!$E$39="","",'Final Calculation Sheet'!$E$39)</f>
        <v/>
      </c>
      <c r="BB10" s="459">
        <f>IF('Final Calculation Sheet'!$E$40="","",'Final Calculation Sheet'!$E$40)</f>
        <v/>
      </c>
      <c r="BD10" s="541">
        <f>IF('Final Calculation Sheet'!$E$36="","",'Final Calculation Sheet'!$E$36)</f>
        <v/>
      </c>
      <c r="BF10" s="429">
        <f>IF('Final Calculation Sheet'!$E$35="","",'Final Calculation Sheet'!$E$35)</f>
        <v/>
      </c>
      <c r="BG10" s="542">
        <f>IF('Final Calculation Sheet'!$E$41="","",'Final Calculation Sheet'!$E$41)</f>
        <v/>
      </c>
    </row>
    <row r="11" ht="15" customHeight="1">
      <c r="A11" s="543" t="inlineStr">
        <is>
          <t>Lot No.</t>
        </is>
      </c>
      <c r="B11" s="429">
        <f>IF('Final Calculation Sheet'!$F$6="","",'Final Calculation Sheet'!$F$6)</f>
        <v/>
      </c>
      <c r="C11" s="541">
        <f>IF('Final Calculation Sheet'!$F$7="","",'Final Calculation Sheet'!$F$7)</f>
        <v/>
      </c>
      <c r="E11" s="436">
        <f>IF('Final Calculation Sheet'!$F$15="","",'Final Calculation Sheet'!$F$15)</f>
        <v/>
      </c>
      <c r="G11" s="541">
        <f>IF('Final Calculation Sheet'!$F$5="","",'Final Calculation Sheet'!$F$5)</f>
        <v/>
      </c>
      <c r="H11" s="444">
        <f>IF('Final Calculation Sheet'!$F$10="","",'Final Calculation Sheet'!$F$10)</f>
        <v/>
      </c>
      <c r="I11" s="541">
        <f>IF('Final Calculation Sheet'!$F$11="","",'Final Calculation Sheet'!$F$11)</f>
        <v/>
      </c>
      <c r="J11" s="444">
        <f>IF('Final Calculation Sheet'!$F$12="","",'Final Calculation Sheet'!$F$12)</f>
        <v/>
      </c>
      <c r="L11" s="541">
        <f>IF('Final Calculation Sheet'!$F$9="","",'Final Calculation Sheet'!$F$9)</f>
        <v/>
      </c>
      <c r="M11" s="451">
        <f>IF('Final Calculation Sheet'!$F$14="","",'Final Calculation Sheet'!$F$14)</f>
        <v/>
      </c>
      <c r="O11" s="541">
        <f>IF('Final Calculation Sheet'!$F$13="","",'Final Calculation Sheet'!$F$13)</f>
        <v/>
      </c>
      <c r="P11" s="459">
        <f>IF('Final Calculation Sheet'!$F$16="","",'Final Calculation Sheet'!$F$16)</f>
        <v/>
      </c>
      <c r="R11" s="541">
        <f>IF('Final Calculation Sheet'!$F$27="","",'Final Calculation Sheet'!$F$27)</f>
        <v/>
      </c>
      <c r="T11" s="444">
        <f>IF('Final Calculation Sheet'!$F$18="","",'Final Calculation Sheet'!$F$18)</f>
        <v/>
      </c>
      <c r="U11" s="541">
        <f>IF('Final Calculation Sheet'!$F$19="","",'Final Calculation Sheet'!$F$19)</f>
        <v/>
      </c>
      <c r="V11" s="444">
        <f>IF('Final Calculation Sheet'!$F$22="","",'Final Calculation Sheet'!$F$22)</f>
        <v/>
      </c>
      <c r="W11" s="541">
        <f>IF('Final Calculation Sheet'!$F$24="","",'Final Calculation Sheet'!$F$24)</f>
        <v/>
      </c>
      <c r="X11" s="444">
        <f>IF('Final Calculation Sheet'!$F$26="","",'Final Calculation Sheet'!$F$26)</f>
        <v/>
      </c>
      <c r="Z11" s="541">
        <f>IF('Final Calculation Sheet'!$F$21="","",'Final Calculation Sheet'!$F$21)</f>
        <v/>
      </c>
      <c r="AB11" s="481">
        <f>IF('Final Calculation Sheet'!$F$20="","",'Final Calculation Sheet'!$F$20)</f>
        <v/>
      </c>
      <c r="AD11" s="541">
        <f>IF('Final Calculation Sheet'!$F$17="","",'Final Calculation Sheet'!$F$17)</f>
        <v/>
      </c>
      <c r="AE11" s="459">
        <f>IF('Final Calculation Sheet'!$F$23="","",'Final Calculation Sheet'!$F$23)</f>
        <v/>
      </c>
      <c r="AF11" s="541">
        <f>IF('Final Calculation Sheet'!$F$29="","",'Final Calculation Sheet'!$F$29)</f>
        <v/>
      </c>
      <c r="AH11" s="429">
        <f>IF('Final Calculation Sheet'!$F$25="","",'Final Calculation Sheet'!$F$25)</f>
        <v/>
      </c>
      <c r="AI11" s="541">
        <f>IF('Final Calculation Sheet'!$F$28="","",'Final Calculation Sheet'!$F$28)</f>
        <v/>
      </c>
      <c r="AK11" s="444">
        <f>IF('Final Calculation Sheet'!$F$30="","",'Final Calculation Sheet'!$F$30)</f>
        <v/>
      </c>
      <c r="AL11" s="541">
        <f>IF('Final Calculation Sheet'!$F$32="","",'Final Calculation Sheet'!$F$32)</f>
        <v/>
      </c>
      <c r="AM11" s="444">
        <f>IF('Final Calculation Sheet'!$F$33="","",'Final Calculation Sheet'!$F$33)</f>
        <v/>
      </c>
      <c r="AO11" s="541">
        <f>IF('Final Calculation Sheet'!$F$31="","",'Final Calculation Sheet'!$F$31)</f>
        <v/>
      </c>
      <c r="AQ11" s="459">
        <f>IF('Final Calculation Sheet'!$F$34="","",'Final Calculation Sheet'!$F$34)</f>
        <v/>
      </c>
      <c r="AS11" s="541">
        <f>IF('Final Calculation Sheet'!$F$4="","",'Final Calculation Sheet'!$F$4)</f>
        <v/>
      </c>
      <c r="AU11" s="451">
        <f>IF('Final Calculation Sheet'!$F$38="","",'Final Calculation Sheet'!$F$38)</f>
        <v/>
      </c>
      <c r="AW11" s="541">
        <f>IF('Final Calculation Sheet'!$F$37="","",'Final Calculation Sheet'!$F$37)</f>
        <v/>
      </c>
      <c r="AY11" s="481">
        <f>IF('Final Calculation Sheet'!$F$8="","",'Final Calculation Sheet'!$F$8)</f>
        <v/>
      </c>
      <c r="BA11" s="541">
        <f>IF('Final Calculation Sheet'!$F$39="","",'Final Calculation Sheet'!$F$39)</f>
        <v/>
      </c>
      <c r="BB11" s="459">
        <f>IF('Final Calculation Sheet'!$F$40="","",'Final Calculation Sheet'!$F$40)</f>
        <v/>
      </c>
      <c r="BD11" s="541">
        <f>IF('Final Calculation Sheet'!$F$36="","",'Final Calculation Sheet'!$F$36)</f>
        <v/>
      </c>
      <c r="BF11" s="429">
        <f>IF('Final Calculation Sheet'!$F$35="","",'Final Calculation Sheet'!$F$35)</f>
        <v/>
      </c>
      <c r="BG11" s="542">
        <f>IF('Final Calculation Sheet'!$F$41="","",'Final Calculation Sheet'!$F$41)</f>
        <v/>
      </c>
    </row>
    <row r="12" ht="15" customHeight="1">
      <c r="A12" s="540" t="inlineStr">
        <is>
          <t>Buyer</t>
        </is>
      </c>
      <c r="B12" s="429">
        <f>IF('Final Calculation Sheet'!$G$6="","",'Final Calculation Sheet'!$G$6)</f>
        <v/>
      </c>
      <c r="C12" s="541">
        <f>IF('Final Calculation Sheet'!$G$7="","",'Final Calculation Sheet'!$G$7)</f>
        <v/>
      </c>
      <c r="E12" s="436">
        <f>IF('Final Calculation Sheet'!$G$15="","",'Final Calculation Sheet'!$G$15)</f>
        <v/>
      </c>
      <c r="G12" s="541">
        <f>IF('Final Calculation Sheet'!$G$5="","",'Final Calculation Sheet'!$G$5)</f>
        <v/>
      </c>
      <c r="H12" s="444">
        <f>IF('Final Calculation Sheet'!$G$10="","",'Final Calculation Sheet'!$G$10)</f>
        <v/>
      </c>
      <c r="I12" s="541">
        <f>IF('Final Calculation Sheet'!$G$11="","",'Final Calculation Sheet'!$G$11)</f>
        <v/>
      </c>
      <c r="J12" s="444">
        <f>IF('Final Calculation Sheet'!$G$12="","",'Final Calculation Sheet'!$G$12)</f>
        <v/>
      </c>
      <c r="L12" s="541">
        <f>IF('Final Calculation Sheet'!$G$9="","",'Final Calculation Sheet'!$G$9)</f>
        <v/>
      </c>
      <c r="M12" s="451">
        <f>IF('Final Calculation Sheet'!$G$14="","",'Final Calculation Sheet'!$G$14)</f>
        <v/>
      </c>
      <c r="O12" s="541">
        <f>IF('Final Calculation Sheet'!$G$13="","",'Final Calculation Sheet'!$G$13)</f>
        <v/>
      </c>
      <c r="P12" s="459">
        <f>IF('Final Calculation Sheet'!$G$16="","",'Final Calculation Sheet'!$G$16)</f>
        <v/>
      </c>
      <c r="R12" s="541">
        <f>IF('Final Calculation Sheet'!$G$27="","",'Final Calculation Sheet'!$G$27)</f>
        <v/>
      </c>
      <c r="T12" s="444">
        <f>IF('Final Calculation Sheet'!$G$18="","",'Final Calculation Sheet'!$G$18)</f>
        <v/>
      </c>
      <c r="U12" s="541">
        <f>IF('Final Calculation Sheet'!$G$19="","",'Final Calculation Sheet'!$G$19)</f>
        <v/>
      </c>
      <c r="V12" s="444">
        <f>IF('Final Calculation Sheet'!$G$22="","",'Final Calculation Sheet'!$G$22)</f>
        <v/>
      </c>
      <c r="W12" s="541">
        <f>IF('Final Calculation Sheet'!$G$24="","",'Final Calculation Sheet'!$G$24)</f>
        <v/>
      </c>
      <c r="X12" s="444">
        <f>IF('Final Calculation Sheet'!$G$26="","",'Final Calculation Sheet'!$G$26)</f>
        <v/>
      </c>
      <c r="Z12" s="541">
        <f>IF('Final Calculation Sheet'!$G$21="","",'Final Calculation Sheet'!$G$21)</f>
        <v/>
      </c>
      <c r="AB12" s="481">
        <f>IF('Final Calculation Sheet'!$G$20="","",'Final Calculation Sheet'!$G$20)</f>
        <v/>
      </c>
      <c r="AD12" s="541">
        <f>IF('Final Calculation Sheet'!$G$17="","",'Final Calculation Sheet'!$G$17)</f>
        <v/>
      </c>
      <c r="AE12" s="459">
        <f>IF('Final Calculation Sheet'!$G$23="","",'Final Calculation Sheet'!$G$23)</f>
        <v/>
      </c>
      <c r="AF12" s="541">
        <f>IF('Final Calculation Sheet'!$G$29="","",'Final Calculation Sheet'!$G$29)</f>
        <v/>
      </c>
      <c r="AH12" s="429">
        <f>IF('Final Calculation Sheet'!$G$25="","",'Final Calculation Sheet'!$G$25)</f>
        <v/>
      </c>
      <c r="AI12" s="541">
        <f>IF('Final Calculation Sheet'!$G$28="","",'Final Calculation Sheet'!$G$28)</f>
        <v/>
      </c>
      <c r="AK12" s="444">
        <f>IF('Final Calculation Sheet'!$G$30="","",'Final Calculation Sheet'!$G$30)</f>
        <v/>
      </c>
      <c r="AL12" s="541">
        <f>IF('Final Calculation Sheet'!$G$32="","",'Final Calculation Sheet'!$G$32)</f>
        <v/>
      </c>
      <c r="AM12" s="444">
        <f>IF('Final Calculation Sheet'!$G$33="","",'Final Calculation Sheet'!$G$33)</f>
        <v/>
      </c>
      <c r="AO12" s="541">
        <f>IF('Final Calculation Sheet'!$G$31="","",'Final Calculation Sheet'!$G$31)</f>
        <v/>
      </c>
      <c r="AQ12" s="459">
        <f>IF('Final Calculation Sheet'!$G$34="","",'Final Calculation Sheet'!$G$34)</f>
        <v/>
      </c>
      <c r="AS12" s="541">
        <f>IF('Final Calculation Sheet'!$G$4="","",'Final Calculation Sheet'!$G$4)</f>
        <v/>
      </c>
      <c r="AU12" s="451">
        <f>IF('Final Calculation Sheet'!$G$38="","",'Final Calculation Sheet'!$G$38)</f>
        <v/>
      </c>
      <c r="AW12" s="541">
        <f>IF('Final Calculation Sheet'!$G$37="","",'Final Calculation Sheet'!$G$37)</f>
        <v/>
      </c>
      <c r="AY12" s="481">
        <f>IF('Final Calculation Sheet'!$G$8="","",'Final Calculation Sheet'!$G$8)</f>
        <v/>
      </c>
      <c r="BA12" s="541">
        <f>IF('Final Calculation Sheet'!$G$39="","",'Final Calculation Sheet'!$G$39)</f>
        <v/>
      </c>
      <c r="BB12" s="459">
        <f>IF('Final Calculation Sheet'!$G$40="","",'Final Calculation Sheet'!$G$40)</f>
        <v/>
      </c>
      <c r="BD12" s="541">
        <f>IF('Final Calculation Sheet'!$G$36="","",'Final Calculation Sheet'!$G$36)</f>
        <v/>
      </c>
      <c r="BF12" s="429">
        <f>IF('Final Calculation Sheet'!$G$35="","",'Final Calculation Sheet'!$G$35)</f>
        <v/>
      </c>
      <c r="BG12" s="542">
        <f>IF('Final Calculation Sheet'!$G$41="","",'Final Calculation Sheet'!$G$41)</f>
        <v/>
      </c>
    </row>
    <row r="13" ht="15" customHeight="1">
      <c r="A13" s="543" t="inlineStr">
        <is>
          <t>Mat. Value</t>
        </is>
      </c>
      <c r="B13" s="566">
        <f>IF('Final Calculation Sheet'!$H$6="","",'Final Calculation Sheet'!$H$6)</f>
        <v/>
      </c>
      <c r="C13" s="545">
        <f>IF('Final Calculation Sheet'!$H$7="","",'Final Calculation Sheet'!$H$7)</f>
        <v/>
      </c>
      <c r="E13" s="567">
        <f>IF('Final Calculation Sheet'!$H$15="","",'Final Calculation Sheet'!$H$15)</f>
        <v/>
      </c>
      <c r="G13" s="545">
        <f>IF('Final Calculation Sheet'!$H$5="","",'Final Calculation Sheet'!$H$5)</f>
        <v/>
      </c>
      <c r="H13" s="568">
        <f>IF('Final Calculation Sheet'!$H$10="","",'Final Calculation Sheet'!$H$10)</f>
        <v/>
      </c>
      <c r="I13" s="545">
        <f>IF('Final Calculation Sheet'!$H$11="","",'Final Calculation Sheet'!$H$11)</f>
        <v/>
      </c>
      <c r="J13" s="568">
        <f>IF('Final Calculation Sheet'!$H$12="","",'Final Calculation Sheet'!$H$12)</f>
        <v/>
      </c>
      <c r="L13" s="545">
        <f>IF('Final Calculation Sheet'!$H$9="","",'Final Calculation Sheet'!$H$9)</f>
        <v/>
      </c>
      <c r="M13" s="569">
        <f>IF('Final Calculation Sheet'!$H$14="","",'Final Calculation Sheet'!$H$14)</f>
        <v/>
      </c>
      <c r="O13" s="545">
        <f>IF('Final Calculation Sheet'!$H$13="","",'Final Calculation Sheet'!$H$13)</f>
        <v/>
      </c>
      <c r="P13" s="570">
        <f>IF('Final Calculation Sheet'!$H$16="","",'Final Calculation Sheet'!$H$16)</f>
        <v/>
      </c>
      <c r="R13" s="545">
        <f>IF('Final Calculation Sheet'!$H$27="","",'Final Calculation Sheet'!$H$27)</f>
        <v/>
      </c>
      <c r="T13" s="568">
        <f>IF('Final Calculation Sheet'!$H$18="","",'Final Calculation Sheet'!$H$18)</f>
        <v/>
      </c>
      <c r="U13" s="545">
        <f>IF('Final Calculation Sheet'!$H$19="","",'Final Calculation Sheet'!$H$19)</f>
        <v/>
      </c>
      <c r="V13" s="568">
        <f>IF('Final Calculation Sheet'!$H$22="","",'Final Calculation Sheet'!$H$22)</f>
        <v/>
      </c>
      <c r="W13" s="545">
        <f>IF('Final Calculation Sheet'!$H$24="","",'Final Calculation Sheet'!$H$24)</f>
        <v/>
      </c>
      <c r="X13" s="568">
        <f>IF('Final Calculation Sheet'!$H$26="","",'Final Calculation Sheet'!$H$26)</f>
        <v/>
      </c>
      <c r="Z13" s="545">
        <f>IF('Final Calculation Sheet'!$H$21="","",'Final Calculation Sheet'!$H$21)</f>
        <v/>
      </c>
      <c r="AB13" s="571">
        <f>IF('Final Calculation Sheet'!$H$20="","",'Final Calculation Sheet'!$H$20)</f>
        <v/>
      </c>
      <c r="AD13" s="545">
        <f>IF('Final Calculation Sheet'!$H$17="","",'Final Calculation Sheet'!$H$17)</f>
        <v/>
      </c>
      <c r="AE13" s="570">
        <f>IF('Final Calculation Sheet'!$H$23="","",'Final Calculation Sheet'!$H$23)</f>
        <v/>
      </c>
      <c r="AF13" s="545">
        <f>IF('Final Calculation Sheet'!$H$29="","",'Final Calculation Sheet'!$H$29)</f>
        <v/>
      </c>
      <c r="AH13" s="566">
        <f>IF('Final Calculation Sheet'!$H$25="","",'Final Calculation Sheet'!$H$25)</f>
        <v/>
      </c>
      <c r="AI13" s="545">
        <f>IF('Final Calculation Sheet'!$H$28="","",'Final Calculation Sheet'!$H$28)</f>
        <v/>
      </c>
      <c r="AK13" s="568">
        <f>IF('Final Calculation Sheet'!$H$30="","",'Final Calculation Sheet'!$H$30)</f>
        <v/>
      </c>
      <c r="AL13" s="545">
        <f>IF('Final Calculation Sheet'!$H$32="","",'Final Calculation Sheet'!$H$32)</f>
        <v/>
      </c>
      <c r="AM13" s="568">
        <f>IF('Final Calculation Sheet'!$H$33="","",'Final Calculation Sheet'!$H$33)</f>
        <v/>
      </c>
      <c r="AO13" s="545">
        <f>IF('Final Calculation Sheet'!$H$31="","",'Final Calculation Sheet'!$H$31)</f>
        <v/>
      </c>
      <c r="AQ13" s="570">
        <f>IF('Final Calculation Sheet'!$H$34="","",'Final Calculation Sheet'!$H$34)</f>
        <v/>
      </c>
      <c r="AS13" s="545">
        <f>IF('Final Calculation Sheet'!$H$4="","",'Final Calculation Sheet'!$H$4)</f>
        <v/>
      </c>
      <c r="AU13" s="569">
        <f>IF('Final Calculation Sheet'!$H$38="","",'Final Calculation Sheet'!$H$38)</f>
        <v/>
      </c>
      <c r="AW13" s="545">
        <f>IF('Final Calculation Sheet'!$H$37="","",'Final Calculation Sheet'!$H$37)</f>
        <v/>
      </c>
      <c r="AY13" s="571">
        <f>IF('Final Calculation Sheet'!$H$8="","",'Final Calculation Sheet'!$H$8)</f>
        <v/>
      </c>
      <c r="BA13" s="545">
        <f>IF('Final Calculation Sheet'!$H$39="","",'Final Calculation Sheet'!$H$39)</f>
        <v/>
      </c>
      <c r="BB13" s="570">
        <f>IF('Final Calculation Sheet'!$H$40="","",'Final Calculation Sheet'!$H$40)</f>
        <v/>
      </c>
      <c r="BD13" s="545">
        <f>IF('Final Calculation Sheet'!$H$36="","",'Final Calculation Sheet'!$H$36)</f>
        <v/>
      </c>
      <c r="BF13" s="566">
        <f>IF('Final Calculation Sheet'!$H$35="","",'Final Calculation Sheet'!$H$35)</f>
        <v/>
      </c>
      <c r="BG13" s="546">
        <f>IF('Final Calculation Sheet'!$H$41="","",'Final Calculation Sheet'!$H$41)</f>
        <v/>
      </c>
    </row>
    <row r="14" ht="15" customHeight="1">
      <c r="A14" s="540" t="inlineStr">
        <is>
          <t>GST</t>
        </is>
      </c>
      <c r="B14" s="566">
        <f>IF('Final Calculation Sheet'!$I$6="","",'Final Calculation Sheet'!$I$6)</f>
        <v/>
      </c>
      <c r="C14" s="545">
        <f>IF('Final Calculation Sheet'!$I$7="","",'Final Calculation Sheet'!$I$7)</f>
        <v/>
      </c>
      <c r="E14" s="567">
        <f>IF('Final Calculation Sheet'!$I$15="","",'Final Calculation Sheet'!$I$15)</f>
        <v/>
      </c>
      <c r="G14" s="545">
        <f>IF('Final Calculation Sheet'!$I$5="","",'Final Calculation Sheet'!$I$5)</f>
        <v/>
      </c>
      <c r="H14" s="568">
        <f>IF('Final Calculation Sheet'!$I$10="","",'Final Calculation Sheet'!$I$10)</f>
        <v/>
      </c>
      <c r="I14" s="545">
        <f>IF('Final Calculation Sheet'!$I$11="","",'Final Calculation Sheet'!$I$11)</f>
        <v/>
      </c>
      <c r="J14" s="568">
        <f>IF('Final Calculation Sheet'!$I$12="","",'Final Calculation Sheet'!$I$12)</f>
        <v/>
      </c>
      <c r="L14" s="545">
        <f>IF('Final Calculation Sheet'!$I$9="","",'Final Calculation Sheet'!$I$9)</f>
        <v/>
      </c>
      <c r="M14" s="569">
        <f>IF('Final Calculation Sheet'!$I$14="","",'Final Calculation Sheet'!$I$14)</f>
        <v/>
      </c>
      <c r="O14" s="545">
        <f>IF('Final Calculation Sheet'!$I$13="","",'Final Calculation Sheet'!$I$13)</f>
        <v/>
      </c>
      <c r="P14" s="570">
        <f>IF('Final Calculation Sheet'!$I$16="","",'Final Calculation Sheet'!$I$16)</f>
        <v/>
      </c>
      <c r="R14" s="545">
        <f>IF('Final Calculation Sheet'!$I$27="","",'Final Calculation Sheet'!$I$27)</f>
        <v/>
      </c>
      <c r="T14" s="568">
        <f>IF('Final Calculation Sheet'!$I$18="","",'Final Calculation Sheet'!$I$18)</f>
        <v/>
      </c>
      <c r="U14" s="545">
        <f>IF('Final Calculation Sheet'!$I$19="","",'Final Calculation Sheet'!$I$19)</f>
        <v/>
      </c>
      <c r="V14" s="568">
        <f>IF('Final Calculation Sheet'!$I$22="","",'Final Calculation Sheet'!$I$22)</f>
        <v/>
      </c>
      <c r="W14" s="545">
        <f>IF('Final Calculation Sheet'!$I$24="","",'Final Calculation Sheet'!$I$24)</f>
        <v/>
      </c>
      <c r="X14" s="568">
        <f>IF('Final Calculation Sheet'!$I$26="","",'Final Calculation Sheet'!$I$26)</f>
        <v/>
      </c>
      <c r="Z14" s="545">
        <f>IF('Final Calculation Sheet'!$I$21="","",'Final Calculation Sheet'!$I$21)</f>
        <v/>
      </c>
      <c r="AB14" s="571">
        <f>IF('Final Calculation Sheet'!$I$20="","",'Final Calculation Sheet'!$I$20)</f>
        <v/>
      </c>
      <c r="AD14" s="545">
        <f>IF('Final Calculation Sheet'!$I$17="","",'Final Calculation Sheet'!$I$17)</f>
        <v/>
      </c>
      <c r="AE14" s="570">
        <f>IF('Final Calculation Sheet'!$I$23="","",'Final Calculation Sheet'!$I$23)</f>
        <v/>
      </c>
      <c r="AF14" s="545">
        <f>IF('Final Calculation Sheet'!$I$29="","",'Final Calculation Sheet'!$I$29)</f>
        <v/>
      </c>
      <c r="AH14" s="566">
        <f>IF('Final Calculation Sheet'!$I$25="","",'Final Calculation Sheet'!$I$25)</f>
        <v/>
      </c>
      <c r="AI14" s="545">
        <f>IF('Final Calculation Sheet'!$I$28="","",'Final Calculation Sheet'!$I$28)</f>
        <v/>
      </c>
      <c r="AK14" s="568">
        <f>IF('Final Calculation Sheet'!$I$30="","",'Final Calculation Sheet'!$I$30)</f>
        <v/>
      </c>
      <c r="AL14" s="545">
        <f>IF('Final Calculation Sheet'!$I$32="","",'Final Calculation Sheet'!$I$32)</f>
        <v/>
      </c>
      <c r="AM14" s="568">
        <f>IF('Final Calculation Sheet'!$I$33="","",'Final Calculation Sheet'!$I$33)</f>
        <v/>
      </c>
      <c r="AO14" s="545">
        <f>IF('Final Calculation Sheet'!$I$31="","",'Final Calculation Sheet'!$I$31)</f>
        <v/>
      </c>
      <c r="AQ14" s="570">
        <f>IF('Final Calculation Sheet'!$I$34="","",'Final Calculation Sheet'!$I$34)</f>
        <v/>
      </c>
      <c r="AS14" s="545">
        <f>IF('Final Calculation Sheet'!$I$4="","",'Final Calculation Sheet'!$I$4)</f>
        <v/>
      </c>
      <c r="AU14" s="569">
        <f>IF('Final Calculation Sheet'!$I$38="","",'Final Calculation Sheet'!$I$38)</f>
        <v/>
      </c>
      <c r="AW14" s="545">
        <f>IF('Final Calculation Sheet'!$I$37="","",'Final Calculation Sheet'!$I$37)</f>
        <v/>
      </c>
      <c r="AY14" s="571">
        <f>IF('Final Calculation Sheet'!$I$8="","",'Final Calculation Sheet'!$I$8)</f>
        <v/>
      </c>
      <c r="BA14" s="545">
        <f>IF('Final Calculation Sheet'!$I$39="","",'Final Calculation Sheet'!$I$39)</f>
        <v/>
      </c>
      <c r="BB14" s="570">
        <f>IF('Final Calculation Sheet'!$I$40="","",'Final Calculation Sheet'!$I$40)</f>
        <v/>
      </c>
      <c r="BD14" s="545">
        <f>IF('Final Calculation Sheet'!$I$36="","",'Final Calculation Sheet'!$I$36)</f>
        <v/>
      </c>
      <c r="BF14" s="566">
        <f>IF('Final Calculation Sheet'!$I$35="","",'Final Calculation Sheet'!$I$35)</f>
        <v/>
      </c>
      <c r="BG14" s="546">
        <f>IF('Final Calculation Sheet'!$I$41="","",'Final Calculation Sheet'!$I$41)</f>
        <v/>
      </c>
    </row>
    <row r="15" ht="15" customHeight="1">
      <c r="A15" s="543" t="inlineStr">
        <is>
          <t>Mat. Value + GST</t>
        </is>
      </c>
      <c r="B15" s="566">
        <f>IF('Final Calculation Sheet'!$J$6="","",'Final Calculation Sheet'!$J$6)</f>
        <v/>
      </c>
      <c r="C15" s="545">
        <f>IF('Final Calculation Sheet'!$J$7="","",'Final Calculation Sheet'!$J$7)</f>
        <v/>
      </c>
      <c r="E15" s="567">
        <f>IF('Final Calculation Sheet'!$J$15="","",'Final Calculation Sheet'!$J$15)</f>
        <v/>
      </c>
      <c r="G15" s="545">
        <f>IF('Final Calculation Sheet'!$J$5="","",'Final Calculation Sheet'!$J$5)</f>
        <v/>
      </c>
      <c r="H15" s="568">
        <f>IF('Final Calculation Sheet'!$J$10="","",'Final Calculation Sheet'!$J$10)</f>
        <v/>
      </c>
      <c r="I15" s="545">
        <f>IF('Final Calculation Sheet'!$J$11="","",'Final Calculation Sheet'!$J$11)</f>
        <v/>
      </c>
      <c r="J15" s="568">
        <f>IF('Final Calculation Sheet'!$J$12="","",'Final Calculation Sheet'!$J$12)</f>
        <v/>
      </c>
      <c r="L15" s="545">
        <f>IF('Final Calculation Sheet'!$J$9="","",'Final Calculation Sheet'!$J$9)</f>
        <v/>
      </c>
      <c r="M15" s="569">
        <f>IF('Final Calculation Sheet'!$J$14="","",'Final Calculation Sheet'!$J$14)</f>
        <v/>
      </c>
      <c r="O15" s="545">
        <f>IF('Final Calculation Sheet'!$J$13="","",'Final Calculation Sheet'!$J$13)</f>
        <v/>
      </c>
      <c r="P15" s="570">
        <f>IF('Final Calculation Sheet'!$J$16="","",'Final Calculation Sheet'!$J$16)</f>
        <v/>
      </c>
      <c r="R15" s="545">
        <f>IF('Final Calculation Sheet'!$J$27="","",'Final Calculation Sheet'!$J$27)</f>
        <v/>
      </c>
      <c r="T15" s="568">
        <f>IF('Final Calculation Sheet'!$J$18="","",'Final Calculation Sheet'!$J$18)</f>
        <v/>
      </c>
      <c r="U15" s="545">
        <f>IF('Final Calculation Sheet'!$J$19="","",'Final Calculation Sheet'!$J$19)</f>
        <v/>
      </c>
      <c r="V15" s="568">
        <f>IF('Final Calculation Sheet'!$J$22="","",'Final Calculation Sheet'!$J$22)</f>
        <v/>
      </c>
      <c r="W15" s="545">
        <f>IF('Final Calculation Sheet'!$J$24="","",'Final Calculation Sheet'!$J$24)</f>
        <v/>
      </c>
      <c r="X15" s="568">
        <f>IF('Final Calculation Sheet'!$J$26="","",'Final Calculation Sheet'!$J$26)</f>
        <v/>
      </c>
      <c r="Z15" s="545">
        <f>IF('Final Calculation Sheet'!$J$21="","",'Final Calculation Sheet'!$J$21)</f>
        <v/>
      </c>
      <c r="AB15" s="571">
        <f>IF('Final Calculation Sheet'!$J$20="","",'Final Calculation Sheet'!$J$20)</f>
        <v/>
      </c>
      <c r="AD15" s="545">
        <f>IF('Final Calculation Sheet'!$J$17="","",'Final Calculation Sheet'!$J$17)</f>
        <v/>
      </c>
      <c r="AE15" s="570">
        <f>IF('Final Calculation Sheet'!$J$23="","",'Final Calculation Sheet'!$J$23)</f>
        <v/>
      </c>
      <c r="AF15" s="545">
        <f>IF('Final Calculation Sheet'!$J$29="","",'Final Calculation Sheet'!$J$29)</f>
        <v/>
      </c>
      <c r="AH15" s="566">
        <f>IF('Final Calculation Sheet'!$J$25="","",'Final Calculation Sheet'!$J$25)</f>
        <v/>
      </c>
      <c r="AI15" s="545">
        <f>IF('Final Calculation Sheet'!$J$28="","",'Final Calculation Sheet'!$J$28)</f>
        <v/>
      </c>
      <c r="AK15" s="568">
        <f>IF('Final Calculation Sheet'!$J$30="","",'Final Calculation Sheet'!$J$30)</f>
        <v/>
      </c>
      <c r="AL15" s="545">
        <f>IF('Final Calculation Sheet'!$J$32="","",'Final Calculation Sheet'!$J$32)</f>
        <v/>
      </c>
      <c r="AM15" s="568">
        <f>IF('Final Calculation Sheet'!$J$33="","",'Final Calculation Sheet'!$J$33)</f>
        <v/>
      </c>
      <c r="AO15" s="545">
        <f>IF('Final Calculation Sheet'!$J$31="","",'Final Calculation Sheet'!$J$31)</f>
        <v/>
      </c>
      <c r="AQ15" s="570">
        <f>IF('Final Calculation Sheet'!$J$34="","",'Final Calculation Sheet'!$J$34)</f>
        <v/>
      </c>
      <c r="AS15" s="545">
        <f>IF('Final Calculation Sheet'!$J$4="","",'Final Calculation Sheet'!$J$4)</f>
        <v/>
      </c>
      <c r="AU15" s="569">
        <f>IF('Final Calculation Sheet'!$J$38="","",'Final Calculation Sheet'!$J$38)</f>
        <v/>
      </c>
      <c r="AW15" s="545">
        <f>IF('Final Calculation Sheet'!$J$37="","",'Final Calculation Sheet'!$J$37)</f>
        <v/>
      </c>
      <c r="AY15" s="571">
        <f>IF('Final Calculation Sheet'!$J$8="","",'Final Calculation Sheet'!$J$8)</f>
        <v/>
      </c>
      <c r="BA15" s="545">
        <f>IF('Final Calculation Sheet'!$J$39="","",'Final Calculation Sheet'!$J$39)</f>
        <v/>
      </c>
      <c r="BB15" s="570">
        <f>IF('Final Calculation Sheet'!$J$40="","",'Final Calculation Sheet'!$J$40)</f>
        <v/>
      </c>
      <c r="BD15" s="545">
        <f>IF('Final Calculation Sheet'!$J$36="","",'Final Calculation Sheet'!$J$36)</f>
        <v/>
      </c>
      <c r="BF15" s="566">
        <f>IF('Final Calculation Sheet'!$J$35="","",'Final Calculation Sheet'!$J$35)</f>
        <v/>
      </c>
      <c r="BG15" s="546">
        <f>IF('Final Calculation Sheet'!$J$41="","",'Final Calculation Sheet'!$J$41)</f>
        <v/>
      </c>
    </row>
    <row r="16" ht="15" customHeight="1">
      <c r="A16" s="540" t="inlineStr">
        <is>
          <t>TCS</t>
        </is>
      </c>
      <c r="B16" s="566">
        <f>IF('Final Calculation Sheet'!$K$6="","",'Final Calculation Sheet'!$K$6)</f>
        <v/>
      </c>
      <c r="C16" s="545">
        <f>IF('Final Calculation Sheet'!$K$7="","",'Final Calculation Sheet'!$K$7)</f>
        <v/>
      </c>
      <c r="E16" s="567">
        <f>IF('Final Calculation Sheet'!$K$15="","",'Final Calculation Sheet'!$K$15)</f>
        <v/>
      </c>
      <c r="G16" s="545">
        <f>IF('Final Calculation Sheet'!$K$5="","",'Final Calculation Sheet'!$K$5)</f>
        <v/>
      </c>
      <c r="H16" s="568">
        <f>IF('Final Calculation Sheet'!$K$10="","",'Final Calculation Sheet'!$K$10)</f>
        <v/>
      </c>
      <c r="I16" s="545">
        <f>IF('Final Calculation Sheet'!$K$11="","",'Final Calculation Sheet'!$K$11)</f>
        <v/>
      </c>
      <c r="J16" s="568">
        <f>IF('Final Calculation Sheet'!$K$12="","",'Final Calculation Sheet'!$K$12)</f>
        <v/>
      </c>
      <c r="L16" s="545">
        <f>IF('Final Calculation Sheet'!$K$9="","",'Final Calculation Sheet'!$K$9)</f>
        <v/>
      </c>
      <c r="M16" s="569">
        <f>IF('Final Calculation Sheet'!$K$14="","",'Final Calculation Sheet'!$K$14)</f>
        <v/>
      </c>
      <c r="O16" s="545">
        <f>IF('Final Calculation Sheet'!$K$13="","",'Final Calculation Sheet'!$K$13)</f>
        <v/>
      </c>
      <c r="P16" s="570">
        <f>IF('Final Calculation Sheet'!$K$16="","",'Final Calculation Sheet'!$K$16)</f>
        <v/>
      </c>
      <c r="R16" s="545">
        <f>IF('Final Calculation Sheet'!$K$27="","",'Final Calculation Sheet'!$K$27)</f>
        <v/>
      </c>
      <c r="T16" s="568">
        <f>IF('Final Calculation Sheet'!$K$18="","",'Final Calculation Sheet'!$K$18)</f>
        <v/>
      </c>
      <c r="U16" s="545">
        <f>IF('Final Calculation Sheet'!$K$19="","",'Final Calculation Sheet'!$K$19)</f>
        <v/>
      </c>
      <c r="V16" s="568">
        <f>IF('Final Calculation Sheet'!$K$22="","",'Final Calculation Sheet'!$K$22)</f>
        <v/>
      </c>
      <c r="W16" s="545">
        <f>IF('Final Calculation Sheet'!$K$24="","",'Final Calculation Sheet'!$K$24)</f>
        <v/>
      </c>
      <c r="X16" s="568">
        <f>IF('Final Calculation Sheet'!$K$26="","",'Final Calculation Sheet'!$K$26)</f>
        <v/>
      </c>
      <c r="Z16" s="545">
        <f>IF('Final Calculation Sheet'!$K$21="","",'Final Calculation Sheet'!$K$21)</f>
        <v/>
      </c>
      <c r="AB16" s="571">
        <f>IF('Final Calculation Sheet'!$K$20="","",'Final Calculation Sheet'!$K$20)</f>
        <v/>
      </c>
      <c r="AD16" s="545">
        <f>IF('Final Calculation Sheet'!$K$17="","",'Final Calculation Sheet'!$K$17)</f>
        <v/>
      </c>
      <c r="AE16" s="570">
        <f>IF('Final Calculation Sheet'!$K$23="","",'Final Calculation Sheet'!$K$23)</f>
        <v/>
      </c>
      <c r="AF16" s="545">
        <f>IF('Final Calculation Sheet'!$K$29="","",'Final Calculation Sheet'!$K$29)</f>
        <v/>
      </c>
      <c r="AH16" s="566">
        <f>IF('Final Calculation Sheet'!$K$25="","",'Final Calculation Sheet'!$K$25)</f>
        <v/>
      </c>
      <c r="AI16" s="545">
        <f>IF('Final Calculation Sheet'!$K$28="","",'Final Calculation Sheet'!$K$28)</f>
        <v/>
      </c>
      <c r="AK16" s="568">
        <f>IF('Final Calculation Sheet'!$K$30="","",'Final Calculation Sheet'!$K$30)</f>
        <v/>
      </c>
      <c r="AL16" s="545">
        <f>IF('Final Calculation Sheet'!$K$32="","",'Final Calculation Sheet'!$K$32)</f>
        <v/>
      </c>
      <c r="AM16" s="568">
        <f>IF('Final Calculation Sheet'!$K$33="","",'Final Calculation Sheet'!$K$33)</f>
        <v/>
      </c>
      <c r="AO16" s="545">
        <f>IF('Final Calculation Sheet'!$K$31="","",'Final Calculation Sheet'!$K$31)</f>
        <v/>
      </c>
      <c r="AQ16" s="570">
        <f>IF('Final Calculation Sheet'!$K$34="","",'Final Calculation Sheet'!$K$34)</f>
        <v/>
      </c>
      <c r="AS16" s="545">
        <f>IF('Final Calculation Sheet'!$K$4="","",'Final Calculation Sheet'!$K$4)</f>
        <v/>
      </c>
      <c r="AU16" s="569">
        <f>IF('Final Calculation Sheet'!$K$38="","",'Final Calculation Sheet'!$K$38)</f>
        <v/>
      </c>
      <c r="AW16" s="545">
        <f>IF('Final Calculation Sheet'!$K$37="","",'Final Calculation Sheet'!$K$37)</f>
        <v/>
      </c>
      <c r="AY16" s="571">
        <f>IF('Final Calculation Sheet'!$K$8="","",'Final Calculation Sheet'!$K$8)</f>
        <v/>
      </c>
      <c r="BA16" s="545">
        <f>IF('Final Calculation Sheet'!$K$39="","",'Final Calculation Sheet'!$K$39)</f>
        <v/>
      </c>
      <c r="BB16" s="570">
        <f>IF('Final Calculation Sheet'!$K$40="","",'Final Calculation Sheet'!$K$40)</f>
        <v/>
      </c>
      <c r="BD16" s="545">
        <f>IF('Final Calculation Sheet'!$K$36="","",'Final Calculation Sheet'!$K$36)</f>
        <v/>
      </c>
      <c r="BF16" s="566">
        <f>IF('Final Calculation Sheet'!$K$35="","",'Final Calculation Sheet'!$K$35)</f>
        <v/>
      </c>
      <c r="BG16" s="546">
        <f>IF('Final Calculation Sheet'!$K$41="","",'Final Calculation Sheet'!$K$41)</f>
        <v/>
      </c>
    </row>
    <row r="17" ht="15" customHeight="1">
      <c r="A17" s="543" t="inlineStr">
        <is>
          <t>TDS u/s 194(O)</t>
        </is>
      </c>
      <c r="B17" s="566">
        <f>IF('Final Calculation Sheet'!$L$6="","",'Final Calculation Sheet'!$L$6)</f>
        <v/>
      </c>
      <c r="C17" s="545">
        <f>IF('Final Calculation Sheet'!$L$7="","",'Final Calculation Sheet'!$L$7)</f>
        <v/>
      </c>
      <c r="E17" s="567">
        <f>IF('Final Calculation Sheet'!$L$15="","",'Final Calculation Sheet'!$L$15)</f>
        <v/>
      </c>
      <c r="G17" s="545">
        <f>IF('Final Calculation Sheet'!$L$5="","",'Final Calculation Sheet'!$L$5)</f>
        <v/>
      </c>
      <c r="H17" s="568">
        <f>IF('Final Calculation Sheet'!$L$10="","",'Final Calculation Sheet'!$L$10)</f>
        <v/>
      </c>
      <c r="I17" s="545">
        <f>IF('Final Calculation Sheet'!$L$11="","",'Final Calculation Sheet'!$L$11)</f>
        <v/>
      </c>
      <c r="J17" s="568">
        <f>IF('Final Calculation Sheet'!$L$12="","",'Final Calculation Sheet'!$L$12)</f>
        <v/>
      </c>
      <c r="L17" s="545">
        <f>IF('Final Calculation Sheet'!$L$9="","",'Final Calculation Sheet'!$L$9)</f>
        <v/>
      </c>
      <c r="M17" s="569">
        <f>IF('Final Calculation Sheet'!$L$14="","",'Final Calculation Sheet'!$L$14)</f>
        <v/>
      </c>
      <c r="O17" s="545">
        <f>IF('Final Calculation Sheet'!$L$13="","",'Final Calculation Sheet'!$L$13)</f>
        <v/>
      </c>
      <c r="P17" s="570">
        <f>IF('Final Calculation Sheet'!$L$16="","",'Final Calculation Sheet'!$L$16)</f>
        <v/>
      </c>
      <c r="R17" s="545">
        <f>IF('Final Calculation Sheet'!$L$27="","",'Final Calculation Sheet'!$L$27)</f>
        <v/>
      </c>
      <c r="T17" s="568">
        <f>IF('Final Calculation Sheet'!$L$18="","",'Final Calculation Sheet'!$L$18)</f>
        <v/>
      </c>
      <c r="U17" s="545">
        <f>IF('Final Calculation Sheet'!$L$19="","",'Final Calculation Sheet'!$L$19)</f>
        <v/>
      </c>
      <c r="V17" s="568">
        <f>IF('Final Calculation Sheet'!$L$22="","",'Final Calculation Sheet'!$L$22)</f>
        <v/>
      </c>
      <c r="W17" s="545">
        <f>IF('Final Calculation Sheet'!$L$24="","",'Final Calculation Sheet'!$L$24)</f>
        <v/>
      </c>
      <c r="X17" s="568">
        <f>IF('Final Calculation Sheet'!$L$26="","",'Final Calculation Sheet'!$L$26)</f>
        <v/>
      </c>
      <c r="Z17" s="545">
        <f>IF('Final Calculation Sheet'!$L$21="","",'Final Calculation Sheet'!$L$21)</f>
        <v/>
      </c>
      <c r="AB17" s="571">
        <f>IF('Final Calculation Sheet'!$L$20="","",'Final Calculation Sheet'!$L$20)</f>
        <v/>
      </c>
      <c r="AD17" s="545">
        <f>IF('Final Calculation Sheet'!$L$17="","",'Final Calculation Sheet'!$L$17)</f>
        <v/>
      </c>
      <c r="AE17" s="570">
        <f>IF('Final Calculation Sheet'!$L$23="","",'Final Calculation Sheet'!$L$23)</f>
        <v/>
      </c>
      <c r="AF17" s="545">
        <f>IF('Final Calculation Sheet'!$L$29="","",'Final Calculation Sheet'!$L$29)</f>
        <v/>
      </c>
      <c r="AH17" s="566">
        <f>IF('Final Calculation Sheet'!$L$25="","",'Final Calculation Sheet'!$L$25)</f>
        <v/>
      </c>
      <c r="AI17" s="545">
        <f>IF('Final Calculation Sheet'!$L$28="","",'Final Calculation Sheet'!$L$28)</f>
        <v/>
      </c>
      <c r="AK17" s="568">
        <f>IF('Final Calculation Sheet'!$L$30="","",'Final Calculation Sheet'!$L$30)</f>
        <v/>
      </c>
      <c r="AL17" s="545">
        <f>IF('Final Calculation Sheet'!$L$32="","",'Final Calculation Sheet'!$L$32)</f>
        <v/>
      </c>
      <c r="AM17" s="568">
        <f>IF('Final Calculation Sheet'!$L$33="","",'Final Calculation Sheet'!$L$33)</f>
        <v/>
      </c>
      <c r="AO17" s="545">
        <f>IF('Final Calculation Sheet'!$L$31="","",'Final Calculation Sheet'!$L$31)</f>
        <v/>
      </c>
      <c r="AQ17" s="570">
        <f>IF('Final Calculation Sheet'!$L$34="","",'Final Calculation Sheet'!$L$34)</f>
        <v/>
      </c>
      <c r="AS17" s="545">
        <f>IF('Final Calculation Sheet'!$L$4="","",'Final Calculation Sheet'!$L$4)</f>
        <v/>
      </c>
      <c r="AU17" s="569">
        <f>IF('Final Calculation Sheet'!$L$38="","",'Final Calculation Sheet'!$L$38)</f>
        <v/>
      </c>
      <c r="AW17" s="545">
        <f>IF('Final Calculation Sheet'!$L$37="","",'Final Calculation Sheet'!$L$37)</f>
        <v/>
      </c>
      <c r="AY17" s="571">
        <f>IF('Final Calculation Sheet'!$L$8="","",'Final Calculation Sheet'!$L$8)</f>
        <v/>
      </c>
      <c r="BA17" s="545">
        <f>IF('Final Calculation Sheet'!$L$39="","",'Final Calculation Sheet'!$L$39)</f>
        <v/>
      </c>
      <c r="BB17" s="570">
        <f>IF('Final Calculation Sheet'!$L$40="","",'Final Calculation Sheet'!$L$40)</f>
        <v/>
      </c>
      <c r="BD17" s="545">
        <f>IF('Final Calculation Sheet'!$L$36="","",'Final Calculation Sheet'!$L$36)</f>
        <v/>
      </c>
      <c r="BF17" s="566">
        <f>IF('Final Calculation Sheet'!$L$35="","",'Final Calculation Sheet'!$L$35)</f>
        <v/>
      </c>
      <c r="BG17" s="546">
        <f>IF('Final Calculation Sheet'!$L$41="","",'Final Calculation Sheet'!$L$41)</f>
        <v/>
      </c>
    </row>
    <row r="18" ht="15" customHeight="1">
      <c r="A18" s="540" t="inlineStr">
        <is>
          <t>Service Charge to MSTC</t>
        </is>
      </c>
      <c r="B18" s="566">
        <f>IF('Final Calculation Sheet'!$M$6="","",'Final Calculation Sheet'!$M$6)</f>
        <v/>
      </c>
      <c r="C18" s="545">
        <f>IF('Final Calculation Sheet'!$M$7="","",'Final Calculation Sheet'!$M$7)</f>
        <v/>
      </c>
      <c r="E18" s="567">
        <f>IF('Final Calculation Sheet'!$M$15="","",'Final Calculation Sheet'!$M$15)</f>
        <v/>
      </c>
      <c r="G18" s="545">
        <f>IF('Final Calculation Sheet'!$M$5="","",'Final Calculation Sheet'!$M$5)</f>
        <v/>
      </c>
      <c r="H18" s="568">
        <f>IF('Final Calculation Sheet'!$M$10="","",'Final Calculation Sheet'!$M$10)</f>
        <v/>
      </c>
      <c r="I18" s="545">
        <f>IF('Final Calculation Sheet'!$M$11="","",'Final Calculation Sheet'!$M$11)</f>
        <v/>
      </c>
      <c r="J18" s="568">
        <f>IF('Final Calculation Sheet'!$M$12="","",'Final Calculation Sheet'!$M$12)</f>
        <v/>
      </c>
      <c r="L18" s="545">
        <f>IF('Final Calculation Sheet'!$M$9="","",'Final Calculation Sheet'!$M$9)</f>
        <v/>
      </c>
      <c r="M18" s="569">
        <f>IF('Final Calculation Sheet'!$M$14="","",'Final Calculation Sheet'!$M$14)</f>
        <v/>
      </c>
      <c r="O18" s="545">
        <f>IF('Final Calculation Sheet'!$M$13="","",'Final Calculation Sheet'!$M$13)</f>
        <v/>
      </c>
      <c r="P18" s="570">
        <f>IF('Final Calculation Sheet'!$M$16="","",'Final Calculation Sheet'!$M$16)</f>
        <v/>
      </c>
      <c r="R18" s="545">
        <f>IF('Final Calculation Sheet'!$M$27="","",'Final Calculation Sheet'!$M$27)</f>
        <v/>
      </c>
      <c r="T18" s="568">
        <f>IF('Final Calculation Sheet'!$M$18="","",'Final Calculation Sheet'!$M$18)</f>
        <v/>
      </c>
      <c r="U18" s="545">
        <f>IF('Final Calculation Sheet'!$M$19="","",'Final Calculation Sheet'!$M$19)</f>
        <v/>
      </c>
      <c r="V18" s="568">
        <f>IF('Final Calculation Sheet'!$M$22="","",'Final Calculation Sheet'!$M$22)</f>
        <v/>
      </c>
      <c r="W18" s="545">
        <f>IF('Final Calculation Sheet'!$M$24="","",'Final Calculation Sheet'!$M$24)</f>
        <v/>
      </c>
      <c r="X18" s="568">
        <f>IF('Final Calculation Sheet'!$M$26="","",'Final Calculation Sheet'!$M$26)</f>
        <v/>
      </c>
      <c r="Z18" s="545">
        <f>IF('Final Calculation Sheet'!$M$21="","",'Final Calculation Sheet'!$M$21)</f>
        <v/>
      </c>
      <c r="AB18" s="571">
        <f>IF('Final Calculation Sheet'!$M$20="","",'Final Calculation Sheet'!$M$20)</f>
        <v/>
      </c>
      <c r="AD18" s="545">
        <f>IF('Final Calculation Sheet'!$M$17="","",'Final Calculation Sheet'!$M$17)</f>
        <v/>
      </c>
      <c r="AE18" s="570">
        <f>IF('Final Calculation Sheet'!$M$23="","",'Final Calculation Sheet'!$M$23)</f>
        <v/>
      </c>
      <c r="AF18" s="545">
        <f>IF('Final Calculation Sheet'!$M$29="","",'Final Calculation Sheet'!$M$29)</f>
        <v/>
      </c>
      <c r="AH18" s="566">
        <f>IF('Final Calculation Sheet'!$M$25="","",'Final Calculation Sheet'!$M$25)</f>
        <v/>
      </c>
      <c r="AI18" s="545">
        <f>IF('Final Calculation Sheet'!$M$28="","",'Final Calculation Sheet'!$M$28)</f>
        <v/>
      </c>
      <c r="AK18" s="568">
        <f>IF('Final Calculation Sheet'!$M$30="","",'Final Calculation Sheet'!$M$30)</f>
        <v/>
      </c>
      <c r="AL18" s="545">
        <f>IF('Final Calculation Sheet'!$M$32="","",'Final Calculation Sheet'!$M$32)</f>
        <v/>
      </c>
      <c r="AM18" s="568">
        <f>IF('Final Calculation Sheet'!$M$33="","",'Final Calculation Sheet'!$M$33)</f>
        <v/>
      </c>
      <c r="AO18" s="545">
        <f>IF('Final Calculation Sheet'!$M$31="","",'Final Calculation Sheet'!$M$31)</f>
        <v/>
      </c>
      <c r="AQ18" s="570">
        <f>IF('Final Calculation Sheet'!$M$34="","",'Final Calculation Sheet'!$M$34)</f>
        <v/>
      </c>
      <c r="AS18" s="545">
        <f>IF('Final Calculation Sheet'!$M$4="","",'Final Calculation Sheet'!$M$4)</f>
        <v/>
      </c>
      <c r="AU18" s="569">
        <f>IF('Final Calculation Sheet'!$M$38="","",'Final Calculation Sheet'!$M$38)</f>
        <v/>
      </c>
      <c r="AW18" s="545">
        <f>IF('Final Calculation Sheet'!$M$37="","",'Final Calculation Sheet'!$M$37)</f>
        <v/>
      </c>
      <c r="AY18" s="571">
        <f>IF('Final Calculation Sheet'!$M$8="","",'Final Calculation Sheet'!$M$8)</f>
        <v/>
      </c>
      <c r="BA18" s="545">
        <f>IF('Final Calculation Sheet'!$M$39="","",'Final Calculation Sheet'!$M$39)</f>
        <v/>
      </c>
      <c r="BB18" s="570">
        <f>IF('Final Calculation Sheet'!$M$40="","",'Final Calculation Sheet'!$M$40)</f>
        <v/>
      </c>
      <c r="BD18" s="545">
        <f>IF('Final Calculation Sheet'!$M$36="","",'Final Calculation Sheet'!$M$36)</f>
        <v/>
      </c>
      <c r="BF18" s="566">
        <f>IF('Final Calculation Sheet'!$M$35="","",'Final Calculation Sheet'!$M$35)</f>
        <v/>
      </c>
      <c r="BG18" s="546">
        <f>IF('Final Calculation Sheet'!$M$41="","",'Final Calculation Sheet'!$M$41)</f>
        <v/>
      </c>
    </row>
    <row r="19" ht="15" customHeight="1">
      <c r="A19" s="543" t="inlineStr">
        <is>
          <t>TDS u/s 194(H)</t>
        </is>
      </c>
      <c r="B19" s="572">
        <f>IF('Final Calculation Sheet'!$N$6="","",'Final Calculation Sheet'!$N$6)</f>
        <v/>
      </c>
      <c r="C19" s="548">
        <f>IF('Final Calculation Sheet'!$N$7="","",'Final Calculation Sheet'!$N$7)</f>
        <v/>
      </c>
      <c r="E19" s="573">
        <f>IF('Final Calculation Sheet'!$N$15="","",'Final Calculation Sheet'!$N$15)</f>
        <v/>
      </c>
      <c r="G19" s="548">
        <f>IF('Final Calculation Sheet'!$N$5="","",'Final Calculation Sheet'!$N$5)</f>
        <v/>
      </c>
      <c r="H19" s="574">
        <f>IF('Final Calculation Sheet'!$N$10="","",'Final Calculation Sheet'!$N$10)</f>
        <v/>
      </c>
      <c r="I19" s="548">
        <f>IF('Final Calculation Sheet'!$N$11="","",'Final Calculation Sheet'!$N$11)</f>
        <v/>
      </c>
      <c r="J19" s="574">
        <f>IF('Final Calculation Sheet'!$N$12="","",'Final Calculation Sheet'!$N$12)</f>
        <v/>
      </c>
      <c r="L19" s="548">
        <f>IF('Final Calculation Sheet'!$N$9="","",'Final Calculation Sheet'!$N$9)</f>
        <v/>
      </c>
      <c r="M19" s="575">
        <f>IF('Final Calculation Sheet'!$N$14="","",'Final Calculation Sheet'!$N$14)</f>
        <v/>
      </c>
      <c r="O19" s="548">
        <f>IF('Final Calculation Sheet'!$N$13="","",'Final Calculation Sheet'!$N$13)</f>
        <v/>
      </c>
      <c r="P19" s="576">
        <f>IF('Final Calculation Sheet'!$N$16="","",'Final Calculation Sheet'!$N$16)</f>
        <v/>
      </c>
      <c r="R19" s="548">
        <f>IF('Final Calculation Sheet'!$N$27="","",'Final Calculation Sheet'!$N$27)</f>
        <v/>
      </c>
      <c r="T19" s="574">
        <f>IF('Final Calculation Sheet'!$N$18="","",'Final Calculation Sheet'!$N$18)</f>
        <v/>
      </c>
      <c r="U19" s="548">
        <f>IF('Final Calculation Sheet'!$N$19="","",'Final Calculation Sheet'!$N$19)</f>
        <v/>
      </c>
      <c r="V19" s="574">
        <f>IF('Final Calculation Sheet'!$N$22="","",'Final Calculation Sheet'!$N$22)</f>
        <v/>
      </c>
      <c r="W19" s="548">
        <f>IF('Final Calculation Sheet'!$N$24="","",'Final Calculation Sheet'!$N$24)</f>
        <v/>
      </c>
      <c r="X19" s="574">
        <f>IF('Final Calculation Sheet'!$N$26="","",'Final Calculation Sheet'!$N$26)</f>
        <v/>
      </c>
      <c r="Z19" s="548">
        <f>IF('Final Calculation Sheet'!$N$21="","",'Final Calculation Sheet'!$N$21)</f>
        <v/>
      </c>
      <c r="AB19" s="577">
        <f>IF('Final Calculation Sheet'!$N$20="","",'Final Calculation Sheet'!$N$20)</f>
        <v/>
      </c>
      <c r="AD19" s="548">
        <f>IF('Final Calculation Sheet'!$N$17="","",'Final Calculation Sheet'!$N$17)</f>
        <v/>
      </c>
      <c r="AE19" s="576">
        <f>IF('Final Calculation Sheet'!$N$23="","",'Final Calculation Sheet'!$N$23)</f>
        <v/>
      </c>
      <c r="AF19" s="548">
        <f>IF('Final Calculation Sheet'!$N$29="","",'Final Calculation Sheet'!$N$29)</f>
        <v/>
      </c>
      <c r="AH19" s="572">
        <f>IF('Final Calculation Sheet'!$N$25="","",'Final Calculation Sheet'!$N$25)</f>
        <v/>
      </c>
      <c r="AI19" s="548">
        <f>IF('Final Calculation Sheet'!$N$28="","",'Final Calculation Sheet'!$N$28)</f>
        <v/>
      </c>
      <c r="AK19" s="574">
        <f>IF('Final Calculation Sheet'!$N$30="","",'Final Calculation Sheet'!$N$30)</f>
        <v/>
      </c>
      <c r="AL19" s="548">
        <f>IF('Final Calculation Sheet'!$N$32="","",'Final Calculation Sheet'!$N$32)</f>
        <v/>
      </c>
      <c r="AM19" s="574">
        <f>IF('Final Calculation Sheet'!$N$33="","",'Final Calculation Sheet'!$N$33)</f>
        <v/>
      </c>
      <c r="AO19" s="548">
        <f>IF('Final Calculation Sheet'!$N$31="","",'Final Calculation Sheet'!$N$31)</f>
        <v/>
      </c>
      <c r="AQ19" s="576">
        <f>IF('Final Calculation Sheet'!$N$34="","",'Final Calculation Sheet'!$N$34)</f>
        <v/>
      </c>
      <c r="AS19" s="548">
        <f>IF('Final Calculation Sheet'!$N$4="","",'Final Calculation Sheet'!$N$4)</f>
        <v/>
      </c>
      <c r="AU19" s="575">
        <f>IF('Final Calculation Sheet'!$N$38="","",'Final Calculation Sheet'!$N$38)</f>
        <v/>
      </c>
      <c r="AW19" s="548">
        <f>IF('Final Calculation Sheet'!$N$37="","",'Final Calculation Sheet'!$N$37)</f>
        <v/>
      </c>
      <c r="AY19" s="577">
        <f>IF('Final Calculation Sheet'!$N$8="","",'Final Calculation Sheet'!$N$8)</f>
        <v/>
      </c>
      <c r="BA19" s="548">
        <f>IF('Final Calculation Sheet'!$N$39="","",'Final Calculation Sheet'!$N$39)</f>
        <v/>
      </c>
      <c r="BB19" s="576">
        <f>IF('Final Calculation Sheet'!$N$40="","",'Final Calculation Sheet'!$N$40)</f>
        <v/>
      </c>
      <c r="BD19" s="548">
        <f>IF('Final Calculation Sheet'!$N$36="","",'Final Calculation Sheet'!$N$36)</f>
        <v/>
      </c>
      <c r="BF19" s="572">
        <f>IF('Final Calculation Sheet'!$N$35="","",'Final Calculation Sheet'!$N$35)</f>
        <v/>
      </c>
      <c r="BG19" s="414">
        <f>IF('Final Calculation Sheet'!$N$41="","",'Final Calculation Sheet'!$N$41)</f>
        <v/>
      </c>
    </row>
    <row r="20" ht="15" customHeight="1">
      <c r="A20" s="540" t="inlineStr">
        <is>
          <t>Net Service Charge (post TDS 194H)</t>
        </is>
      </c>
      <c r="B20" s="566">
        <f>IF('Final Calculation Sheet'!$O$6="","",'Final Calculation Sheet'!$O$6)</f>
        <v/>
      </c>
      <c r="C20" s="545">
        <f>IF('Final Calculation Sheet'!$O$7="","",'Final Calculation Sheet'!$O$7)</f>
        <v/>
      </c>
      <c r="E20" s="567">
        <f>IF('Final Calculation Sheet'!$O$15="","",'Final Calculation Sheet'!$O$15)</f>
        <v/>
      </c>
      <c r="G20" s="545">
        <f>IF('Final Calculation Sheet'!$O$5="","",'Final Calculation Sheet'!$O$5)</f>
        <v/>
      </c>
      <c r="H20" s="568">
        <f>IF('Final Calculation Sheet'!$O$10="","",'Final Calculation Sheet'!$O$10)</f>
        <v/>
      </c>
      <c r="I20" s="545">
        <f>IF('Final Calculation Sheet'!$O$11="","",'Final Calculation Sheet'!$O$11)</f>
        <v/>
      </c>
      <c r="J20" s="568">
        <f>IF('Final Calculation Sheet'!$O$12="","",'Final Calculation Sheet'!$O$12)</f>
        <v/>
      </c>
      <c r="L20" s="545">
        <f>IF('Final Calculation Sheet'!$O$9="","",'Final Calculation Sheet'!$O$9)</f>
        <v/>
      </c>
      <c r="M20" s="569">
        <f>IF('Final Calculation Sheet'!$O$14="","",'Final Calculation Sheet'!$O$14)</f>
        <v/>
      </c>
      <c r="O20" s="545">
        <f>IF('Final Calculation Sheet'!$O$13="","",'Final Calculation Sheet'!$O$13)</f>
        <v/>
      </c>
      <c r="P20" s="570">
        <f>IF('Final Calculation Sheet'!$O$16="","",'Final Calculation Sheet'!$O$16)</f>
        <v/>
      </c>
      <c r="R20" s="545">
        <f>IF('Final Calculation Sheet'!$O$27="","",'Final Calculation Sheet'!$O$27)</f>
        <v/>
      </c>
      <c r="T20" s="568">
        <f>IF('Final Calculation Sheet'!$O$18="","",'Final Calculation Sheet'!$O$18)</f>
        <v/>
      </c>
      <c r="U20" s="545">
        <f>IF('Final Calculation Sheet'!$O$19="","",'Final Calculation Sheet'!$O$19)</f>
        <v/>
      </c>
      <c r="V20" s="568">
        <f>IF('Final Calculation Sheet'!$O$22="","",'Final Calculation Sheet'!$O$22)</f>
        <v/>
      </c>
      <c r="W20" s="545">
        <f>IF('Final Calculation Sheet'!$O$24="","",'Final Calculation Sheet'!$O$24)</f>
        <v/>
      </c>
      <c r="X20" s="568">
        <f>IF('Final Calculation Sheet'!$O$26="","",'Final Calculation Sheet'!$O$26)</f>
        <v/>
      </c>
      <c r="Z20" s="545">
        <f>IF('Final Calculation Sheet'!$O$21="","",'Final Calculation Sheet'!$O$21)</f>
        <v/>
      </c>
      <c r="AB20" s="571">
        <f>IF('Final Calculation Sheet'!$O$20="","",'Final Calculation Sheet'!$O$20)</f>
        <v/>
      </c>
      <c r="AD20" s="545">
        <f>IF('Final Calculation Sheet'!$O$17="","",'Final Calculation Sheet'!$O$17)</f>
        <v/>
      </c>
      <c r="AE20" s="570">
        <f>IF('Final Calculation Sheet'!$O$23="","",'Final Calculation Sheet'!$O$23)</f>
        <v/>
      </c>
      <c r="AF20" s="545">
        <f>IF('Final Calculation Sheet'!$O$29="","",'Final Calculation Sheet'!$O$29)</f>
        <v/>
      </c>
      <c r="AH20" s="566">
        <f>IF('Final Calculation Sheet'!$O$25="","",'Final Calculation Sheet'!$O$25)</f>
        <v/>
      </c>
      <c r="AI20" s="545">
        <f>IF('Final Calculation Sheet'!$O$28="","",'Final Calculation Sheet'!$O$28)</f>
        <v/>
      </c>
      <c r="AK20" s="568">
        <f>IF('Final Calculation Sheet'!$O$30="","",'Final Calculation Sheet'!$O$30)</f>
        <v/>
      </c>
      <c r="AL20" s="545">
        <f>IF('Final Calculation Sheet'!$O$32="","",'Final Calculation Sheet'!$O$32)</f>
        <v/>
      </c>
      <c r="AM20" s="568">
        <f>IF('Final Calculation Sheet'!$O$33="","",'Final Calculation Sheet'!$O$33)</f>
        <v/>
      </c>
      <c r="AO20" s="545">
        <f>IF('Final Calculation Sheet'!$O$31="","",'Final Calculation Sheet'!$O$31)</f>
        <v/>
      </c>
      <c r="AQ20" s="570">
        <f>IF('Final Calculation Sheet'!$O$34="","",'Final Calculation Sheet'!$O$34)</f>
        <v/>
      </c>
      <c r="AS20" s="545">
        <f>IF('Final Calculation Sheet'!$O$4="","",'Final Calculation Sheet'!$O$4)</f>
        <v/>
      </c>
      <c r="AU20" s="569">
        <f>IF('Final Calculation Sheet'!$O$38="","",'Final Calculation Sheet'!$O$38)</f>
        <v/>
      </c>
      <c r="AW20" s="545">
        <f>IF('Final Calculation Sheet'!$O$37="","",'Final Calculation Sheet'!$O$37)</f>
        <v/>
      </c>
      <c r="AY20" s="571">
        <f>IF('Final Calculation Sheet'!$O$8="","",'Final Calculation Sheet'!$O$8)</f>
        <v/>
      </c>
      <c r="BA20" s="545">
        <f>IF('Final Calculation Sheet'!$O$39="","",'Final Calculation Sheet'!$O$39)</f>
        <v/>
      </c>
      <c r="BB20" s="570">
        <f>IF('Final Calculation Sheet'!$O$40="","",'Final Calculation Sheet'!$O$40)</f>
        <v/>
      </c>
      <c r="BD20" s="545">
        <f>IF('Final Calculation Sheet'!$O$36="","",'Final Calculation Sheet'!$O$36)</f>
        <v/>
      </c>
      <c r="BF20" s="566">
        <f>IF('Final Calculation Sheet'!$O$35="","",'Final Calculation Sheet'!$O$35)</f>
        <v/>
      </c>
      <c r="BG20" s="546">
        <f>IF('Final Calculation Sheet'!$O$41="","",'Final Calculation Sheet'!$O$41)</f>
        <v/>
      </c>
    </row>
    <row r="21" ht="15" customHeight="1">
      <c r="A21" s="543" t="inlineStr">
        <is>
          <t>Service charge to MSTC</t>
        </is>
      </c>
      <c r="B21" s="566">
        <f>IF('Final Calculation Sheet'!$P$6="","",'Final Calculation Sheet'!$P$6)</f>
        <v/>
      </c>
      <c r="C21" s="545">
        <f>IF('Final Calculation Sheet'!$P$7="","",'Final Calculation Sheet'!$P$7)</f>
        <v/>
      </c>
      <c r="E21" s="567">
        <f>IF('Final Calculation Sheet'!$P$15="","",'Final Calculation Sheet'!$P$15)</f>
        <v/>
      </c>
      <c r="G21" s="545">
        <f>IF('Final Calculation Sheet'!$P$5="","",'Final Calculation Sheet'!$P$5)</f>
        <v/>
      </c>
      <c r="H21" s="568">
        <f>IF('Final Calculation Sheet'!$P$10="","",'Final Calculation Sheet'!$P$10)</f>
        <v/>
      </c>
      <c r="I21" s="545">
        <f>IF('Final Calculation Sheet'!$P$11="","",'Final Calculation Sheet'!$P$11)</f>
        <v/>
      </c>
      <c r="J21" s="568">
        <f>IF('Final Calculation Sheet'!$P$12="","",'Final Calculation Sheet'!$P$12)</f>
        <v/>
      </c>
      <c r="L21" s="545">
        <f>IF('Final Calculation Sheet'!$P$9="","",'Final Calculation Sheet'!$P$9)</f>
        <v/>
      </c>
      <c r="M21" s="569">
        <f>IF('Final Calculation Sheet'!$P$14="","",'Final Calculation Sheet'!$P$14)</f>
        <v/>
      </c>
      <c r="O21" s="545">
        <f>IF('Final Calculation Sheet'!$P$13="","",'Final Calculation Sheet'!$P$13)</f>
        <v/>
      </c>
      <c r="P21" s="570">
        <f>IF('Final Calculation Sheet'!$P$16="","",'Final Calculation Sheet'!$P$16)</f>
        <v/>
      </c>
      <c r="R21" s="545">
        <f>IF('Final Calculation Sheet'!$P$27="","",'Final Calculation Sheet'!$P$27)</f>
        <v/>
      </c>
      <c r="T21" s="568">
        <f>IF('Final Calculation Sheet'!$P$18="","",'Final Calculation Sheet'!$P$18)</f>
        <v/>
      </c>
      <c r="U21" s="545">
        <f>IF('Final Calculation Sheet'!$P$19="","",'Final Calculation Sheet'!$P$19)</f>
        <v/>
      </c>
      <c r="V21" s="568">
        <f>IF('Final Calculation Sheet'!$P$22="","",'Final Calculation Sheet'!$P$22)</f>
        <v/>
      </c>
      <c r="W21" s="545">
        <f>IF('Final Calculation Sheet'!$P$24="","",'Final Calculation Sheet'!$P$24)</f>
        <v/>
      </c>
      <c r="X21" s="568">
        <f>IF('Final Calculation Sheet'!$P$26="","",'Final Calculation Sheet'!$P$26)</f>
        <v/>
      </c>
      <c r="Z21" s="545">
        <f>IF('Final Calculation Sheet'!$P$21="","",'Final Calculation Sheet'!$P$21)</f>
        <v/>
      </c>
      <c r="AB21" s="571">
        <f>IF('Final Calculation Sheet'!$P$20="","",'Final Calculation Sheet'!$P$20)</f>
        <v/>
      </c>
      <c r="AD21" s="545">
        <f>IF('Final Calculation Sheet'!$P$17="","",'Final Calculation Sheet'!$P$17)</f>
        <v/>
      </c>
      <c r="AE21" s="570">
        <f>IF('Final Calculation Sheet'!$P$23="","",'Final Calculation Sheet'!$P$23)</f>
        <v/>
      </c>
      <c r="AF21" s="545">
        <f>IF('Final Calculation Sheet'!$P$29="","",'Final Calculation Sheet'!$P$29)</f>
        <v/>
      </c>
      <c r="AH21" s="566">
        <f>IF('Final Calculation Sheet'!$P$25="","",'Final Calculation Sheet'!$P$25)</f>
        <v/>
      </c>
      <c r="AI21" s="545">
        <f>IF('Final Calculation Sheet'!$P$28="","",'Final Calculation Sheet'!$P$28)</f>
        <v/>
      </c>
      <c r="AK21" s="568">
        <f>IF('Final Calculation Sheet'!$P$30="","",'Final Calculation Sheet'!$P$30)</f>
        <v/>
      </c>
      <c r="AL21" s="545">
        <f>IF('Final Calculation Sheet'!$P$32="","",'Final Calculation Sheet'!$P$32)</f>
        <v/>
      </c>
      <c r="AM21" s="568">
        <f>IF('Final Calculation Sheet'!$P$33="","",'Final Calculation Sheet'!$P$33)</f>
        <v/>
      </c>
      <c r="AO21" s="545">
        <f>IF('Final Calculation Sheet'!$P$31="","",'Final Calculation Sheet'!$P$31)</f>
        <v/>
      </c>
      <c r="AQ21" s="570">
        <f>IF('Final Calculation Sheet'!$P$34="","",'Final Calculation Sheet'!$P$34)</f>
        <v/>
      </c>
      <c r="AS21" s="545">
        <f>IF('Final Calculation Sheet'!$P$4="","",'Final Calculation Sheet'!$P$4)</f>
        <v/>
      </c>
      <c r="AU21" s="569">
        <f>IF('Final Calculation Sheet'!$P$38="","",'Final Calculation Sheet'!$P$38)</f>
        <v/>
      </c>
      <c r="AW21" s="545">
        <f>IF('Final Calculation Sheet'!$P$37="","",'Final Calculation Sheet'!$P$37)</f>
        <v/>
      </c>
      <c r="AY21" s="571">
        <f>IF('Final Calculation Sheet'!$P$8="","",'Final Calculation Sheet'!$P$8)</f>
        <v/>
      </c>
      <c r="BA21" s="545">
        <f>IF('Final Calculation Sheet'!$P$39="","",'Final Calculation Sheet'!$P$39)</f>
        <v/>
      </c>
      <c r="BB21" s="570">
        <f>IF('Final Calculation Sheet'!$P$40="","",'Final Calculation Sheet'!$P$40)</f>
        <v/>
      </c>
      <c r="BD21" s="545">
        <f>IF('Final Calculation Sheet'!$P$36="","",'Final Calculation Sheet'!$P$36)</f>
        <v/>
      </c>
      <c r="BF21" s="566">
        <f>IF('Final Calculation Sheet'!$P$35="","",'Final Calculation Sheet'!$P$35)</f>
        <v/>
      </c>
      <c r="BG21" s="546">
        <f>IF('Final Calculation Sheet'!$P$41="","",'Final Calculation Sheet'!$P$41)</f>
        <v/>
      </c>
    </row>
    <row r="22" ht="15" customHeight="1">
      <c r="A22" s="540" t="inlineStr">
        <is>
          <t>GST TDS Rate</t>
        </is>
      </c>
      <c r="B22" s="578">
        <f>IF('Final Calculation Sheet'!$Q$6="","",'Final Calculation Sheet'!$Q$6)</f>
        <v/>
      </c>
      <c r="C22" s="550">
        <f>IF('Final Calculation Sheet'!$Q$7="","",'Final Calculation Sheet'!$Q$7)</f>
        <v/>
      </c>
      <c r="E22" s="579">
        <f>IF('Final Calculation Sheet'!$Q$15="","",'Final Calculation Sheet'!$Q$15)</f>
        <v/>
      </c>
      <c r="G22" s="550">
        <f>IF('Final Calculation Sheet'!$Q$5="","",'Final Calculation Sheet'!$Q$5)</f>
        <v/>
      </c>
      <c r="H22" s="580">
        <f>IF('Final Calculation Sheet'!$Q$10="","",'Final Calculation Sheet'!$Q$10)</f>
        <v/>
      </c>
      <c r="I22" s="550">
        <f>IF('Final Calculation Sheet'!$Q$11="","",'Final Calculation Sheet'!$Q$11)</f>
        <v/>
      </c>
      <c r="J22" s="580">
        <f>IF('Final Calculation Sheet'!$Q$12="","",'Final Calculation Sheet'!$Q$12)</f>
        <v/>
      </c>
      <c r="L22" s="550">
        <f>IF('Final Calculation Sheet'!$Q$9="","",'Final Calculation Sheet'!$Q$9)</f>
        <v/>
      </c>
      <c r="M22" s="581">
        <f>IF('Final Calculation Sheet'!$Q$14="","",'Final Calculation Sheet'!$Q$14)</f>
        <v/>
      </c>
      <c r="O22" s="550">
        <f>IF('Final Calculation Sheet'!$Q$13="","",'Final Calculation Sheet'!$Q$13)</f>
        <v/>
      </c>
      <c r="P22" s="582">
        <f>IF('Final Calculation Sheet'!$Q$16="","",'Final Calculation Sheet'!$Q$16)</f>
        <v/>
      </c>
      <c r="R22" s="550">
        <f>IF('Final Calculation Sheet'!$Q$27="","",'Final Calculation Sheet'!$Q$27)</f>
        <v/>
      </c>
      <c r="T22" s="580">
        <f>IF('Final Calculation Sheet'!$Q$18="","",'Final Calculation Sheet'!$Q$18)</f>
        <v/>
      </c>
      <c r="U22" s="550">
        <f>IF('Final Calculation Sheet'!$Q$19="","",'Final Calculation Sheet'!$Q$19)</f>
        <v/>
      </c>
      <c r="V22" s="580">
        <f>IF('Final Calculation Sheet'!$Q$22="","",'Final Calculation Sheet'!$Q$22)</f>
        <v/>
      </c>
      <c r="W22" s="550">
        <f>IF('Final Calculation Sheet'!$Q$24="","",'Final Calculation Sheet'!$Q$24)</f>
        <v/>
      </c>
      <c r="X22" s="580">
        <f>IF('Final Calculation Sheet'!$Q$26="","",'Final Calculation Sheet'!$Q$26)</f>
        <v/>
      </c>
      <c r="Z22" s="550">
        <f>IF('Final Calculation Sheet'!$Q$21="","",'Final Calculation Sheet'!$Q$21)</f>
        <v/>
      </c>
      <c r="AB22" s="583">
        <f>IF('Final Calculation Sheet'!$Q$20="","",'Final Calculation Sheet'!$Q$20)</f>
        <v/>
      </c>
      <c r="AD22" s="550">
        <f>IF('Final Calculation Sheet'!$Q$17="","",'Final Calculation Sheet'!$Q$17)</f>
        <v/>
      </c>
      <c r="AE22" s="582">
        <f>IF('Final Calculation Sheet'!$Q$23="","",'Final Calculation Sheet'!$Q$23)</f>
        <v/>
      </c>
      <c r="AF22" s="550">
        <f>IF('Final Calculation Sheet'!$Q$29="","",'Final Calculation Sheet'!$Q$29)</f>
        <v/>
      </c>
      <c r="AH22" s="578">
        <f>IF('Final Calculation Sheet'!$Q$25="","",'Final Calculation Sheet'!$Q$25)</f>
        <v/>
      </c>
      <c r="AI22" s="550">
        <f>IF('Final Calculation Sheet'!$Q$28="","",'Final Calculation Sheet'!$Q$28)</f>
        <v/>
      </c>
      <c r="AK22" s="580">
        <f>IF('Final Calculation Sheet'!$Q$30="","",'Final Calculation Sheet'!$Q$30)</f>
        <v/>
      </c>
      <c r="AL22" s="550">
        <f>IF('Final Calculation Sheet'!$Q$32="","",'Final Calculation Sheet'!$Q$32)</f>
        <v/>
      </c>
      <c r="AM22" s="580">
        <f>IF('Final Calculation Sheet'!$Q$33="","",'Final Calculation Sheet'!$Q$33)</f>
        <v/>
      </c>
      <c r="AO22" s="550">
        <f>IF('Final Calculation Sheet'!$Q$31="","",'Final Calculation Sheet'!$Q$31)</f>
        <v/>
      </c>
      <c r="AQ22" s="582">
        <f>IF('Final Calculation Sheet'!$Q$34="","",'Final Calculation Sheet'!$Q$34)</f>
        <v/>
      </c>
      <c r="AS22" s="550">
        <f>IF('Final Calculation Sheet'!$Q$4="","",'Final Calculation Sheet'!$Q$4)</f>
        <v/>
      </c>
      <c r="AU22" s="581">
        <f>IF('Final Calculation Sheet'!$Q$38="","",'Final Calculation Sheet'!$Q$38)</f>
        <v/>
      </c>
      <c r="AW22" s="550">
        <f>IF('Final Calculation Sheet'!$Q$37="","",'Final Calculation Sheet'!$Q$37)</f>
        <v/>
      </c>
      <c r="AY22" s="583">
        <f>IF('Final Calculation Sheet'!$Q$8="","",'Final Calculation Sheet'!$Q$8)</f>
        <v/>
      </c>
      <c r="BA22" s="550">
        <f>IF('Final Calculation Sheet'!$Q$39="","",'Final Calculation Sheet'!$Q$39)</f>
        <v/>
      </c>
      <c r="BB22" s="582">
        <f>IF('Final Calculation Sheet'!$Q$40="","",'Final Calculation Sheet'!$Q$40)</f>
        <v/>
      </c>
      <c r="BD22" s="550">
        <f>IF('Final Calculation Sheet'!$Q$36="","",'Final Calculation Sheet'!$Q$36)</f>
        <v/>
      </c>
      <c r="BF22" s="578">
        <f>IF('Final Calculation Sheet'!$Q$35="","",'Final Calculation Sheet'!$Q$35)</f>
        <v/>
      </c>
      <c r="BG22" s="551">
        <f>IF('Final Calculation Sheet'!$Q$41="","",'Final Calculation Sheet'!$Q$41)</f>
        <v/>
      </c>
    </row>
    <row r="23" ht="15" customHeight="1">
      <c r="A23" s="543" t="inlineStr">
        <is>
          <t>GST TDS</t>
        </is>
      </c>
      <c r="B23" s="566">
        <f>IF('Final Calculation Sheet'!$R$6="","",'Final Calculation Sheet'!$R$6)</f>
        <v/>
      </c>
      <c r="C23" s="545">
        <f>IF('Final Calculation Sheet'!$R$7="","",'Final Calculation Sheet'!$R$7)</f>
        <v/>
      </c>
      <c r="E23" s="567">
        <f>IF('Final Calculation Sheet'!$R$15="","",'Final Calculation Sheet'!$R$15)</f>
        <v/>
      </c>
      <c r="G23" s="545">
        <f>IF('Final Calculation Sheet'!$R$5="","",'Final Calculation Sheet'!$R$5)</f>
        <v/>
      </c>
      <c r="H23" s="568">
        <f>IF('Final Calculation Sheet'!$R$10="","",'Final Calculation Sheet'!$R$10)</f>
        <v/>
      </c>
      <c r="I23" s="545">
        <f>IF('Final Calculation Sheet'!$R$11="","",'Final Calculation Sheet'!$R$11)</f>
        <v/>
      </c>
      <c r="J23" s="568">
        <f>IF('Final Calculation Sheet'!$R$12="","",'Final Calculation Sheet'!$R$12)</f>
        <v/>
      </c>
      <c r="L23" s="545">
        <f>IF('Final Calculation Sheet'!$R$9="","",'Final Calculation Sheet'!$R$9)</f>
        <v/>
      </c>
      <c r="M23" s="569">
        <f>IF('Final Calculation Sheet'!$R$14="","",'Final Calculation Sheet'!$R$14)</f>
        <v/>
      </c>
      <c r="O23" s="545">
        <f>IF('Final Calculation Sheet'!$R$13="","",'Final Calculation Sheet'!$R$13)</f>
        <v/>
      </c>
      <c r="P23" s="570">
        <f>IF('Final Calculation Sheet'!$R$16="","",'Final Calculation Sheet'!$R$16)</f>
        <v/>
      </c>
      <c r="R23" s="545">
        <f>IF('Final Calculation Sheet'!$R$27="","",'Final Calculation Sheet'!$R$27)</f>
        <v/>
      </c>
      <c r="T23" s="568">
        <f>IF('Final Calculation Sheet'!$R$18="","",'Final Calculation Sheet'!$R$18)</f>
        <v/>
      </c>
      <c r="U23" s="545">
        <f>IF('Final Calculation Sheet'!$R$19="","",'Final Calculation Sheet'!$R$19)</f>
        <v/>
      </c>
      <c r="V23" s="568">
        <f>IF('Final Calculation Sheet'!$R$22="","",'Final Calculation Sheet'!$R$22)</f>
        <v/>
      </c>
      <c r="W23" s="545">
        <f>IF('Final Calculation Sheet'!$R$24="","",'Final Calculation Sheet'!$R$24)</f>
        <v/>
      </c>
      <c r="X23" s="568">
        <f>IF('Final Calculation Sheet'!$R$26="","",'Final Calculation Sheet'!$R$26)</f>
        <v/>
      </c>
      <c r="Z23" s="545">
        <f>IF('Final Calculation Sheet'!$R$21="","",'Final Calculation Sheet'!$R$21)</f>
        <v/>
      </c>
      <c r="AB23" s="571">
        <f>IF('Final Calculation Sheet'!$R$20="","",'Final Calculation Sheet'!$R$20)</f>
        <v/>
      </c>
      <c r="AD23" s="545">
        <f>IF('Final Calculation Sheet'!$R$17="","",'Final Calculation Sheet'!$R$17)</f>
        <v/>
      </c>
      <c r="AE23" s="570">
        <f>IF('Final Calculation Sheet'!$R$23="","",'Final Calculation Sheet'!$R$23)</f>
        <v/>
      </c>
      <c r="AF23" s="545">
        <f>IF('Final Calculation Sheet'!$R$29="","",'Final Calculation Sheet'!$R$29)</f>
        <v/>
      </c>
      <c r="AH23" s="566">
        <f>IF('Final Calculation Sheet'!$R$25="","",'Final Calculation Sheet'!$R$25)</f>
        <v/>
      </c>
      <c r="AI23" s="545">
        <f>IF('Final Calculation Sheet'!$R$28="","",'Final Calculation Sheet'!$R$28)</f>
        <v/>
      </c>
      <c r="AK23" s="568">
        <f>IF('Final Calculation Sheet'!$R$30="","",'Final Calculation Sheet'!$R$30)</f>
        <v/>
      </c>
      <c r="AL23" s="545">
        <f>IF('Final Calculation Sheet'!$R$32="","",'Final Calculation Sheet'!$R$32)</f>
        <v/>
      </c>
      <c r="AM23" s="568">
        <f>IF('Final Calculation Sheet'!$R$33="","",'Final Calculation Sheet'!$R$33)</f>
        <v/>
      </c>
      <c r="AO23" s="545">
        <f>IF('Final Calculation Sheet'!$R$31="","",'Final Calculation Sheet'!$R$31)</f>
        <v/>
      </c>
      <c r="AQ23" s="570">
        <f>IF('Final Calculation Sheet'!$R$34="","",'Final Calculation Sheet'!$R$34)</f>
        <v/>
      </c>
      <c r="AS23" s="545">
        <f>IF('Final Calculation Sheet'!$R$4="","",'Final Calculation Sheet'!$R$4)</f>
        <v/>
      </c>
      <c r="AU23" s="569">
        <f>IF('Final Calculation Sheet'!$R$38="","",'Final Calculation Sheet'!$R$38)</f>
        <v/>
      </c>
      <c r="AW23" s="545">
        <f>IF('Final Calculation Sheet'!$R$37="","",'Final Calculation Sheet'!$R$37)</f>
        <v/>
      </c>
      <c r="AY23" s="571">
        <f>IF('Final Calculation Sheet'!$R$8="","",'Final Calculation Sheet'!$R$8)</f>
        <v/>
      </c>
      <c r="BA23" s="545">
        <f>IF('Final Calculation Sheet'!$R$39="","",'Final Calculation Sheet'!$R$39)</f>
        <v/>
      </c>
      <c r="BB23" s="570">
        <f>IF('Final Calculation Sheet'!$R$40="","",'Final Calculation Sheet'!$R$40)</f>
        <v/>
      </c>
      <c r="BD23" s="545">
        <f>IF('Final Calculation Sheet'!$R$36="","",'Final Calculation Sheet'!$R$36)</f>
        <v/>
      </c>
      <c r="BF23" s="566">
        <f>IF('Final Calculation Sheet'!$R$35="","",'Final Calculation Sheet'!$R$35)</f>
        <v/>
      </c>
      <c r="BG23" s="546">
        <f>IF('Final Calculation Sheet'!$R$41="","",'Final Calculation Sheet'!$R$41)</f>
        <v/>
      </c>
    </row>
    <row r="24" ht="15" customHeight="1">
      <c r="A24" s="540" t="inlineStr">
        <is>
          <t>Total Receivables in Cash</t>
        </is>
      </c>
      <c r="B24" s="566">
        <f>IF('Final Calculation Sheet'!$S$6="","",'Final Calculation Sheet'!$S$6)</f>
        <v/>
      </c>
      <c r="C24" s="545">
        <f>IF('Final Calculation Sheet'!$S$7="","",'Final Calculation Sheet'!$S$7)</f>
        <v/>
      </c>
      <c r="E24" s="567">
        <f>IF('Final Calculation Sheet'!$S$15="","",'Final Calculation Sheet'!$S$15)</f>
        <v/>
      </c>
      <c r="G24" s="545">
        <f>IF('Final Calculation Sheet'!$S$5="","",'Final Calculation Sheet'!$S$5)</f>
        <v/>
      </c>
      <c r="H24" s="568">
        <f>IF('Final Calculation Sheet'!$S$10="","",'Final Calculation Sheet'!$S$10)</f>
        <v/>
      </c>
      <c r="I24" s="545">
        <f>IF('Final Calculation Sheet'!$S$11="","",'Final Calculation Sheet'!$S$11)</f>
        <v/>
      </c>
      <c r="J24" s="568">
        <f>IF('Final Calculation Sheet'!$S$12="","",'Final Calculation Sheet'!$S$12)</f>
        <v/>
      </c>
      <c r="L24" s="545">
        <f>IF('Final Calculation Sheet'!$S$9="","",'Final Calculation Sheet'!$S$9)</f>
        <v/>
      </c>
      <c r="M24" s="569">
        <f>IF('Final Calculation Sheet'!$S$14="","",'Final Calculation Sheet'!$S$14)</f>
        <v/>
      </c>
      <c r="O24" s="545">
        <f>IF('Final Calculation Sheet'!$S$13="","",'Final Calculation Sheet'!$S$13)</f>
        <v/>
      </c>
      <c r="P24" s="570">
        <f>IF('Final Calculation Sheet'!$S$16="","",'Final Calculation Sheet'!$S$16)</f>
        <v/>
      </c>
      <c r="R24" s="545">
        <f>IF('Final Calculation Sheet'!$S$27="","",'Final Calculation Sheet'!$S$27)</f>
        <v/>
      </c>
      <c r="T24" s="568">
        <f>IF('Final Calculation Sheet'!$S$18="","",'Final Calculation Sheet'!$S$18)</f>
        <v/>
      </c>
      <c r="U24" s="545">
        <f>IF('Final Calculation Sheet'!$S$19="","",'Final Calculation Sheet'!$S$19)</f>
        <v/>
      </c>
      <c r="V24" s="568">
        <f>IF('Final Calculation Sheet'!$S$22="","",'Final Calculation Sheet'!$S$22)</f>
        <v/>
      </c>
      <c r="W24" s="545">
        <f>IF('Final Calculation Sheet'!$S$24="","",'Final Calculation Sheet'!$S$24)</f>
        <v/>
      </c>
      <c r="X24" s="568">
        <f>IF('Final Calculation Sheet'!$S$26="","",'Final Calculation Sheet'!$S$26)</f>
        <v/>
      </c>
      <c r="Z24" s="545">
        <f>IF('Final Calculation Sheet'!$S$21="","",'Final Calculation Sheet'!$S$21)</f>
        <v/>
      </c>
      <c r="AB24" s="571">
        <f>IF('Final Calculation Sheet'!$S$20="","",'Final Calculation Sheet'!$S$20)</f>
        <v/>
      </c>
      <c r="AD24" s="545">
        <f>IF('Final Calculation Sheet'!$S$17="","",'Final Calculation Sheet'!$S$17)</f>
        <v/>
      </c>
      <c r="AE24" s="570">
        <f>IF('Final Calculation Sheet'!$S$23="","",'Final Calculation Sheet'!$S$23)</f>
        <v/>
      </c>
      <c r="AF24" s="545">
        <f>IF('Final Calculation Sheet'!$S$29="","",'Final Calculation Sheet'!$S$29)</f>
        <v/>
      </c>
      <c r="AH24" s="566">
        <f>IF('Final Calculation Sheet'!$S$25="","",'Final Calculation Sheet'!$S$25)</f>
        <v/>
      </c>
      <c r="AI24" s="545">
        <f>IF('Final Calculation Sheet'!$S$28="","",'Final Calculation Sheet'!$S$28)</f>
        <v/>
      </c>
      <c r="AK24" s="568">
        <f>IF('Final Calculation Sheet'!$S$30="","",'Final Calculation Sheet'!$S$30)</f>
        <v/>
      </c>
      <c r="AL24" s="545">
        <f>IF('Final Calculation Sheet'!$S$32="","",'Final Calculation Sheet'!$S$32)</f>
        <v/>
      </c>
      <c r="AM24" s="568">
        <f>IF('Final Calculation Sheet'!$S$33="","",'Final Calculation Sheet'!$S$33)</f>
        <v/>
      </c>
      <c r="AO24" s="545">
        <f>IF('Final Calculation Sheet'!$S$31="","",'Final Calculation Sheet'!$S$31)</f>
        <v/>
      </c>
      <c r="AQ24" s="570">
        <f>IF('Final Calculation Sheet'!$S$34="","",'Final Calculation Sheet'!$S$34)</f>
        <v/>
      </c>
      <c r="AS24" s="545">
        <f>IF('Final Calculation Sheet'!$S$4="","",'Final Calculation Sheet'!$S$4)</f>
        <v/>
      </c>
      <c r="AU24" s="569">
        <f>IF('Final Calculation Sheet'!$S$38="","",'Final Calculation Sheet'!$S$38)</f>
        <v/>
      </c>
      <c r="AW24" s="545">
        <f>IF('Final Calculation Sheet'!$S$37="","",'Final Calculation Sheet'!$S$37)</f>
        <v/>
      </c>
      <c r="AY24" s="571">
        <f>IF('Final Calculation Sheet'!$S$8="","",'Final Calculation Sheet'!$S$8)</f>
        <v/>
      </c>
      <c r="BA24" s="545">
        <f>IF('Final Calculation Sheet'!$S$39="","",'Final Calculation Sheet'!$S$39)</f>
        <v/>
      </c>
      <c r="BB24" s="570">
        <f>IF('Final Calculation Sheet'!$S$40="","",'Final Calculation Sheet'!$S$40)</f>
        <v/>
      </c>
      <c r="BD24" s="545">
        <f>IF('Final Calculation Sheet'!$S$36="","",'Final Calculation Sheet'!$S$36)</f>
        <v/>
      </c>
      <c r="BF24" s="566">
        <f>IF('Final Calculation Sheet'!$S$35="","",'Final Calculation Sheet'!$S$35)</f>
        <v/>
      </c>
      <c r="BG24" s="546">
        <f>IF('Final Calculation Sheet'!$S$41="","",'Final Calculation Sheet'!$S$41)</f>
        <v/>
      </c>
    </row>
    <row r="25" ht="15" customHeight="1">
      <c r="A25" s="543" t="inlineStr">
        <is>
          <t>Security Deposit (Expected)</t>
        </is>
      </c>
      <c r="B25" s="566">
        <f>IF('Final Calculation Sheet'!$T$6="","",'Final Calculation Sheet'!$T$6)</f>
        <v/>
      </c>
      <c r="C25" s="545">
        <f>IF('Final Calculation Sheet'!$T$7="","",'Final Calculation Sheet'!$T$7)</f>
        <v/>
      </c>
      <c r="E25" s="567">
        <f>IF('Final Calculation Sheet'!$T$15="","",'Final Calculation Sheet'!$T$15)</f>
        <v/>
      </c>
      <c r="G25" s="545">
        <f>IF('Final Calculation Sheet'!$T$5="","",'Final Calculation Sheet'!$T$5)</f>
        <v/>
      </c>
      <c r="H25" s="568">
        <f>IF('Final Calculation Sheet'!$T$10="","",'Final Calculation Sheet'!$T$10)</f>
        <v/>
      </c>
      <c r="I25" s="545">
        <f>IF('Final Calculation Sheet'!$T$11="","",'Final Calculation Sheet'!$T$11)</f>
        <v/>
      </c>
      <c r="J25" s="568">
        <f>IF('Final Calculation Sheet'!$T$12="","",'Final Calculation Sheet'!$T$12)</f>
        <v/>
      </c>
      <c r="L25" s="545">
        <f>IF('Final Calculation Sheet'!$T$9="","",'Final Calculation Sheet'!$T$9)</f>
        <v/>
      </c>
      <c r="M25" s="569">
        <f>IF('Final Calculation Sheet'!$T$14="","",'Final Calculation Sheet'!$T$14)</f>
        <v/>
      </c>
      <c r="O25" s="545">
        <f>IF('Final Calculation Sheet'!$T$13="","",'Final Calculation Sheet'!$T$13)</f>
        <v/>
      </c>
      <c r="P25" s="570">
        <f>IF('Final Calculation Sheet'!$T$16="","",'Final Calculation Sheet'!$T$16)</f>
        <v/>
      </c>
      <c r="R25" s="545">
        <f>IF('Final Calculation Sheet'!$T$27="","",'Final Calculation Sheet'!$T$27)</f>
        <v/>
      </c>
      <c r="T25" s="568">
        <f>IF('Final Calculation Sheet'!$T$18="","",'Final Calculation Sheet'!$T$18)</f>
        <v/>
      </c>
      <c r="U25" s="545">
        <f>IF('Final Calculation Sheet'!$T$19="","",'Final Calculation Sheet'!$T$19)</f>
        <v/>
      </c>
      <c r="V25" s="568">
        <f>IF('Final Calculation Sheet'!$T$22="","",'Final Calculation Sheet'!$T$22)</f>
        <v/>
      </c>
      <c r="W25" s="545">
        <f>IF('Final Calculation Sheet'!$T$24="","",'Final Calculation Sheet'!$T$24)</f>
        <v/>
      </c>
      <c r="X25" s="568">
        <f>IF('Final Calculation Sheet'!$T$26="","",'Final Calculation Sheet'!$T$26)</f>
        <v/>
      </c>
      <c r="Z25" s="545">
        <f>IF('Final Calculation Sheet'!$T$21="","",'Final Calculation Sheet'!$T$21)</f>
        <v/>
      </c>
      <c r="AB25" s="571">
        <f>IF('Final Calculation Sheet'!$T$20="","",'Final Calculation Sheet'!$T$20)</f>
        <v/>
      </c>
      <c r="AD25" s="545">
        <f>IF('Final Calculation Sheet'!$T$17="","",'Final Calculation Sheet'!$T$17)</f>
        <v/>
      </c>
      <c r="AE25" s="570">
        <f>IF('Final Calculation Sheet'!$T$23="","",'Final Calculation Sheet'!$T$23)</f>
        <v/>
      </c>
      <c r="AF25" s="545">
        <f>IF('Final Calculation Sheet'!$T$29="","",'Final Calculation Sheet'!$T$29)</f>
        <v/>
      </c>
      <c r="AH25" s="566">
        <f>IF('Final Calculation Sheet'!$T$25="","",'Final Calculation Sheet'!$T$25)</f>
        <v/>
      </c>
      <c r="AI25" s="545">
        <f>IF('Final Calculation Sheet'!$T$28="","",'Final Calculation Sheet'!$T$28)</f>
        <v/>
      </c>
      <c r="AK25" s="568">
        <f>IF('Final Calculation Sheet'!$T$30="","",'Final Calculation Sheet'!$T$30)</f>
        <v/>
      </c>
      <c r="AL25" s="545">
        <f>IF('Final Calculation Sheet'!$T$32="","",'Final Calculation Sheet'!$T$32)</f>
        <v/>
      </c>
      <c r="AM25" s="568">
        <f>IF('Final Calculation Sheet'!$T$33="","",'Final Calculation Sheet'!$T$33)</f>
        <v/>
      </c>
      <c r="AO25" s="545">
        <f>IF('Final Calculation Sheet'!$T$31="","",'Final Calculation Sheet'!$T$31)</f>
        <v/>
      </c>
      <c r="AQ25" s="570">
        <f>IF('Final Calculation Sheet'!$T$34="","",'Final Calculation Sheet'!$T$34)</f>
        <v/>
      </c>
      <c r="AS25" s="545">
        <f>IF('Final Calculation Sheet'!$T$4="","",'Final Calculation Sheet'!$T$4)</f>
        <v/>
      </c>
      <c r="AU25" s="569">
        <f>IF('Final Calculation Sheet'!$T$38="","",'Final Calculation Sheet'!$T$38)</f>
        <v/>
      </c>
      <c r="AW25" s="545">
        <f>IF('Final Calculation Sheet'!$T$37="","",'Final Calculation Sheet'!$T$37)</f>
        <v/>
      </c>
      <c r="AY25" s="571">
        <f>IF('Final Calculation Sheet'!$T$8="","",'Final Calculation Sheet'!$T$8)</f>
        <v/>
      </c>
      <c r="BA25" s="545">
        <f>IF('Final Calculation Sheet'!$T$39="","",'Final Calculation Sheet'!$T$39)</f>
        <v/>
      </c>
      <c r="BB25" s="570">
        <f>IF('Final Calculation Sheet'!$T$40="","",'Final Calculation Sheet'!$T$40)</f>
        <v/>
      </c>
      <c r="BD25" s="545">
        <f>IF('Final Calculation Sheet'!$T$36="","",'Final Calculation Sheet'!$T$36)</f>
        <v/>
      </c>
      <c r="BF25" s="566">
        <f>IF('Final Calculation Sheet'!$T$35="","",'Final Calculation Sheet'!$T$35)</f>
        <v/>
      </c>
      <c r="BG25" s="546">
        <f>IF('Final Calculation Sheet'!$T$41="","",'Final Calculation Sheet'!$T$41)</f>
        <v/>
      </c>
    </row>
    <row r="26" ht="15" customHeight="1">
      <c r="A26" s="540" t="inlineStr">
        <is>
          <t>Security Deposit (Received)</t>
        </is>
      </c>
      <c r="B26" s="584">
        <f>IF('Final Calculation Sheet'!$U$6="","",'Final Calculation Sheet'!$U$6)</f>
        <v/>
      </c>
      <c r="C26" s="553">
        <f>IF('Final Calculation Sheet'!$U$7="","",'Final Calculation Sheet'!$U$7)</f>
        <v/>
      </c>
      <c r="E26" s="585">
        <f>IF('Final Calculation Sheet'!$U$15="","",'Final Calculation Sheet'!$U$15)</f>
        <v/>
      </c>
      <c r="G26" s="553">
        <f>IF('Final Calculation Sheet'!$U$5="","",'Final Calculation Sheet'!$U$5)</f>
        <v/>
      </c>
      <c r="H26" s="586">
        <f>IF('Final Calculation Sheet'!$U$10="","",'Final Calculation Sheet'!$U$10)</f>
        <v/>
      </c>
      <c r="I26" s="553">
        <f>IF('Final Calculation Sheet'!$U$11="","",'Final Calculation Sheet'!$U$11)</f>
        <v/>
      </c>
      <c r="J26" s="586">
        <f>IF('Final Calculation Sheet'!$U$12="","",'Final Calculation Sheet'!$U$12)</f>
        <v/>
      </c>
      <c r="L26" s="553">
        <f>IF('Final Calculation Sheet'!$U$9="","",'Final Calculation Sheet'!$U$9)</f>
        <v/>
      </c>
      <c r="M26" s="587">
        <f>IF('Final Calculation Sheet'!$U$14="","",'Final Calculation Sheet'!$U$14)</f>
        <v/>
      </c>
      <c r="O26" s="553">
        <f>IF('Final Calculation Sheet'!$U$13="","",'Final Calculation Sheet'!$U$13)</f>
        <v/>
      </c>
      <c r="P26" s="588">
        <f>IF('Final Calculation Sheet'!$U$16="","",'Final Calculation Sheet'!$U$16)</f>
        <v/>
      </c>
      <c r="R26" s="553">
        <f>IF('Final Calculation Sheet'!$U$27="","",'Final Calculation Sheet'!$U$27)</f>
        <v/>
      </c>
      <c r="T26" s="586">
        <f>IF('Final Calculation Sheet'!$U$18="","",'Final Calculation Sheet'!$U$18)</f>
        <v/>
      </c>
      <c r="U26" s="553">
        <f>IF('Final Calculation Sheet'!$U$19="","",'Final Calculation Sheet'!$U$19)</f>
        <v/>
      </c>
      <c r="V26" s="586">
        <f>IF('Final Calculation Sheet'!$U$22="","",'Final Calculation Sheet'!$U$22)</f>
        <v/>
      </c>
      <c r="W26" s="553">
        <f>IF('Final Calculation Sheet'!$U$24="","",'Final Calculation Sheet'!$U$24)</f>
        <v/>
      </c>
      <c r="X26" s="586">
        <f>IF('Final Calculation Sheet'!$U$26="","",'Final Calculation Sheet'!$U$26)</f>
        <v/>
      </c>
      <c r="Z26" s="553">
        <f>IF('Final Calculation Sheet'!$U$21="","",'Final Calculation Sheet'!$U$21)</f>
        <v/>
      </c>
      <c r="AB26" s="589">
        <f>IF('Final Calculation Sheet'!$U$20="","",'Final Calculation Sheet'!$U$20)</f>
        <v/>
      </c>
      <c r="AD26" s="553">
        <f>IF('Final Calculation Sheet'!$U$17="","",'Final Calculation Sheet'!$U$17)</f>
        <v/>
      </c>
      <c r="AE26" s="588">
        <f>IF('Final Calculation Sheet'!$U$23="","",'Final Calculation Sheet'!$U$23)</f>
        <v/>
      </c>
      <c r="AF26" s="553">
        <f>IF('Final Calculation Sheet'!$U$29="","",'Final Calculation Sheet'!$U$29)</f>
        <v/>
      </c>
      <c r="AH26" s="584">
        <f>IF('Final Calculation Sheet'!$U$25="","",'Final Calculation Sheet'!$U$25)</f>
        <v/>
      </c>
      <c r="AI26" s="553">
        <f>IF('Final Calculation Sheet'!$U$28="","",'Final Calculation Sheet'!$U$28)</f>
        <v/>
      </c>
      <c r="AK26" s="586">
        <f>IF('Final Calculation Sheet'!$U$30="","",'Final Calculation Sheet'!$U$30)</f>
        <v/>
      </c>
      <c r="AL26" s="553">
        <f>IF('Final Calculation Sheet'!$U$32="","",'Final Calculation Sheet'!$U$32)</f>
        <v/>
      </c>
      <c r="AM26" s="586">
        <f>IF('Final Calculation Sheet'!$U$33="","",'Final Calculation Sheet'!$U$33)</f>
        <v/>
      </c>
      <c r="AO26" s="553">
        <f>IF('Final Calculation Sheet'!$U$31="","",'Final Calculation Sheet'!$U$31)</f>
        <v/>
      </c>
      <c r="AQ26" s="588">
        <f>IF('Final Calculation Sheet'!$U$34="","",'Final Calculation Sheet'!$U$34)</f>
        <v/>
      </c>
      <c r="AS26" s="553">
        <f>IF('Final Calculation Sheet'!$U$4="","",'Final Calculation Sheet'!$U$4)</f>
        <v/>
      </c>
      <c r="AU26" s="587">
        <f>IF('Final Calculation Sheet'!$U$38="","",'Final Calculation Sheet'!$U$38)</f>
        <v/>
      </c>
      <c r="AW26" s="553">
        <f>IF('Final Calculation Sheet'!$U$37="","",'Final Calculation Sheet'!$U$37)</f>
        <v/>
      </c>
      <c r="AY26" s="589">
        <f>IF('Final Calculation Sheet'!$U$8="","",'Final Calculation Sheet'!$U$8)</f>
        <v/>
      </c>
      <c r="BA26" s="553">
        <f>IF('Final Calculation Sheet'!$U$39="","",'Final Calculation Sheet'!$U$39)</f>
        <v/>
      </c>
      <c r="BB26" s="588">
        <f>IF('Final Calculation Sheet'!$U$40="","",'Final Calculation Sheet'!$U$40)</f>
        <v/>
      </c>
      <c r="BD26" s="553">
        <f>IF('Final Calculation Sheet'!$U$36="","",'Final Calculation Sheet'!$U$36)</f>
        <v/>
      </c>
      <c r="BF26" s="584">
        <f>IF('Final Calculation Sheet'!$U$35="","",'Final Calculation Sheet'!$U$35)</f>
        <v/>
      </c>
      <c r="BG26" s="554">
        <f>IF('Final Calculation Sheet'!$U$41="","",'Final Calculation Sheet'!$U$41)</f>
        <v/>
      </c>
    </row>
    <row r="27" ht="15" customHeight="1">
      <c r="A27" s="543" t="inlineStr">
        <is>
          <t>Date of Receipt (col V)</t>
        </is>
      </c>
      <c r="B27" s="566">
        <f>IF('Final Calculation Sheet'!$V$6="","",'Final Calculation Sheet'!$V$6)</f>
        <v/>
      </c>
      <c r="C27" s="545">
        <f>IF('Final Calculation Sheet'!$V$7="","",'Final Calculation Sheet'!$V$7)</f>
        <v/>
      </c>
      <c r="E27" s="567">
        <f>IF('Final Calculation Sheet'!$V$15="","",'Final Calculation Sheet'!$V$15)</f>
        <v/>
      </c>
      <c r="G27" s="545">
        <f>IF('Final Calculation Sheet'!$V$5="","",'Final Calculation Sheet'!$V$5)</f>
        <v/>
      </c>
      <c r="H27" s="568">
        <f>IF('Final Calculation Sheet'!$V$10="","",'Final Calculation Sheet'!$V$10)</f>
        <v/>
      </c>
      <c r="I27" s="545">
        <f>IF('Final Calculation Sheet'!$V$11="","",'Final Calculation Sheet'!$V$11)</f>
        <v/>
      </c>
      <c r="J27" s="568">
        <f>IF('Final Calculation Sheet'!$V$12="","",'Final Calculation Sheet'!$V$12)</f>
        <v/>
      </c>
      <c r="L27" s="545">
        <f>IF('Final Calculation Sheet'!$V$9="","",'Final Calculation Sheet'!$V$9)</f>
        <v/>
      </c>
      <c r="M27" s="569">
        <f>IF('Final Calculation Sheet'!$V$14="","",'Final Calculation Sheet'!$V$14)</f>
        <v/>
      </c>
      <c r="O27" s="545">
        <f>IF('Final Calculation Sheet'!$V$13="","",'Final Calculation Sheet'!$V$13)</f>
        <v/>
      </c>
      <c r="P27" s="570">
        <f>IF('Final Calculation Sheet'!$V$16="","",'Final Calculation Sheet'!$V$16)</f>
        <v/>
      </c>
      <c r="R27" s="545">
        <f>IF('Final Calculation Sheet'!$V$27="","",'Final Calculation Sheet'!$V$27)</f>
        <v/>
      </c>
      <c r="T27" s="568">
        <f>IF('Final Calculation Sheet'!$V$18="","",'Final Calculation Sheet'!$V$18)</f>
        <v/>
      </c>
      <c r="U27" s="545">
        <f>IF('Final Calculation Sheet'!$V$19="","",'Final Calculation Sheet'!$V$19)</f>
        <v/>
      </c>
      <c r="V27" s="568">
        <f>IF('Final Calculation Sheet'!$V$22="","",'Final Calculation Sheet'!$V$22)</f>
        <v/>
      </c>
      <c r="W27" s="545">
        <f>IF('Final Calculation Sheet'!$V$24="","",'Final Calculation Sheet'!$V$24)</f>
        <v/>
      </c>
      <c r="X27" s="568">
        <f>IF('Final Calculation Sheet'!$V$26="","",'Final Calculation Sheet'!$V$26)</f>
        <v/>
      </c>
      <c r="Z27" s="545">
        <f>IF('Final Calculation Sheet'!$V$21="","",'Final Calculation Sheet'!$V$21)</f>
        <v/>
      </c>
      <c r="AB27" s="571">
        <f>IF('Final Calculation Sheet'!$V$20="","",'Final Calculation Sheet'!$V$20)</f>
        <v/>
      </c>
      <c r="AD27" s="545">
        <f>IF('Final Calculation Sheet'!$V$17="","",'Final Calculation Sheet'!$V$17)</f>
        <v/>
      </c>
      <c r="AE27" s="570">
        <f>IF('Final Calculation Sheet'!$V$23="","",'Final Calculation Sheet'!$V$23)</f>
        <v/>
      </c>
      <c r="AF27" s="545">
        <f>IF('Final Calculation Sheet'!$V$29="","",'Final Calculation Sheet'!$V$29)</f>
        <v/>
      </c>
      <c r="AH27" s="566">
        <f>IF('Final Calculation Sheet'!$V$25="","",'Final Calculation Sheet'!$V$25)</f>
        <v/>
      </c>
      <c r="AI27" s="545">
        <f>IF('Final Calculation Sheet'!$V$28="","",'Final Calculation Sheet'!$V$28)</f>
        <v/>
      </c>
      <c r="AK27" s="568">
        <f>IF('Final Calculation Sheet'!$V$30="","",'Final Calculation Sheet'!$V$30)</f>
        <v/>
      </c>
      <c r="AL27" s="545">
        <f>IF('Final Calculation Sheet'!$V$32="","",'Final Calculation Sheet'!$V$32)</f>
        <v/>
      </c>
      <c r="AM27" s="568">
        <f>IF('Final Calculation Sheet'!$V$33="","",'Final Calculation Sheet'!$V$33)</f>
        <v/>
      </c>
      <c r="AO27" s="545">
        <f>IF('Final Calculation Sheet'!$V$31="","",'Final Calculation Sheet'!$V$31)</f>
        <v/>
      </c>
      <c r="AQ27" s="570">
        <f>IF('Final Calculation Sheet'!$V$34="","",'Final Calculation Sheet'!$V$34)</f>
        <v/>
      </c>
      <c r="AS27" s="545">
        <f>IF('Final Calculation Sheet'!$V$4="","",'Final Calculation Sheet'!$V$4)</f>
        <v/>
      </c>
      <c r="AU27" s="569">
        <f>IF('Final Calculation Sheet'!$V$38="","",'Final Calculation Sheet'!$V$38)</f>
        <v/>
      </c>
      <c r="AW27" s="545">
        <f>IF('Final Calculation Sheet'!$V$37="","",'Final Calculation Sheet'!$V$37)</f>
        <v/>
      </c>
      <c r="AY27" s="571">
        <f>IF('Final Calculation Sheet'!$V$8="","",'Final Calculation Sheet'!$V$8)</f>
        <v/>
      </c>
      <c r="BA27" s="545">
        <f>IF('Final Calculation Sheet'!$V$39="","",'Final Calculation Sheet'!$V$39)</f>
        <v/>
      </c>
      <c r="BB27" s="570">
        <f>IF('Final Calculation Sheet'!$V$40="","",'Final Calculation Sheet'!$V$40)</f>
        <v/>
      </c>
      <c r="BD27" s="545">
        <f>IF('Final Calculation Sheet'!$V$36="","",'Final Calculation Sheet'!$V$36)</f>
        <v/>
      </c>
      <c r="BF27" s="566">
        <f>IF('Final Calculation Sheet'!$V$35="","",'Final Calculation Sheet'!$V$35)</f>
        <v/>
      </c>
      <c r="BG27" s="546">
        <f>IF('Final Calculation Sheet'!$V$41="","",'Final Calculation Sheet'!$V$41)</f>
        <v/>
      </c>
    </row>
    <row r="28" ht="15" customHeight="1">
      <c r="A28" s="540" t="inlineStr">
        <is>
          <t>Final Payment (Expected)</t>
        </is>
      </c>
      <c r="B28" s="566">
        <f>IF('Final Calculation Sheet'!$W$6="","",'Final Calculation Sheet'!$W$6)</f>
        <v/>
      </c>
      <c r="C28" s="545">
        <f>IF('Final Calculation Sheet'!$W$7="","",'Final Calculation Sheet'!$W$7)</f>
        <v/>
      </c>
      <c r="E28" s="567">
        <f>IF('Final Calculation Sheet'!$W$15="","",'Final Calculation Sheet'!$W$15)</f>
        <v/>
      </c>
      <c r="G28" s="545">
        <f>IF('Final Calculation Sheet'!$W$5="","",'Final Calculation Sheet'!$W$5)</f>
        <v/>
      </c>
      <c r="H28" s="568">
        <f>IF('Final Calculation Sheet'!$W$10="","",'Final Calculation Sheet'!$W$10)</f>
        <v/>
      </c>
      <c r="I28" s="545">
        <f>IF('Final Calculation Sheet'!$W$11="","",'Final Calculation Sheet'!$W$11)</f>
        <v/>
      </c>
      <c r="J28" s="568">
        <f>IF('Final Calculation Sheet'!$W$12="","",'Final Calculation Sheet'!$W$12)</f>
        <v/>
      </c>
      <c r="L28" s="545">
        <f>IF('Final Calculation Sheet'!$W$9="","",'Final Calculation Sheet'!$W$9)</f>
        <v/>
      </c>
      <c r="M28" s="569">
        <f>IF('Final Calculation Sheet'!$W$14="","",'Final Calculation Sheet'!$W$14)</f>
        <v/>
      </c>
      <c r="O28" s="545">
        <f>IF('Final Calculation Sheet'!$W$13="","",'Final Calculation Sheet'!$W$13)</f>
        <v/>
      </c>
      <c r="P28" s="570">
        <f>IF('Final Calculation Sheet'!$W$16="","",'Final Calculation Sheet'!$W$16)</f>
        <v/>
      </c>
      <c r="R28" s="545">
        <f>IF('Final Calculation Sheet'!$W$27="","",'Final Calculation Sheet'!$W$27)</f>
        <v/>
      </c>
      <c r="T28" s="568">
        <f>IF('Final Calculation Sheet'!$W$18="","",'Final Calculation Sheet'!$W$18)</f>
        <v/>
      </c>
      <c r="U28" s="545">
        <f>IF('Final Calculation Sheet'!$W$19="","",'Final Calculation Sheet'!$W$19)</f>
        <v/>
      </c>
      <c r="V28" s="568">
        <f>IF('Final Calculation Sheet'!$W$22="","",'Final Calculation Sheet'!$W$22)</f>
        <v/>
      </c>
      <c r="W28" s="545">
        <f>IF('Final Calculation Sheet'!$W$24="","",'Final Calculation Sheet'!$W$24)</f>
        <v/>
      </c>
      <c r="X28" s="568">
        <f>IF('Final Calculation Sheet'!$W$26="","",'Final Calculation Sheet'!$W$26)</f>
        <v/>
      </c>
      <c r="Z28" s="545">
        <f>IF('Final Calculation Sheet'!$W$21="","",'Final Calculation Sheet'!$W$21)</f>
        <v/>
      </c>
      <c r="AB28" s="571">
        <f>IF('Final Calculation Sheet'!$W$20="","",'Final Calculation Sheet'!$W$20)</f>
        <v/>
      </c>
      <c r="AD28" s="545">
        <f>IF('Final Calculation Sheet'!$W$17="","",'Final Calculation Sheet'!$W$17)</f>
        <v/>
      </c>
      <c r="AE28" s="570">
        <f>IF('Final Calculation Sheet'!$W$23="","",'Final Calculation Sheet'!$W$23)</f>
        <v/>
      </c>
      <c r="AF28" s="545">
        <f>IF('Final Calculation Sheet'!$W$29="","",'Final Calculation Sheet'!$W$29)</f>
        <v/>
      </c>
      <c r="AH28" s="566">
        <f>IF('Final Calculation Sheet'!$W$25="","",'Final Calculation Sheet'!$W$25)</f>
        <v/>
      </c>
      <c r="AI28" s="545">
        <f>IF('Final Calculation Sheet'!$W$28="","",'Final Calculation Sheet'!$W$28)</f>
        <v/>
      </c>
      <c r="AK28" s="568">
        <f>IF('Final Calculation Sheet'!$W$30="","",'Final Calculation Sheet'!$W$30)</f>
        <v/>
      </c>
      <c r="AL28" s="545">
        <f>IF('Final Calculation Sheet'!$W$32="","",'Final Calculation Sheet'!$W$32)</f>
        <v/>
      </c>
      <c r="AM28" s="568">
        <f>IF('Final Calculation Sheet'!$W$33="","",'Final Calculation Sheet'!$W$33)</f>
        <v/>
      </c>
      <c r="AO28" s="545">
        <f>IF('Final Calculation Sheet'!$W$31="","",'Final Calculation Sheet'!$W$31)</f>
        <v/>
      </c>
      <c r="AQ28" s="570">
        <f>IF('Final Calculation Sheet'!$W$34="","",'Final Calculation Sheet'!$W$34)</f>
        <v/>
      </c>
      <c r="AS28" s="545">
        <f>IF('Final Calculation Sheet'!$W$4="","",'Final Calculation Sheet'!$W$4)</f>
        <v/>
      </c>
      <c r="AU28" s="569">
        <f>IF('Final Calculation Sheet'!$W$38="","",'Final Calculation Sheet'!$W$38)</f>
        <v/>
      </c>
      <c r="AW28" s="545">
        <f>IF('Final Calculation Sheet'!$W$37="","",'Final Calculation Sheet'!$W$37)</f>
        <v/>
      </c>
      <c r="AY28" s="571">
        <f>IF('Final Calculation Sheet'!$W$8="","",'Final Calculation Sheet'!$W$8)</f>
        <v/>
      </c>
      <c r="BA28" s="545">
        <f>IF('Final Calculation Sheet'!$W$39="","",'Final Calculation Sheet'!$W$39)</f>
        <v/>
      </c>
      <c r="BB28" s="570">
        <f>IF('Final Calculation Sheet'!$W$40="","",'Final Calculation Sheet'!$W$40)</f>
        <v/>
      </c>
      <c r="BD28" s="545">
        <f>IF('Final Calculation Sheet'!$W$36="","",'Final Calculation Sheet'!$W$36)</f>
        <v/>
      </c>
      <c r="BF28" s="566">
        <f>IF('Final Calculation Sheet'!$W$35="","",'Final Calculation Sheet'!$W$35)</f>
        <v/>
      </c>
      <c r="BG28" s="546">
        <f>IF('Final Calculation Sheet'!$W$41="","",'Final Calculation Sheet'!$W$41)</f>
        <v/>
      </c>
    </row>
    <row r="29" ht="15" customHeight="1">
      <c r="A29" s="543" t="inlineStr">
        <is>
          <t>Final Payment (Received)</t>
        </is>
      </c>
      <c r="B29" s="566">
        <f>IF('Final Calculation Sheet'!$X$6="","",'Final Calculation Sheet'!$X$6)</f>
        <v/>
      </c>
      <c r="C29" s="545">
        <f>IF('Final Calculation Sheet'!$X$7="","",'Final Calculation Sheet'!$X$7)</f>
        <v/>
      </c>
      <c r="E29" s="567">
        <f>IF('Final Calculation Sheet'!$X$15="","",'Final Calculation Sheet'!$X$15)</f>
        <v/>
      </c>
      <c r="G29" s="545">
        <f>IF('Final Calculation Sheet'!$X$5="","",'Final Calculation Sheet'!$X$5)</f>
        <v/>
      </c>
      <c r="H29" s="568">
        <f>IF('Final Calculation Sheet'!$X$10="","",'Final Calculation Sheet'!$X$10)</f>
        <v/>
      </c>
      <c r="I29" s="545">
        <f>IF('Final Calculation Sheet'!$X$11="","",'Final Calculation Sheet'!$X$11)</f>
        <v/>
      </c>
      <c r="J29" s="568">
        <f>IF('Final Calculation Sheet'!$X$12="","",'Final Calculation Sheet'!$X$12)</f>
        <v/>
      </c>
      <c r="L29" s="545">
        <f>IF('Final Calculation Sheet'!$X$9="","",'Final Calculation Sheet'!$X$9)</f>
        <v/>
      </c>
      <c r="M29" s="569">
        <f>IF('Final Calculation Sheet'!$X$14="","",'Final Calculation Sheet'!$X$14)</f>
        <v/>
      </c>
      <c r="O29" s="545">
        <f>IF('Final Calculation Sheet'!$X$13="","",'Final Calculation Sheet'!$X$13)</f>
        <v/>
      </c>
      <c r="P29" s="570">
        <f>IF('Final Calculation Sheet'!$X$16="","",'Final Calculation Sheet'!$X$16)</f>
        <v/>
      </c>
      <c r="R29" s="545">
        <f>IF('Final Calculation Sheet'!$X$27="","",'Final Calculation Sheet'!$X$27)</f>
        <v/>
      </c>
      <c r="T29" s="568">
        <f>IF('Final Calculation Sheet'!$X$18="","",'Final Calculation Sheet'!$X$18)</f>
        <v/>
      </c>
      <c r="U29" s="545">
        <f>IF('Final Calculation Sheet'!$X$19="","",'Final Calculation Sheet'!$X$19)</f>
        <v/>
      </c>
      <c r="V29" s="568">
        <f>IF('Final Calculation Sheet'!$X$22="","",'Final Calculation Sheet'!$X$22)</f>
        <v/>
      </c>
      <c r="W29" s="545">
        <f>IF('Final Calculation Sheet'!$X$24="","",'Final Calculation Sheet'!$X$24)</f>
        <v/>
      </c>
      <c r="X29" s="568">
        <f>IF('Final Calculation Sheet'!$X$26="","",'Final Calculation Sheet'!$X$26)</f>
        <v/>
      </c>
      <c r="Z29" s="545">
        <f>IF('Final Calculation Sheet'!$X$21="","",'Final Calculation Sheet'!$X$21)</f>
        <v/>
      </c>
      <c r="AB29" s="571">
        <f>IF('Final Calculation Sheet'!$X$20="","",'Final Calculation Sheet'!$X$20)</f>
        <v/>
      </c>
      <c r="AD29" s="545">
        <f>IF('Final Calculation Sheet'!$X$17="","",'Final Calculation Sheet'!$X$17)</f>
        <v/>
      </c>
      <c r="AE29" s="570">
        <f>IF('Final Calculation Sheet'!$X$23="","",'Final Calculation Sheet'!$X$23)</f>
        <v/>
      </c>
      <c r="AF29" s="545">
        <f>IF('Final Calculation Sheet'!$X$29="","",'Final Calculation Sheet'!$X$29)</f>
        <v/>
      </c>
      <c r="AH29" s="566">
        <f>IF('Final Calculation Sheet'!$X$25="","",'Final Calculation Sheet'!$X$25)</f>
        <v/>
      </c>
      <c r="AI29" s="545">
        <f>IF('Final Calculation Sheet'!$X$28="","",'Final Calculation Sheet'!$X$28)</f>
        <v/>
      </c>
      <c r="AK29" s="568">
        <f>IF('Final Calculation Sheet'!$X$30="","",'Final Calculation Sheet'!$X$30)</f>
        <v/>
      </c>
      <c r="AL29" s="545">
        <f>IF('Final Calculation Sheet'!$X$32="","",'Final Calculation Sheet'!$X$32)</f>
        <v/>
      </c>
      <c r="AM29" s="568">
        <f>IF('Final Calculation Sheet'!$X$33="","",'Final Calculation Sheet'!$X$33)</f>
        <v/>
      </c>
      <c r="AO29" s="545">
        <f>IF('Final Calculation Sheet'!$X$31="","",'Final Calculation Sheet'!$X$31)</f>
        <v/>
      </c>
      <c r="AQ29" s="570">
        <f>IF('Final Calculation Sheet'!$X$34="","",'Final Calculation Sheet'!$X$34)</f>
        <v/>
      </c>
      <c r="AS29" s="545">
        <f>IF('Final Calculation Sheet'!$X$4="","",'Final Calculation Sheet'!$X$4)</f>
        <v/>
      </c>
      <c r="AU29" s="569">
        <f>IF('Final Calculation Sheet'!$X$38="","",'Final Calculation Sheet'!$X$38)</f>
        <v/>
      </c>
      <c r="AW29" s="545">
        <f>IF('Final Calculation Sheet'!$X$37="","",'Final Calculation Sheet'!$X$37)</f>
        <v/>
      </c>
      <c r="AY29" s="571">
        <f>IF('Final Calculation Sheet'!$X$8="","",'Final Calculation Sheet'!$X$8)</f>
        <v/>
      </c>
      <c r="BA29" s="545">
        <f>IF('Final Calculation Sheet'!$X$39="","",'Final Calculation Sheet'!$X$39)</f>
        <v/>
      </c>
      <c r="BB29" s="570">
        <f>IF('Final Calculation Sheet'!$X$40="","",'Final Calculation Sheet'!$X$40)</f>
        <v/>
      </c>
      <c r="BD29" s="545">
        <f>IF('Final Calculation Sheet'!$X$36="","",'Final Calculation Sheet'!$X$36)</f>
        <v/>
      </c>
      <c r="BF29" s="566">
        <f>IF('Final Calculation Sheet'!$X$35="","",'Final Calculation Sheet'!$X$35)</f>
        <v/>
      </c>
      <c r="BG29" s="546">
        <f>IF('Final Calculation Sheet'!$X$41="","",'Final Calculation Sheet'!$X$41)</f>
        <v/>
      </c>
    </row>
    <row r="30" ht="15" customHeight="1">
      <c r="A30" s="540" t="inlineStr">
        <is>
          <t>Date of Receipt (col Y)</t>
        </is>
      </c>
      <c r="B30" s="566">
        <f>IF('Final Calculation Sheet'!$Y$6="","",'Final Calculation Sheet'!$Y$6)</f>
        <v/>
      </c>
      <c r="C30" s="545">
        <f>IF('Final Calculation Sheet'!$Y$7="","",'Final Calculation Sheet'!$Y$7)</f>
        <v/>
      </c>
      <c r="E30" s="567">
        <f>IF('Final Calculation Sheet'!$Y$15="","",'Final Calculation Sheet'!$Y$15)</f>
        <v/>
      </c>
      <c r="G30" s="545">
        <f>IF('Final Calculation Sheet'!$Y$5="","",'Final Calculation Sheet'!$Y$5)</f>
        <v/>
      </c>
      <c r="H30" s="568">
        <f>IF('Final Calculation Sheet'!$Y$10="","",'Final Calculation Sheet'!$Y$10)</f>
        <v/>
      </c>
      <c r="I30" s="545">
        <f>IF('Final Calculation Sheet'!$Y$11="","",'Final Calculation Sheet'!$Y$11)</f>
        <v/>
      </c>
      <c r="J30" s="568">
        <f>IF('Final Calculation Sheet'!$Y$12="","",'Final Calculation Sheet'!$Y$12)</f>
        <v/>
      </c>
      <c r="L30" s="545">
        <f>IF('Final Calculation Sheet'!$Y$9="","",'Final Calculation Sheet'!$Y$9)</f>
        <v/>
      </c>
      <c r="M30" s="569">
        <f>IF('Final Calculation Sheet'!$Y$14="","",'Final Calculation Sheet'!$Y$14)</f>
        <v/>
      </c>
      <c r="O30" s="545">
        <f>IF('Final Calculation Sheet'!$Y$13="","",'Final Calculation Sheet'!$Y$13)</f>
        <v/>
      </c>
      <c r="P30" s="570">
        <f>IF('Final Calculation Sheet'!$Y$16="","",'Final Calculation Sheet'!$Y$16)</f>
        <v/>
      </c>
      <c r="R30" s="545">
        <f>IF('Final Calculation Sheet'!$Y$27="","",'Final Calculation Sheet'!$Y$27)</f>
        <v/>
      </c>
      <c r="T30" s="568">
        <f>IF('Final Calculation Sheet'!$Y$18="","",'Final Calculation Sheet'!$Y$18)</f>
        <v/>
      </c>
      <c r="U30" s="545">
        <f>IF('Final Calculation Sheet'!$Y$19="","",'Final Calculation Sheet'!$Y$19)</f>
        <v/>
      </c>
      <c r="V30" s="568">
        <f>IF('Final Calculation Sheet'!$Y$22="","",'Final Calculation Sheet'!$Y$22)</f>
        <v/>
      </c>
      <c r="W30" s="545">
        <f>IF('Final Calculation Sheet'!$Y$24="","",'Final Calculation Sheet'!$Y$24)</f>
        <v/>
      </c>
      <c r="X30" s="568">
        <f>IF('Final Calculation Sheet'!$Y$26="","",'Final Calculation Sheet'!$Y$26)</f>
        <v/>
      </c>
      <c r="Z30" s="545">
        <f>IF('Final Calculation Sheet'!$Y$21="","",'Final Calculation Sheet'!$Y$21)</f>
        <v/>
      </c>
      <c r="AB30" s="571">
        <f>IF('Final Calculation Sheet'!$Y$20="","",'Final Calculation Sheet'!$Y$20)</f>
        <v/>
      </c>
      <c r="AD30" s="545">
        <f>IF('Final Calculation Sheet'!$Y$17="","",'Final Calculation Sheet'!$Y$17)</f>
        <v/>
      </c>
      <c r="AE30" s="570">
        <f>IF('Final Calculation Sheet'!$Y$23="","",'Final Calculation Sheet'!$Y$23)</f>
        <v/>
      </c>
      <c r="AF30" s="545">
        <f>IF('Final Calculation Sheet'!$Y$29="","",'Final Calculation Sheet'!$Y$29)</f>
        <v/>
      </c>
      <c r="AH30" s="566">
        <f>IF('Final Calculation Sheet'!$Y$25="","",'Final Calculation Sheet'!$Y$25)</f>
        <v/>
      </c>
      <c r="AI30" s="545">
        <f>IF('Final Calculation Sheet'!$Y$28="","",'Final Calculation Sheet'!$Y$28)</f>
        <v/>
      </c>
      <c r="AK30" s="568">
        <f>IF('Final Calculation Sheet'!$Y$30="","",'Final Calculation Sheet'!$Y$30)</f>
        <v/>
      </c>
      <c r="AL30" s="545">
        <f>IF('Final Calculation Sheet'!$Y$32="","",'Final Calculation Sheet'!$Y$32)</f>
        <v/>
      </c>
      <c r="AM30" s="568">
        <f>IF('Final Calculation Sheet'!$Y$33="","",'Final Calculation Sheet'!$Y$33)</f>
        <v/>
      </c>
      <c r="AO30" s="545">
        <f>IF('Final Calculation Sheet'!$Y$31="","",'Final Calculation Sheet'!$Y$31)</f>
        <v/>
      </c>
      <c r="AQ30" s="570">
        <f>IF('Final Calculation Sheet'!$Y$34="","",'Final Calculation Sheet'!$Y$34)</f>
        <v/>
      </c>
      <c r="AS30" s="545">
        <f>IF('Final Calculation Sheet'!$Y$4="","",'Final Calculation Sheet'!$Y$4)</f>
        <v/>
      </c>
      <c r="AU30" s="569">
        <f>IF('Final Calculation Sheet'!$Y$38="","",'Final Calculation Sheet'!$Y$38)</f>
        <v/>
      </c>
      <c r="AW30" s="545">
        <f>IF('Final Calculation Sheet'!$Y$37="","",'Final Calculation Sheet'!$Y$37)</f>
        <v/>
      </c>
      <c r="AY30" s="571">
        <f>IF('Final Calculation Sheet'!$Y$8="","",'Final Calculation Sheet'!$Y$8)</f>
        <v/>
      </c>
      <c r="BA30" s="545">
        <f>IF('Final Calculation Sheet'!$Y$39="","",'Final Calculation Sheet'!$Y$39)</f>
        <v/>
      </c>
      <c r="BB30" s="570">
        <f>IF('Final Calculation Sheet'!$Y$40="","",'Final Calculation Sheet'!$Y$40)</f>
        <v/>
      </c>
      <c r="BD30" s="545">
        <f>IF('Final Calculation Sheet'!$Y$36="","",'Final Calculation Sheet'!$Y$36)</f>
        <v/>
      </c>
      <c r="BF30" s="566">
        <f>IF('Final Calculation Sheet'!$Y$35="","",'Final Calculation Sheet'!$Y$35)</f>
        <v/>
      </c>
      <c r="BG30" s="546">
        <f>IF('Final Calculation Sheet'!$Y$41="","",'Final Calculation Sheet'!$Y$41)</f>
        <v/>
      </c>
    </row>
    <row r="31" ht="15" customHeight="1">
      <c r="A31" s="543" t="inlineStr">
        <is>
          <t>LPP Expected</t>
        </is>
      </c>
      <c r="B31" s="566">
        <f>IF('Final Calculation Sheet'!$Z$6="","",'Final Calculation Sheet'!$Z$6)</f>
        <v/>
      </c>
      <c r="C31" s="545">
        <f>IF('Final Calculation Sheet'!$Z$7="","",'Final Calculation Sheet'!$Z$7)</f>
        <v/>
      </c>
      <c r="E31" s="567">
        <f>IF('Final Calculation Sheet'!$Z$15="","",'Final Calculation Sheet'!$Z$15)</f>
        <v/>
      </c>
      <c r="G31" s="545">
        <f>IF('Final Calculation Sheet'!$Z$5="","",'Final Calculation Sheet'!$Z$5)</f>
        <v/>
      </c>
      <c r="H31" s="568">
        <f>IF('Final Calculation Sheet'!$Z$10="","",'Final Calculation Sheet'!$Z$10)</f>
        <v/>
      </c>
      <c r="I31" s="545">
        <f>IF('Final Calculation Sheet'!$Z$11="","",'Final Calculation Sheet'!$Z$11)</f>
        <v/>
      </c>
      <c r="J31" s="568">
        <f>IF('Final Calculation Sheet'!$Z$12="","",'Final Calculation Sheet'!$Z$12)</f>
        <v/>
      </c>
      <c r="L31" s="545">
        <f>IF('Final Calculation Sheet'!$Z$9="","",'Final Calculation Sheet'!$Z$9)</f>
        <v/>
      </c>
      <c r="M31" s="569">
        <f>IF('Final Calculation Sheet'!$Z$14="","",'Final Calculation Sheet'!$Z$14)</f>
        <v/>
      </c>
      <c r="O31" s="545">
        <f>IF('Final Calculation Sheet'!$Z$13="","",'Final Calculation Sheet'!$Z$13)</f>
        <v/>
      </c>
      <c r="P31" s="570">
        <f>IF('Final Calculation Sheet'!$Z$16="","",'Final Calculation Sheet'!$Z$16)</f>
        <v/>
      </c>
      <c r="R31" s="545">
        <f>IF('Final Calculation Sheet'!$Z$27="","",'Final Calculation Sheet'!$Z$27)</f>
        <v/>
      </c>
      <c r="T31" s="568">
        <f>IF('Final Calculation Sheet'!$Z$18="","",'Final Calculation Sheet'!$Z$18)</f>
        <v/>
      </c>
      <c r="U31" s="545">
        <f>IF('Final Calculation Sheet'!$Z$19="","",'Final Calculation Sheet'!$Z$19)</f>
        <v/>
      </c>
      <c r="V31" s="568">
        <f>IF('Final Calculation Sheet'!$Z$22="","",'Final Calculation Sheet'!$Z$22)</f>
        <v/>
      </c>
      <c r="W31" s="545">
        <f>IF('Final Calculation Sheet'!$Z$24="","",'Final Calculation Sheet'!$Z$24)</f>
        <v/>
      </c>
      <c r="X31" s="568">
        <f>IF('Final Calculation Sheet'!$Z$26="","",'Final Calculation Sheet'!$Z$26)</f>
        <v/>
      </c>
      <c r="Z31" s="545">
        <f>IF('Final Calculation Sheet'!$Z$21="","",'Final Calculation Sheet'!$Z$21)</f>
        <v/>
      </c>
      <c r="AB31" s="571">
        <f>IF('Final Calculation Sheet'!$Z$20="","",'Final Calculation Sheet'!$Z$20)</f>
        <v/>
      </c>
      <c r="AD31" s="545">
        <f>IF('Final Calculation Sheet'!$Z$17="","",'Final Calculation Sheet'!$Z$17)</f>
        <v/>
      </c>
      <c r="AE31" s="570">
        <f>IF('Final Calculation Sheet'!$Z$23="","",'Final Calculation Sheet'!$Z$23)</f>
        <v/>
      </c>
      <c r="AF31" s="545">
        <f>IF('Final Calculation Sheet'!$Z$29="","",'Final Calculation Sheet'!$Z$29)</f>
        <v/>
      </c>
      <c r="AH31" s="566">
        <f>IF('Final Calculation Sheet'!$Z$25="","",'Final Calculation Sheet'!$Z$25)</f>
        <v/>
      </c>
      <c r="AI31" s="545">
        <f>IF('Final Calculation Sheet'!$Z$28="","",'Final Calculation Sheet'!$Z$28)</f>
        <v/>
      </c>
      <c r="AK31" s="568">
        <f>IF('Final Calculation Sheet'!$Z$30="","",'Final Calculation Sheet'!$Z$30)</f>
        <v/>
      </c>
      <c r="AL31" s="545">
        <f>IF('Final Calculation Sheet'!$Z$32="","",'Final Calculation Sheet'!$Z$32)</f>
        <v/>
      </c>
      <c r="AM31" s="568">
        <f>IF('Final Calculation Sheet'!$Z$33="","",'Final Calculation Sheet'!$Z$33)</f>
        <v/>
      </c>
      <c r="AO31" s="545">
        <f>IF('Final Calculation Sheet'!$Z$31="","",'Final Calculation Sheet'!$Z$31)</f>
        <v/>
      </c>
      <c r="AQ31" s="570">
        <f>IF('Final Calculation Sheet'!$Z$34="","",'Final Calculation Sheet'!$Z$34)</f>
        <v/>
      </c>
      <c r="AS31" s="545">
        <f>IF('Final Calculation Sheet'!$Z$4="","",'Final Calculation Sheet'!$Z$4)</f>
        <v/>
      </c>
      <c r="AU31" s="569">
        <f>IF('Final Calculation Sheet'!$Z$38="","",'Final Calculation Sheet'!$Z$38)</f>
        <v/>
      </c>
      <c r="AW31" s="545">
        <f>IF('Final Calculation Sheet'!$Z$37="","",'Final Calculation Sheet'!$Z$37)</f>
        <v/>
      </c>
      <c r="AY31" s="571">
        <f>IF('Final Calculation Sheet'!$Z$8="","",'Final Calculation Sheet'!$Z$8)</f>
        <v/>
      </c>
      <c r="BA31" s="545">
        <f>IF('Final Calculation Sheet'!$Z$39="","",'Final Calculation Sheet'!$Z$39)</f>
        <v/>
      </c>
      <c r="BB31" s="570">
        <f>IF('Final Calculation Sheet'!$Z$40="","",'Final Calculation Sheet'!$Z$40)</f>
        <v/>
      </c>
      <c r="BD31" s="545">
        <f>IF('Final Calculation Sheet'!$Z$36="","",'Final Calculation Sheet'!$Z$36)</f>
        <v/>
      </c>
      <c r="BF31" s="566">
        <f>IF('Final Calculation Sheet'!$Z$35="","",'Final Calculation Sheet'!$Z$35)</f>
        <v/>
      </c>
      <c r="BG31" s="546">
        <f>IF('Final Calculation Sheet'!$Z$41="","",'Final Calculation Sheet'!$Z$41)</f>
        <v/>
      </c>
    </row>
    <row r="32" ht="15" customHeight="1">
      <c r="A32" s="540" t="inlineStr">
        <is>
          <t>LPP Received</t>
        </is>
      </c>
      <c r="B32" s="566">
        <f>IF('Final Calculation Sheet'!$AA$6="","",'Final Calculation Sheet'!$AA$6)</f>
        <v/>
      </c>
      <c r="C32" s="545">
        <f>IF('Final Calculation Sheet'!$AA$7="","",'Final Calculation Sheet'!$AA$7)</f>
        <v/>
      </c>
      <c r="E32" s="567">
        <f>IF('Final Calculation Sheet'!$AA$15="","",'Final Calculation Sheet'!$AA$15)</f>
        <v/>
      </c>
      <c r="G32" s="545">
        <f>IF('Final Calculation Sheet'!$AA$5="","",'Final Calculation Sheet'!$AA$5)</f>
        <v/>
      </c>
      <c r="H32" s="568">
        <f>IF('Final Calculation Sheet'!$AA$10="","",'Final Calculation Sheet'!$AA$10)</f>
        <v/>
      </c>
      <c r="I32" s="545">
        <f>IF('Final Calculation Sheet'!$AA$11="","",'Final Calculation Sheet'!$AA$11)</f>
        <v/>
      </c>
      <c r="J32" s="568">
        <f>IF('Final Calculation Sheet'!$AA$12="","",'Final Calculation Sheet'!$AA$12)</f>
        <v/>
      </c>
      <c r="L32" s="545">
        <f>IF('Final Calculation Sheet'!$AA$9="","",'Final Calculation Sheet'!$AA$9)</f>
        <v/>
      </c>
      <c r="M32" s="569">
        <f>IF('Final Calculation Sheet'!$AA$14="","",'Final Calculation Sheet'!$AA$14)</f>
        <v/>
      </c>
      <c r="O32" s="545">
        <f>IF('Final Calculation Sheet'!$AA$13="","",'Final Calculation Sheet'!$AA$13)</f>
        <v/>
      </c>
      <c r="P32" s="570">
        <f>IF('Final Calculation Sheet'!$AA$16="","",'Final Calculation Sheet'!$AA$16)</f>
        <v/>
      </c>
      <c r="R32" s="545">
        <f>IF('Final Calculation Sheet'!$AA$27="","",'Final Calculation Sheet'!$AA$27)</f>
        <v/>
      </c>
      <c r="T32" s="568">
        <f>IF('Final Calculation Sheet'!$AA$18="","",'Final Calculation Sheet'!$AA$18)</f>
        <v/>
      </c>
      <c r="U32" s="545">
        <f>IF('Final Calculation Sheet'!$AA$19="","",'Final Calculation Sheet'!$AA$19)</f>
        <v/>
      </c>
      <c r="V32" s="568">
        <f>IF('Final Calculation Sheet'!$AA$22="","",'Final Calculation Sheet'!$AA$22)</f>
        <v/>
      </c>
      <c r="W32" s="545">
        <f>IF('Final Calculation Sheet'!$AA$24="","",'Final Calculation Sheet'!$AA$24)</f>
        <v/>
      </c>
      <c r="X32" s="568">
        <f>IF('Final Calculation Sheet'!$AA$26="","",'Final Calculation Sheet'!$AA$26)</f>
        <v/>
      </c>
      <c r="Z32" s="545">
        <f>IF('Final Calculation Sheet'!$AA$21="","",'Final Calculation Sheet'!$AA$21)</f>
        <v/>
      </c>
      <c r="AB32" s="571">
        <f>IF('Final Calculation Sheet'!$AA$20="","",'Final Calculation Sheet'!$AA$20)</f>
        <v/>
      </c>
      <c r="AD32" s="545">
        <f>IF('Final Calculation Sheet'!$AA$17="","",'Final Calculation Sheet'!$AA$17)</f>
        <v/>
      </c>
      <c r="AE32" s="570">
        <f>IF('Final Calculation Sheet'!$AA$23="","",'Final Calculation Sheet'!$AA$23)</f>
        <v/>
      </c>
      <c r="AF32" s="545">
        <f>IF('Final Calculation Sheet'!$AA$29="","",'Final Calculation Sheet'!$AA$29)</f>
        <v/>
      </c>
      <c r="AH32" s="566">
        <f>IF('Final Calculation Sheet'!$AA$25="","",'Final Calculation Sheet'!$AA$25)</f>
        <v/>
      </c>
      <c r="AI32" s="545">
        <f>IF('Final Calculation Sheet'!$AA$28="","",'Final Calculation Sheet'!$AA$28)</f>
        <v/>
      </c>
      <c r="AK32" s="568">
        <f>IF('Final Calculation Sheet'!$AA$30="","",'Final Calculation Sheet'!$AA$30)</f>
        <v/>
      </c>
      <c r="AL32" s="545">
        <f>IF('Final Calculation Sheet'!$AA$32="","",'Final Calculation Sheet'!$AA$32)</f>
        <v/>
      </c>
      <c r="AM32" s="568">
        <f>IF('Final Calculation Sheet'!$AA$33="","",'Final Calculation Sheet'!$AA$33)</f>
        <v/>
      </c>
      <c r="AO32" s="545">
        <f>IF('Final Calculation Sheet'!$AA$31="","",'Final Calculation Sheet'!$AA$31)</f>
        <v/>
      </c>
      <c r="AQ32" s="570">
        <f>IF('Final Calculation Sheet'!$AA$34="","",'Final Calculation Sheet'!$AA$34)</f>
        <v/>
      </c>
      <c r="AS32" s="545">
        <f>IF('Final Calculation Sheet'!$AA$4="","",'Final Calculation Sheet'!$AA$4)</f>
        <v/>
      </c>
      <c r="AU32" s="569">
        <f>IF('Final Calculation Sheet'!$AA$38="","",'Final Calculation Sheet'!$AA$38)</f>
        <v/>
      </c>
      <c r="AW32" s="545">
        <f>IF('Final Calculation Sheet'!$AA$37="","",'Final Calculation Sheet'!$AA$37)</f>
        <v/>
      </c>
      <c r="AY32" s="571">
        <f>IF('Final Calculation Sheet'!$AA$8="","",'Final Calculation Sheet'!$AA$8)</f>
        <v/>
      </c>
      <c r="BA32" s="545">
        <f>IF('Final Calculation Sheet'!$AA$39="","",'Final Calculation Sheet'!$AA$39)</f>
        <v/>
      </c>
      <c r="BB32" s="570">
        <f>IF('Final Calculation Sheet'!$AA$40="","",'Final Calculation Sheet'!$AA$40)</f>
        <v/>
      </c>
      <c r="BD32" s="545">
        <f>IF('Final Calculation Sheet'!$AA$36="","",'Final Calculation Sheet'!$AA$36)</f>
        <v/>
      </c>
      <c r="BF32" s="566">
        <f>IF('Final Calculation Sheet'!$AA$35="","",'Final Calculation Sheet'!$AA$35)</f>
        <v/>
      </c>
      <c r="BG32" s="546">
        <f>IF('Final Calculation Sheet'!$AA$41="","",'Final Calculation Sheet'!$AA$41)</f>
        <v/>
      </c>
    </row>
    <row r="33" ht="15" customHeight="1">
      <c r="A33" s="543" t="inlineStr">
        <is>
          <t>Date of Recepit of LPP</t>
        </is>
      </c>
      <c r="B33" s="566">
        <f>IF('Final Calculation Sheet'!$AB$6="","",'Final Calculation Sheet'!$AB$6)</f>
        <v/>
      </c>
      <c r="C33" s="545">
        <f>IF('Final Calculation Sheet'!$AB$7="","",'Final Calculation Sheet'!$AB$7)</f>
        <v/>
      </c>
      <c r="E33" s="567">
        <f>IF('Final Calculation Sheet'!$AB$15="","",'Final Calculation Sheet'!$AB$15)</f>
        <v/>
      </c>
      <c r="G33" s="545">
        <f>IF('Final Calculation Sheet'!$AB$5="","",'Final Calculation Sheet'!$AB$5)</f>
        <v/>
      </c>
      <c r="H33" s="568">
        <f>IF('Final Calculation Sheet'!$AB$10="","",'Final Calculation Sheet'!$AB$10)</f>
        <v/>
      </c>
      <c r="I33" s="545">
        <f>IF('Final Calculation Sheet'!$AB$11="","",'Final Calculation Sheet'!$AB$11)</f>
        <v/>
      </c>
      <c r="J33" s="568">
        <f>IF('Final Calculation Sheet'!$AB$12="","",'Final Calculation Sheet'!$AB$12)</f>
        <v/>
      </c>
      <c r="L33" s="545">
        <f>IF('Final Calculation Sheet'!$AB$9="","",'Final Calculation Sheet'!$AB$9)</f>
        <v/>
      </c>
      <c r="M33" s="569">
        <f>IF('Final Calculation Sheet'!$AB$14="","",'Final Calculation Sheet'!$AB$14)</f>
        <v/>
      </c>
      <c r="O33" s="545">
        <f>IF('Final Calculation Sheet'!$AB$13="","",'Final Calculation Sheet'!$AB$13)</f>
        <v/>
      </c>
      <c r="P33" s="570">
        <f>IF('Final Calculation Sheet'!$AB$16="","",'Final Calculation Sheet'!$AB$16)</f>
        <v/>
      </c>
      <c r="R33" s="545">
        <f>IF('Final Calculation Sheet'!$AB$27="","",'Final Calculation Sheet'!$AB$27)</f>
        <v/>
      </c>
      <c r="T33" s="568">
        <f>IF('Final Calculation Sheet'!$AB$18="","",'Final Calculation Sheet'!$AB$18)</f>
        <v/>
      </c>
      <c r="U33" s="545">
        <f>IF('Final Calculation Sheet'!$AB$19="","",'Final Calculation Sheet'!$AB$19)</f>
        <v/>
      </c>
      <c r="V33" s="568">
        <f>IF('Final Calculation Sheet'!$AB$22="","",'Final Calculation Sheet'!$AB$22)</f>
        <v/>
      </c>
      <c r="W33" s="545">
        <f>IF('Final Calculation Sheet'!$AB$24="","",'Final Calculation Sheet'!$AB$24)</f>
        <v/>
      </c>
      <c r="X33" s="568">
        <f>IF('Final Calculation Sheet'!$AB$26="","",'Final Calculation Sheet'!$AB$26)</f>
        <v/>
      </c>
      <c r="Z33" s="545">
        <f>IF('Final Calculation Sheet'!$AB$21="","",'Final Calculation Sheet'!$AB$21)</f>
        <v/>
      </c>
      <c r="AB33" s="571">
        <f>IF('Final Calculation Sheet'!$AB$20="","",'Final Calculation Sheet'!$AB$20)</f>
        <v/>
      </c>
      <c r="AD33" s="545">
        <f>IF('Final Calculation Sheet'!$AB$17="","",'Final Calculation Sheet'!$AB$17)</f>
        <v/>
      </c>
      <c r="AE33" s="570">
        <f>IF('Final Calculation Sheet'!$AB$23="","",'Final Calculation Sheet'!$AB$23)</f>
        <v/>
      </c>
      <c r="AF33" s="545">
        <f>IF('Final Calculation Sheet'!$AB$29="","",'Final Calculation Sheet'!$AB$29)</f>
        <v/>
      </c>
      <c r="AH33" s="566">
        <f>IF('Final Calculation Sheet'!$AB$25="","",'Final Calculation Sheet'!$AB$25)</f>
        <v/>
      </c>
      <c r="AI33" s="545">
        <f>IF('Final Calculation Sheet'!$AB$28="","",'Final Calculation Sheet'!$AB$28)</f>
        <v/>
      </c>
      <c r="AK33" s="568">
        <f>IF('Final Calculation Sheet'!$AB$30="","",'Final Calculation Sheet'!$AB$30)</f>
        <v/>
      </c>
      <c r="AL33" s="545">
        <f>IF('Final Calculation Sheet'!$AB$32="","",'Final Calculation Sheet'!$AB$32)</f>
        <v/>
      </c>
      <c r="AM33" s="568">
        <f>IF('Final Calculation Sheet'!$AB$33="","",'Final Calculation Sheet'!$AB$33)</f>
        <v/>
      </c>
      <c r="AO33" s="545">
        <f>IF('Final Calculation Sheet'!$AB$31="","",'Final Calculation Sheet'!$AB$31)</f>
        <v/>
      </c>
      <c r="AQ33" s="570">
        <f>IF('Final Calculation Sheet'!$AB$34="","",'Final Calculation Sheet'!$AB$34)</f>
        <v/>
      </c>
      <c r="AS33" s="545">
        <f>IF('Final Calculation Sheet'!$AB$4="","",'Final Calculation Sheet'!$AB$4)</f>
        <v/>
      </c>
      <c r="AU33" s="569">
        <f>IF('Final Calculation Sheet'!$AB$38="","",'Final Calculation Sheet'!$AB$38)</f>
        <v/>
      </c>
      <c r="AW33" s="545">
        <f>IF('Final Calculation Sheet'!$AB$37="","",'Final Calculation Sheet'!$AB$37)</f>
        <v/>
      </c>
      <c r="AY33" s="571">
        <f>IF('Final Calculation Sheet'!$AB$8="","",'Final Calculation Sheet'!$AB$8)</f>
        <v/>
      </c>
      <c r="BA33" s="545">
        <f>IF('Final Calculation Sheet'!$AB$39="","",'Final Calculation Sheet'!$AB$39)</f>
        <v/>
      </c>
      <c r="BB33" s="570">
        <f>IF('Final Calculation Sheet'!$AB$40="","",'Final Calculation Sheet'!$AB$40)</f>
        <v/>
      </c>
      <c r="BD33" s="545">
        <f>IF('Final Calculation Sheet'!$AB$36="","",'Final Calculation Sheet'!$AB$36)</f>
        <v/>
      </c>
      <c r="BF33" s="566">
        <f>IF('Final Calculation Sheet'!$AB$35="","",'Final Calculation Sheet'!$AB$35)</f>
        <v/>
      </c>
      <c r="BG33" s="546">
        <f>IF('Final Calculation Sheet'!$AB$41="","",'Final Calculation Sheet'!$AB$41)</f>
        <v/>
      </c>
    </row>
    <row r="34" ht="15" customHeight="1">
      <c r="A34" s="540" t="inlineStr">
        <is>
          <t>Total Received</t>
        </is>
      </c>
      <c r="B34" s="566">
        <f>IF('Final Calculation Sheet'!$AC$6="","",'Final Calculation Sheet'!$AC$6)</f>
        <v/>
      </c>
      <c r="C34" s="545">
        <f>IF('Final Calculation Sheet'!$AC$7="","",'Final Calculation Sheet'!$AC$7)</f>
        <v/>
      </c>
      <c r="E34" s="567">
        <f>IF('Final Calculation Sheet'!$AC$15="","",'Final Calculation Sheet'!$AC$15)</f>
        <v/>
      </c>
      <c r="G34" s="545">
        <f>IF('Final Calculation Sheet'!$AC$5="","",'Final Calculation Sheet'!$AC$5)</f>
        <v/>
      </c>
      <c r="H34" s="568">
        <f>IF('Final Calculation Sheet'!$AC$10="","",'Final Calculation Sheet'!$AC$10)</f>
        <v/>
      </c>
      <c r="I34" s="545">
        <f>IF('Final Calculation Sheet'!$AC$11="","",'Final Calculation Sheet'!$AC$11)</f>
        <v/>
      </c>
      <c r="J34" s="568">
        <f>IF('Final Calculation Sheet'!$AC$12="","",'Final Calculation Sheet'!$AC$12)</f>
        <v/>
      </c>
      <c r="L34" s="545">
        <f>IF('Final Calculation Sheet'!$AC$9="","",'Final Calculation Sheet'!$AC$9)</f>
        <v/>
      </c>
      <c r="M34" s="569">
        <f>IF('Final Calculation Sheet'!$AC$14="","",'Final Calculation Sheet'!$AC$14)</f>
        <v/>
      </c>
      <c r="O34" s="545">
        <f>IF('Final Calculation Sheet'!$AC$13="","",'Final Calculation Sheet'!$AC$13)</f>
        <v/>
      </c>
      <c r="P34" s="570">
        <f>IF('Final Calculation Sheet'!$AC$16="","",'Final Calculation Sheet'!$AC$16)</f>
        <v/>
      </c>
      <c r="R34" s="545">
        <f>IF('Final Calculation Sheet'!$AC$27="","",'Final Calculation Sheet'!$AC$27)</f>
        <v/>
      </c>
      <c r="T34" s="568">
        <f>IF('Final Calculation Sheet'!$AC$18="","",'Final Calculation Sheet'!$AC$18)</f>
        <v/>
      </c>
      <c r="U34" s="545">
        <f>IF('Final Calculation Sheet'!$AC$19="","",'Final Calculation Sheet'!$AC$19)</f>
        <v/>
      </c>
      <c r="V34" s="568">
        <f>IF('Final Calculation Sheet'!$AC$22="","",'Final Calculation Sheet'!$AC$22)</f>
        <v/>
      </c>
      <c r="W34" s="545">
        <f>IF('Final Calculation Sheet'!$AC$24="","",'Final Calculation Sheet'!$AC$24)</f>
        <v/>
      </c>
      <c r="X34" s="568">
        <f>IF('Final Calculation Sheet'!$AC$26="","",'Final Calculation Sheet'!$AC$26)</f>
        <v/>
      </c>
      <c r="Z34" s="545">
        <f>IF('Final Calculation Sheet'!$AC$21="","",'Final Calculation Sheet'!$AC$21)</f>
        <v/>
      </c>
      <c r="AB34" s="571">
        <f>IF('Final Calculation Sheet'!$AC$20="","",'Final Calculation Sheet'!$AC$20)</f>
        <v/>
      </c>
      <c r="AD34" s="545">
        <f>IF('Final Calculation Sheet'!$AC$17="","",'Final Calculation Sheet'!$AC$17)</f>
        <v/>
      </c>
      <c r="AE34" s="570">
        <f>IF('Final Calculation Sheet'!$AC$23="","",'Final Calculation Sheet'!$AC$23)</f>
        <v/>
      </c>
      <c r="AF34" s="545">
        <f>IF('Final Calculation Sheet'!$AC$29="","",'Final Calculation Sheet'!$AC$29)</f>
        <v/>
      </c>
      <c r="AH34" s="566">
        <f>IF('Final Calculation Sheet'!$AC$25="","",'Final Calculation Sheet'!$AC$25)</f>
        <v/>
      </c>
      <c r="AI34" s="545">
        <f>IF('Final Calculation Sheet'!$AC$28="","",'Final Calculation Sheet'!$AC$28)</f>
        <v/>
      </c>
      <c r="AK34" s="568">
        <f>IF('Final Calculation Sheet'!$AC$30="","",'Final Calculation Sheet'!$AC$30)</f>
        <v/>
      </c>
      <c r="AL34" s="545">
        <f>IF('Final Calculation Sheet'!$AC$32="","",'Final Calculation Sheet'!$AC$32)</f>
        <v/>
      </c>
      <c r="AM34" s="568">
        <f>IF('Final Calculation Sheet'!$AC$33="","",'Final Calculation Sheet'!$AC$33)</f>
        <v/>
      </c>
      <c r="AO34" s="545">
        <f>IF('Final Calculation Sheet'!$AC$31="","",'Final Calculation Sheet'!$AC$31)</f>
        <v/>
      </c>
      <c r="AQ34" s="570">
        <f>IF('Final Calculation Sheet'!$AC$34="","",'Final Calculation Sheet'!$AC$34)</f>
        <v/>
      </c>
      <c r="AS34" s="545">
        <f>IF('Final Calculation Sheet'!$AC$4="","",'Final Calculation Sheet'!$AC$4)</f>
        <v/>
      </c>
      <c r="AU34" s="569">
        <f>IF('Final Calculation Sheet'!$AC$38="","",'Final Calculation Sheet'!$AC$38)</f>
        <v/>
      </c>
      <c r="AW34" s="545">
        <f>IF('Final Calculation Sheet'!$AC$37="","",'Final Calculation Sheet'!$AC$37)</f>
        <v/>
      </c>
      <c r="AY34" s="571">
        <f>IF('Final Calculation Sheet'!$AC$8="","",'Final Calculation Sheet'!$AC$8)</f>
        <v/>
      </c>
      <c r="BA34" s="545">
        <f>IF('Final Calculation Sheet'!$AC$39="","",'Final Calculation Sheet'!$AC$39)</f>
        <v/>
      </c>
      <c r="BB34" s="570">
        <f>IF('Final Calculation Sheet'!$AC$40="","",'Final Calculation Sheet'!$AC$40)</f>
        <v/>
      </c>
      <c r="BD34" s="545">
        <f>IF('Final Calculation Sheet'!$AC$36="","",'Final Calculation Sheet'!$AC$36)</f>
        <v/>
      </c>
      <c r="BF34" s="566">
        <f>IF('Final Calculation Sheet'!$AC$35="","",'Final Calculation Sheet'!$AC$35)</f>
        <v/>
      </c>
      <c r="BG34" s="546">
        <f>IF('Final Calculation Sheet'!$AC$41="","",'Final Calculation Sheet'!$AC$41)</f>
        <v/>
      </c>
    </row>
    <row r="35" ht="15" customHeight="1">
      <c r="A35" s="543" t="inlineStr">
        <is>
          <t>Outstanding</t>
        </is>
      </c>
      <c r="B35" s="566">
        <f>IF('Final Calculation Sheet'!$AD$6="","",'Final Calculation Sheet'!$AD$6)</f>
        <v/>
      </c>
      <c r="C35" s="545">
        <f>IF('Final Calculation Sheet'!$AD$7="","",'Final Calculation Sheet'!$AD$7)</f>
        <v/>
      </c>
      <c r="E35" s="567">
        <f>IF('Final Calculation Sheet'!$AD$15="","",'Final Calculation Sheet'!$AD$15)</f>
        <v/>
      </c>
      <c r="G35" s="545">
        <f>IF('Final Calculation Sheet'!$AD$5="","",'Final Calculation Sheet'!$AD$5)</f>
        <v/>
      </c>
      <c r="H35" s="568">
        <f>IF('Final Calculation Sheet'!$AD$10="","",'Final Calculation Sheet'!$AD$10)</f>
        <v/>
      </c>
      <c r="I35" s="545">
        <f>IF('Final Calculation Sheet'!$AD$11="","",'Final Calculation Sheet'!$AD$11)</f>
        <v/>
      </c>
      <c r="J35" s="568">
        <f>IF('Final Calculation Sheet'!$AD$12="","",'Final Calculation Sheet'!$AD$12)</f>
        <v/>
      </c>
      <c r="L35" s="545">
        <f>IF('Final Calculation Sheet'!$AD$9="","",'Final Calculation Sheet'!$AD$9)</f>
        <v/>
      </c>
      <c r="M35" s="569">
        <f>IF('Final Calculation Sheet'!$AD$14="","",'Final Calculation Sheet'!$AD$14)</f>
        <v/>
      </c>
      <c r="O35" s="545">
        <f>IF('Final Calculation Sheet'!$AD$13="","",'Final Calculation Sheet'!$AD$13)</f>
        <v/>
      </c>
      <c r="P35" s="570">
        <f>IF('Final Calculation Sheet'!$AD$16="","",'Final Calculation Sheet'!$AD$16)</f>
        <v/>
      </c>
      <c r="R35" s="545">
        <f>IF('Final Calculation Sheet'!$AD$27="","",'Final Calculation Sheet'!$AD$27)</f>
        <v/>
      </c>
      <c r="T35" s="568">
        <f>IF('Final Calculation Sheet'!$AD$18="","",'Final Calculation Sheet'!$AD$18)</f>
        <v/>
      </c>
      <c r="U35" s="545">
        <f>IF('Final Calculation Sheet'!$AD$19="","",'Final Calculation Sheet'!$AD$19)</f>
        <v/>
      </c>
      <c r="V35" s="568">
        <f>IF('Final Calculation Sheet'!$AD$22="","",'Final Calculation Sheet'!$AD$22)</f>
        <v/>
      </c>
      <c r="W35" s="545">
        <f>IF('Final Calculation Sheet'!$AD$24="","",'Final Calculation Sheet'!$AD$24)</f>
        <v/>
      </c>
      <c r="X35" s="568">
        <f>IF('Final Calculation Sheet'!$AD$26="","",'Final Calculation Sheet'!$AD$26)</f>
        <v/>
      </c>
      <c r="Z35" s="545">
        <f>IF('Final Calculation Sheet'!$AD$21="","",'Final Calculation Sheet'!$AD$21)</f>
        <v/>
      </c>
      <c r="AB35" s="571">
        <f>IF('Final Calculation Sheet'!$AD$20="","",'Final Calculation Sheet'!$AD$20)</f>
        <v/>
      </c>
      <c r="AD35" s="545">
        <f>IF('Final Calculation Sheet'!$AD$17="","",'Final Calculation Sheet'!$AD$17)</f>
        <v/>
      </c>
      <c r="AE35" s="570">
        <f>IF('Final Calculation Sheet'!$AD$23="","",'Final Calculation Sheet'!$AD$23)</f>
        <v/>
      </c>
      <c r="AF35" s="545">
        <f>IF('Final Calculation Sheet'!$AD$29="","",'Final Calculation Sheet'!$AD$29)</f>
        <v/>
      </c>
      <c r="AH35" s="566">
        <f>IF('Final Calculation Sheet'!$AD$25="","",'Final Calculation Sheet'!$AD$25)</f>
        <v/>
      </c>
      <c r="AI35" s="545">
        <f>IF('Final Calculation Sheet'!$AD$28="","",'Final Calculation Sheet'!$AD$28)</f>
        <v/>
      </c>
      <c r="AK35" s="568">
        <f>IF('Final Calculation Sheet'!$AD$30="","",'Final Calculation Sheet'!$AD$30)</f>
        <v/>
      </c>
      <c r="AL35" s="545">
        <f>IF('Final Calculation Sheet'!$AD$32="","",'Final Calculation Sheet'!$AD$32)</f>
        <v/>
      </c>
      <c r="AM35" s="568">
        <f>IF('Final Calculation Sheet'!$AD$33="","",'Final Calculation Sheet'!$AD$33)</f>
        <v/>
      </c>
      <c r="AO35" s="545">
        <f>IF('Final Calculation Sheet'!$AD$31="","",'Final Calculation Sheet'!$AD$31)</f>
        <v/>
      </c>
      <c r="AQ35" s="570">
        <f>IF('Final Calculation Sheet'!$AD$34="","",'Final Calculation Sheet'!$AD$34)</f>
        <v/>
      </c>
      <c r="AS35" s="545">
        <f>IF('Final Calculation Sheet'!$AD$4="","",'Final Calculation Sheet'!$AD$4)</f>
        <v/>
      </c>
      <c r="AU35" s="569">
        <f>IF('Final Calculation Sheet'!$AD$38="","",'Final Calculation Sheet'!$AD$38)</f>
        <v/>
      </c>
      <c r="AW35" s="545">
        <f>IF('Final Calculation Sheet'!$AD$37="","",'Final Calculation Sheet'!$AD$37)</f>
        <v/>
      </c>
      <c r="AY35" s="571">
        <f>IF('Final Calculation Sheet'!$AD$8="","",'Final Calculation Sheet'!$AD$8)</f>
        <v/>
      </c>
      <c r="BA35" s="545">
        <f>IF('Final Calculation Sheet'!$AD$39="","",'Final Calculation Sheet'!$AD$39)</f>
        <v/>
      </c>
      <c r="BB35" s="570">
        <f>IF('Final Calculation Sheet'!$AD$40="","",'Final Calculation Sheet'!$AD$40)</f>
        <v/>
      </c>
      <c r="BD35" s="545">
        <f>IF('Final Calculation Sheet'!$AD$36="","",'Final Calculation Sheet'!$AD$36)</f>
        <v/>
      </c>
      <c r="BF35" s="566">
        <f>IF('Final Calculation Sheet'!$AD$35="","",'Final Calculation Sheet'!$AD$35)</f>
        <v/>
      </c>
      <c r="BG35" s="546">
        <f>IF('Final Calculation Sheet'!$AD$41="","",'Final Calculation Sheet'!$AD$41)</f>
        <v/>
      </c>
    </row>
    <row r="36" ht="15" customHeight="1">
      <c r="A36" s="540" t="inlineStr">
        <is>
          <t>Invoice No.</t>
        </is>
      </c>
      <c r="B36" s="566">
        <f>IF('Final Calculation Sheet'!$AE$6="","",'Final Calculation Sheet'!$AE$6)</f>
        <v/>
      </c>
      <c r="C36" s="545">
        <f>IF('Final Calculation Sheet'!$AE$7="","",'Final Calculation Sheet'!$AE$7)</f>
        <v/>
      </c>
      <c r="E36" s="567">
        <f>IF('Final Calculation Sheet'!$AE$15="","",'Final Calculation Sheet'!$AE$15)</f>
        <v/>
      </c>
      <c r="G36" s="545">
        <f>IF('Final Calculation Sheet'!$AE$5="","",'Final Calculation Sheet'!$AE$5)</f>
        <v/>
      </c>
      <c r="H36" s="568">
        <f>IF('Final Calculation Sheet'!$AE$10="","",'Final Calculation Sheet'!$AE$10)</f>
        <v/>
      </c>
      <c r="I36" s="545">
        <f>IF('Final Calculation Sheet'!$AE$11="","",'Final Calculation Sheet'!$AE$11)</f>
        <v/>
      </c>
      <c r="J36" s="568">
        <f>IF('Final Calculation Sheet'!$AE$12="","",'Final Calculation Sheet'!$AE$12)</f>
        <v/>
      </c>
      <c r="L36" s="545">
        <f>IF('Final Calculation Sheet'!$AE$9="","",'Final Calculation Sheet'!$AE$9)</f>
        <v/>
      </c>
      <c r="M36" s="569">
        <f>IF('Final Calculation Sheet'!$AE$14="","",'Final Calculation Sheet'!$AE$14)</f>
        <v/>
      </c>
      <c r="O36" s="545">
        <f>IF('Final Calculation Sheet'!$AE$13="","",'Final Calculation Sheet'!$AE$13)</f>
        <v/>
      </c>
      <c r="P36" s="570">
        <f>IF('Final Calculation Sheet'!$AE$16="","",'Final Calculation Sheet'!$AE$16)</f>
        <v/>
      </c>
      <c r="R36" s="545">
        <f>IF('Final Calculation Sheet'!$AE$27="","",'Final Calculation Sheet'!$AE$27)</f>
        <v/>
      </c>
      <c r="T36" s="568">
        <f>IF('Final Calculation Sheet'!$AE$18="","",'Final Calculation Sheet'!$AE$18)</f>
        <v/>
      </c>
      <c r="U36" s="545">
        <f>IF('Final Calculation Sheet'!$AE$19="","",'Final Calculation Sheet'!$AE$19)</f>
        <v/>
      </c>
      <c r="V36" s="568">
        <f>IF('Final Calculation Sheet'!$AE$22="","",'Final Calculation Sheet'!$AE$22)</f>
        <v/>
      </c>
      <c r="W36" s="545">
        <f>IF('Final Calculation Sheet'!$AE$24="","",'Final Calculation Sheet'!$AE$24)</f>
        <v/>
      </c>
      <c r="X36" s="568">
        <f>IF('Final Calculation Sheet'!$AE$26="","",'Final Calculation Sheet'!$AE$26)</f>
        <v/>
      </c>
      <c r="Z36" s="545">
        <f>IF('Final Calculation Sheet'!$AE$21="","",'Final Calculation Sheet'!$AE$21)</f>
        <v/>
      </c>
      <c r="AB36" s="571">
        <f>IF('Final Calculation Sheet'!$AE$20="","",'Final Calculation Sheet'!$AE$20)</f>
        <v/>
      </c>
      <c r="AD36" s="545">
        <f>IF('Final Calculation Sheet'!$AE$17="","",'Final Calculation Sheet'!$AE$17)</f>
        <v/>
      </c>
      <c r="AE36" s="570">
        <f>IF('Final Calculation Sheet'!$AE$23="","",'Final Calculation Sheet'!$AE$23)</f>
        <v/>
      </c>
      <c r="AF36" s="545">
        <f>IF('Final Calculation Sheet'!$AE$29="","",'Final Calculation Sheet'!$AE$29)</f>
        <v/>
      </c>
      <c r="AH36" s="566">
        <f>IF('Final Calculation Sheet'!$AE$25="","",'Final Calculation Sheet'!$AE$25)</f>
        <v/>
      </c>
      <c r="AI36" s="545">
        <f>IF('Final Calculation Sheet'!$AE$28="","",'Final Calculation Sheet'!$AE$28)</f>
        <v/>
      </c>
      <c r="AK36" s="568">
        <f>IF('Final Calculation Sheet'!$AE$30="","",'Final Calculation Sheet'!$AE$30)</f>
        <v/>
      </c>
      <c r="AL36" s="545">
        <f>IF('Final Calculation Sheet'!$AE$32="","",'Final Calculation Sheet'!$AE$32)</f>
        <v/>
      </c>
      <c r="AM36" s="568">
        <f>IF('Final Calculation Sheet'!$AE$33="","",'Final Calculation Sheet'!$AE$33)</f>
        <v/>
      </c>
      <c r="AO36" s="545">
        <f>IF('Final Calculation Sheet'!$AE$31="","",'Final Calculation Sheet'!$AE$31)</f>
        <v/>
      </c>
      <c r="AQ36" s="570">
        <f>IF('Final Calculation Sheet'!$AE$34="","",'Final Calculation Sheet'!$AE$34)</f>
        <v/>
      </c>
      <c r="AS36" s="545">
        <f>IF('Final Calculation Sheet'!$AE$4="","",'Final Calculation Sheet'!$AE$4)</f>
        <v/>
      </c>
      <c r="AU36" s="569">
        <f>IF('Final Calculation Sheet'!$AE$38="","",'Final Calculation Sheet'!$AE$38)</f>
        <v/>
      </c>
      <c r="AW36" s="545">
        <f>IF('Final Calculation Sheet'!$AE$37="","",'Final Calculation Sheet'!$AE$37)</f>
        <v/>
      </c>
      <c r="AY36" s="571">
        <f>IF('Final Calculation Sheet'!$AE$8="","",'Final Calculation Sheet'!$AE$8)</f>
        <v/>
      </c>
      <c r="BA36" s="545">
        <f>IF('Final Calculation Sheet'!$AE$39="","",'Final Calculation Sheet'!$AE$39)</f>
        <v/>
      </c>
      <c r="BB36" s="570">
        <f>IF('Final Calculation Sheet'!$AE$40="","",'Final Calculation Sheet'!$AE$40)</f>
        <v/>
      </c>
      <c r="BD36" s="545">
        <f>IF('Final Calculation Sheet'!$AE$36="","",'Final Calculation Sheet'!$AE$36)</f>
        <v/>
      </c>
      <c r="BF36" s="566">
        <f>IF('Final Calculation Sheet'!$AE$35="","",'Final Calculation Sheet'!$AE$35)</f>
        <v/>
      </c>
      <c r="BG36" s="546">
        <f>IF('Final Calculation Sheet'!$AE$41="","",'Final Calculation Sheet'!$AE$41)</f>
        <v/>
      </c>
    </row>
    <row r="37" ht="15" customHeight="1">
      <c r="A37" s="543" t="inlineStr">
        <is>
          <t>SAP Document</t>
        </is>
      </c>
      <c r="B37" s="590">
        <f>IF('Final Calculation Sheet'!$AF$6="","",'Final Calculation Sheet'!$AF$6)</f>
        <v/>
      </c>
      <c r="C37" s="556">
        <f>IF('Final Calculation Sheet'!$AF$7="","",'Final Calculation Sheet'!$AF$7)</f>
        <v/>
      </c>
      <c r="E37" s="591">
        <f>IF('Final Calculation Sheet'!$AF$15="","",'Final Calculation Sheet'!$AF$15)</f>
        <v/>
      </c>
      <c r="G37" s="556">
        <f>IF('Final Calculation Sheet'!$AF$5="","",'Final Calculation Sheet'!$AF$5)</f>
        <v/>
      </c>
      <c r="H37" s="592">
        <f>IF('Final Calculation Sheet'!$AF$10="","",'Final Calculation Sheet'!$AF$10)</f>
        <v/>
      </c>
      <c r="I37" s="556">
        <f>IF('Final Calculation Sheet'!$AF$11="","",'Final Calculation Sheet'!$AF$11)</f>
        <v/>
      </c>
      <c r="J37" s="592">
        <f>IF('Final Calculation Sheet'!$AF$12="","",'Final Calculation Sheet'!$AF$12)</f>
        <v/>
      </c>
      <c r="L37" s="556">
        <f>IF('Final Calculation Sheet'!$AF$9="","",'Final Calculation Sheet'!$AF$9)</f>
        <v/>
      </c>
      <c r="M37" s="593">
        <f>IF('Final Calculation Sheet'!$AF$14="","",'Final Calculation Sheet'!$AF$14)</f>
        <v/>
      </c>
      <c r="O37" s="556">
        <f>IF('Final Calculation Sheet'!$AF$13="","",'Final Calculation Sheet'!$AF$13)</f>
        <v/>
      </c>
      <c r="P37" s="594">
        <f>IF('Final Calculation Sheet'!$AF$16="","",'Final Calculation Sheet'!$AF$16)</f>
        <v/>
      </c>
      <c r="R37" s="556">
        <f>IF('Final Calculation Sheet'!$AF$27="","",'Final Calculation Sheet'!$AF$27)</f>
        <v/>
      </c>
      <c r="T37" s="592">
        <f>IF('Final Calculation Sheet'!$AF$18="","",'Final Calculation Sheet'!$AF$18)</f>
        <v/>
      </c>
      <c r="U37" s="556">
        <f>IF('Final Calculation Sheet'!$AF$19="","",'Final Calculation Sheet'!$AF$19)</f>
        <v/>
      </c>
      <c r="V37" s="592">
        <f>IF('Final Calculation Sheet'!$AF$22="","",'Final Calculation Sheet'!$AF$22)</f>
        <v/>
      </c>
      <c r="W37" s="556">
        <f>IF('Final Calculation Sheet'!$AF$24="","",'Final Calculation Sheet'!$AF$24)</f>
        <v/>
      </c>
      <c r="X37" s="592">
        <f>IF('Final Calculation Sheet'!$AF$26="","",'Final Calculation Sheet'!$AF$26)</f>
        <v/>
      </c>
      <c r="Z37" s="556">
        <f>IF('Final Calculation Sheet'!$AF$21="","",'Final Calculation Sheet'!$AF$21)</f>
        <v/>
      </c>
      <c r="AB37" s="595">
        <f>IF('Final Calculation Sheet'!$AF$20="","",'Final Calculation Sheet'!$AF$20)</f>
        <v/>
      </c>
      <c r="AD37" s="556">
        <f>IF('Final Calculation Sheet'!$AF$17="","",'Final Calculation Sheet'!$AF$17)</f>
        <v/>
      </c>
      <c r="AE37" s="594">
        <f>IF('Final Calculation Sheet'!$AF$23="","",'Final Calculation Sheet'!$AF$23)</f>
        <v/>
      </c>
      <c r="AF37" s="556">
        <f>IF('Final Calculation Sheet'!$AF$29="","",'Final Calculation Sheet'!$AF$29)</f>
        <v/>
      </c>
      <c r="AH37" s="590">
        <f>IF('Final Calculation Sheet'!$AF$25="","",'Final Calculation Sheet'!$AF$25)</f>
        <v/>
      </c>
      <c r="AI37" s="556">
        <f>IF('Final Calculation Sheet'!$AF$28="","",'Final Calculation Sheet'!$AF$28)</f>
        <v/>
      </c>
      <c r="AK37" s="592">
        <f>IF('Final Calculation Sheet'!$AF$30="","",'Final Calculation Sheet'!$AF$30)</f>
        <v/>
      </c>
      <c r="AL37" s="556">
        <f>IF('Final Calculation Sheet'!$AF$32="","",'Final Calculation Sheet'!$AF$32)</f>
        <v/>
      </c>
      <c r="AM37" s="592">
        <f>IF('Final Calculation Sheet'!$AF$33="","",'Final Calculation Sheet'!$AF$33)</f>
        <v/>
      </c>
      <c r="AO37" s="556">
        <f>IF('Final Calculation Sheet'!$AF$31="","",'Final Calculation Sheet'!$AF$31)</f>
        <v/>
      </c>
      <c r="AQ37" s="594">
        <f>IF('Final Calculation Sheet'!$AF$34="","",'Final Calculation Sheet'!$AF$34)</f>
        <v/>
      </c>
      <c r="AS37" s="556">
        <f>IF('Final Calculation Sheet'!$AF$4="","",'Final Calculation Sheet'!$AF$4)</f>
        <v/>
      </c>
      <c r="AU37" s="593">
        <f>IF('Final Calculation Sheet'!$AF$38="","",'Final Calculation Sheet'!$AF$38)</f>
        <v/>
      </c>
      <c r="AW37" s="556">
        <f>IF('Final Calculation Sheet'!$AF$37="","",'Final Calculation Sheet'!$AF$37)</f>
        <v/>
      </c>
      <c r="AY37" s="595">
        <f>IF('Final Calculation Sheet'!$AF$8="","",'Final Calculation Sheet'!$AF$8)</f>
        <v/>
      </c>
      <c r="BA37" s="556">
        <f>IF('Final Calculation Sheet'!$AF$39="","",'Final Calculation Sheet'!$AF$39)</f>
        <v/>
      </c>
      <c r="BB37" s="594">
        <f>IF('Final Calculation Sheet'!$AF$40="","",'Final Calculation Sheet'!$AF$40)</f>
        <v/>
      </c>
      <c r="BD37" s="556">
        <f>IF('Final Calculation Sheet'!$AF$36="","",'Final Calculation Sheet'!$AF$36)</f>
        <v/>
      </c>
      <c r="BF37" s="590">
        <f>IF('Final Calculation Sheet'!$AF$35="","",'Final Calculation Sheet'!$AF$35)</f>
        <v/>
      </c>
      <c r="BG37" s="499">
        <f>IF('Final Calculation Sheet'!$AF$41="","",'Final Calculation Sheet'!$AF$41)</f>
        <v/>
      </c>
    </row>
    <row r="38" ht="15" customHeight="1">
      <c r="A38" s="540" t="inlineStr">
        <is>
          <t>Doc./Invoice Date</t>
        </is>
      </c>
      <c r="B38" s="566">
        <f>IF('Final Calculation Sheet'!$AG$6="","",'Final Calculation Sheet'!$AG$6)</f>
        <v/>
      </c>
      <c r="C38" s="545">
        <f>IF('Final Calculation Sheet'!$AG$7="","",'Final Calculation Sheet'!$AG$7)</f>
        <v/>
      </c>
      <c r="E38" s="567">
        <f>IF('Final Calculation Sheet'!$AG$15="","",'Final Calculation Sheet'!$AG$15)</f>
        <v/>
      </c>
      <c r="G38" s="545">
        <f>IF('Final Calculation Sheet'!$AG$5="","",'Final Calculation Sheet'!$AG$5)</f>
        <v/>
      </c>
      <c r="H38" s="568">
        <f>IF('Final Calculation Sheet'!$AG$10="","",'Final Calculation Sheet'!$AG$10)</f>
        <v/>
      </c>
      <c r="I38" s="545">
        <f>IF('Final Calculation Sheet'!$AG$11="","",'Final Calculation Sheet'!$AG$11)</f>
        <v/>
      </c>
      <c r="J38" s="568">
        <f>IF('Final Calculation Sheet'!$AG$12="","",'Final Calculation Sheet'!$AG$12)</f>
        <v/>
      </c>
      <c r="L38" s="545">
        <f>IF('Final Calculation Sheet'!$AG$9="","",'Final Calculation Sheet'!$AG$9)</f>
        <v/>
      </c>
      <c r="M38" s="569">
        <f>IF('Final Calculation Sheet'!$AG$14="","",'Final Calculation Sheet'!$AG$14)</f>
        <v/>
      </c>
      <c r="O38" s="545">
        <f>IF('Final Calculation Sheet'!$AG$13="","",'Final Calculation Sheet'!$AG$13)</f>
        <v/>
      </c>
      <c r="P38" s="570">
        <f>IF('Final Calculation Sheet'!$AG$16="","",'Final Calculation Sheet'!$AG$16)</f>
        <v/>
      </c>
      <c r="R38" s="545">
        <f>IF('Final Calculation Sheet'!$AG$27="","",'Final Calculation Sheet'!$AG$27)</f>
        <v/>
      </c>
      <c r="T38" s="568">
        <f>IF('Final Calculation Sheet'!$AG$18="","",'Final Calculation Sheet'!$AG$18)</f>
        <v/>
      </c>
      <c r="U38" s="545">
        <f>IF('Final Calculation Sheet'!$AG$19="","",'Final Calculation Sheet'!$AG$19)</f>
        <v/>
      </c>
      <c r="V38" s="568">
        <f>IF('Final Calculation Sheet'!$AG$22="","",'Final Calculation Sheet'!$AG$22)</f>
        <v/>
      </c>
      <c r="W38" s="545">
        <f>IF('Final Calculation Sheet'!$AG$24="","",'Final Calculation Sheet'!$AG$24)</f>
        <v/>
      </c>
      <c r="X38" s="568">
        <f>IF('Final Calculation Sheet'!$AG$26="","",'Final Calculation Sheet'!$AG$26)</f>
        <v/>
      </c>
      <c r="Z38" s="545">
        <f>IF('Final Calculation Sheet'!$AG$21="","",'Final Calculation Sheet'!$AG$21)</f>
        <v/>
      </c>
      <c r="AB38" s="571">
        <f>IF('Final Calculation Sheet'!$AG$20="","",'Final Calculation Sheet'!$AG$20)</f>
        <v/>
      </c>
      <c r="AD38" s="545">
        <f>IF('Final Calculation Sheet'!$AG$17="","",'Final Calculation Sheet'!$AG$17)</f>
        <v/>
      </c>
      <c r="AE38" s="570">
        <f>IF('Final Calculation Sheet'!$AG$23="","",'Final Calculation Sheet'!$AG$23)</f>
        <v/>
      </c>
      <c r="AF38" s="545">
        <f>IF('Final Calculation Sheet'!$AG$29="","",'Final Calculation Sheet'!$AG$29)</f>
        <v/>
      </c>
      <c r="AH38" s="566">
        <f>IF('Final Calculation Sheet'!$AG$25="","",'Final Calculation Sheet'!$AG$25)</f>
        <v/>
      </c>
      <c r="AI38" s="545">
        <f>IF('Final Calculation Sheet'!$AG$28="","",'Final Calculation Sheet'!$AG$28)</f>
        <v/>
      </c>
      <c r="AK38" s="568">
        <f>IF('Final Calculation Sheet'!$AG$30="","",'Final Calculation Sheet'!$AG$30)</f>
        <v/>
      </c>
      <c r="AL38" s="545">
        <f>IF('Final Calculation Sheet'!$AG$32="","",'Final Calculation Sheet'!$AG$32)</f>
        <v/>
      </c>
      <c r="AM38" s="568">
        <f>IF('Final Calculation Sheet'!$AG$33="","",'Final Calculation Sheet'!$AG$33)</f>
        <v/>
      </c>
      <c r="AO38" s="545">
        <f>IF('Final Calculation Sheet'!$AG$31="","",'Final Calculation Sheet'!$AG$31)</f>
        <v/>
      </c>
      <c r="AQ38" s="570">
        <f>IF('Final Calculation Sheet'!$AG$34="","",'Final Calculation Sheet'!$AG$34)</f>
        <v/>
      </c>
      <c r="AS38" s="545">
        <f>IF('Final Calculation Sheet'!$AG$4="","",'Final Calculation Sheet'!$AG$4)</f>
        <v/>
      </c>
      <c r="AU38" s="569">
        <f>IF('Final Calculation Sheet'!$AG$38="","",'Final Calculation Sheet'!$AG$38)</f>
        <v/>
      </c>
      <c r="AW38" s="545">
        <f>IF('Final Calculation Sheet'!$AG$37="","",'Final Calculation Sheet'!$AG$37)</f>
        <v/>
      </c>
      <c r="AY38" s="571">
        <f>IF('Final Calculation Sheet'!$AG$8="","",'Final Calculation Sheet'!$AG$8)</f>
        <v/>
      </c>
      <c r="BA38" s="545">
        <f>IF('Final Calculation Sheet'!$AG$39="","",'Final Calculation Sheet'!$AG$39)</f>
        <v/>
      </c>
      <c r="BB38" s="570">
        <f>IF('Final Calculation Sheet'!$AG$40="","",'Final Calculation Sheet'!$AG$40)</f>
        <v/>
      </c>
      <c r="BD38" s="545">
        <f>IF('Final Calculation Sheet'!$AG$36="","",'Final Calculation Sheet'!$AG$36)</f>
        <v/>
      </c>
      <c r="BF38" s="566">
        <f>IF('Final Calculation Sheet'!$AG$35="","",'Final Calculation Sheet'!$AG$35)</f>
        <v/>
      </c>
      <c r="BG38" s="546">
        <f>IF('Final Calculation Sheet'!$AG$41="","",'Final Calculation Sheet'!$AG$41)</f>
        <v/>
      </c>
    </row>
  </sheetData>
  <autoFilter ref="A5:A38"/>
  <mergeCells count="15">
    <mergeCell ref="T4:X4"/>
    <mergeCell ref="BA4:BB4"/>
    <mergeCell ref="AH4:AI4"/>
    <mergeCell ref="L4:M4"/>
    <mergeCell ref="B3:P3"/>
    <mergeCell ref="A2:BG2"/>
    <mergeCell ref="AS3:BF3"/>
    <mergeCell ref="G4:J4"/>
    <mergeCell ref="AD4:AF4"/>
    <mergeCell ref="AK4:AM4"/>
    <mergeCell ref="R3:AI3"/>
    <mergeCell ref="AK3:AQ3"/>
    <mergeCell ref="O4:P4"/>
    <mergeCell ref="B4:C4"/>
    <mergeCell ref="A1:BG1"/>
  </mergeCells>
  <conditionalFormatting sqref="B35:BF35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03864"/>
    <outlinePr summaryBelow="1" summaryRight="1"/>
    <pageSetUpPr fitToPage="1"/>
  </sheetPr>
  <dimension ref="A1:U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7" customWidth="1" min="15" max="15"/>
    <col hidden="1"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</cols>
  <sheetData>
    <row r="1" ht="30" customHeight="1">
      <c r="A1" s="59" t="inlineStr">
        <is>
          <t>MSTC LIMITED  •  TRANSPOSED, FILTERED BY BUYER   (pick a buyer → only its lots are shown)</t>
        </is>
      </c>
    </row>
    <row r="2" ht="44" customHeight="1">
      <c r="A2" s="61" t="inlineStr">
        <is>
          <t>HOW TO USE  ▶  click the blue cell B3 and pick a buyer from the list - the lot columns immediately re-point at that buyer's lots (up to 13, the widest buyer here) and every figure follows   •   the ▼ on the FIELD column still filters which rows show   •   nothing is typed in: each cell is an INDEX / MATCH into 'Final Calculation Sheet', so the two can never disagree   •   columns Q, S and U are hidden helpers - the buyer list in U is rewritten whenever this sheet is rebuilt</t>
        </is>
      </c>
      <c r="S2" s="596" t="inlineStr">
        <is>
          <t>source row of each lot column</t>
        </is>
      </c>
    </row>
    <row r="3" ht="26" customHeight="1">
      <c r="A3" s="597" t="inlineStr">
        <is>
          <t>PICK A BUYER  ▸</t>
        </is>
      </c>
      <c r="B3" s="598" t="inlineStr">
        <is>
          <t>AL HAMD TRADE CORPORATION</t>
        </is>
      </c>
      <c r="C3" s="599" t="n"/>
      <c r="D3" s="599" t="n"/>
      <c r="E3" s="600">
        <f>IF($B$3="","◀ pick a buyer in B3","showing "&amp;COUNT($B$4:$N$4)&amp;" lot(s) of "&amp;COUNTIF('Final Calculation Sheet'!$G$4:$G$40,$B$3)&amp;" for "&amp;$B$3)</f>
        <v/>
      </c>
      <c r="Q3" s="596" t="inlineStr">
        <is>
          <t>rank of each source lot row inside the chosen buyer</t>
        </is>
      </c>
      <c r="S3" s="596" t="n"/>
      <c r="U3" s="596" t="inlineStr">
        <is>
          <t>buyer list for the B3 dropdown</t>
        </is>
      </c>
    </row>
    <row r="4" ht="30" customHeight="1">
      <c r="A4" s="424" t="inlineStr">
        <is>
          <t>FIELD (row 3 of the source)  ▸  |  LOT →</t>
        </is>
      </c>
      <c r="B4" s="536">
        <f>IFERROR(INDEX('Final Calculation Sheet'!$F$4:$F$40,$S4-3),"")</f>
        <v/>
      </c>
      <c r="C4" s="537">
        <f>IFERROR(INDEX('Final Calculation Sheet'!$F$4:$F$40,$S5-3),"")</f>
        <v/>
      </c>
      <c r="D4" s="538">
        <f>IFERROR(INDEX('Final Calculation Sheet'!$F$4:$F$40,$S6-3),"")</f>
        <v/>
      </c>
      <c r="E4" s="539">
        <f>IFERROR(INDEX('Final Calculation Sheet'!$F$4:$F$40,$S7-3),"")</f>
        <v/>
      </c>
      <c r="F4" s="601">
        <f>IFERROR(INDEX('Final Calculation Sheet'!$F$4:$F$40,$S8-3),"")</f>
        <v/>
      </c>
      <c r="G4" s="602">
        <f>IFERROR(INDEX('Final Calculation Sheet'!$F$4:$F$40,$S9-3),"")</f>
        <v/>
      </c>
      <c r="H4" s="603">
        <f>IFERROR(INDEX('Final Calculation Sheet'!$F$4:$F$40,$S10-3),"")</f>
        <v/>
      </c>
      <c r="I4" s="604">
        <f>IFERROR(INDEX('Final Calculation Sheet'!$F$4:$F$40,$S11-3),"")</f>
        <v/>
      </c>
      <c r="J4" s="536">
        <f>IFERROR(INDEX('Final Calculation Sheet'!$F$4:$F$40,$S12-3),"")</f>
        <v/>
      </c>
      <c r="K4" s="537">
        <f>IFERROR(INDEX('Final Calculation Sheet'!$F$4:$F$40,$S13-3),"")</f>
        <v/>
      </c>
      <c r="L4" s="538">
        <f>IFERROR(INDEX('Final Calculation Sheet'!$F$4:$F$40,$S14-3),"")</f>
        <v/>
      </c>
      <c r="M4" s="539">
        <f>IFERROR(INDEX('Final Calculation Sheet'!$F$4:$F$40,$S15-3),"")</f>
        <v/>
      </c>
      <c r="N4" s="601">
        <f>IFERROR(INDEX('Final Calculation Sheet'!$F$4:$F$40,$S16-3),"")</f>
        <v/>
      </c>
      <c r="O4" s="490">
        <f>"TOTAL  "&amp;$B$3</f>
        <v/>
      </c>
      <c r="Q4">
        <f>IF('Final Calculation Sheet'!$G4=$B$3,COUNTIF('Final Calculation Sheet'!$G$4:$G4,$B$3),"")</f>
        <v/>
      </c>
      <c r="S4">
        <f>IFERROR(MATCH(1,$Q$4:$Q$40,0)+3,"")</f>
        <v/>
      </c>
      <c r="U4" t="inlineStr">
        <is>
          <t>AL HAMD TRADE CORPORATION</t>
        </is>
      </c>
    </row>
    <row r="5" ht="15" customHeight="1">
      <c r="A5" s="540" t="inlineStr">
        <is>
          <t>Quantity</t>
        </is>
      </c>
      <c r="B5" s="69">
        <f>IFERROR(IF(INDEX('Final Calculation Sheet'!$A$4:$A$40,$S4-3)="","",INDEX('Final Calculation Sheet'!$A$4:$A$40,$S4-3)),"")</f>
        <v/>
      </c>
      <c r="C5" s="541">
        <f>IFERROR(IF(INDEX('Final Calculation Sheet'!$A$4:$A$40,$S5-3)="","",INDEX('Final Calculation Sheet'!$A$4:$A$40,$S5-3)),"")</f>
        <v/>
      </c>
      <c r="D5" s="69">
        <f>IFERROR(IF(INDEX('Final Calculation Sheet'!$A$4:$A$40,$S6-3)="","",INDEX('Final Calculation Sheet'!$A$4:$A$40,$S6-3)),"")</f>
        <v/>
      </c>
      <c r="E5" s="541">
        <f>IFERROR(IF(INDEX('Final Calculation Sheet'!$A$4:$A$40,$S7-3)="","",INDEX('Final Calculation Sheet'!$A$4:$A$40,$S7-3)),"")</f>
        <v/>
      </c>
      <c r="F5" s="69">
        <f>IFERROR(IF(INDEX('Final Calculation Sheet'!$A$4:$A$40,$S8-3)="","",INDEX('Final Calculation Sheet'!$A$4:$A$40,$S8-3)),"")</f>
        <v/>
      </c>
      <c r="G5" s="541">
        <f>IFERROR(IF(INDEX('Final Calculation Sheet'!$A$4:$A$40,$S9-3)="","",INDEX('Final Calculation Sheet'!$A$4:$A$40,$S9-3)),"")</f>
        <v/>
      </c>
      <c r="H5" s="69">
        <f>IFERROR(IF(INDEX('Final Calculation Sheet'!$A$4:$A$40,$S10-3)="","",INDEX('Final Calculation Sheet'!$A$4:$A$40,$S10-3)),"")</f>
        <v/>
      </c>
      <c r="I5" s="541">
        <f>IFERROR(IF(INDEX('Final Calculation Sheet'!$A$4:$A$40,$S11-3)="","",INDEX('Final Calculation Sheet'!$A$4:$A$40,$S11-3)),"")</f>
        <v/>
      </c>
      <c r="J5" s="69">
        <f>IFERROR(IF(INDEX('Final Calculation Sheet'!$A$4:$A$40,$S12-3)="","",INDEX('Final Calculation Sheet'!$A$4:$A$40,$S12-3)),"")</f>
        <v/>
      </c>
      <c r="K5" s="541">
        <f>IFERROR(IF(INDEX('Final Calculation Sheet'!$A$4:$A$40,$S13-3)="","",INDEX('Final Calculation Sheet'!$A$4:$A$40,$S13-3)),"")</f>
        <v/>
      </c>
      <c r="L5" s="69">
        <f>IFERROR(IF(INDEX('Final Calculation Sheet'!$A$4:$A$40,$S14-3)="","",INDEX('Final Calculation Sheet'!$A$4:$A$40,$S14-3)),"")</f>
        <v/>
      </c>
      <c r="M5" s="541">
        <f>IFERROR(IF(INDEX('Final Calculation Sheet'!$A$4:$A$40,$S15-3)="","",INDEX('Final Calculation Sheet'!$A$4:$A$40,$S15-3)),"")</f>
        <v/>
      </c>
      <c r="N5" s="69">
        <f>IFERROR(IF(INDEX('Final Calculation Sheet'!$A$4:$A$40,$S16-3)="","",INDEX('Final Calculation Sheet'!$A$4:$A$40,$S16-3)),"")</f>
        <v/>
      </c>
      <c r="O5" s="542">
        <f>IF(COUNT(B5:N5)=0,"",SUM(B5:N5))</f>
        <v/>
      </c>
      <c r="Q5">
        <f>IF('Final Calculation Sheet'!$G5=$B$3,COUNTIF('Final Calculation Sheet'!$G$4:$G5,$B$3),"")</f>
        <v/>
      </c>
      <c r="S5">
        <f>IFERROR(MATCH(2,$Q$4:$Q$40,0)+3,"")</f>
        <v/>
      </c>
      <c r="U5" t="inlineStr">
        <is>
          <t>F R KHANS ENTERPRISES</t>
        </is>
      </c>
    </row>
    <row r="6" ht="15" customHeight="1">
      <c r="A6" s="543" t="inlineStr">
        <is>
          <t>Lot Name</t>
        </is>
      </c>
      <c r="B6" s="69">
        <f>IFERROR(IF(INDEX('Final Calculation Sheet'!$B$4:$B$40,$S4-3)="","",INDEX('Final Calculation Sheet'!$B$4:$B$40,$S4-3)),"")</f>
        <v/>
      </c>
      <c r="C6" s="541">
        <f>IFERROR(IF(INDEX('Final Calculation Sheet'!$B$4:$B$40,$S5-3)="","",INDEX('Final Calculation Sheet'!$B$4:$B$40,$S5-3)),"")</f>
        <v/>
      </c>
      <c r="D6" s="69">
        <f>IFERROR(IF(INDEX('Final Calculation Sheet'!$B$4:$B$40,$S6-3)="","",INDEX('Final Calculation Sheet'!$B$4:$B$40,$S6-3)),"")</f>
        <v/>
      </c>
      <c r="E6" s="541">
        <f>IFERROR(IF(INDEX('Final Calculation Sheet'!$B$4:$B$40,$S7-3)="","",INDEX('Final Calculation Sheet'!$B$4:$B$40,$S7-3)),"")</f>
        <v/>
      </c>
      <c r="F6" s="69">
        <f>IFERROR(IF(INDEX('Final Calculation Sheet'!$B$4:$B$40,$S8-3)="","",INDEX('Final Calculation Sheet'!$B$4:$B$40,$S8-3)),"")</f>
        <v/>
      </c>
      <c r="G6" s="541">
        <f>IFERROR(IF(INDEX('Final Calculation Sheet'!$B$4:$B$40,$S9-3)="","",INDEX('Final Calculation Sheet'!$B$4:$B$40,$S9-3)),"")</f>
        <v/>
      </c>
      <c r="H6" s="69">
        <f>IFERROR(IF(INDEX('Final Calculation Sheet'!$B$4:$B$40,$S10-3)="","",INDEX('Final Calculation Sheet'!$B$4:$B$40,$S10-3)),"")</f>
        <v/>
      </c>
      <c r="I6" s="541">
        <f>IFERROR(IF(INDEX('Final Calculation Sheet'!$B$4:$B$40,$S11-3)="","",INDEX('Final Calculation Sheet'!$B$4:$B$40,$S11-3)),"")</f>
        <v/>
      </c>
      <c r="J6" s="69">
        <f>IFERROR(IF(INDEX('Final Calculation Sheet'!$B$4:$B$40,$S12-3)="","",INDEX('Final Calculation Sheet'!$B$4:$B$40,$S12-3)),"")</f>
        <v/>
      </c>
      <c r="K6" s="541">
        <f>IFERROR(IF(INDEX('Final Calculation Sheet'!$B$4:$B$40,$S13-3)="","",INDEX('Final Calculation Sheet'!$B$4:$B$40,$S13-3)),"")</f>
        <v/>
      </c>
      <c r="L6" s="69">
        <f>IFERROR(IF(INDEX('Final Calculation Sheet'!$B$4:$B$40,$S14-3)="","",INDEX('Final Calculation Sheet'!$B$4:$B$40,$S14-3)),"")</f>
        <v/>
      </c>
      <c r="M6" s="541">
        <f>IFERROR(IF(INDEX('Final Calculation Sheet'!$B$4:$B$40,$S15-3)="","",INDEX('Final Calculation Sheet'!$B$4:$B$40,$S15-3)),"")</f>
        <v/>
      </c>
      <c r="N6" s="69">
        <f>IFERROR(IF(INDEX('Final Calculation Sheet'!$B$4:$B$40,$S16-3)="","",INDEX('Final Calculation Sheet'!$B$4:$B$40,$S16-3)),"")</f>
        <v/>
      </c>
      <c r="O6" s="542" t="inlineStr">
        <is>
          <t>–</t>
        </is>
      </c>
      <c r="Q6">
        <f>IF('Final Calculation Sheet'!$G6=$B$3,COUNTIF('Final Calculation Sheet'!$G$4:$G6,$B$3),"")</f>
        <v/>
      </c>
      <c r="S6">
        <f>IFERROR(MATCH(3,$Q$4:$Q$40,0)+3,"")</f>
        <v/>
      </c>
      <c r="U6" t="inlineStr">
        <is>
          <t>HIND TRADERS</t>
        </is>
      </c>
    </row>
    <row r="7" ht="15" customHeight="1">
      <c r="A7" s="540" t="inlineStr">
        <is>
          <t>Rate</t>
        </is>
      </c>
      <c r="B7" s="544">
        <f>IFERROR(IF(INDEX('Final Calculation Sheet'!$C$4:$C$40,$S4-3)="","",INDEX('Final Calculation Sheet'!$C$4:$C$40,$S4-3)),"")</f>
        <v/>
      </c>
      <c r="C7" s="545">
        <f>IFERROR(IF(INDEX('Final Calculation Sheet'!$C$4:$C$40,$S5-3)="","",INDEX('Final Calculation Sheet'!$C$4:$C$40,$S5-3)),"")</f>
        <v/>
      </c>
      <c r="D7" s="544">
        <f>IFERROR(IF(INDEX('Final Calculation Sheet'!$C$4:$C$40,$S6-3)="","",INDEX('Final Calculation Sheet'!$C$4:$C$40,$S6-3)),"")</f>
        <v/>
      </c>
      <c r="E7" s="545">
        <f>IFERROR(IF(INDEX('Final Calculation Sheet'!$C$4:$C$40,$S7-3)="","",INDEX('Final Calculation Sheet'!$C$4:$C$40,$S7-3)),"")</f>
        <v/>
      </c>
      <c r="F7" s="544">
        <f>IFERROR(IF(INDEX('Final Calculation Sheet'!$C$4:$C$40,$S8-3)="","",INDEX('Final Calculation Sheet'!$C$4:$C$40,$S8-3)),"")</f>
        <v/>
      </c>
      <c r="G7" s="545">
        <f>IFERROR(IF(INDEX('Final Calculation Sheet'!$C$4:$C$40,$S9-3)="","",INDEX('Final Calculation Sheet'!$C$4:$C$40,$S9-3)),"")</f>
        <v/>
      </c>
      <c r="H7" s="544">
        <f>IFERROR(IF(INDEX('Final Calculation Sheet'!$C$4:$C$40,$S10-3)="","",INDEX('Final Calculation Sheet'!$C$4:$C$40,$S10-3)),"")</f>
        <v/>
      </c>
      <c r="I7" s="545">
        <f>IFERROR(IF(INDEX('Final Calculation Sheet'!$C$4:$C$40,$S11-3)="","",INDEX('Final Calculation Sheet'!$C$4:$C$40,$S11-3)),"")</f>
        <v/>
      </c>
      <c r="J7" s="544">
        <f>IFERROR(IF(INDEX('Final Calculation Sheet'!$C$4:$C$40,$S12-3)="","",INDEX('Final Calculation Sheet'!$C$4:$C$40,$S12-3)),"")</f>
        <v/>
      </c>
      <c r="K7" s="545">
        <f>IFERROR(IF(INDEX('Final Calculation Sheet'!$C$4:$C$40,$S13-3)="","",INDEX('Final Calculation Sheet'!$C$4:$C$40,$S13-3)),"")</f>
        <v/>
      </c>
      <c r="L7" s="544">
        <f>IFERROR(IF(INDEX('Final Calculation Sheet'!$C$4:$C$40,$S14-3)="","",INDEX('Final Calculation Sheet'!$C$4:$C$40,$S14-3)),"")</f>
        <v/>
      </c>
      <c r="M7" s="545">
        <f>IFERROR(IF(INDEX('Final Calculation Sheet'!$C$4:$C$40,$S15-3)="","",INDEX('Final Calculation Sheet'!$C$4:$C$40,$S15-3)),"")</f>
        <v/>
      </c>
      <c r="N7" s="544">
        <f>IFERROR(IF(INDEX('Final Calculation Sheet'!$C$4:$C$40,$S16-3)="","",INDEX('Final Calculation Sheet'!$C$4:$C$40,$S16-3)),"")</f>
        <v/>
      </c>
      <c r="O7" s="605" t="inlineStr">
        <is>
          <t>–</t>
        </is>
      </c>
      <c r="Q7">
        <f>IF('Final Calculation Sheet'!$G7=$B$3,COUNTIF('Final Calculation Sheet'!$G$4:$G7,$B$3),"")</f>
        <v/>
      </c>
      <c r="S7">
        <f>IFERROR(MATCH(4,$Q$4:$Q$40,0)+3,"")</f>
        <v/>
      </c>
      <c r="U7" t="inlineStr">
        <is>
          <t>KASHYAP TRADING CO</t>
        </is>
      </c>
    </row>
    <row r="8" ht="15" customHeight="1">
      <c r="A8" s="543" t="inlineStr">
        <is>
          <t>Bid Sheet</t>
        </is>
      </c>
      <c r="B8" s="69">
        <f>IFERROR(IF(INDEX('Final Calculation Sheet'!$D$4:$D$40,$S4-3)="","",INDEX('Final Calculation Sheet'!$D$4:$D$40,$S4-3)),"")</f>
        <v/>
      </c>
      <c r="C8" s="541">
        <f>IFERROR(IF(INDEX('Final Calculation Sheet'!$D$4:$D$40,$S5-3)="","",INDEX('Final Calculation Sheet'!$D$4:$D$40,$S5-3)),"")</f>
        <v/>
      </c>
      <c r="D8" s="69">
        <f>IFERROR(IF(INDEX('Final Calculation Sheet'!$D$4:$D$40,$S6-3)="","",INDEX('Final Calculation Sheet'!$D$4:$D$40,$S6-3)),"")</f>
        <v/>
      </c>
      <c r="E8" s="541">
        <f>IFERROR(IF(INDEX('Final Calculation Sheet'!$D$4:$D$40,$S7-3)="","",INDEX('Final Calculation Sheet'!$D$4:$D$40,$S7-3)),"")</f>
        <v/>
      </c>
      <c r="F8" s="69">
        <f>IFERROR(IF(INDEX('Final Calculation Sheet'!$D$4:$D$40,$S8-3)="","",INDEX('Final Calculation Sheet'!$D$4:$D$40,$S8-3)),"")</f>
        <v/>
      </c>
      <c r="G8" s="541">
        <f>IFERROR(IF(INDEX('Final Calculation Sheet'!$D$4:$D$40,$S9-3)="","",INDEX('Final Calculation Sheet'!$D$4:$D$40,$S9-3)),"")</f>
        <v/>
      </c>
      <c r="H8" s="69">
        <f>IFERROR(IF(INDEX('Final Calculation Sheet'!$D$4:$D$40,$S10-3)="","",INDEX('Final Calculation Sheet'!$D$4:$D$40,$S10-3)),"")</f>
        <v/>
      </c>
      <c r="I8" s="541">
        <f>IFERROR(IF(INDEX('Final Calculation Sheet'!$D$4:$D$40,$S11-3)="","",INDEX('Final Calculation Sheet'!$D$4:$D$40,$S11-3)),"")</f>
        <v/>
      </c>
      <c r="J8" s="69">
        <f>IFERROR(IF(INDEX('Final Calculation Sheet'!$D$4:$D$40,$S12-3)="","",INDEX('Final Calculation Sheet'!$D$4:$D$40,$S12-3)),"")</f>
        <v/>
      </c>
      <c r="K8" s="541">
        <f>IFERROR(IF(INDEX('Final Calculation Sheet'!$D$4:$D$40,$S13-3)="","",INDEX('Final Calculation Sheet'!$D$4:$D$40,$S13-3)),"")</f>
        <v/>
      </c>
      <c r="L8" s="69">
        <f>IFERROR(IF(INDEX('Final Calculation Sheet'!$D$4:$D$40,$S14-3)="","",INDEX('Final Calculation Sheet'!$D$4:$D$40,$S14-3)),"")</f>
        <v/>
      </c>
      <c r="M8" s="541">
        <f>IFERROR(IF(INDEX('Final Calculation Sheet'!$D$4:$D$40,$S15-3)="","",INDEX('Final Calculation Sheet'!$D$4:$D$40,$S15-3)),"")</f>
        <v/>
      </c>
      <c r="N8" s="69">
        <f>IFERROR(IF(INDEX('Final Calculation Sheet'!$D$4:$D$40,$S16-3)="","",INDEX('Final Calculation Sheet'!$D$4:$D$40,$S16-3)),"")</f>
        <v/>
      </c>
      <c r="O8" s="542" t="inlineStr">
        <is>
          <t>–</t>
        </is>
      </c>
      <c r="Q8">
        <f>IF('Final Calculation Sheet'!$G8=$B$3,COUNTIF('Final Calculation Sheet'!$G$4:$G8,$B$3),"")</f>
        <v/>
      </c>
      <c r="S8">
        <f>IFERROR(MATCH(5,$Q$4:$Q$40,0)+3,"")</f>
        <v/>
      </c>
      <c r="U8" t="inlineStr">
        <is>
          <t>M I SCRAP TRADERS</t>
        </is>
      </c>
    </row>
    <row r="9" ht="15" customHeight="1">
      <c r="A9" s="540" t="inlineStr">
        <is>
          <t>Unit</t>
        </is>
      </c>
      <c r="B9" s="69">
        <f>IFERROR(IF(INDEX('Final Calculation Sheet'!$E$4:$E$40,$S4-3)="","",INDEX('Final Calculation Sheet'!$E$4:$E$40,$S4-3)),"")</f>
        <v/>
      </c>
      <c r="C9" s="541">
        <f>IFERROR(IF(INDEX('Final Calculation Sheet'!$E$4:$E$40,$S5-3)="","",INDEX('Final Calculation Sheet'!$E$4:$E$40,$S5-3)),"")</f>
        <v/>
      </c>
      <c r="D9" s="69">
        <f>IFERROR(IF(INDEX('Final Calculation Sheet'!$E$4:$E$40,$S6-3)="","",INDEX('Final Calculation Sheet'!$E$4:$E$40,$S6-3)),"")</f>
        <v/>
      </c>
      <c r="E9" s="541">
        <f>IFERROR(IF(INDEX('Final Calculation Sheet'!$E$4:$E$40,$S7-3)="","",INDEX('Final Calculation Sheet'!$E$4:$E$40,$S7-3)),"")</f>
        <v/>
      </c>
      <c r="F9" s="69">
        <f>IFERROR(IF(INDEX('Final Calculation Sheet'!$E$4:$E$40,$S8-3)="","",INDEX('Final Calculation Sheet'!$E$4:$E$40,$S8-3)),"")</f>
        <v/>
      </c>
      <c r="G9" s="541">
        <f>IFERROR(IF(INDEX('Final Calculation Sheet'!$E$4:$E$40,$S9-3)="","",INDEX('Final Calculation Sheet'!$E$4:$E$40,$S9-3)),"")</f>
        <v/>
      </c>
      <c r="H9" s="69">
        <f>IFERROR(IF(INDEX('Final Calculation Sheet'!$E$4:$E$40,$S10-3)="","",INDEX('Final Calculation Sheet'!$E$4:$E$40,$S10-3)),"")</f>
        <v/>
      </c>
      <c r="I9" s="541">
        <f>IFERROR(IF(INDEX('Final Calculation Sheet'!$E$4:$E$40,$S11-3)="","",INDEX('Final Calculation Sheet'!$E$4:$E$40,$S11-3)),"")</f>
        <v/>
      </c>
      <c r="J9" s="69">
        <f>IFERROR(IF(INDEX('Final Calculation Sheet'!$E$4:$E$40,$S12-3)="","",INDEX('Final Calculation Sheet'!$E$4:$E$40,$S12-3)),"")</f>
        <v/>
      </c>
      <c r="K9" s="541">
        <f>IFERROR(IF(INDEX('Final Calculation Sheet'!$E$4:$E$40,$S13-3)="","",INDEX('Final Calculation Sheet'!$E$4:$E$40,$S13-3)),"")</f>
        <v/>
      </c>
      <c r="L9" s="69">
        <f>IFERROR(IF(INDEX('Final Calculation Sheet'!$E$4:$E$40,$S14-3)="","",INDEX('Final Calculation Sheet'!$E$4:$E$40,$S14-3)),"")</f>
        <v/>
      </c>
      <c r="M9" s="541">
        <f>IFERROR(IF(INDEX('Final Calculation Sheet'!$E$4:$E$40,$S15-3)="","",INDEX('Final Calculation Sheet'!$E$4:$E$40,$S15-3)),"")</f>
        <v/>
      </c>
      <c r="N9" s="69">
        <f>IFERROR(IF(INDEX('Final Calculation Sheet'!$E$4:$E$40,$S16-3)="","",INDEX('Final Calculation Sheet'!$E$4:$E$40,$S16-3)),"")</f>
        <v/>
      </c>
      <c r="O9" s="542" t="inlineStr">
        <is>
          <t>–</t>
        </is>
      </c>
      <c r="Q9">
        <f>IF('Final Calculation Sheet'!$G9=$B$3,COUNTIF('Final Calculation Sheet'!$G$4:$G9,$B$3),"")</f>
        <v/>
      </c>
      <c r="S9">
        <f>IFERROR(MATCH(6,$Q$4:$Q$40,0)+3,"")</f>
        <v/>
      </c>
      <c r="U9" t="inlineStr">
        <is>
          <t>NATIONAL ENTERPRISES</t>
        </is>
      </c>
    </row>
    <row r="10" ht="15" customHeight="1">
      <c r="A10" s="543" t="inlineStr">
        <is>
          <t>Lot No.</t>
        </is>
      </c>
      <c r="B10" s="69">
        <f>IFERROR(IF(INDEX('Final Calculation Sheet'!$F$4:$F$40,$S4-3)="","",INDEX('Final Calculation Sheet'!$F$4:$F$40,$S4-3)),"")</f>
        <v/>
      </c>
      <c r="C10" s="541">
        <f>IFERROR(IF(INDEX('Final Calculation Sheet'!$F$4:$F$40,$S5-3)="","",INDEX('Final Calculation Sheet'!$F$4:$F$40,$S5-3)),"")</f>
        <v/>
      </c>
      <c r="D10" s="69">
        <f>IFERROR(IF(INDEX('Final Calculation Sheet'!$F$4:$F$40,$S6-3)="","",INDEX('Final Calculation Sheet'!$F$4:$F$40,$S6-3)),"")</f>
        <v/>
      </c>
      <c r="E10" s="541">
        <f>IFERROR(IF(INDEX('Final Calculation Sheet'!$F$4:$F$40,$S7-3)="","",INDEX('Final Calculation Sheet'!$F$4:$F$40,$S7-3)),"")</f>
        <v/>
      </c>
      <c r="F10" s="69">
        <f>IFERROR(IF(INDEX('Final Calculation Sheet'!$F$4:$F$40,$S8-3)="","",INDEX('Final Calculation Sheet'!$F$4:$F$40,$S8-3)),"")</f>
        <v/>
      </c>
      <c r="G10" s="541">
        <f>IFERROR(IF(INDEX('Final Calculation Sheet'!$F$4:$F$40,$S9-3)="","",INDEX('Final Calculation Sheet'!$F$4:$F$40,$S9-3)),"")</f>
        <v/>
      </c>
      <c r="H10" s="69">
        <f>IFERROR(IF(INDEX('Final Calculation Sheet'!$F$4:$F$40,$S10-3)="","",INDEX('Final Calculation Sheet'!$F$4:$F$40,$S10-3)),"")</f>
        <v/>
      </c>
      <c r="I10" s="541">
        <f>IFERROR(IF(INDEX('Final Calculation Sheet'!$F$4:$F$40,$S11-3)="","",INDEX('Final Calculation Sheet'!$F$4:$F$40,$S11-3)),"")</f>
        <v/>
      </c>
      <c r="J10" s="69">
        <f>IFERROR(IF(INDEX('Final Calculation Sheet'!$F$4:$F$40,$S12-3)="","",INDEX('Final Calculation Sheet'!$F$4:$F$40,$S12-3)),"")</f>
        <v/>
      </c>
      <c r="K10" s="541">
        <f>IFERROR(IF(INDEX('Final Calculation Sheet'!$F$4:$F$40,$S13-3)="","",INDEX('Final Calculation Sheet'!$F$4:$F$40,$S13-3)),"")</f>
        <v/>
      </c>
      <c r="L10" s="69">
        <f>IFERROR(IF(INDEX('Final Calculation Sheet'!$F$4:$F$40,$S14-3)="","",INDEX('Final Calculation Sheet'!$F$4:$F$40,$S14-3)),"")</f>
        <v/>
      </c>
      <c r="M10" s="541">
        <f>IFERROR(IF(INDEX('Final Calculation Sheet'!$F$4:$F$40,$S15-3)="","",INDEX('Final Calculation Sheet'!$F$4:$F$40,$S15-3)),"")</f>
        <v/>
      </c>
      <c r="N10" s="69">
        <f>IFERROR(IF(INDEX('Final Calculation Sheet'!$F$4:$F$40,$S16-3)="","",INDEX('Final Calculation Sheet'!$F$4:$F$40,$S16-3)),"")</f>
        <v/>
      </c>
      <c r="O10" s="542" t="inlineStr">
        <is>
          <t>–</t>
        </is>
      </c>
      <c r="Q10">
        <f>IF('Final Calculation Sheet'!$G10=$B$3,COUNTIF('Final Calculation Sheet'!$G$4:$G10,$B$3),"")</f>
        <v/>
      </c>
      <c r="S10">
        <f>IFERROR(MATCH(7,$Q$4:$Q$40,0)+3,"")</f>
        <v/>
      </c>
      <c r="U10" t="inlineStr">
        <is>
          <t>NATIONAL SCRAP AND BUILDING MATERIAL SUPPLIER</t>
        </is>
      </c>
    </row>
    <row r="11" ht="15" customHeight="1">
      <c r="A11" s="540" t="inlineStr">
        <is>
          <t>Buyer</t>
        </is>
      </c>
      <c r="B11" s="69">
        <f>IFERROR(IF(INDEX('Final Calculation Sheet'!$G$4:$G$40,$S4-3)="","",INDEX('Final Calculation Sheet'!$G$4:$G$40,$S4-3)),"")</f>
        <v/>
      </c>
      <c r="C11" s="541">
        <f>IFERROR(IF(INDEX('Final Calculation Sheet'!$G$4:$G$40,$S5-3)="","",INDEX('Final Calculation Sheet'!$G$4:$G$40,$S5-3)),"")</f>
        <v/>
      </c>
      <c r="D11" s="69">
        <f>IFERROR(IF(INDEX('Final Calculation Sheet'!$G$4:$G$40,$S6-3)="","",INDEX('Final Calculation Sheet'!$G$4:$G$40,$S6-3)),"")</f>
        <v/>
      </c>
      <c r="E11" s="541">
        <f>IFERROR(IF(INDEX('Final Calculation Sheet'!$G$4:$G$40,$S7-3)="","",INDEX('Final Calculation Sheet'!$G$4:$G$40,$S7-3)),"")</f>
        <v/>
      </c>
      <c r="F11" s="69">
        <f>IFERROR(IF(INDEX('Final Calculation Sheet'!$G$4:$G$40,$S8-3)="","",INDEX('Final Calculation Sheet'!$G$4:$G$40,$S8-3)),"")</f>
        <v/>
      </c>
      <c r="G11" s="541">
        <f>IFERROR(IF(INDEX('Final Calculation Sheet'!$G$4:$G$40,$S9-3)="","",INDEX('Final Calculation Sheet'!$G$4:$G$40,$S9-3)),"")</f>
        <v/>
      </c>
      <c r="H11" s="69">
        <f>IFERROR(IF(INDEX('Final Calculation Sheet'!$G$4:$G$40,$S10-3)="","",INDEX('Final Calculation Sheet'!$G$4:$G$40,$S10-3)),"")</f>
        <v/>
      </c>
      <c r="I11" s="541">
        <f>IFERROR(IF(INDEX('Final Calculation Sheet'!$G$4:$G$40,$S11-3)="","",INDEX('Final Calculation Sheet'!$G$4:$G$40,$S11-3)),"")</f>
        <v/>
      </c>
      <c r="J11" s="69">
        <f>IFERROR(IF(INDEX('Final Calculation Sheet'!$G$4:$G$40,$S12-3)="","",INDEX('Final Calculation Sheet'!$G$4:$G$40,$S12-3)),"")</f>
        <v/>
      </c>
      <c r="K11" s="541">
        <f>IFERROR(IF(INDEX('Final Calculation Sheet'!$G$4:$G$40,$S13-3)="","",INDEX('Final Calculation Sheet'!$G$4:$G$40,$S13-3)),"")</f>
        <v/>
      </c>
      <c r="L11" s="69">
        <f>IFERROR(IF(INDEX('Final Calculation Sheet'!$G$4:$G$40,$S14-3)="","",INDEX('Final Calculation Sheet'!$G$4:$G$40,$S14-3)),"")</f>
        <v/>
      </c>
      <c r="M11" s="541">
        <f>IFERROR(IF(INDEX('Final Calculation Sheet'!$G$4:$G$40,$S15-3)="","",INDEX('Final Calculation Sheet'!$G$4:$G$40,$S15-3)),"")</f>
        <v/>
      </c>
      <c r="N11" s="69">
        <f>IFERROR(IF(INDEX('Final Calculation Sheet'!$G$4:$G$40,$S16-3)="","",INDEX('Final Calculation Sheet'!$G$4:$G$40,$S16-3)),"")</f>
        <v/>
      </c>
      <c r="O11" s="542" t="inlineStr">
        <is>
          <t>–</t>
        </is>
      </c>
      <c r="Q11">
        <f>IF('Final Calculation Sheet'!$G11=$B$3,COUNTIF('Final Calculation Sheet'!$G$4:$G11,$B$3),"")</f>
        <v/>
      </c>
      <c r="S11">
        <f>IFERROR(MATCH(8,$Q$4:$Q$40,0)+3,"")</f>
        <v/>
      </c>
      <c r="U11" t="inlineStr">
        <is>
          <t>OMKAR STEELS</t>
        </is>
      </c>
    </row>
    <row r="12" ht="15" customHeight="1">
      <c r="A12" s="543" t="inlineStr">
        <is>
          <t>Mat. Value</t>
        </is>
      </c>
      <c r="B12" s="544">
        <f>IFERROR(IF(INDEX('Final Calculation Sheet'!$H$4:$H$40,$S4-3)="","",INDEX('Final Calculation Sheet'!$H$4:$H$40,$S4-3)),"")</f>
        <v/>
      </c>
      <c r="C12" s="545">
        <f>IFERROR(IF(INDEX('Final Calculation Sheet'!$H$4:$H$40,$S5-3)="","",INDEX('Final Calculation Sheet'!$H$4:$H$40,$S5-3)),"")</f>
        <v/>
      </c>
      <c r="D12" s="544">
        <f>IFERROR(IF(INDEX('Final Calculation Sheet'!$H$4:$H$40,$S6-3)="","",INDEX('Final Calculation Sheet'!$H$4:$H$40,$S6-3)),"")</f>
        <v/>
      </c>
      <c r="E12" s="545">
        <f>IFERROR(IF(INDEX('Final Calculation Sheet'!$H$4:$H$40,$S7-3)="","",INDEX('Final Calculation Sheet'!$H$4:$H$40,$S7-3)),"")</f>
        <v/>
      </c>
      <c r="F12" s="544">
        <f>IFERROR(IF(INDEX('Final Calculation Sheet'!$H$4:$H$40,$S8-3)="","",INDEX('Final Calculation Sheet'!$H$4:$H$40,$S8-3)),"")</f>
        <v/>
      </c>
      <c r="G12" s="545">
        <f>IFERROR(IF(INDEX('Final Calculation Sheet'!$H$4:$H$40,$S9-3)="","",INDEX('Final Calculation Sheet'!$H$4:$H$40,$S9-3)),"")</f>
        <v/>
      </c>
      <c r="H12" s="544">
        <f>IFERROR(IF(INDEX('Final Calculation Sheet'!$H$4:$H$40,$S10-3)="","",INDEX('Final Calculation Sheet'!$H$4:$H$40,$S10-3)),"")</f>
        <v/>
      </c>
      <c r="I12" s="545">
        <f>IFERROR(IF(INDEX('Final Calculation Sheet'!$H$4:$H$40,$S11-3)="","",INDEX('Final Calculation Sheet'!$H$4:$H$40,$S11-3)),"")</f>
        <v/>
      </c>
      <c r="J12" s="544">
        <f>IFERROR(IF(INDEX('Final Calculation Sheet'!$H$4:$H$40,$S12-3)="","",INDEX('Final Calculation Sheet'!$H$4:$H$40,$S12-3)),"")</f>
        <v/>
      </c>
      <c r="K12" s="545">
        <f>IFERROR(IF(INDEX('Final Calculation Sheet'!$H$4:$H$40,$S13-3)="","",INDEX('Final Calculation Sheet'!$H$4:$H$40,$S13-3)),"")</f>
        <v/>
      </c>
      <c r="L12" s="544">
        <f>IFERROR(IF(INDEX('Final Calculation Sheet'!$H$4:$H$40,$S14-3)="","",INDEX('Final Calculation Sheet'!$H$4:$H$40,$S14-3)),"")</f>
        <v/>
      </c>
      <c r="M12" s="545">
        <f>IFERROR(IF(INDEX('Final Calculation Sheet'!$H$4:$H$40,$S15-3)="","",INDEX('Final Calculation Sheet'!$H$4:$H$40,$S15-3)),"")</f>
        <v/>
      </c>
      <c r="N12" s="544">
        <f>IFERROR(IF(INDEX('Final Calculation Sheet'!$H$4:$H$40,$S16-3)="","",INDEX('Final Calculation Sheet'!$H$4:$H$40,$S16-3)),"")</f>
        <v/>
      </c>
      <c r="O12" s="546">
        <f>IF(COUNT(B12:N12)=0,"",SUM(B12:N12))</f>
        <v/>
      </c>
      <c r="Q12">
        <f>IF('Final Calculation Sheet'!$G12=$B$3,COUNTIF('Final Calculation Sheet'!$G$4:$G12,$B$3),"")</f>
        <v/>
      </c>
      <c r="S12">
        <f>IFERROR(MATCH(9,$Q$4:$Q$40,0)+3,"")</f>
        <v/>
      </c>
      <c r="U12" t="inlineStr">
        <is>
          <t>S M ENTERPRISES</t>
        </is>
      </c>
    </row>
    <row r="13" ht="15" customHeight="1">
      <c r="A13" s="540" t="inlineStr">
        <is>
          <t>GST</t>
        </is>
      </c>
      <c r="B13" s="544">
        <f>IFERROR(IF(INDEX('Final Calculation Sheet'!$I$4:$I$40,$S4-3)="","",INDEX('Final Calculation Sheet'!$I$4:$I$40,$S4-3)),"")</f>
        <v/>
      </c>
      <c r="C13" s="545">
        <f>IFERROR(IF(INDEX('Final Calculation Sheet'!$I$4:$I$40,$S5-3)="","",INDEX('Final Calculation Sheet'!$I$4:$I$40,$S5-3)),"")</f>
        <v/>
      </c>
      <c r="D13" s="544">
        <f>IFERROR(IF(INDEX('Final Calculation Sheet'!$I$4:$I$40,$S6-3)="","",INDEX('Final Calculation Sheet'!$I$4:$I$40,$S6-3)),"")</f>
        <v/>
      </c>
      <c r="E13" s="545">
        <f>IFERROR(IF(INDEX('Final Calculation Sheet'!$I$4:$I$40,$S7-3)="","",INDEX('Final Calculation Sheet'!$I$4:$I$40,$S7-3)),"")</f>
        <v/>
      </c>
      <c r="F13" s="544">
        <f>IFERROR(IF(INDEX('Final Calculation Sheet'!$I$4:$I$40,$S8-3)="","",INDEX('Final Calculation Sheet'!$I$4:$I$40,$S8-3)),"")</f>
        <v/>
      </c>
      <c r="G13" s="545">
        <f>IFERROR(IF(INDEX('Final Calculation Sheet'!$I$4:$I$40,$S9-3)="","",INDEX('Final Calculation Sheet'!$I$4:$I$40,$S9-3)),"")</f>
        <v/>
      </c>
      <c r="H13" s="544">
        <f>IFERROR(IF(INDEX('Final Calculation Sheet'!$I$4:$I$40,$S10-3)="","",INDEX('Final Calculation Sheet'!$I$4:$I$40,$S10-3)),"")</f>
        <v/>
      </c>
      <c r="I13" s="545">
        <f>IFERROR(IF(INDEX('Final Calculation Sheet'!$I$4:$I$40,$S11-3)="","",INDEX('Final Calculation Sheet'!$I$4:$I$40,$S11-3)),"")</f>
        <v/>
      </c>
      <c r="J13" s="544">
        <f>IFERROR(IF(INDEX('Final Calculation Sheet'!$I$4:$I$40,$S12-3)="","",INDEX('Final Calculation Sheet'!$I$4:$I$40,$S12-3)),"")</f>
        <v/>
      </c>
      <c r="K13" s="545">
        <f>IFERROR(IF(INDEX('Final Calculation Sheet'!$I$4:$I$40,$S13-3)="","",INDEX('Final Calculation Sheet'!$I$4:$I$40,$S13-3)),"")</f>
        <v/>
      </c>
      <c r="L13" s="544">
        <f>IFERROR(IF(INDEX('Final Calculation Sheet'!$I$4:$I$40,$S14-3)="","",INDEX('Final Calculation Sheet'!$I$4:$I$40,$S14-3)),"")</f>
        <v/>
      </c>
      <c r="M13" s="545">
        <f>IFERROR(IF(INDEX('Final Calculation Sheet'!$I$4:$I$40,$S15-3)="","",INDEX('Final Calculation Sheet'!$I$4:$I$40,$S15-3)),"")</f>
        <v/>
      </c>
      <c r="N13" s="544">
        <f>IFERROR(IF(INDEX('Final Calculation Sheet'!$I$4:$I$40,$S16-3)="","",INDEX('Final Calculation Sheet'!$I$4:$I$40,$S16-3)),"")</f>
        <v/>
      </c>
      <c r="O13" s="546">
        <f>IF(COUNT(B13:N13)=0,"",SUM(B13:N13))</f>
        <v/>
      </c>
      <c r="Q13">
        <f>IF('Final Calculation Sheet'!$G13=$B$3,COUNTIF('Final Calculation Sheet'!$G$4:$G13,$B$3),"")</f>
        <v/>
      </c>
      <c r="S13">
        <f>IFERROR(MATCH(10,$Q$4:$Q$40,0)+3,"")</f>
        <v/>
      </c>
      <c r="U13" t="inlineStr">
        <is>
          <t>SAHARA ENTERPRISES</t>
        </is>
      </c>
    </row>
    <row r="14" ht="15" customHeight="1">
      <c r="A14" s="543" t="inlineStr">
        <is>
          <t>Mat. Value + GST</t>
        </is>
      </c>
      <c r="B14" s="544">
        <f>IFERROR(IF(INDEX('Final Calculation Sheet'!$J$4:$J$40,$S4-3)="","",INDEX('Final Calculation Sheet'!$J$4:$J$40,$S4-3)),"")</f>
        <v/>
      </c>
      <c r="C14" s="545">
        <f>IFERROR(IF(INDEX('Final Calculation Sheet'!$J$4:$J$40,$S5-3)="","",INDEX('Final Calculation Sheet'!$J$4:$J$40,$S5-3)),"")</f>
        <v/>
      </c>
      <c r="D14" s="544">
        <f>IFERROR(IF(INDEX('Final Calculation Sheet'!$J$4:$J$40,$S6-3)="","",INDEX('Final Calculation Sheet'!$J$4:$J$40,$S6-3)),"")</f>
        <v/>
      </c>
      <c r="E14" s="545">
        <f>IFERROR(IF(INDEX('Final Calculation Sheet'!$J$4:$J$40,$S7-3)="","",INDEX('Final Calculation Sheet'!$J$4:$J$40,$S7-3)),"")</f>
        <v/>
      </c>
      <c r="F14" s="544">
        <f>IFERROR(IF(INDEX('Final Calculation Sheet'!$J$4:$J$40,$S8-3)="","",INDEX('Final Calculation Sheet'!$J$4:$J$40,$S8-3)),"")</f>
        <v/>
      </c>
      <c r="G14" s="545">
        <f>IFERROR(IF(INDEX('Final Calculation Sheet'!$J$4:$J$40,$S9-3)="","",INDEX('Final Calculation Sheet'!$J$4:$J$40,$S9-3)),"")</f>
        <v/>
      </c>
      <c r="H14" s="544">
        <f>IFERROR(IF(INDEX('Final Calculation Sheet'!$J$4:$J$40,$S10-3)="","",INDEX('Final Calculation Sheet'!$J$4:$J$40,$S10-3)),"")</f>
        <v/>
      </c>
      <c r="I14" s="545">
        <f>IFERROR(IF(INDEX('Final Calculation Sheet'!$J$4:$J$40,$S11-3)="","",INDEX('Final Calculation Sheet'!$J$4:$J$40,$S11-3)),"")</f>
        <v/>
      </c>
      <c r="J14" s="544">
        <f>IFERROR(IF(INDEX('Final Calculation Sheet'!$J$4:$J$40,$S12-3)="","",INDEX('Final Calculation Sheet'!$J$4:$J$40,$S12-3)),"")</f>
        <v/>
      </c>
      <c r="K14" s="545">
        <f>IFERROR(IF(INDEX('Final Calculation Sheet'!$J$4:$J$40,$S13-3)="","",INDEX('Final Calculation Sheet'!$J$4:$J$40,$S13-3)),"")</f>
        <v/>
      </c>
      <c r="L14" s="544">
        <f>IFERROR(IF(INDEX('Final Calculation Sheet'!$J$4:$J$40,$S14-3)="","",INDEX('Final Calculation Sheet'!$J$4:$J$40,$S14-3)),"")</f>
        <v/>
      </c>
      <c r="M14" s="545">
        <f>IFERROR(IF(INDEX('Final Calculation Sheet'!$J$4:$J$40,$S15-3)="","",INDEX('Final Calculation Sheet'!$J$4:$J$40,$S15-3)),"")</f>
        <v/>
      </c>
      <c r="N14" s="544">
        <f>IFERROR(IF(INDEX('Final Calculation Sheet'!$J$4:$J$40,$S16-3)="","",INDEX('Final Calculation Sheet'!$J$4:$J$40,$S16-3)),"")</f>
        <v/>
      </c>
      <c r="O14" s="546">
        <f>IF(COUNT(B14:N14)=0,"",SUM(B14:N14))</f>
        <v/>
      </c>
      <c r="Q14">
        <f>IF('Final Calculation Sheet'!$G14=$B$3,COUNTIF('Final Calculation Sheet'!$G$4:$G14,$B$3),"")</f>
        <v/>
      </c>
      <c r="S14">
        <f>IFERROR(MATCH(11,$Q$4:$Q$40,0)+3,"")</f>
        <v/>
      </c>
      <c r="U14" t="inlineStr">
        <is>
          <t>SHAR JAHAN TRADERS</t>
        </is>
      </c>
    </row>
    <row r="15" ht="15" customHeight="1">
      <c r="A15" s="540" t="inlineStr">
        <is>
          <t>TCS</t>
        </is>
      </c>
      <c r="B15" s="544">
        <f>IFERROR(IF(INDEX('Final Calculation Sheet'!$K$4:$K$40,$S4-3)="","",INDEX('Final Calculation Sheet'!$K$4:$K$40,$S4-3)),"")</f>
        <v/>
      </c>
      <c r="C15" s="545">
        <f>IFERROR(IF(INDEX('Final Calculation Sheet'!$K$4:$K$40,$S5-3)="","",INDEX('Final Calculation Sheet'!$K$4:$K$40,$S5-3)),"")</f>
        <v/>
      </c>
      <c r="D15" s="544">
        <f>IFERROR(IF(INDEX('Final Calculation Sheet'!$K$4:$K$40,$S6-3)="","",INDEX('Final Calculation Sheet'!$K$4:$K$40,$S6-3)),"")</f>
        <v/>
      </c>
      <c r="E15" s="545">
        <f>IFERROR(IF(INDEX('Final Calculation Sheet'!$K$4:$K$40,$S7-3)="","",INDEX('Final Calculation Sheet'!$K$4:$K$40,$S7-3)),"")</f>
        <v/>
      </c>
      <c r="F15" s="544">
        <f>IFERROR(IF(INDEX('Final Calculation Sheet'!$K$4:$K$40,$S8-3)="","",INDEX('Final Calculation Sheet'!$K$4:$K$40,$S8-3)),"")</f>
        <v/>
      </c>
      <c r="G15" s="545">
        <f>IFERROR(IF(INDEX('Final Calculation Sheet'!$K$4:$K$40,$S9-3)="","",INDEX('Final Calculation Sheet'!$K$4:$K$40,$S9-3)),"")</f>
        <v/>
      </c>
      <c r="H15" s="544">
        <f>IFERROR(IF(INDEX('Final Calculation Sheet'!$K$4:$K$40,$S10-3)="","",INDEX('Final Calculation Sheet'!$K$4:$K$40,$S10-3)),"")</f>
        <v/>
      </c>
      <c r="I15" s="545">
        <f>IFERROR(IF(INDEX('Final Calculation Sheet'!$K$4:$K$40,$S11-3)="","",INDEX('Final Calculation Sheet'!$K$4:$K$40,$S11-3)),"")</f>
        <v/>
      </c>
      <c r="J15" s="544">
        <f>IFERROR(IF(INDEX('Final Calculation Sheet'!$K$4:$K$40,$S12-3)="","",INDEX('Final Calculation Sheet'!$K$4:$K$40,$S12-3)),"")</f>
        <v/>
      </c>
      <c r="K15" s="545">
        <f>IFERROR(IF(INDEX('Final Calculation Sheet'!$K$4:$K$40,$S13-3)="","",INDEX('Final Calculation Sheet'!$K$4:$K$40,$S13-3)),"")</f>
        <v/>
      </c>
      <c r="L15" s="544">
        <f>IFERROR(IF(INDEX('Final Calculation Sheet'!$K$4:$K$40,$S14-3)="","",INDEX('Final Calculation Sheet'!$K$4:$K$40,$S14-3)),"")</f>
        <v/>
      </c>
      <c r="M15" s="545">
        <f>IFERROR(IF(INDEX('Final Calculation Sheet'!$K$4:$K$40,$S15-3)="","",INDEX('Final Calculation Sheet'!$K$4:$K$40,$S15-3)),"")</f>
        <v/>
      </c>
      <c r="N15" s="544">
        <f>IFERROR(IF(INDEX('Final Calculation Sheet'!$K$4:$K$40,$S16-3)="","",INDEX('Final Calculation Sheet'!$K$4:$K$40,$S16-3)),"")</f>
        <v/>
      </c>
      <c r="O15" s="546">
        <f>IF(COUNT(B15:N15)=0,"",SUM(B15:N15))</f>
        <v/>
      </c>
      <c r="Q15">
        <f>IF('Final Calculation Sheet'!$G15=$B$3,COUNTIF('Final Calculation Sheet'!$G$4:$G15,$B$3),"")</f>
        <v/>
      </c>
      <c r="S15">
        <f>IFERROR(MATCH(12,$Q$4:$Q$40,0)+3,"")</f>
        <v/>
      </c>
      <c r="U15" t="inlineStr">
        <is>
          <t>STERLING ENTERPRISES</t>
        </is>
      </c>
    </row>
    <row r="16" ht="15" customHeight="1">
      <c r="A16" s="543" t="inlineStr">
        <is>
          <t>TDS u/s 194(O)</t>
        </is>
      </c>
      <c r="B16" s="544">
        <f>IFERROR(IF(INDEX('Final Calculation Sheet'!$L$4:$L$40,$S4-3)="","",INDEX('Final Calculation Sheet'!$L$4:$L$40,$S4-3)),"")</f>
        <v/>
      </c>
      <c r="C16" s="545">
        <f>IFERROR(IF(INDEX('Final Calculation Sheet'!$L$4:$L$40,$S5-3)="","",INDEX('Final Calculation Sheet'!$L$4:$L$40,$S5-3)),"")</f>
        <v/>
      </c>
      <c r="D16" s="544">
        <f>IFERROR(IF(INDEX('Final Calculation Sheet'!$L$4:$L$40,$S6-3)="","",INDEX('Final Calculation Sheet'!$L$4:$L$40,$S6-3)),"")</f>
        <v/>
      </c>
      <c r="E16" s="545">
        <f>IFERROR(IF(INDEX('Final Calculation Sheet'!$L$4:$L$40,$S7-3)="","",INDEX('Final Calculation Sheet'!$L$4:$L$40,$S7-3)),"")</f>
        <v/>
      </c>
      <c r="F16" s="544">
        <f>IFERROR(IF(INDEX('Final Calculation Sheet'!$L$4:$L$40,$S8-3)="","",INDEX('Final Calculation Sheet'!$L$4:$L$40,$S8-3)),"")</f>
        <v/>
      </c>
      <c r="G16" s="545">
        <f>IFERROR(IF(INDEX('Final Calculation Sheet'!$L$4:$L$40,$S9-3)="","",INDEX('Final Calculation Sheet'!$L$4:$L$40,$S9-3)),"")</f>
        <v/>
      </c>
      <c r="H16" s="544">
        <f>IFERROR(IF(INDEX('Final Calculation Sheet'!$L$4:$L$40,$S10-3)="","",INDEX('Final Calculation Sheet'!$L$4:$L$40,$S10-3)),"")</f>
        <v/>
      </c>
      <c r="I16" s="545">
        <f>IFERROR(IF(INDEX('Final Calculation Sheet'!$L$4:$L$40,$S11-3)="","",INDEX('Final Calculation Sheet'!$L$4:$L$40,$S11-3)),"")</f>
        <v/>
      </c>
      <c r="J16" s="544">
        <f>IFERROR(IF(INDEX('Final Calculation Sheet'!$L$4:$L$40,$S12-3)="","",INDEX('Final Calculation Sheet'!$L$4:$L$40,$S12-3)),"")</f>
        <v/>
      </c>
      <c r="K16" s="545">
        <f>IFERROR(IF(INDEX('Final Calculation Sheet'!$L$4:$L$40,$S13-3)="","",INDEX('Final Calculation Sheet'!$L$4:$L$40,$S13-3)),"")</f>
        <v/>
      </c>
      <c r="L16" s="544">
        <f>IFERROR(IF(INDEX('Final Calculation Sheet'!$L$4:$L$40,$S14-3)="","",INDEX('Final Calculation Sheet'!$L$4:$L$40,$S14-3)),"")</f>
        <v/>
      </c>
      <c r="M16" s="545">
        <f>IFERROR(IF(INDEX('Final Calculation Sheet'!$L$4:$L$40,$S15-3)="","",INDEX('Final Calculation Sheet'!$L$4:$L$40,$S15-3)),"")</f>
        <v/>
      </c>
      <c r="N16" s="544">
        <f>IFERROR(IF(INDEX('Final Calculation Sheet'!$L$4:$L$40,$S16-3)="","",INDEX('Final Calculation Sheet'!$L$4:$L$40,$S16-3)),"")</f>
        <v/>
      </c>
      <c r="O16" s="546">
        <f>IF(COUNT(B16:N16)=0,"",SUM(B16:N16))</f>
        <v/>
      </c>
      <c r="Q16">
        <f>IF('Final Calculation Sheet'!$G16=$B$3,COUNTIF('Final Calculation Sheet'!$G$4:$G16,$B$3),"")</f>
        <v/>
      </c>
      <c r="S16">
        <f>IFERROR(MATCH(13,$Q$4:$Q$40,0)+3,"")</f>
        <v/>
      </c>
      <c r="U16" t="inlineStr">
        <is>
          <t>WATAN SCRAP TRADERS</t>
        </is>
      </c>
    </row>
    <row r="17" ht="15" customHeight="1">
      <c r="A17" s="540" t="inlineStr">
        <is>
          <t>Service Charge to MSTC</t>
        </is>
      </c>
      <c r="B17" s="544">
        <f>IFERROR(IF(INDEX('Final Calculation Sheet'!$M$4:$M$40,$S4-3)="","",INDEX('Final Calculation Sheet'!$M$4:$M$40,$S4-3)),"")</f>
        <v/>
      </c>
      <c r="C17" s="545">
        <f>IFERROR(IF(INDEX('Final Calculation Sheet'!$M$4:$M$40,$S5-3)="","",INDEX('Final Calculation Sheet'!$M$4:$M$40,$S5-3)),"")</f>
        <v/>
      </c>
      <c r="D17" s="544">
        <f>IFERROR(IF(INDEX('Final Calculation Sheet'!$M$4:$M$40,$S6-3)="","",INDEX('Final Calculation Sheet'!$M$4:$M$40,$S6-3)),"")</f>
        <v/>
      </c>
      <c r="E17" s="545">
        <f>IFERROR(IF(INDEX('Final Calculation Sheet'!$M$4:$M$40,$S7-3)="","",INDEX('Final Calculation Sheet'!$M$4:$M$40,$S7-3)),"")</f>
        <v/>
      </c>
      <c r="F17" s="544">
        <f>IFERROR(IF(INDEX('Final Calculation Sheet'!$M$4:$M$40,$S8-3)="","",INDEX('Final Calculation Sheet'!$M$4:$M$40,$S8-3)),"")</f>
        <v/>
      </c>
      <c r="G17" s="545">
        <f>IFERROR(IF(INDEX('Final Calculation Sheet'!$M$4:$M$40,$S9-3)="","",INDEX('Final Calculation Sheet'!$M$4:$M$40,$S9-3)),"")</f>
        <v/>
      </c>
      <c r="H17" s="544">
        <f>IFERROR(IF(INDEX('Final Calculation Sheet'!$M$4:$M$40,$S10-3)="","",INDEX('Final Calculation Sheet'!$M$4:$M$40,$S10-3)),"")</f>
        <v/>
      </c>
      <c r="I17" s="545">
        <f>IFERROR(IF(INDEX('Final Calculation Sheet'!$M$4:$M$40,$S11-3)="","",INDEX('Final Calculation Sheet'!$M$4:$M$40,$S11-3)),"")</f>
        <v/>
      </c>
      <c r="J17" s="544">
        <f>IFERROR(IF(INDEX('Final Calculation Sheet'!$M$4:$M$40,$S12-3)="","",INDEX('Final Calculation Sheet'!$M$4:$M$40,$S12-3)),"")</f>
        <v/>
      </c>
      <c r="K17" s="545">
        <f>IFERROR(IF(INDEX('Final Calculation Sheet'!$M$4:$M$40,$S13-3)="","",INDEX('Final Calculation Sheet'!$M$4:$M$40,$S13-3)),"")</f>
        <v/>
      </c>
      <c r="L17" s="544">
        <f>IFERROR(IF(INDEX('Final Calculation Sheet'!$M$4:$M$40,$S14-3)="","",INDEX('Final Calculation Sheet'!$M$4:$M$40,$S14-3)),"")</f>
        <v/>
      </c>
      <c r="M17" s="545">
        <f>IFERROR(IF(INDEX('Final Calculation Sheet'!$M$4:$M$40,$S15-3)="","",INDEX('Final Calculation Sheet'!$M$4:$M$40,$S15-3)),"")</f>
        <v/>
      </c>
      <c r="N17" s="544">
        <f>IFERROR(IF(INDEX('Final Calculation Sheet'!$M$4:$M$40,$S16-3)="","",INDEX('Final Calculation Sheet'!$M$4:$M$40,$S16-3)),"")</f>
        <v/>
      </c>
      <c r="O17" s="546">
        <f>IF(COUNT(B17:N17)=0,"",SUM(B17:N17))</f>
        <v/>
      </c>
      <c r="Q17">
        <f>IF('Final Calculation Sheet'!$G17=$B$3,COUNTIF('Final Calculation Sheet'!$G$4:$G17,$B$3),"")</f>
        <v/>
      </c>
    </row>
    <row r="18" ht="15" customHeight="1">
      <c r="A18" s="543" t="inlineStr">
        <is>
          <t>TDS u/s 194(H)</t>
        </is>
      </c>
      <c r="B18" s="547">
        <f>IFERROR(IF(INDEX('Final Calculation Sheet'!$N$4:$N$40,$S4-3)="","",INDEX('Final Calculation Sheet'!$N$4:$N$40,$S4-3)),"")</f>
        <v/>
      </c>
      <c r="C18" s="548">
        <f>IFERROR(IF(INDEX('Final Calculation Sheet'!$N$4:$N$40,$S5-3)="","",INDEX('Final Calculation Sheet'!$N$4:$N$40,$S5-3)),"")</f>
        <v/>
      </c>
      <c r="D18" s="547">
        <f>IFERROR(IF(INDEX('Final Calculation Sheet'!$N$4:$N$40,$S6-3)="","",INDEX('Final Calculation Sheet'!$N$4:$N$40,$S6-3)),"")</f>
        <v/>
      </c>
      <c r="E18" s="548">
        <f>IFERROR(IF(INDEX('Final Calculation Sheet'!$N$4:$N$40,$S7-3)="","",INDEX('Final Calculation Sheet'!$N$4:$N$40,$S7-3)),"")</f>
        <v/>
      </c>
      <c r="F18" s="547">
        <f>IFERROR(IF(INDEX('Final Calculation Sheet'!$N$4:$N$40,$S8-3)="","",INDEX('Final Calculation Sheet'!$N$4:$N$40,$S8-3)),"")</f>
        <v/>
      </c>
      <c r="G18" s="548">
        <f>IFERROR(IF(INDEX('Final Calculation Sheet'!$N$4:$N$40,$S9-3)="","",INDEX('Final Calculation Sheet'!$N$4:$N$40,$S9-3)),"")</f>
        <v/>
      </c>
      <c r="H18" s="547">
        <f>IFERROR(IF(INDEX('Final Calculation Sheet'!$N$4:$N$40,$S10-3)="","",INDEX('Final Calculation Sheet'!$N$4:$N$40,$S10-3)),"")</f>
        <v/>
      </c>
      <c r="I18" s="548">
        <f>IFERROR(IF(INDEX('Final Calculation Sheet'!$N$4:$N$40,$S11-3)="","",INDEX('Final Calculation Sheet'!$N$4:$N$40,$S11-3)),"")</f>
        <v/>
      </c>
      <c r="J18" s="547">
        <f>IFERROR(IF(INDEX('Final Calculation Sheet'!$N$4:$N$40,$S12-3)="","",INDEX('Final Calculation Sheet'!$N$4:$N$40,$S12-3)),"")</f>
        <v/>
      </c>
      <c r="K18" s="548">
        <f>IFERROR(IF(INDEX('Final Calculation Sheet'!$N$4:$N$40,$S13-3)="","",INDEX('Final Calculation Sheet'!$N$4:$N$40,$S13-3)),"")</f>
        <v/>
      </c>
      <c r="L18" s="547">
        <f>IFERROR(IF(INDEX('Final Calculation Sheet'!$N$4:$N$40,$S14-3)="","",INDEX('Final Calculation Sheet'!$N$4:$N$40,$S14-3)),"")</f>
        <v/>
      </c>
      <c r="M18" s="548">
        <f>IFERROR(IF(INDEX('Final Calculation Sheet'!$N$4:$N$40,$S15-3)="","",INDEX('Final Calculation Sheet'!$N$4:$N$40,$S15-3)),"")</f>
        <v/>
      </c>
      <c r="N18" s="547">
        <f>IFERROR(IF(INDEX('Final Calculation Sheet'!$N$4:$N$40,$S16-3)="","",INDEX('Final Calculation Sheet'!$N$4:$N$40,$S16-3)),"")</f>
        <v/>
      </c>
      <c r="O18" s="414">
        <f>IF(COUNT(B18:N18)=0,"",SUM(B18:N18))</f>
        <v/>
      </c>
      <c r="Q18">
        <f>IF('Final Calculation Sheet'!$G18=$B$3,COUNTIF('Final Calculation Sheet'!$G$4:$G18,$B$3),"")</f>
        <v/>
      </c>
    </row>
    <row r="19" ht="15" customHeight="1">
      <c r="A19" s="540" t="inlineStr">
        <is>
          <t>Net Service Charge (post TDS 194H)</t>
        </is>
      </c>
      <c r="B19" s="544">
        <f>IFERROR(IF(INDEX('Final Calculation Sheet'!$O$4:$O$40,$S4-3)="","",INDEX('Final Calculation Sheet'!$O$4:$O$40,$S4-3)),"")</f>
        <v/>
      </c>
      <c r="C19" s="545">
        <f>IFERROR(IF(INDEX('Final Calculation Sheet'!$O$4:$O$40,$S5-3)="","",INDEX('Final Calculation Sheet'!$O$4:$O$40,$S5-3)),"")</f>
        <v/>
      </c>
      <c r="D19" s="544">
        <f>IFERROR(IF(INDEX('Final Calculation Sheet'!$O$4:$O$40,$S6-3)="","",INDEX('Final Calculation Sheet'!$O$4:$O$40,$S6-3)),"")</f>
        <v/>
      </c>
      <c r="E19" s="545">
        <f>IFERROR(IF(INDEX('Final Calculation Sheet'!$O$4:$O$40,$S7-3)="","",INDEX('Final Calculation Sheet'!$O$4:$O$40,$S7-3)),"")</f>
        <v/>
      </c>
      <c r="F19" s="544">
        <f>IFERROR(IF(INDEX('Final Calculation Sheet'!$O$4:$O$40,$S8-3)="","",INDEX('Final Calculation Sheet'!$O$4:$O$40,$S8-3)),"")</f>
        <v/>
      </c>
      <c r="G19" s="545">
        <f>IFERROR(IF(INDEX('Final Calculation Sheet'!$O$4:$O$40,$S9-3)="","",INDEX('Final Calculation Sheet'!$O$4:$O$40,$S9-3)),"")</f>
        <v/>
      </c>
      <c r="H19" s="544">
        <f>IFERROR(IF(INDEX('Final Calculation Sheet'!$O$4:$O$40,$S10-3)="","",INDEX('Final Calculation Sheet'!$O$4:$O$40,$S10-3)),"")</f>
        <v/>
      </c>
      <c r="I19" s="545">
        <f>IFERROR(IF(INDEX('Final Calculation Sheet'!$O$4:$O$40,$S11-3)="","",INDEX('Final Calculation Sheet'!$O$4:$O$40,$S11-3)),"")</f>
        <v/>
      </c>
      <c r="J19" s="544">
        <f>IFERROR(IF(INDEX('Final Calculation Sheet'!$O$4:$O$40,$S12-3)="","",INDEX('Final Calculation Sheet'!$O$4:$O$40,$S12-3)),"")</f>
        <v/>
      </c>
      <c r="K19" s="545">
        <f>IFERROR(IF(INDEX('Final Calculation Sheet'!$O$4:$O$40,$S13-3)="","",INDEX('Final Calculation Sheet'!$O$4:$O$40,$S13-3)),"")</f>
        <v/>
      </c>
      <c r="L19" s="544">
        <f>IFERROR(IF(INDEX('Final Calculation Sheet'!$O$4:$O$40,$S14-3)="","",INDEX('Final Calculation Sheet'!$O$4:$O$40,$S14-3)),"")</f>
        <v/>
      </c>
      <c r="M19" s="545">
        <f>IFERROR(IF(INDEX('Final Calculation Sheet'!$O$4:$O$40,$S15-3)="","",INDEX('Final Calculation Sheet'!$O$4:$O$40,$S15-3)),"")</f>
        <v/>
      </c>
      <c r="N19" s="544">
        <f>IFERROR(IF(INDEX('Final Calculation Sheet'!$O$4:$O$40,$S16-3)="","",INDEX('Final Calculation Sheet'!$O$4:$O$40,$S16-3)),"")</f>
        <v/>
      </c>
      <c r="O19" s="546">
        <f>IF(COUNT(B19:N19)=0,"",SUM(B19:N19))</f>
        <v/>
      </c>
      <c r="Q19">
        <f>IF('Final Calculation Sheet'!$G19=$B$3,COUNTIF('Final Calculation Sheet'!$G$4:$G19,$B$3),"")</f>
        <v/>
      </c>
    </row>
    <row r="20" ht="15" customHeight="1">
      <c r="A20" s="543" t="inlineStr">
        <is>
          <t>Service charge to MSTC</t>
        </is>
      </c>
      <c r="B20" s="544">
        <f>IFERROR(IF(INDEX('Final Calculation Sheet'!$P$4:$P$40,$S4-3)="","",INDEX('Final Calculation Sheet'!$P$4:$P$40,$S4-3)),"")</f>
        <v/>
      </c>
      <c r="C20" s="545">
        <f>IFERROR(IF(INDEX('Final Calculation Sheet'!$P$4:$P$40,$S5-3)="","",INDEX('Final Calculation Sheet'!$P$4:$P$40,$S5-3)),"")</f>
        <v/>
      </c>
      <c r="D20" s="544">
        <f>IFERROR(IF(INDEX('Final Calculation Sheet'!$P$4:$P$40,$S6-3)="","",INDEX('Final Calculation Sheet'!$P$4:$P$40,$S6-3)),"")</f>
        <v/>
      </c>
      <c r="E20" s="545">
        <f>IFERROR(IF(INDEX('Final Calculation Sheet'!$P$4:$P$40,$S7-3)="","",INDEX('Final Calculation Sheet'!$P$4:$P$40,$S7-3)),"")</f>
        <v/>
      </c>
      <c r="F20" s="544">
        <f>IFERROR(IF(INDEX('Final Calculation Sheet'!$P$4:$P$40,$S8-3)="","",INDEX('Final Calculation Sheet'!$P$4:$P$40,$S8-3)),"")</f>
        <v/>
      </c>
      <c r="G20" s="545">
        <f>IFERROR(IF(INDEX('Final Calculation Sheet'!$P$4:$P$40,$S9-3)="","",INDEX('Final Calculation Sheet'!$P$4:$P$40,$S9-3)),"")</f>
        <v/>
      </c>
      <c r="H20" s="544">
        <f>IFERROR(IF(INDEX('Final Calculation Sheet'!$P$4:$P$40,$S10-3)="","",INDEX('Final Calculation Sheet'!$P$4:$P$40,$S10-3)),"")</f>
        <v/>
      </c>
      <c r="I20" s="545">
        <f>IFERROR(IF(INDEX('Final Calculation Sheet'!$P$4:$P$40,$S11-3)="","",INDEX('Final Calculation Sheet'!$P$4:$P$40,$S11-3)),"")</f>
        <v/>
      </c>
      <c r="J20" s="544">
        <f>IFERROR(IF(INDEX('Final Calculation Sheet'!$P$4:$P$40,$S12-3)="","",INDEX('Final Calculation Sheet'!$P$4:$P$40,$S12-3)),"")</f>
        <v/>
      </c>
      <c r="K20" s="545">
        <f>IFERROR(IF(INDEX('Final Calculation Sheet'!$P$4:$P$40,$S13-3)="","",INDEX('Final Calculation Sheet'!$P$4:$P$40,$S13-3)),"")</f>
        <v/>
      </c>
      <c r="L20" s="544">
        <f>IFERROR(IF(INDEX('Final Calculation Sheet'!$P$4:$P$40,$S14-3)="","",INDEX('Final Calculation Sheet'!$P$4:$P$40,$S14-3)),"")</f>
        <v/>
      </c>
      <c r="M20" s="545">
        <f>IFERROR(IF(INDEX('Final Calculation Sheet'!$P$4:$P$40,$S15-3)="","",INDEX('Final Calculation Sheet'!$P$4:$P$40,$S15-3)),"")</f>
        <v/>
      </c>
      <c r="N20" s="544">
        <f>IFERROR(IF(INDEX('Final Calculation Sheet'!$P$4:$P$40,$S16-3)="","",INDEX('Final Calculation Sheet'!$P$4:$P$40,$S16-3)),"")</f>
        <v/>
      </c>
      <c r="O20" s="546">
        <f>IF(COUNT(B20:N20)=0,"",SUM(B20:N20))</f>
        <v/>
      </c>
      <c r="Q20">
        <f>IF('Final Calculation Sheet'!$G20=$B$3,COUNTIF('Final Calculation Sheet'!$G$4:$G20,$B$3),"")</f>
        <v/>
      </c>
    </row>
    <row r="21" ht="15" customHeight="1">
      <c r="A21" s="540" t="inlineStr">
        <is>
          <t>GST TDS Rate</t>
        </is>
      </c>
      <c r="B21" s="549">
        <f>IFERROR(IF(INDEX('Final Calculation Sheet'!$Q$4:$Q$40,$S4-3)="","",INDEX('Final Calculation Sheet'!$Q$4:$Q$40,$S4-3)),"")</f>
        <v/>
      </c>
      <c r="C21" s="550">
        <f>IFERROR(IF(INDEX('Final Calculation Sheet'!$Q$4:$Q$40,$S5-3)="","",INDEX('Final Calculation Sheet'!$Q$4:$Q$40,$S5-3)),"")</f>
        <v/>
      </c>
      <c r="D21" s="549">
        <f>IFERROR(IF(INDEX('Final Calculation Sheet'!$Q$4:$Q$40,$S6-3)="","",INDEX('Final Calculation Sheet'!$Q$4:$Q$40,$S6-3)),"")</f>
        <v/>
      </c>
      <c r="E21" s="550">
        <f>IFERROR(IF(INDEX('Final Calculation Sheet'!$Q$4:$Q$40,$S7-3)="","",INDEX('Final Calculation Sheet'!$Q$4:$Q$40,$S7-3)),"")</f>
        <v/>
      </c>
      <c r="F21" s="549">
        <f>IFERROR(IF(INDEX('Final Calculation Sheet'!$Q$4:$Q$40,$S8-3)="","",INDEX('Final Calculation Sheet'!$Q$4:$Q$40,$S8-3)),"")</f>
        <v/>
      </c>
      <c r="G21" s="550">
        <f>IFERROR(IF(INDEX('Final Calculation Sheet'!$Q$4:$Q$40,$S9-3)="","",INDEX('Final Calculation Sheet'!$Q$4:$Q$40,$S9-3)),"")</f>
        <v/>
      </c>
      <c r="H21" s="549">
        <f>IFERROR(IF(INDEX('Final Calculation Sheet'!$Q$4:$Q$40,$S10-3)="","",INDEX('Final Calculation Sheet'!$Q$4:$Q$40,$S10-3)),"")</f>
        <v/>
      </c>
      <c r="I21" s="550">
        <f>IFERROR(IF(INDEX('Final Calculation Sheet'!$Q$4:$Q$40,$S11-3)="","",INDEX('Final Calculation Sheet'!$Q$4:$Q$40,$S11-3)),"")</f>
        <v/>
      </c>
      <c r="J21" s="549">
        <f>IFERROR(IF(INDEX('Final Calculation Sheet'!$Q$4:$Q$40,$S12-3)="","",INDEX('Final Calculation Sheet'!$Q$4:$Q$40,$S12-3)),"")</f>
        <v/>
      </c>
      <c r="K21" s="550">
        <f>IFERROR(IF(INDEX('Final Calculation Sheet'!$Q$4:$Q$40,$S13-3)="","",INDEX('Final Calculation Sheet'!$Q$4:$Q$40,$S13-3)),"")</f>
        <v/>
      </c>
      <c r="L21" s="549">
        <f>IFERROR(IF(INDEX('Final Calculation Sheet'!$Q$4:$Q$40,$S14-3)="","",INDEX('Final Calculation Sheet'!$Q$4:$Q$40,$S14-3)),"")</f>
        <v/>
      </c>
      <c r="M21" s="550">
        <f>IFERROR(IF(INDEX('Final Calculation Sheet'!$Q$4:$Q$40,$S15-3)="","",INDEX('Final Calculation Sheet'!$Q$4:$Q$40,$S15-3)),"")</f>
        <v/>
      </c>
      <c r="N21" s="549">
        <f>IFERROR(IF(INDEX('Final Calculation Sheet'!$Q$4:$Q$40,$S16-3)="","",INDEX('Final Calculation Sheet'!$Q$4:$Q$40,$S16-3)),"")</f>
        <v/>
      </c>
      <c r="O21" s="605" t="inlineStr">
        <is>
          <t>–</t>
        </is>
      </c>
      <c r="Q21">
        <f>IF('Final Calculation Sheet'!$G21=$B$3,COUNTIF('Final Calculation Sheet'!$G$4:$G21,$B$3),"")</f>
        <v/>
      </c>
    </row>
    <row r="22" ht="15" customHeight="1">
      <c r="A22" s="543" t="inlineStr">
        <is>
          <t>GST TDS</t>
        </is>
      </c>
      <c r="B22" s="544">
        <f>IFERROR(IF(INDEX('Final Calculation Sheet'!$R$4:$R$40,$S4-3)="","",INDEX('Final Calculation Sheet'!$R$4:$R$40,$S4-3)),"")</f>
        <v/>
      </c>
      <c r="C22" s="545">
        <f>IFERROR(IF(INDEX('Final Calculation Sheet'!$R$4:$R$40,$S5-3)="","",INDEX('Final Calculation Sheet'!$R$4:$R$40,$S5-3)),"")</f>
        <v/>
      </c>
      <c r="D22" s="544">
        <f>IFERROR(IF(INDEX('Final Calculation Sheet'!$R$4:$R$40,$S6-3)="","",INDEX('Final Calculation Sheet'!$R$4:$R$40,$S6-3)),"")</f>
        <v/>
      </c>
      <c r="E22" s="545">
        <f>IFERROR(IF(INDEX('Final Calculation Sheet'!$R$4:$R$40,$S7-3)="","",INDEX('Final Calculation Sheet'!$R$4:$R$40,$S7-3)),"")</f>
        <v/>
      </c>
      <c r="F22" s="544">
        <f>IFERROR(IF(INDEX('Final Calculation Sheet'!$R$4:$R$40,$S8-3)="","",INDEX('Final Calculation Sheet'!$R$4:$R$40,$S8-3)),"")</f>
        <v/>
      </c>
      <c r="G22" s="545">
        <f>IFERROR(IF(INDEX('Final Calculation Sheet'!$R$4:$R$40,$S9-3)="","",INDEX('Final Calculation Sheet'!$R$4:$R$40,$S9-3)),"")</f>
        <v/>
      </c>
      <c r="H22" s="544">
        <f>IFERROR(IF(INDEX('Final Calculation Sheet'!$R$4:$R$40,$S10-3)="","",INDEX('Final Calculation Sheet'!$R$4:$R$40,$S10-3)),"")</f>
        <v/>
      </c>
      <c r="I22" s="545">
        <f>IFERROR(IF(INDEX('Final Calculation Sheet'!$R$4:$R$40,$S11-3)="","",INDEX('Final Calculation Sheet'!$R$4:$R$40,$S11-3)),"")</f>
        <v/>
      </c>
      <c r="J22" s="544">
        <f>IFERROR(IF(INDEX('Final Calculation Sheet'!$R$4:$R$40,$S12-3)="","",INDEX('Final Calculation Sheet'!$R$4:$R$40,$S12-3)),"")</f>
        <v/>
      </c>
      <c r="K22" s="545">
        <f>IFERROR(IF(INDEX('Final Calculation Sheet'!$R$4:$R$40,$S13-3)="","",INDEX('Final Calculation Sheet'!$R$4:$R$40,$S13-3)),"")</f>
        <v/>
      </c>
      <c r="L22" s="544">
        <f>IFERROR(IF(INDEX('Final Calculation Sheet'!$R$4:$R$40,$S14-3)="","",INDEX('Final Calculation Sheet'!$R$4:$R$40,$S14-3)),"")</f>
        <v/>
      </c>
      <c r="M22" s="545">
        <f>IFERROR(IF(INDEX('Final Calculation Sheet'!$R$4:$R$40,$S15-3)="","",INDEX('Final Calculation Sheet'!$R$4:$R$40,$S15-3)),"")</f>
        <v/>
      </c>
      <c r="N22" s="544">
        <f>IFERROR(IF(INDEX('Final Calculation Sheet'!$R$4:$R$40,$S16-3)="","",INDEX('Final Calculation Sheet'!$R$4:$R$40,$S16-3)),"")</f>
        <v/>
      </c>
      <c r="O22" s="546">
        <f>IF(COUNT(B22:N22)=0,"",SUM(B22:N22))</f>
        <v/>
      </c>
      <c r="Q22">
        <f>IF('Final Calculation Sheet'!$G22=$B$3,COUNTIF('Final Calculation Sheet'!$G$4:$G22,$B$3),"")</f>
        <v/>
      </c>
    </row>
    <row r="23" ht="15" customHeight="1">
      <c r="A23" s="540" t="inlineStr">
        <is>
          <t>Total Receivables in Cash</t>
        </is>
      </c>
      <c r="B23" s="544">
        <f>IFERROR(IF(INDEX('Final Calculation Sheet'!$S$4:$S$40,$S4-3)="","",INDEX('Final Calculation Sheet'!$S$4:$S$40,$S4-3)),"")</f>
        <v/>
      </c>
      <c r="C23" s="545">
        <f>IFERROR(IF(INDEX('Final Calculation Sheet'!$S$4:$S$40,$S5-3)="","",INDEX('Final Calculation Sheet'!$S$4:$S$40,$S5-3)),"")</f>
        <v/>
      </c>
      <c r="D23" s="544">
        <f>IFERROR(IF(INDEX('Final Calculation Sheet'!$S$4:$S$40,$S6-3)="","",INDEX('Final Calculation Sheet'!$S$4:$S$40,$S6-3)),"")</f>
        <v/>
      </c>
      <c r="E23" s="545">
        <f>IFERROR(IF(INDEX('Final Calculation Sheet'!$S$4:$S$40,$S7-3)="","",INDEX('Final Calculation Sheet'!$S$4:$S$40,$S7-3)),"")</f>
        <v/>
      </c>
      <c r="F23" s="544">
        <f>IFERROR(IF(INDEX('Final Calculation Sheet'!$S$4:$S$40,$S8-3)="","",INDEX('Final Calculation Sheet'!$S$4:$S$40,$S8-3)),"")</f>
        <v/>
      </c>
      <c r="G23" s="545">
        <f>IFERROR(IF(INDEX('Final Calculation Sheet'!$S$4:$S$40,$S9-3)="","",INDEX('Final Calculation Sheet'!$S$4:$S$40,$S9-3)),"")</f>
        <v/>
      </c>
      <c r="H23" s="544">
        <f>IFERROR(IF(INDEX('Final Calculation Sheet'!$S$4:$S$40,$S10-3)="","",INDEX('Final Calculation Sheet'!$S$4:$S$40,$S10-3)),"")</f>
        <v/>
      </c>
      <c r="I23" s="545">
        <f>IFERROR(IF(INDEX('Final Calculation Sheet'!$S$4:$S$40,$S11-3)="","",INDEX('Final Calculation Sheet'!$S$4:$S$40,$S11-3)),"")</f>
        <v/>
      </c>
      <c r="J23" s="544">
        <f>IFERROR(IF(INDEX('Final Calculation Sheet'!$S$4:$S$40,$S12-3)="","",INDEX('Final Calculation Sheet'!$S$4:$S$40,$S12-3)),"")</f>
        <v/>
      </c>
      <c r="K23" s="545">
        <f>IFERROR(IF(INDEX('Final Calculation Sheet'!$S$4:$S$40,$S13-3)="","",INDEX('Final Calculation Sheet'!$S$4:$S$40,$S13-3)),"")</f>
        <v/>
      </c>
      <c r="L23" s="544">
        <f>IFERROR(IF(INDEX('Final Calculation Sheet'!$S$4:$S$40,$S14-3)="","",INDEX('Final Calculation Sheet'!$S$4:$S$40,$S14-3)),"")</f>
        <v/>
      </c>
      <c r="M23" s="545">
        <f>IFERROR(IF(INDEX('Final Calculation Sheet'!$S$4:$S$40,$S15-3)="","",INDEX('Final Calculation Sheet'!$S$4:$S$40,$S15-3)),"")</f>
        <v/>
      </c>
      <c r="N23" s="544">
        <f>IFERROR(IF(INDEX('Final Calculation Sheet'!$S$4:$S$40,$S16-3)="","",INDEX('Final Calculation Sheet'!$S$4:$S$40,$S16-3)),"")</f>
        <v/>
      </c>
      <c r="O23" s="546">
        <f>IF(COUNT(B23:N23)=0,"",SUM(B23:N23))</f>
        <v/>
      </c>
      <c r="Q23">
        <f>IF('Final Calculation Sheet'!$G23=$B$3,COUNTIF('Final Calculation Sheet'!$G$4:$G23,$B$3),"")</f>
        <v/>
      </c>
    </row>
    <row r="24" ht="15" customHeight="1">
      <c r="A24" s="543" t="inlineStr">
        <is>
          <t>Security Deposit (Expected)</t>
        </is>
      </c>
      <c r="B24" s="544">
        <f>IFERROR(IF(INDEX('Final Calculation Sheet'!$T$4:$T$40,$S4-3)="","",INDEX('Final Calculation Sheet'!$T$4:$T$40,$S4-3)),"")</f>
        <v/>
      </c>
      <c r="C24" s="545">
        <f>IFERROR(IF(INDEX('Final Calculation Sheet'!$T$4:$T$40,$S5-3)="","",INDEX('Final Calculation Sheet'!$T$4:$T$40,$S5-3)),"")</f>
        <v/>
      </c>
      <c r="D24" s="544">
        <f>IFERROR(IF(INDEX('Final Calculation Sheet'!$T$4:$T$40,$S6-3)="","",INDEX('Final Calculation Sheet'!$T$4:$T$40,$S6-3)),"")</f>
        <v/>
      </c>
      <c r="E24" s="545">
        <f>IFERROR(IF(INDEX('Final Calculation Sheet'!$T$4:$T$40,$S7-3)="","",INDEX('Final Calculation Sheet'!$T$4:$T$40,$S7-3)),"")</f>
        <v/>
      </c>
      <c r="F24" s="544">
        <f>IFERROR(IF(INDEX('Final Calculation Sheet'!$T$4:$T$40,$S8-3)="","",INDEX('Final Calculation Sheet'!$T$4:$T$40,$S8-3)),"")</f>
        <v/>
      </c>
      <c r="G24" s="545">
        <f>IFERROR(IF(INDEX('Final Calculation Sheet'!$T$4:$T$40,$S9-3)="","",INDEX('Final Calculation Sheet'!$T$4:$T$40,$S9-3)),"")</f>
        <v/>
      </c>
      <c r="H24" s="544">
        <f>IFERROR(IF(INDEX('Final Calculation Sheet'!$T$4:$T$40,$S10-3)="","",INDEX('Final Calculation Sheet'!$T$4:$T$40,$S10-3)),"")</f>
        <v/>
      </c>
      <c r="I24" s="545">
        <f>IFERROR(IF(INDEX('Final Calculation Sheet'!$T$4:$T$40,$S11-3)="","",INDEX('Final Calculation Sheet'!$T$4:$T$40,$S11-3)),"")</f>
        <v/>
      </c>
      <c r="J24" s="544">
        <f>IFERROR(IF(INDEX('Final Calculation Sheet'!$T$4:$T$40,$S12-3)="","",INDEX('Final Calculation Sheet'!$T$4:$T$40,$S12-3)),"")</f>
        <v/>
      </c>
      <c r="K24" s="545">
        <f>IFERROR(IF(INDEX('Final Calculation Sheet'!$T$4:$T$40,$S13-3)="","",INDEX('Final Calculation Sheet'!$T$4:$T$40,$S13-3)),"")</f>
        <v/>
      </c>
      <c r="L24" s="544">
        <f>IFERROR(IF(INDEX('Final Calculation Sheet'!$T$4:$T$40,$S14-3)="","",INDEX('Final Calculation Sheet'!$T$4:$T$40,$S14-3)),"")</f>
        <v/>
      </c>
      <c r="M24" s="545">
        <f>IFERROR(IF(INDEX('Final Calculation Sheet'!$T$4:$T$40,$S15-3)="","",INDEX('Final Calculation Sheet'!$T$4:$T$40,$S15-3)),"")</f>
        <v/>
      </c>
      <c r="N24" s="544">
        <f>IFERROR(IF(INDEX('Final Calculation Sheet'!$T$4:$T$40,$S16-3)="","",INDEX('Final Calculation Sheet'!$T$4:$T$40,$S16-3)),"")</f>
        <v/>
      </c>
      <c r="O24" s="546">
        <f>IF(COUNT(B24:N24)=0,"",SUM(B24:N24))</f>
        <v/>
      </c>
      <c r="Q24">
        <f>IF('Final Calculation Sheet'!$G24=$B$3,COUNTIF('Final Calculation Sheet'!$G$4:$G24,$B$3),"")</f>
        <v/>
      </c>
    </row>
    <row r="25" ht="15" customHeight="1">
      <c r="A25" s="540" t="inlineStr">
        <is>
          <t>Security Deposit (Received)</t>
        </is>
      </c>
      <c r="B25" s="552">
        <f>IFERROR(IF(INDEX('Final Calculation Sheet'!$U$4:$U$40,$S4-3)="","",INDEX('Final Calculation Sheet'!$U$4:$U$40,$S4-3)),"")</f>
        <v/>
      </c>
      <c r="C25" s="553">
        <f>IFERROR(IF(INDEX('Final Calculation Sheet'!$U$4:$U$40,$S5-3)="","",INDEX('Final Calculation Sheet'!$U$4:$U$40,$S5-3)),"")</f>
        <v/>
      </c>
      <c r="D25" s="552">
        <f>IFERROR(IF(INDEX('Final Calculation Sheet'!$U$4:$U$40,$S6-3)="","",INDEX('Final Calculation Sheet'!$U$4:$U$40,$S6-3)),"")</f>
        <v/>
      </c>
      <c r="E25" s="553">
        <f>IFERROR(IF(INDEX('Final Calculation Sheet'!$U$4:$U$40,$S7-3)="","",INDEX('Final Calculation Sheet'!$U$4:$U$40,$S7-3)),"")</f>
        <v/>
      </c>
      <c r="F25" s="552">
        <f>IFERROR(IF(INDEX('Final Calculation Sheet'!$U$4:$U$40,$S8-3)="","",INDEX('Final Calculation Sheet'!$U$4:$U$40,$S8-3)),"")</f>
        <v/>
      </c>
      <c r="G25" s="553">
        <f>IFERROR(IF(INDEX('Final Calculation Sheet'!$U$4:$U$40,$S9-3)="","",INDEX('Final Calculation Sheet'!$U$4:$U$40,$S9-3)),"")</f>
        <v/>
      </c>
      <c r="H25" s="552">
        <f>IFERROR(IF(INDEX('Final Calculation Sheet'!$U$4:$U$40,$S10-3)="","",INDEX('Final Calculation Sheet'!$U$4:$U$40,$S10-3)),"")</f>
        <v/>
      </c>
      <c r="I25" s="553">
        <f>IFERROR(IF(INDEX('Final Calculation Sheet'!$U$4:$U$40,$S11-3)="","",INDEX('Final Calculation Sheet'!$U$4:$U$40,$S11-3)),"")</f>
        <v/>
      </c>
      <c r="J25" s="552">
        <f>IFERROR(IF(INDEX('Final Calculation Sheet'!$U$4:$U$40,$S12-3)="","",INDEX('Final Calculation Sheet'!$U$4:$U$40,$S12-3)),"")</f>
        <v/>
      </c>
      <c r="K25" s="553">
        <f>IFERROR(IF(INDEX('Final Calculation Sheet'!$U$4:$U$40,$S13-3)="","",INDEX('Final Calculation Sheet'!$U$4:$U$40,$S13-3)),"")</f>
        <v/>
      </c>
      <c r="L25" s="552">
        <f>IFERROR(IF(INDEX('Final Calculation Sheet'!$U$4:$U$40,$S14-3)="","",INDEX('Final Calculation Sheet'!$U$4:$U$40,$S14-3)),"")</f>
        <v/>
      </c>
      <c r="M25" s="553">
        <f>IFERROR(IF(INDEX('Final Calculation Sheet'!$U$4:$U$40,$S15-3)="","",INDEX('Final Calculation Sheet'!$U$4:$U$40,$S15-3)),"")</f>
        <v/>
      </c>
      <c r="N25" s="552">
        <f>IFERROR(IF(INDEX('Final Calculation Sheet'!$U$4:$U$40,$S16-3)="","",INDEX('Final Calculation Sheet'!$U$4:$U$40,$S16-3)),"")</f>
        <v/>
      </c>
      <c r="O25" s="554">
        <f>IF(COUNT(B25:N25)=0,"",SUM(B25:N25))</f>
        <v/>
      </c>
      <c r="Q25">
        <f>IF('Final Calculation Sheet'!$G25=$B$3,COUNTIF('Final Calculation Sheet'!$G$4:$G25,$B$3),"")</f>
        <v/>
      </c>
    </row>
    <row r="26" ht="15" customHeight="1">
      <c r="A26" s="543" t="inlineStr">
        <is>
          <t>Date of Receipt (col V)</t>
        </is>
      </c>
      <c r="B26" s="544">
        <f>IFERROR(IF(INDEX('Final Calculation Sheet'!$V$4:$V$40,$S4-3)="","",INDEX('Final Calculation Sheet'!$V$4:$V$40,$S4-3)),"")</f>
        <v/>
      </c>
      <c r="C26" s="545">
        <f>IFERROR(IF(INDEX('Final Calculation Sheet'!$V$4:$V$40,$S5-3)="","",INDEX('Final Calculation Sheet'!$V$4:$V$40,$S5-3)),"")</f>
        <v/>
      </c>
      <c r="D26" s="544">
        <f>IFERROR(IF(INDEX('Final Calculation Sheet'!$V$4:$V$40,$S6-3)="","",INDEX('Final Calculation Sheet'!$V$4:$V$40,$S6-3)),"")</f>
        <v/>
      </c>
      <c r="E26" s="545">
        <f>IFERROR(IF(INDEX('Final Calculation Sheet'!$V$4:$V$40,$S7-3)="","",INDEX('Final Calculation Sheet'!$V$4:$V$40,$S7-3)),"")</f>
        <v/>
      </c>
      <c r="F26" s="544">
        <f>IFERROR(IF(INDEX('Final Calculation Sheet'!$V$4:$V$40,$S8-3)="","",INDEX('Final Calculation Sheet'!$V$4:$V$40,$S8-3)),"")</f>
        <v/>
      </c>
      <c r="G26" s="545">
        <f>IFERROR(IF(INDEX('Final Calculation Sheet'!$V$4:$V$40,$S9-3)="","",INDEX('Final Calculation Sheet'!$V$4:$V$40,$S9-3)),"")</f>
        <v/>
      </c>
      <c r="H26" s="544">
        <f>IFERROR(IF(INDEX('Final Calculation Sheet'!$V$4:$V$40,$S10-3)="","",INDEX('Final Calculation Sheet'!$V$4:$V$40,$S10-3)),"")</f>
        <v/>
      </c>
      <c r="I26" s="545">
        <f>IFERROR(IF(INDEX('Final Calculation Sheet'!$V$4:$V$40,$S11-3)="","",INDEX('Final Calculation Sheet'!$V$4:$V$40,$S11-3)),"")</f>
        <v/>
      </c>
      <c r="J26" s="544">
        <f>IFERROR(IF(INDEX('Final Calculation Sheet'!$V$4:$V$40,$S12-3)="","",INDEX('Final Calculation Sheet'!$V$4:$V$40,$S12-3)),"")</f>
        <v/>
      </c>
      <c r="K26" s="545">
        <f>IFERROR(IF(INDEX('Final Calculation Sheet'!$V$4:$V$40,$S13-3)="","",INDEX('Final Calculation Sheet'!$V$4:$V$40,$S13-3)),"")</f>
        <v/>
      </c>
      <c r="L26" s="544">
        <f>IFERROR(IF(INDEX('Final Calculation Sheet'!$V$4:$V$40,$S14-3)="","",INDEX('Final Calculation Sheet'!$V$4:$V$40,$S14-3)),"")</f>
        <v/>
      </c>
      <c r="M26" s="545">
        <f>IFERROR(IF(INDEX('Final Calculation Sheet'!$V$4:$V$40,$S15-3)="","",INDEX('Final Calculation Sheet'!$V$4:$V$40,$S15-3)),"")</f>
        <v/>
      </c>
      <c r="N26" s="544">
        <f>IFERROR(IF(INDEX('Final Calculation Sheet'!$V$4:$V$40,$S16-3)="","",INDEX('Final Calculation Sheet'!$V$4:$V$40,$S16-3)),"")</f>
        <v/>
      </c>
      <c r="O26" s="605" t="inlineStr">
        <is>
          <t>–</t>
        </is>
      </c>
      <c r="Q26">
        <f>IF('Final Calculation Sheet'!$G26=$B$3,COUNTIF('Final Calculation Sheet'!$G$4:$G26,$B$3),"")</f>
        <v/>
      </c>
    </row>
    <row r="27" ht="15" customHeight="1">
      <c r="A27" s="540" t="inlineStr">
        <is>
          <t>Final Payment (Expected)</t>
        </is>
      </c>
      <c r="B27" s="544">
        <f>IFERROR(IF(INDEX('Final Calculation Sheet'!$W$4:$W$40,$S4-3)="","",INDEX('Final Calculation Sheet'!$W$4:$W$40,$S4-3)),"")</f>
        <v/>
      </c>
      <c r="C27" s="545">
        <f>IFERROR(IF(INDEX('Final Calculation Sheet'!$W$4:$W$40,$S5-3)="","",INDEX('Final Calculation Sheet'!$W$4:$W$40,$S5-3)),"")</f>
        <v/>
      </c>
      <c r="D27" s="544">
        <f>IFERROR(IF(INDEX('Final Calculation Sheet'!$W$4:$W$40,$S6-3)="","",INDEX('Final Calculation Sheet'!$W$4:$W$40,$S6-3)),"")</f>
        <v/>
      </c>
      <c r="E27" s="545">
        <f>IFERROR(IF(INDEX('Final Calculation Sheet'!$W$4:$W$40,$S7-3)="","",INDEX('Final Calculation Sheet'!$W$4:$W$40,$S7-3)),"")</f>
        <v/>
      </c>
      <c r="F27" s="544">
        <f>IFERROR(IF(INDEX('Final Calculation Sheet'!$W$4:$W$40,$S8-3)="","",INDEX('Final Calculation Sheet'!$W$4:$W$40,$S8-3)),"")</f>
        <v/>
      </c>
      <c r="G27" s="545">
        <f>IFERROR(IF(INDEX('Final Calculation Sheet'!$W$4:$W$40,$S9-3)="","",INDEX('Final Calculation Sheet'!$W$4:$W$40,$S9-3)),"")</f>
        <v/>
      </c>
      <c r="H27" s="544">
        <f>IFERROR(IF(INDEX('Final Calculation Sheet'!$W$4:$W$40,$S10-3)="","",INDEX('Final Calculation Sheet'!$W$4:$W$40,$S10-3)),"")</f>
        <v/>
      </c>
      <c r="I27" s="545">
        <f>IFERROR(IF(INDEX('Final Calculation Sheet'!$W$4:$W$40,$S11-3)="","",INDEX('Final Calculation Sheet'!$W$4:$W$40,$S11-3)),"")</f>
        <v/>
      </c>
      <c r="J27" s="544">
        <f>IFERROR(IF(INDEX('Final Calculation Sheet'!$W$4:$W$40,$S12-3)="","",INDEX('Final Calculation Sheet'!$W$4:$W$40,$S12-3)),"")</f>
        <v/>
      </c>
      <c r="K27" s="545">
        <f>IFERROR(IF(INDEX('Final Calculation Sheet'!$W$4:$W$40,$S13-3)="","",INDEX('Final Calculation Sheet'!$W$4:$W$40,$S13-3)),"")</f>
        <v/>
      </c>
      <c r="L27" s="544">
        <f>IFERROR(IF(INDEX('Final Calculation Sheet'!$W$4:$W$40,$S14-3)="","",INDEX('Final Calculation Sheet'!$W$4:$W$40,$S14-3)),"")</f>
        <v/>
      </c>
      <c r="M27" s="545">
        <f>IFERROR(IF(INDEX('Final Calculation Sheet'!$W$4:$W$40,$S15-3)="","",INDEX('Final Calculation Sheet'!$W$4:$W$40,$S15-3)),"")</f>
        <v/>
      </c>
      <c r="N27" s="544">
        <f>IFERROR(IF(INDEX('Final Calculation Sheet'!$W$4:$W$40,$S16-3)="","",INDEX('Final Calculation Sheet'!$W$4:$W$40,$S16-3)),"")</f>
        <v/>
      </c>
      <c r="O27" s="546">
        <f>IF(COUNT(B27:N27)=0,"",SUM(B27:N27))</f>
        <v/>
      </c>
      <c r="Q27">
        <f>IF('Final Calculation Sheet'!$G27=$B$3,COUNTIF('Final Calculation Sheet'!$G$4:$G27,$B$3),"")</f>
        <v/>
      </c>
    </row>
    <row r="28" ht="15" customHeight="1">
      <c r="A28" s="543" t="inlineStr">
        <is>
          <t>Final Payment (Received)</t>
        </is>
      </c>
      <c r="B28" s="544">
        <f>IFERROR(IF(INDEX('Final Calculation Sheet'!$X$4:$X$40,$S4-3)="","",INDEX('Final Calculation Sheet'!$X$4:$X$40,$S4-3)),"")</f>
        <v/>
      </c>
      <c r="C28" s="545">
        <f>IFERROR(IF(INDEX('Final Calculation Sheet'!$X$4:$X$40,$S5-3)="","",INDEX('Final Calculation Sheet'!$X$4:$X$40,$S5-3)),"")</f>
        <v/>
      </c>
      <c r="D28" s="544">
        <f>IFERROR(IF(INDEX('Final Calculation Sheet'!$X$4:$X$40,$S6-3)="","",INDEX('Final Calculation Sheet'!$X$4:$X$40,$S6-3)),"")</f>
        <v/>
      </c>
      <c r="E28" s="545">
        <f>IFERROR(IF(INDEX('Final Calculation Sheet'!$X$4:$X$40,$S7-3)="","",INDEX('Final Calculation Sheet'!$X$4:$X$40,$S7-3)),"")</f>
        <v/>
      </c>
      <c r="F28" s="544">
        <f>IFERROR(IF(INDEX('Final Calculation Sheet'!$X$4:$X$40,$S8-3)="","",INDEX('Final Calculation Sheet'!$X$4:$X$40,$S8-3)),"")</f>
        <v/>
      </c>
      <c r="G28" s="545">
        <f>IFERROR(IF(INDEX('Final Calculation Sheet'!$X$4:$X$40,$S9-3)="","",INDEX('Final Calculation Sheet'!$X$4:$X$40,$S9-3)),"")</f>
        <v/>
      </c>
      <c r="H28" s="544">
        <f>IFERROR(IF(INDEX('Final Calculation Sheet'!$X$4:$X$40,$S10-3)="","",INDEX('Final Calculation Sheet'!$X$4:$X$40,$S10-3)),"")</f>
        <v/>
      </c>
      <c r="I28" s="545">
        <f>IFERROR(IF(INDEX('Final Calculation Sheet'!$X$4:$X$40,$S11-3)="","",INDEX('Final Calculation Sheet'!$X$4:$X$40,$S11-3)),"")</f>
        <v/>
      </c>
      <c r="J28" s="544">
        <f>IFERROR(IF(INDEX('Final Calculation Sheet'!$X$4:$X$40,$S12-3)="","",INDEX('Final Calculation Sheet'!$X$4:$X$40,$S12-3)),"")</f>
        <v/>
      </c>
      <c r="K28" s="545">
        <f>IFERROR(IF(INDEX('Final Calculation Sheet'!$X$4:$X$40,$S13-3)="","",INDEX('Final Calculation Sheet'!$X$4:$X$40,$S13-3)),"")</f>
        <v/>
      </c>
      <c r="L28" s="544">
        <f>IFERROR(IF(INDEX('Final Calculation Sheet'!$X$4:$X$40,$S14-3)="","",INDEX('Final Calculation Sheet'!$X$4:$X$40,$S14-3)),"")</f>
        <v/>
      </c>
      <c r="M28" s="545">
        <f>IFERROR(IF(INDEX('Final Calculation Sheet'!$X$4:$X$40,$S15-3)="","",INDEX('Final Calculation Sheet'!$X$4:$X$40,$S15-3)),"")</f>
        <v/>
      </c>
      <c r="N28" s="544">
        <f>IFERROR(IF(INDEX('Final Calculation Sheet'!$X$4:$X$40,$S16-3)="","",INDEX('Final Calculation Sheet'!$X$4:$X$40,$S16-3)),"")</f>
        <v/>
      </c>
      <c r="O28" s="546">
        <f>IF(COUNT(B28:N28)=0,"",SUM(B28:N28))</f>
        <v/>
      </c>
      <c r="Q28">
        <f>IF('Final Calculation Sheet'!$G28=$B$3,COUNTIF('Final Calculation Sheet'!$G$4:$G28,$B$3),"")</f>
        <v/>
      </c>
    </row>
    <row r="29" ht="15" customHeight="1">
      <c r="A29" s="540" t="inlineStr">
        <is>
          <t>Date of Receipt (col Y)</t>
        </is>
      </c>
      <c r="B29" s="544">
        <f>IFERROR(IF(INDEX('Final Calculation Sheet'!$Y$4:$Y$40,$S4-3)="","",INDEX('Final Calculation Sheet'!$Y$4:$Y$40,$S4-3)),"")</f>
        <v/>
      </c>
      <c r="C29" s="545">
        <f>IFERROR(IF(INDEX('Final Calculation Sheet'!$Y$4:$Y$40,$S5-3)="","",INDEX('Final Calculation Sheet'!$Y$4:$Y$40,$S5-3)),"")</f>
        <v/>
      </c>
      <c r="D29" s="544">
        <f>IFERROR(IF(INDEX('Final Calculation Sheet'!$Y$4:$Y$40,$S6-3)="","",INDEX('Final Calculation Sheet'!$Y$4:$Y$40,$S6-3)),"")</f>
        <v/>
      </c>
      <c r="E29" s="545">
        <f>IFERROR(IF(INDEX('Final Calculation Sheet'!$Y$4:$Y$40,$S7-3)="","",INDEX('Final Calculation Sheet'!$Y$4:$Y$40,$S7-3)),"")</f>
        <v/>
      </c>
      <c r="F29" s="544">
        <f>IFERROR(IF(INDEX('Final Calculation Sheet'!$Y$4:$Y$40,$S8-3)="","",INDEX('Final Calculation Sheet'!$Y$4:$Y$40,$S8-3)),"")</f>
        <v/>
      </c>
      <c r="G29" s="545">
        <f>IFERROR(IF(INDEX('Final Calculation Sheet'!$Y$4:$Y$40,$S9-3)="","",INDEX('Final Calculation Sheet'!$Y$4:$Y$40,$S9-3)),"")</f>
        <v/>
      </c>
      <c r="H29" s="544">
        <f>IFERROR(IF(INDEX('Final Calculation Sheet'!$Y$4:$Y$40,$S10-3)="","",INDEX('Final Calculation Sheet'!$Y$4:$Y$40,$S10-3)),"")</f>
        <v/>
      </c>
      <c r="I29" s="545">
        <f>IFERROR(IF(INDEX('Final Calculation Sheet'!$Y$4:$Y$40,$S11-3)="","",INDEX('Final Calculation Sheet'!$Y$4:$Y$40,$S11-3)),"")</f>
        <v/>
      </c>
      <c r="J29" s="544">
        <f>IFERROR(IF(INDEX('Final Calculation Sheet'!$Y$4:$Y$40,$S12-3)="","",INDEX('Final Calculation Sheet'!$Y$4:$Y$40,$S12-3)),"")</f>
        <v/>
      </c>
      <c r="K29" s="545">
        <f>IFERROR(IF(INDEX('Final Calculation Sheet'!$Y$4:$Y$40,$S13-3)="","",INDEX('Final Calculation Sheet'!$Y$4:$Y$40,$S13-3)),"")</f>
        <v/>
      </c>
      <c r="L29" s="544">
        <f>IFERROR(IF(INDEX('Final Calculation Sheet'!$Y$4:$Y$40,$S14-3)="","",INDEX('Final Calculation Sheet'!$Y$4:$Y$40,$S14-3)),"")</f>
        <v/>
      </c>
      <c r="M29" s="545">
        <f>IFERROR(IF(INDEX('Final Calculation Sheet'!$Y$4:$Y$40,$S15-3)="","",INDEX('Final Calculation Sheet'!$Y$4:$Y$40,$S15-3)),"")</f>
        <v/>
      </c>
      <c r="N29" s="544">
        <f>IFERROR(IF(INDEX('Final Calculation Sheet'!$Y$4:$Y$40,$S16-3)="","",INDEX('Final Calculation Sheet'!$Y$4:$Y$40,$S16-3)),"")</f>
        <v/>
      </c>
      <c r="O29" s="605" t="inlineStr">
        <is>
          <t>–</t>
        </is>
      </c>
      <c r="Q29">
        <f>IF('Final Calculation Sheet'!$G29=$B$3,COUNTIF('Final Calculation Sheet'!$G$4:$G29,$B$3),"")</f>
        <v/>
      </c>
    </row>
    <row r="30" ht="15" customHeight="1">
      <c r="A30" s="543" t="inlineStr">
        <is>
          <t>LPP Expected</t>
        </is>
      </c>
      <c r="B30" s="544">
        <f>IFERROR(IF(INDEX('Final Calculation Sheet'!$Z$4:$Z$40,$S4-3)="","",INDEX('Final Calculation Sheet'!$Z$4:$Z$40,$S4-3)),"")</f>
        <v/>
      </c>
      <c r="C30" s="545">
        <f>IFERROR(IF(INDEX('Final Calculation Sheet'!$Z$4:$Z$40,$S5-3)="","",INDEX('Final Calculation Sheet'!$Z$4:$Z$40,$S5-3)),"")</f>
        <v/>
      </c>
      <c r="D30" s="544">
        <f>IFERROR(IF(INDEX('Final Calculation Sheet'!$Z$4:$Z$40,$S6-3)="","",INDEX('Final Calculation Sheet'!$Z$4:$Z$40,$S6-3)),"")</f>
        <v/>
      </c>
      <c r="E30" s="545">
        <f>IFERROR(IF(INDEX('Final Calculation Sheet'!$Z$4:$Z$40,$S7-3)="","",INDEX('Final Calculation Sheet'!$Z$4:$Z$40,$S7-3)),"")</f>
        <v/>
      </c>
      <c r="F30" s="544">
        <f>IFERROR(IF(INDEX('Final Calculation Sheet'!$Z$4:$Z$40,$S8-3)="","",INDEX('Final Calculation Sheet'!$Z$4:$Z$40,$S8-3)),"")</f>
        <v/>
      </c>
      <c r="G30" s="545">
        <f>IFERROR(IF(INDEX('Final Calculation Sheet'!$Z$4:$Z$40,$S9-3)="","",INDEX('Final Calculation Sheet'!$Z$4:$Z$40,$S9-3)),"")</f>
        <v/>
      </c>
      <c r="H30" s="544">
        <f>IFERROR(IF(INDEX('Final Calculation Sheet'!$Z$4:$Z$40,$S10-3)="","",INDEX('Final Calculation Sheet'!$Z$4:$Z$40,$S10-3)),"")</f>
        <v/>
      </c>
      <c r="I30" s="545">
        <f>IFERROR(IF(INDEX('Final Calculation Sheet'!$Z$4:$Z$40,$S11-3)="","",INDEX('Final Calculation Sheet'!$Z$4:$Z$40,$S11-3)),"")</f>
        <v/>
      </c>
      <c r="J30" s="544">
        <f>IFERROR(IF(INDEX('Final Calculation Sheet'!$Z$4:$Z$40,$S12-3)="","",INDEX('Final Calculation Sheet'!$Z$4:$Z$40,$S12-3)),"")</f>
        <v/>
      </c>
      <c r="K30" s="545">
        <f>IFERROR(IF(INDEX('Final Calculation Sheet'!$Z$4:$Z$40,$S13-3)="","",INDEX('Final Calculation Sheet'!$Z$4:$Z$40,$S13-3)),"")</f>
        <v/>
      </c>
      <c r="L30" s="544">
        <f>IFERROR(IF(INDEX('Final Calculation Sheet'!$Z$4:$Z$40,$S14-3)="","",INDEX('Final Calculation Sheet'!$Z$4:$Z$40,$S14-3)),"")</f>
        <v/>
      </c>
      <c r="M30" s="545">
        <f>IFERROR(IF(INDEX('Final Calculation Sheet'!$Z$4:$Z$40,$S15-3)="","",INDEX('Final Calculation Sheet'!$Z$4:$Z$40,$S15-3)),"")</f>
        <v/>
      </c>
      <c r="N30" s="544">
        <f>IFERROR(IF(INDEX('Final Calculation Sheet'!$Z$4:$Z$40,$S16-3)="","",INDEX('Final Calculation Sheet'!$Z$4:$Z$40,$S16-3)),"")</f>
        <v/>
      </c>
      <c r="O30" s="546">
        <f>IF(COUNT(B30:N30)=0,"",SUM(B30:N30))</f>
        <v/>
      </c>
      <c r="Q30">
        <f>IF('Final Calculation Sheet'!$G30=$B$3,COUNTIF('Final Calculation Sheet'!$G$4:$G30,$B$3),"")</f>
        <v/>
      </c>
    </row>
    <row r="31" ht="15" customHeight="1">
      <c r="A31" s="540" t="inlineStr">
        <is>
          <t>LPP Received</t>
        </is>
      </c>
      <c r="B31" s="544">
        <f>IFERROR(IF(INDEX('Final Calculation Sheet'!$AA$4:$AA$40,$S4-3)="","",INDEX('Final Calculation Sheet'!$AA$4:$AA$40,$S4-3)),"")</f>
        <v/>
      </c>
      <c r="C31" s="545">
        <f>IFERROR(IF(INDEX('Final Calculation Sheet'!$AA$4:$AA$40,$S5-3)="","",INDEX('Final Calculation Sheet'!$AA$4:$AA$40,$S5-3)),"")</f>
        <v/>
      </c>
      <c r="D31" s="544">
        <f>IFERROR(IF(INDEX('Final Calculation Sheet'!$AA$4:$AA$40,$S6-3)="","",INDEX('Final Calculation Sheet'!$AA$4:$AA$40,$S6-3)),"")</f>
        <v/>
      </c>
      <c r="E31" s="545">
        <f>IFERROR(IF(INDEX('Final Calculation Sheet'!$AA$4:$AA$40,$S7-3)="","",INDEX('Final Calculation Sheet'!$AA$4:$AA$40,$S7-3)),"")</f>
        <v/>
      </c>
      <c r="F31" s="544">
        <f>IFERROR(IF(INDEX('Final Calculation Sheet'!$AA$4:$AA$40,$S8-3)="","",INDEX('Final Calculation Sheet'!$AA$4:$AA$40,$S8-3)),"")</f>
        <v/>
      </c>
      <c r="G31" s="545">
        <f>IFERROR(IF(INDEX('Final Calculation Sheet'!$AA$4:$AA$40,$S9-3)="","",INDEX('Final Calculation Sheet'!$AA$4:$AA$40,$S9-3)),"")</f>
        <v/>
      </c>
      <c r="H31" s="544">
        <f>IFERROR(IF(INDEX('Final Calculation Sheet'!$AA$4:$AA$40,$S10-3)="","",INDEX('Final Calculation Sheet'!$AA$4:$AA$40,$S10-3)),"")</f>
        <v/>
      </c>
      <c r="I31" s="545">
        <f>IFERROR(IF(INDEX('Final Calculation Sheet'!$AA$4:$AA$40,$S11-3)="","",INDEX('Final Calculation Sheet'!$AA$4:$AA$40,$S11-3)),"")</f>
        <v/>
      </c>
      <c r="J31" s="544">
        <f>IFERROR(IF(INDEX('Final Calculation Sheet'!$AA$4:$AA$40,$S12-3)="","",INDEX('Final Calculation Sheet'!$AA$4:$AA$40,$S12-3)),"")</f>
        <v/>
      </c>
      <c r="K31" s="545">
        <f>IFERROR(IF(INDEX('Final Calculation Sheet'!$AA$4:$AA$40,$S13-3)="","",INDEX('Final Calculation Sheet'!$AA$4:$AA$40,$S13-3)),"")</f>
        <v/>
      </c>
      <c r="L31" s="544">
        <f>IFERROR(IF(INDEX('Final Calculation Sheet'!$AA$4:$AA$40,$S14-3)="","",INDEX('Final Calculation Sheet'!$AA$4:$AA$40,$S14-3)),"")</f>
        <v/>
      </c>
      <c r="M31" s="545">
        <f>IFERROR(IF(INDEX('Final Calculation Sheet'!$AA$4:$AA$40,$S15-3)="","",INDEX('Final Calculation Sheet'!$AA$4:$AA$40,$S15-3)),"")</f>
        <v/>
      </c>
      <c r="N31" s="544">
        <f>IFERROR(IF(INDEX('Final Calculation Sheet'!$AA$4:$AA$40,$S16-3)="","",INDEX('Final Calculation Sheet'!$AA$4:$AA$40,$S16-3)),"")</f>
        <v/>
      </c>
      <c r="O31" s="546">
        <f>IF(COUNT(B31:N31)=0,"",SUM(B31:N31))</f>
        <v/>
      </c>
      <c r="Q31">
        <f>IF('Final Calculation Sheet'!$G31=$B$3,COUNTIF('Final Calculation Sheet'!$G$4:$G31,$B$3),"")</f>
        <v/>
      </c>
    </row>
    <row r="32" ht="15" customHeight="1">
      <c r="A32" s="543" t="inlineStr">
        <is>
          <t>Date of Recepit of LPP</t>
        </is>
      </c>
      <c r="B32" s="544">
        <f>IFERROR(IF(INDEX('Final Calculation Sheet'!$AB$4:$AB$40,$S4-3)="","",INDEX('Final Calculation Sheet'!$AB$4:$AB$40,$S4-3)),"")</f>
        <v/>
      </c>
      <c r="C32" s="545">
        <f>IFERROR(IF(INDEX('Final Calculation Sheet'!$AB$4:$AB$40,$S5-3)="","",INDEX('Final Calculation Sheet'!$AB$4:$AB$40,$S5-3)),"")</f>
        <v/>
      </c>
      <c r="D32" s="544">
        <f>IFERROR(IF(INDEX('Final Calculation Sheet'!$AB$4:$AB$40,$S6-3)="","",INDEX('Final Calculation Sheet'!$AB$4:$AB$40,$S6-3)),"")</f>
        <v/>
      </c>
      <c r="E32" s="545">
        <f>IFERROR(IF(INDEX('Final Calculation Sheet'!$AB$4:$AB$40,$S7-3)="","",INDEX('Final Calculation Sheet'!$AB$4:$AB$40,$S7-3)),"")</f>
        <v/>
      </c>
      <c r="F32" s="544">
        <f>IFERROR(IF(INDEX('Final Calculation Sheet'!$AB$4:$AB$40,$S8-3)="","",INDEX('Final Calculation Sheet'!$AB$4:$AB$40,$S8-3)),"")</f>
        <v/>
      </c>
      <c r="G32" s="545">
        <f>IFERROR(IF(INDEX('Final Calculation Sheet'!$AB$4:$AB$40,$S9-3)="","",INDEX('Final Calculation Sheet'!$AB$4:$AB$40,$S9-3)),"")</f>
        <v/>
      </c>
      <c r="H32" s="544">
        <f>IFERROR(IF(INDEX('Final Calculation Sheet'!$AB$4:$AB$40,$S10-3)="","",INDEX('Final Calculation Sheet'!$AB$4:$AB$40,$S10-3)),"")</f>
        <v/>
      </c>
      <c r="I32" s="545">
        <f>IFERROR(IF(INDEX('Final Calculation Sheet'!$AB$4:$AB$40,$S11-3)="","",INDEX('Final Calculation Sheet'!$AB$4:$AB$40,$S11-3)),"")</f>
        <v/>
      </c>
      <c r="J32" s="544">
        <f>IFERROR(IF(INDEX('Final Calculation Sheet'!$AB$4:$AB$40,$S12-3)="","",INDEX('Final Calculation Sheet'!$AB$4:$AB$40,$S12-3)),"")</f>
        <v/>
      </c>
      <c r="K32" s="545">
        <f>IFERROR(IF(INDEX('Final Calculation Sheet'!$AB$4:$AB$40,$S13-3)="","",INDEX('Final Calculation Sheet'!$AB$4:$AB$40,$S13-3)),"")</f>
        <v/>
      </c>
      <c r="L32" s="544">
        <f>IFERROR(IF(INDEX('Final Calculation Sheet'!$AB$4:$AB$40,$S14-3)="","",INDEX('Final Calculation Sheet'!$AB$4:$AB$40,$S14-3)),"")</f>
        <v/>
      </c>
      <c r="M32" s="545">
        <f>IFERROR(IF(INDEX('Final Calculation Sheet'!$AB$4:$AB$40,$S15-3)="","",INDEX('Final Calculation Sheet'!$AB$4:$AB$40,$S15-3)),"")</f>
        <v/>
      </c>
      <c r="N32" s="544">
        <f>IFERROR(IF(INDEX('Final Calculation Sheet'!$AB$4:$AB$40,$S16-3)="","",INDEX('Final Calculation Sheet'!$AB$4:$AB$40,$S16-3)),"")</f>
        <v/>
      </c>
      <c r="O32" s="605" t="inlineStr">
        <is>
          <t>–</t>
        </is>
      </c>
      <c r="Q32">
        <f>IF('Final Calculation Sheet'!$G32=$B$3,COUNTIF('Final Calculation Sheet'!$G$4:$G32,$B$3),"")</f>
        <v/>
      </c>
    </row>
    <row r="33" ht="15" customHeight="1">
      <c r="A33" s="540" t="inlineStr">
        <is>
          <t>Total Received</t>
        </is>
      </c>
      <c r="B33" s="544">
        <f>IFERROR(IF(INDEX('Final Calculation Sheet'!$AC$4:$AC$40,$S4-3)="","",INDEX('Final Calculation Sheet'!$AC$4:$AC$40,$S4-3)),"")</f>
        <v/>
      </c>
      <c r="C33" s="545">
        <f>IFERROR(IF(INDEX('Final Calculation Sheet'!$AC$4:$AC$40,$S5-3)="","",INDEX('Final Calculation Sheet'!$AC$4:$AC$40,$S5-3)),"")</f>
        <v/>
      </c>
      <c r="D33" s="544">
        <f>IFERROR(IF(INDEX('Final Calculation Sheet'!$AC$4:$AC$40,$S6-3)="","",INDEX('Final Calculation Sheet'!$AC$4:$AC$40,$S6-3)),"")</f>
        <v/>
      </c>
      <c r="E33" s="545">
        <f>IFERROR(IF(INDEX('Final Calculation Sheet'!$AC$4:$AC$40,$S7-3)="","",INDEX('Final Calculation Sheet'!$AC$4:$AC$40,$S7-3)),"")</f>
        <v/>
      </c>
      <c r="F33" s="544">
        <f>IFERROR(IF(INDEX('Final Calculation Sheet'!$AC$4:$AC$40,$S8-3)="","",INDEX('Final Calculation Sheet'!$AC$4:$AC$40,$S8-3)),"")</f>
        <v/>
      </c>
      <c r="G33" s="545">
        <f>IFERROR(IF(INDEX('Final Calculation Sheet'!$AC$4:$AC$40,$S9-3)="","",INDEX('Final Calculation Sheet'!$AC$4:$AC$40,$S9-3)),"")</f>
        <v/>
      </c>
      <c r="H33" s="544">
        <f>IFERROR(IF(INDEX('Final Calculation Sheet'!$AC$4:$AC$40,$S10-3)="","",INDEX('Final Calculation Sheet'!$AC$4:$AC$40,$S10-3)),"")</f>
        <v/>
      </c>
      <c r="I33" s="545">
        <f>IFERROR(IF(INDEX('Final Calculation Sheet'!$AC$4:$AC$40,$S11-3)="","",INDEX('Final Calculation Sheet'!$AC$4:$AC$40,$S11-3)),"")</f>
        <v/>
      </c>
      <c r="J33" s="544">
        <f>IFERROR(IF(INDEX('Final Calculation Sheet'!$AC$4:$AC$40,$S12-3)="","",INDEX('Final Calculation Sheet'!$AC$4:$AC$40,$S12-3)),"")</f>
        <v/>
      </c>
      <c r="K33" s="545">
        <f>IFERROR(IF(INDEX('Final Calculation Sheet'!$AC$4:$AC$40,$S13-3)="","",INDEX('Final Calculation Sheet'!$AC$4:$AC$40,$S13-3)),"")</f>
        <v/>
      </c>
      <c r="L33" s="544">
        <f>IFERROR(IF(INDEX('Final Calculation Sheet'!$AC$4:$AC$40,$S14-3)="","",INDEX('Final Calculation Sheet'!$AC$4:$AC$40,$S14-3)),"")</f>
        <v/>
      </c>
      <c r="M33" s="545">
        <f>IFERROR(IF(INDEX('Final Calculation Sheet'!$AC$4:$AC$40,$S15-3)="","",INDEX('Final Calculation Sheet'!$AC$4:$AC$40,$S15-3)),"")</f>
        <v/>
      </c>
      <c r="N33" s="544">
        <f>IFERROR(IF(INDEX('Final Calculation Sheet'!$AC$4:$AC$40,$S16-3)="","",INDEX('Final Calculation Sheet'!$AC$4:$AC$40,$S16-3)),"")</f>
        <v/>
      </c>
      <c r="O33" s="546">
        <f>IF(COUNT(B33:N33)=0,"",SUM(B33:N33))</f>
        <v/>
      </c>
      <c r="Q33">
        <f>IF('Final Calculation Sheet'!$G33=$B$3,COUNTIF('Final Calculation Sheet'!$G$4:$G33,$B$3),"")</f>
        <v/>
      </c>
    </row>
    <row r="34" ht="15" customHeight="1">
      <c r="A34" s="543" t="inlineStr">
        <is>
          <t>Outstanding</t>
        </is>
      </c>
      <c r="B34" s="544">
        <f>IFERROR(IF(INDEX('Final Calculation Sheet'!$AD$4:$AD$40,$S4-3)="","",INDEX('Final Calculation Sheet'!$AD$4:$AD$40,$S4-3)),"")</f>
        <v/>
      </c>
      <c r="C34" s="545">
        <f>IFERROR(IF(INDEX('Final Calculation Sheet'!$AD$4:$AD$40,$S5-3)="","",INDEX('Final Calculation Sheet'!$AD$4:$AD$40,$S5-3)),"")</f>
        <v/>
      </c>
      <c r="D34" s="544">
        <f>IFERROR(IF(INDEX('Final Calculation Sheet'!$AD$4:$AD$40,$S6-3)="","",INDEX('Final Calculation Sheet'!$AD$4:$AD$40,$S6-3)),"")</f>
        <v/>
      </c>
      <c r="E34" s="545">
        <f>IFERROR(IF(INDEX('Final Calculation Sheet'!$AD$4:$AD$40,$S7-3)="","",INDEX('Final Calculation Sheet'!$AD$4:$AD$40,$S7-3)),"")</f>
        <v/>
      </c>
      <c r="F34" s="544">
        <f>IFERROR(IF(INDEX('Final Calculation Sheet'!$AD$4:$AD$40,$S8-3)="","",INDEX('Final Calculation Sheet'!$AD$4:$AD$40,$S8-3)),"")</f>
        <v/>
      </c>
      <c r="G34" s="545">
        <f>IFERROR(IF(INDEX('Final Calculation Sheet'!$AD$4:$AD$40,$S9-3)="","",INDEX('Final Calculation Sheet'!$AD$4:$AD$40,$S9-3)),"")</f>
        <v/>
      </c>
      <c r="H34" s="544">
        <f>IFERROR(IF(INDEX('Final Calculation Sheet'!$AD$4:$AD$40,$S10-3)="","",INDEX('Final Calculation Sheet'!$AD$4:$AD$40,$S10-3)),"")</f>
        <v/>
      </c>
      <c r="I34" s="545">
        <f>IFERROR(IF(INDEX('Final Calculation Sheet'!$AD$4:$AD$40,$S11-3)="","",INDEX('Final Calculation Sheet'!$AD$4:$AD$40,$S11-3)),"")</f>
        <v/>
      </c>
      <c r="J34" s="544">
        <f>IFERROR(IF(INDEX('Final Calculation Sheet'!$AD$4:$AD$40,$S12-3)="","",INDEX('Final Calculation Sheet'!$AD$4:$AD$40,$S12-3)),"")</f>
        <v/>
      </c>
      <c r="K34" s="545">
        <f>IFERROR(IF(INDEX('Final Calculation Sheet'!$AD$4:$AD$40,$S13-3)="","",INDEX('Final Calculation Sheet'!$AD$4:$AD$40,$S13-3)),"")</f>
        <v/>
      </c>
      <c r="L34" s="544">
        <f>IFERROR(IF(INDEX('Final Calculation Sheet'!$AD$4:$AD$40,$S14-3)="","",INDEX('Final Calculation Sheet'!$AD$4:$AD$40,$S14-3)),"")</f>
        <v/>
      </c>
      <c r="M34" s="545">
        <f>IFERROR(IF(INDEX('Final Calculation Sheet'!$AD$4:$AD$40,$S15-3)="","",INDEX('Final Calculation Sheet'!$AD$4:$AD$40,$S15-3)),"")</f>
        <v/>
      </c>
      <c r="N34" s="544">
        <f>IFERROR(IF(INDEX('Final Calculation Sheet'!$AD$4:$AD$40,$S16-3)="","",INDEX('Final Calculation Sheet'!$AD$4:$AD$40,$S16-3)),"")</f>
        <v/>
      </c>
      <c r="O34" s="546">
        <f>IF(COUNT(B34:N34)=0,"",SUM(B34:N34))</f>
        <v/>
      </c>
      <c r="Q34">
        <f>IF('Final Calculation Sheet'!$G34=$B$3,COUNTIF('Final Calculation Sheet'!$G$4:$G34,$B$3),"")</f>
        <v/>
      </c>
    </row>
    <row r="35" ht="15" customHeight="1">
      <c r="A35" s="540" t="inlineStr">
        <is>
          <t>Invoice No.</t>
        </is>
      </c>
      <c r="B35" s="544">
        <f>IFERROR(IF(INDEX('Final Calculation Sheet'!$AE$4:$AE$40,$S4-3)="","",INDEX('Final Calculation Sheet'!$AE$4:$AE$40,$S4-3)),"")</f>
        <v/>
      </c>
      <c r="C35" s="545">
        <f>IFERROR(IF(INDEX('Final Calculation Sheet'!$AE$4:$AE$40,$S5-3)="","",INDEX('Final Calculation Sheet'!$AE$4:$AE$40,$S5-3)),"")</f>
        <v/>
      </c>
      <c r="D35" s="544">
        <f>IFERROR(IF(INDEX('Final Calculation Sheet'!$AE$4:$AE$40,$S6-3)="","",INDEX('Final Calculation Sheet'!$AE$4:$AE$40,$S6-3)),"")</f>
        <v/>
      </c>
      <c r="E35" s="545">
        <f>IFERROR(IF(INDEX('Final Calculation Sheet'!$AE$4:$AE$40,$S7-3)="","",INDEX('Final Calculation Sheet'!$AE$4:$AE$40,$S7-3)),"")</f>
        <v/>
      </c>
      <c r="F35" s="544">
        <f>IFERROR(IF(INDEX('Final Calculation Sheet'!$AE$4:$AE$40,$S8-3)="","",INDEX('Final Calculation Sheet'!$AE$4:$AE$40,$S8-3)),"")</f>
        <v/>
      </c>
      <c r="G35" s="545">
        <f>IFERROR(IF(INDEX('Final Calculation Sheet'!$AE$4:$AE$40,$S9-3)="","",INDEX('Final Calculation Sheet'!$AE$4:$AE$40,$S9-3)),"")</f>
        <v/>
      </c>
      <c r="H35" s="544">
        <f>IFERROR(IF(INDEX('Final Calculation Sheet'!$AE$4:$AE$40,$S10-3)="","",INDEX('Final Calculation Sheet'!$AE$4:$AE$40,$S10-3)),"")</f>
        <v/>
      </c>
      <c r="I35" s="545">
        <f>IFERROR(IF(INDEX('Final Calculation Sheet'!$AE$4:$AE$40,$S11-3)="","",INDEX('Final Calculation Sheet'!$AE$4:$AE$40,$S11-3)),"")</f>
        <v/>
      </c>
      <c r="J35" s="544">
        <f>IFERROR(IF(INDEX('Final Calculation Sheet'!$AE$4:$AE$40,$S12-3)="","",INDEX('Final Calculation Sheet'!$AE$4:$AE$40,$S12-3)),"")</f>
        <v/>
      </c>
      <c r="K35" s="545">
        <f>IFERROR(IF(INDEX('Final Calculation Sheet'!$AE$4:$AE$40,$S13-3)="","",INDEX('Final Calculation Sheet'!$AE$4:$AE$40,$S13-3)),"")</f>
        <v/>
      </c>
      <c r="L35" s="544">
        <f>IFERROR(IF(INDEX('Final Calculation Sheet'!$AE$4:$AE$40,$S14-3)="","",INDEX('Final Calculation Sheet'!$AE$4:$AE$40,$S14-3)),"")</f>
        <v/>
      </c>
      <c r="M35" s="545">
        <f>IFERROR(IF(INDEX('Final Calculation Sheet'!$AE$4:$AE$40,$S15-3)="","",INDEX('Final Calculation Sheet'!$AE$4:$AE$40,$S15-3)),"")</f>
        <v/>
      </c>
      <c r="N35" s="544">
        <f>IFERROR(IF(INDEX('Final Calculation Sheet'!$AE$4:$AE$40,$S16-3)="","",INDEX('Final Calculation Sheet'!$AE$4:$AE$40,$S16-3)),"")</f>
        <v/>
      </c>
      <c r="O35" s="605" t="inlineStr">
        <is>
          <t>–</t>
        </is>
      </c>
      <c r="Q35">
        <f>IF('Final Calculation Sheet'!$G35=$B$3,COUNTIF('Final Calculation Sheet'!$G$4:$G35,$B$3),"")</f>
        <v/>
      </c>
    </row>
    <row r="36" ht="15" customHeight="1">
      <c r="A36" s="543" t="inlineStr">
        <is>
          <t>SAP Document</t>
        </is>
      </c>
      <c r="B36" s="555">
        <f>IFERROR(IF(INDEX('Final Calculation Sheet'!$AF$4:$AF$40,$S4-3)="","",INDEX('Final Calculation Sheet'!$AF$4:$AF$40,$S4-3)),"")</f>
        <v/>
      </c>
      <c r="C36" s="556">
        <f>IFERROR(IF(INDEX('Final Calculation Sheet'!$AF$4:$AF$40,$S5-3)="","",INDEX('Final Calculation Sheet'!$AF$4:$AF$40,$S5-3)),"")</f>
        <v/>
      </c>
      <c r="D36" s="555">
        <f>IFERROR(IF(INDEX('Final Calculation Sheet'!$AF$4:$AF$40,$S6-3)="","",INDEX('Final Calculation Sheet'!$AF$4:$AF$40,$S6-3)),"")</f>
        <v/>
      </c>
      <c r="E36" s="556">
        <f>IFERROR(IF(INDEX('Final Calculation Sheet'!$AF$4:$AF$40,$S7-3)="","",INDEX('Final Calculation Sheet'!$AF$4:$AF$40,$S7-3)),"")</f>
        <v/>
      </c>
      <c r="F36" s="555">
        <f>IFERROR(IF(INDEX('Final Calculation Sheet'!$AF$4:$AF$40,$S8-3)="","",INDEX('Final Calculation Sheet'!$AF$4:$AF$40,$S8-3)),"")</f>
        <v/>
      </c>
      <c r="G36" s="556">
        <f>IFERROR(IF(INDEX('Final Calculation Sheet'!$AF$4:$AF$40,$S9-3)="","",INDEX('Final Calculation Sheet'!$AF$4:$AF$40,$S9-3)),"")</f>
        <v/>
      </c>
      <c r="H36" s="555">
        <f>IFERROR(IF(INDEX('Final Calculation Sheet'!$AF$4:$AF$40,$S10-3)="","",INDEX('Final Calculation Sheet'!$AF$4:$AF$40,$S10-3)),"")</f>
        <v/>
      </c>
      <c r="I36" s="556">
        <f>IFERROR(IF(INDEX('Final Calculation Sheet'!$AF$4:$AF$40,$S11-3)="","",INDEX('Final Calculation Sheet'!$AF$4:$AF$40,$S11-3)),"")</f>
        <v/>
      </c>
      <c r="J36" s="555">
        <f>IFERROR(IF(INDEX('Final Calculation Sheet'!$AF$4:$AF$40,$S12-3)="","",INDEX('Final Calculation Sheet'!$AF$4:$AF$40,$S12-3)),"")</f>
        <v/>
      </c>
      <c r="K36" s="556">
        <f>IFERROR(IF(INDEX('Final Calculation Sheet'!$AF$4:$AF$40,$S13-3)="","",INDEX('Final Calculation Sheet'!$AF$4:$AF$40,$S13-3)),"")</f>
        <v/>
      </c>
      <c r="L36" s="555">
        <f>IFERROR(IF(INDEX('Final Calculation Sheet'!$AF$4:$AF$40,$S14-3)="","",INDEX('Final Calculation Sheet'!$AF$4:$AF$40,$S14-3)),"")</f>
        <v/>
      </c>
      <c r="M36" s="556">
        <f>IFERROR(IF(INDEX('Final Calculation Sheet'!$AF$4:$AF$40,$S15-3)="","",INDEX('Final Calculation Sheet'!$AF$4:$AF$40,$S15-3)),"")</f>
        <v/>
      </c>
      <c r="N36" s="555">
        <f>IFERROR(IF(INDEX('Final Calculation Sheet'!$AF$4:$AF$40,$S16-3)="","",INDEX('Final Calculation Sheet'!$AF$4:$AF$40,$S16-3)),"")</f>
        <v/>
      </c>
      <c r="O36" s="605" t="inlineStr">
        <is>
          <t>–</t>
        </is>
      </c>
      <c r="Q36">
        <f>IF('Final Calculation Sheet'!$G36=$B$3,COUNTIF('Final Calculation Sheet'!$G$4:$G36,$B$3),"")</f>
        <v/>
      </c>
    </row>
    <row r="37" ht="15" customHeight="1">
      <c r="A37" s="540" t="inlineStr">
        <is>
          <t>Doc./Invoice Date</t>
        </is>
      </c>
      <c r="B37" s="544">
        <f>IFERROR(IF(INDEX('Final Calculation Sheet'!$AG$4:$AG$40,$S4-3)="","",INDEX('Final Calculation Sheet'!$AG$4:$AG$40,$S4-3)),"")</f>
        <v/>
      </c>
      <c r="C37" s="545">
        <f>IFERROR(IF(INDEX('Final Calculation Sheet'!$AG$4:$AG$40,$S5-3)="","",INDEX('Final Calculation Sheet'!$AG$4:$AG$40,$S5-3)),"")</f>
        <v/>
      </c>
      <c r="D37" s="544">
        <f>IFERROR(IF(INDEX('Final Calculation Sheet'!$AG$4:$AG$40,$S6-3)="","",INDEX('Final Calculation Sheet'!$AG$4:$AG$40,$S6-3)),"")</f>
        <v/>
      </c>
      <c r="E37" s="545">
        <f>IFERROR(IF(INDEX('Final Calculation Sheet'!$AG$4:$AG$40,$S7-3)="","",INDEX('Final Calculation Sheet'!$AG$4:$AG$40,$S7-3)),"")</f>
        <v/>
      </c>
      <c r="F37" s="544">
        <f>IFERROR(IF(INDEX('Final Calculation Sheet'!$AG$4:$AG$40,$S8-3)="","",INDEX('Final Calculation Sheet'!$AG$4:$AG$40,$S8-3)),"")</f>
        <v/>
      </c>
      <c r="G37" s="545">
        <f>IFERROR(IF(INDEX('Final Calculation Sheet'!$AG$4:$AG$40,$S9-3)="","",INDEX('Final Calculation Sheet'!$AG$4:$AG$40,$S9-3)),"")</f>
        <v/>
      </c>
      <c r="H37" s="544">
        <f>IFERROR(IF(INDEX('Final Calculation Sheet'!$AG$4:$AG$40,$S10-3)="","",INDEX('Final Calculation Sheet'!$AG$4:$AG$40,$S10-3)),"")</f>
        <v/>
      </c>
      <c r="I37" s="545">
        <f>IFERROR(IF(INDEX('Final Calculation Sheet'!$AG$4:$AG$40,$S11-3)="","",INDEX('Final Calculation Sheet'!$AG$4:$AG$40,$S11-3)),"")</f>
        <v/>
      </c>
      <c r="J37" s="544">
        <f>IFERROR(IF(INDEX('Final Calculation Sheet'!$AG$4:$AG$40,$S12-3)="","",INDEX('Final Calculation Sheet'!$AG$4:$AG$40,$S12-3)),"")</f>
        <v/>
      </c>
      <c r="K37" s="545">
        <f>IFERROR(IF(INDEX('Final Calculation Sheet'!$AG$4:$AG$40,$S13-3)="","",INDEX('Final Calculation Sheet'!$AG$4:$AG$40,$S13-3)),"")</f>
        <v/>
      </c>
      <c r="L37" s="544">
        <f>IFERROR(IF(INDEX('Final Calculation Sheet'!$AG$4:$AG$40,$S14-3)="","",INDEX('Final Calculation Sheet'!$AG$4:$AG$40,$S14-3)),"")</f>
        <v/>
      </c>
      <c r="M37" s="545">
        <f>IFERROR(IF(INDEX('Final Calculation Sheet'!$AG$4:$AG$40,$S15-3)="","",INDEX('Final Calculation Sheet'!$AG$4:$AG$40,$S15-3)),"")</f>
        <v/>
      </c>
      <c r="N37" s="544">
        <f>IFERROR(IF(INDEX('Final Calculation Sheet'!$AG$4:$AG$40,$S16-3)="","",INDEX('Final Calculation Sheet'!$AG$4:$AG$40,$S16-3)),"")</f>
        <v/>
      </c>
      <c r="O37" s="605" t="inlineStr">
        <is>
          <t>–</t>
        </is>
      </c>
      <c r="Q37">
        <f>IF('Final Calculation Sheet'!$G37=$B$3,COUNTIF('Final Calculation Sheet'!$G$4:$G37,$B$3),"")</f>
        <v/>
      </c>
    </row>
    <row r="38">
      <c r="Q38">
        <f>IF('Final Calculation Sheet'!$G38=$B$3,COUNTIF('Final Calculation Sheet'!$G$4:$G38,$B$3),"")</f>
        <v/>
      </c>
    </row>
    <row r="39">
      <c r="Q39">
        <f>IF('Final Calculation Sheet'!$G39=$B$3,COUNTIF('Final Calculation Sheet'!$G$4:$G39,$B$3),"")</f>
        <v/>
      </c>
    </row>
    <row r="40">
      <c r="Q40">
        <f>IF('Final Calculation Sheet'!$G40=$B$3,COUNTIF('Final Calculation Sheet'!$G$4:$G40,$B$3),"")</f>
        <v/>
      </c>
    </row>
  </sheetData>
  <autoFilter ref="A4:A37"/>
  <mergeCells count="4">
    <mergeCell ref="A1:O1"/>
    <mergeCell ref="E3:O3"/>
    <mergeCell ref="B3:D3"/>
    <mergeCell ref="A2:O2"/>
  </mergeCells>
  <conditionalFormatting sqref="B34:N34">
    <cfRule type="cellIs" priority="1" operator="greaterThan" dxfId="1">
      <formula>0</formula>
    </cfRule>
    <cfRule type="cellIs" priority="2" operator="lessThanOrEqual" dxfId="4">
      <formula>0</formula>
    </cfRule>
  </conditionalFormatting>
  <dataValidations count="1">
    <dataValidation sqref="B3" showDropDown="0" showInputMessage="0" showErrorMessage="0" allowBlank="0" promptTitle="Buyer" prompt="Pick a buyer" type="list">
      <formula1>$U$4:$U$16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1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424" t="inlineStr">
        <is>
          <t>FIELD  ▸   |   BUYER →</t>
        </is>
      </c>
      <c r="B3" s="391" t="inlineStr">
        <is>
          <t>AL HAMD TRADE CORPORATION</t>
        </is>
      </c>
      <c r="C3" s="392" t="inlineStr">
        <is>
          <t>F R KHANS ENTERPRISES</t>
        </is>
      </c>
      <c r="D3" s="393" t="inlineStr">
        <is>
          <t>HIND TRADERS</t>
        </is>
      </c>
      <c r="E3" s="394" t="inlineStr">
        <is>
          <t>KASHYAP TRADING CO</t>
        </is>
      </c>
      <c r="F3" s="395" t="inlineStr">
        <is>
          <t>M I SCRAP TRADERS</t>
        </is>
      </c>
      <c r="G3" s="396" t="inlineStr">
        <is>
          <t>NATIONAL ENTERPRISES</t>
        </is>
      </c>
      <c r="H3" s="397" t="inlineStr">
        <is>
          <t>NATIONAL SCRAP AND BUILDING MATERIAL SUPPLIER</t>
        </is>
      </c>
      <c r="I3" s="398" t="inlineStr">
        <is>
          <t>OMKAR STEELS</t>
        </is>
      </c>
      <c r="J3" s="391" t="inlineStr">
        <is>
          <t>S M ENTERPRISES</t>
        </is>
      </c>
      <c r="K3" s="392" t="inlineStr">
        <is>
          <t>SAHARA ENTERPRISES</t>
        </is>
      </c>
      <c r="L3" s="393" t="inlineStr">
        <is>
          <t>SHAR JAHAN TRADERS</t>
        </is>
      </c>
      <c r="M3" s="394" t="inlineStr">
        <is>
          <t>STERLING ENTERPRISES</t>
        </is>
      </c>
      <c r="N3" s="395" t="inlineStr">
        <is>
          <t>WATAN SCRAP TRADERS</t>
        </is>
      </c>
      <c r="O3" s="490" t="inlineStr">
        <is>
          <t>TOTAL — ALL BUYERS</t>
        </is>
      </c>
    </row>
    <row r="4" ht="17" customHeight="1">
      <c r="A4" s="407" t="inlineStr">
        <is>
          <t xml:space="preserve">  ▸ BUYER OVERVIEW</t>
        </is>
      </c>
      <c r="B4" s="384" t="n"/>
      <c r="C4" s="384" t="n"/>
      <c r="D4" s="384" t="n"/>
      <c r="E4" s="384" t="n"/>
      <c r="F4" s="384" t="n"/>
      <c r="G4" s="384" t="n"/>
      <c r="H4" s="384" t="n"/>
      <c r="I4" s="384" t="n"/>
      <c r="J4" s="384" t="n"/>
      <c r="K4" s="384" t="n"/>
      <c r="L4" s="384" t="n"/>
      <c r="M4" s="384" t="n"/>
      <c r="N4" s="384" t="n"/>
      <c r="O4" s="384" t="n"/>
    </row>
    <row r="5" outlineLevel="1" ht="15" customHeight="1">
      <c r="A5" s="69" t="inlineStr">
        <is>
          <t xml:space="preserve">      Lots</t>
        </is>
      </c>
      <c r="B5" s="491">
        <f>COUNTIF('Final Calculation Sheet'!$G$4:$G$1000,B$3)</f>
        <v/>
      </c>
      <c r="C5" s="492">
        <f>COUNTIF('Final Calculation Sheet'!$G$4:$G$1000,C$3)</f>
        <v/>
      </c>
      <c r="D5" s="493">
        <f>COUNTIF('Final Calculation Sheet'!$G$4:$G$1000,D$3)</f>
        <v/>
      </c>
      <c r="E5" s="494">
        <f>COUNTIF('Final Calculation Sheet'!$G$4:$G$1000,E$3)</f>
        <v/>
      </c>
      <c r="F5" s="495">
        <f>COUNTIF('Final Calculation Sheet'!$G$4:$G$1000,F$3)</f>
        <v/>
      </c>
      <c r="G5" s="496">
        <f>COUNTIF('Final Calculation Sheet'!$G$4:$G$1000,G$3)</f>
        <v/>
      </c>
      <c r="H5" s="497">
        <f>COUNTIF('Final Calculation Sheet'!$G$4:$G$1000,H$3)</f>
        <v/>
      </c>
      <c r="I5" s="498">
        <f>COUNTIF('Final Calculation Sheet'!$G$4:$G$1000,I$3)</f>
        <v/>
      </c>
      <c r="J5" s="491">
        <f>COUNTIF('Final Calculation Sheet'!$G$4:$G$1000,J$3)</f>
        <v/>
      </c>
      <c r="K5" s="492">
        <f>COUNTIF('Final Calculation Sheet'!$G$4:$G$1000,K$3)</f>
        <v/>
      </c>
      <c r="L5" s="493">
        <f>COUNTIF('Final Calculation Sheet'!$G$4:$G$1000,L$3)</f>
        <v/>
      </c>
      <c r="M5" s="494">
        <f>COUNTIF('Final Calculation Sheet'!$G$4:$G$1000,M$3)</f>
        <v/>
      </c>
      <c r="N5" s="495">
        <f>COUNTIF('Final Calculation Sheet'!$G$4:$G$1000,N$3)</f>
        <v/>
      </c>
      <c r="O5" s="499">
        <f>SUM(B5:N5)</f>
        <v/>
      </c>
    </row>
    <row r="6" outlineLevel="1" ht="15" customHeight="1">
      <c r="A6" s="69" t="inlineStr">
        <is>
          <t xml:space="preserve">      Mat. Value (₹)</t>
        </is>
      </c>
      <c r="B6" s="500">
        <f>SUMIF('Final Calculation Sheet'!$G$4:$G$1000,B$3,'Final Calculation Sheet'!$H$4:$H$1000)</f>
        <v/>
      </c>
      <c r="C6" s="88">
        <f>SUMIF('Final Calculation Sheet'!$G$4:$G$1000,C$3,'Final Calculation Sheet'!$H$4:$H$1000)</f>
        <v/>
      </c>
      <c r="D6" s="501">
        <f>SUMIF('Final Calculation Sheet'!$G$4:$G$1000,D$3,'Final Calculation Sheet'!$H$4:$H$1000)</f>
        <v/>
      </c>
      <c r="E6" s="181">
        <f>SUMIF('Final Calculation Sheet'!$G$4:$G$1000,E$3,'Final Calculation Sheet'!$H$4:$H$1000)</f>
        <v/>
      </c>
      <c r="F6" s="502">
        <f>SUMIF('Final Calculation Sheet'!$G$4:$G$1000,F$3,'Final Calculation Sheet'!$H$4:$H$1000)</f>
        <v/>
      </c>
      <c r="G6" s="131">
        <f>SUMIF('Final Calculation Sheet'!$G$4:$G$1000,G$3,'Final Calculation Sheet'!$H$4:$H$1000)</f>
        <v/>
      </c>
      <c r="H6" s="503">
        <f>SUMIF('Final Calculation Sheet'!$G$4:$G$1000,H$3,'Final Calculation Sheet'!$H$4:$H$1000)</f>
        <v/>
      </c>
      <c r="I6" s="156">
        <f>SUMIF('Final Calculation Sheet'!$G$4:$G$1000,I$3,'Final Calculation Sheet'!$H$4:$H$1000)</f>
        <v/>
      </c>
      <c r="J6" s="500">
        <f>SUMIF('Final Calculation Sheet'!$G$4:$G$1000,J$3,'Final Calculation Sheet'!$H$4:$H$1000)</f>
        <v/>
      </c>
      <c r="K6" s="88">
        <f>SUMIF('Final Calculation Sheet'!$G$4:$G$1000,K$3,'Final Calculation Sheet'!$H$4:$H$1000)</f>
        <v/>
      </c>
      <c r="L6" s="501">
        <f>SUMIF('Final Calculation Sheet'!$G$4:$G$1000,L$3,'Final Calculation Sheet'!$H$4:$H$1000)</f>
        <v/>
      </c>
      <c r="M6" s="181">
        <f>SUMIF('Final Calculation Sheet'!$G$4:$G$1000,M$3,'Final Calculation Sheet'!$H$4:$H$1000)</f>
        <v/>
      </c>
      <c r="N6" s="502">
        <f>SUMIF('Final Calculation Sheet'!$G$4:$G$1000,N$3,'Final Calculation Sheet'!$H$4:$H$1000)</f>
        <v/>
      </c>
      <c r="O6" s="414">
        <f>SUM(B6:N6)</f>
        <v/>
      </c>
    </row>
    <row r="7" outlineLevel="1" ht="15" customHeight="1">
      <c r="A7" s="69" t="inlineStr">
        <is>
          <t xml:space="preserve">      Total Received (₹)</t>
        </is>
      </c>
      <c r="B7" s="500">
        <f>SUMIF('Final Calculation Sheet'!$G$4:$G$1000,B$3,'Final Calculation Sheet'!$AC$4:$AC$1000)</f>
        <v/>
      </c>
      <c r="C7" s="88">
        <f>SUMIF('Final Calculation Sheet'!$G$4:$G$1000,C$3,'Final Calculation Sheet'!$AC$4:$AC$1000)</f>
        <v/>
      </c>
      <c r="D7" s="501">
        <f>SUMIF('Final Calculation Sheet'!$G$4:$G$1000,D$3,'Final Calculation Sheet'!$AC$4:$AC$1000)</f>
        <v/>
      </c>
      <c r="E7" s="181">
        <f>SUMIF('Final Calculation Sheet'!$G$4:$G$1000,E$3,'Final Calculation Sheet'!$AC$4:$AC$1000)</f>
        <v/>
      </c>
      <c r="F7" s="502">
        <f>SUMIF('Final Calculation Sheet'!$G$4:$G$1000,F$3,'Final Calculation Sheet'!$AC$4:$AC$1000)</f>
        <v/>
      </c>
      <c r="G7" s="131">
        <f>SUMIF('Final Calculation Sheet'!$G$4:$G$1000,G$3,'Final Calculation Sheet'!$AC$4:$AC$1000)</f>
        <v/>
      </c>
      <c r="H7" s="503">
        <f>SUMIF('Final Calculation Sheet'!$G$4:$G$1000,H$3,'Final Calculation Sheet'!$AC$4:$AC$1000)</f>
        <v/>
      </c>
      <c r="I7" s="156">
        <f>SUMIF('Final Calculation Sheet'!$G$4:$G$1000,I$3,'Final Calculation Sheet'!$AC$4:$AC$1000)</f>
        <v/>
      </c>
      <c r="J7" s="500">
        <f>SUMIF('Final Calculation Sheet'!$G$4:$G$1000,J$3,'Final Calculation Sheet'!$AC$4:$AC$1000)</f>
        <v/>
      </c>
      <c r="K7" s="88">
        <f>SUMIF('Final Calculation Sheet'!$G$4:$G$1000,K$3,'Final Calculation Sheet'!$AC$4:$AC$1000)</f>
        <v/>
      </c>
      <c r="L7" s="501">
        <f>SUMIF('Final Calculation Sheet'!$G$4:$G$1000,L$3,'Final Calculation Sheet'!$AC$4:$AC$1000)</f>
        <v/>
      </c>
      <c r="M7" s="181">
        <f>SUMIF('Final Calculation Sheet'!$G$4:$G$1000,M$3,'Final Calculation Sheet'!$AC$4:$AC$1000)</f>
        <v/>
      </c>
      <c r="N7" s="502">
        <f>SUMIF('Final Calculation Sheet'!$G$4:$G$1000,N$3,'Final Calculation Sheet'!$AC$4:$AC$1000)</f>
        <v/>
      </c>
      <c r="O7" s="414">
        <f>SUM(B7:N7)</f>
        <v/>
      </c>
    </row>
    <row r="8" outlineLevel="1" ht="15" customHeight="1">
      <c r="A8" s="69" t="inlineStr">
        <is>
          <t xml:space="preserve">      Outstanding (₹)</t>
        </is>
      </c>
      <c r="B8" s="500">
        <f>SUMIF('Final Calculation Sheet'!$G$4:$G$1000,B$3,'Final Calculation Sheet'!$AD$4:$AD$1000)</f>
        <v/>
      </c>
      <c r="C8" s="88">
        <f>SUMIF('Final Calculation Sheet'!$G$4:$G$1000,C$3,'Final Calculation Sheet'!$AD$4:$AD$1000)</f>
        <v/>
      </c>
      <c r="D8" s="501">
        <f>SUMIF('Final Calculation Sheet'!$G$4:$G$1000,D$3,'Final Calculation Sheet'!$AD$4:$AD$1000)</f>
        <v/>
      </c>
      <c r="E8" s="181">
        <f>SUMIF('Final Calculation Sheet'!$G$4:$G$1000,E$3,'Final Calculation Sheet'!$AD$4:$AD$1000)</f>
        <v/>
      </c>
      <c r="F8" s="502">
        <f>SUMIF('Final Calculation Sheet'!$G$4:$G$1000,F$3,'Final Calculation Sheet'!$AD$4:$AD$1000)</f>
        <v/>
      </c>
      <c r="G8" s="131">
        <f>SUMIF('Final Calculation Sheet'!$G$4:$G$1000,G$3,'Final Calculation Sheet'!$AD$4:$AD$1000)</f>
        <v/>
      </c>
      <c r="H8" s="503">
        <f>SUMIF('Final Calculation Sheet'!$G$4:$G$1000,H$3,'Final Calculation Sheet'!$AD$4:$AD$1000)</f>
        <v/>
      </c>
      <c r="I8" s="156">
        <f>SUMIF('Final Calculation Sheet'!$G$4:$G$1000,I$3,'Final Calculation Sheet'!$AD$4:$AD$1000)</f>
        <v/>
      </c>
      <c r="J8" s="500">
        <f>SUMIF('Final Calculation Sheet'!$G$4:$G$1000,J$3,'Final Calculation Sheet'!$AD$4:$AD$1000)</f>
        <v/>
      </c>
      <c r="K8" s="88">
        <f>SUMIF('Final Calculation Sheet'!$G$4:$G$1000,K$3,'Final Calculation Sheet'!$AD$4:$AD$1000)</f>
        <v/>
      </c>
      <c r="L8" s="501">
        <f>SUMIF('Final Calculation Sheet'!$G$4:$G$1000,L$3,'Final Calculation Sheet'!$AD$4:$AD$1000)</f>
        <v/>
      </c>
      <c r="M8" s="181">
        <f>SUMIF('Final Calculation Sheet'!$G$4:$G$1000,M$3,'Final Calculation Sheet'!$AD$4:$AD$1000)</f>
        <v/>
      </c>
      <c r="N8" s="502">
        <f>SUMIF('Final Calculation Sheet'!$G$4:$G$1000,N$3,'Final Calculation Sheet'!$AD$4:$AD$1000)</f>
        <v/>
      </c>
      <c r="O8" s="414">
        <f>SUM(B8:N8)</f>
        <v/>
      </c>
    </row>
    <row r="9" outlineLevel="1" ht="15" customHeight="1">
      <c r="A9" s="69" t="inlineStr">
        <is>
          <t xml:space="preserve">      Payment Status</t>
        </is>
      </c>
      <c r="B9" s="504">
        <f>IF(SUMIF('Final Calculation Sheet'!$G$4:$G$1000,B$3,'Final Calculation Sheet'!$AD$4:$AD$1000)&lt;=0,"SETTLED","OUTSTANDING")</f>
        <v/>
      </c>
      <c r="C9" s="98">
        <f>IF(SUMIF('Final Calculation Sheet'!$G$4:$G$1000,C$3,'Final Calculation Sheet'!$AD$4:$AD$1000)&lt;=0,"SETTLED","OUTSTANDING")</f>
        <v/>
      </c>
      <c r="D9" s="505">
        <f>IF(SUMIF('Final Calculation Sheet'!$G$4:$G$1000,D$3,'Final Calculation Sheet'!$AD$4:$AD$1000)&lt;=0,"SETTLED","OUTSTANDING")</f>
        <v/>
      </c>
      <c r="E9" s="187">
        <f>IF(SUMIF('Final Calculation Sheet'!$G$4:$G$1000,E$3,'Final Calculation Sheet'!$AD$4:$AD$1000)&lt;=0,"SETTLED","OUTSTANDING")</f>
        <v/>
      </c>
      <c r="F9" s="506">
        <f>IF(SUMIF('Final Calculation Sheet'!$G$4:$G$1000,F$3,'Final Calculation Sheet'!$AD$4:$AD$1000)&lt;=0,"SETTLED","OUTSTANDING")</f>
        <v/>
      </c>
      <c r="G9" s="141">
        <f>IF(SUMIF('Final Calculation Sheet'!$G$4:$G$1000,G$3,'Final Calculation Sheet'!$AD$4:$AD$1000)&lt;=0,"SETTLED","OUTSTANDING")</f>
        <v/>
      </c>
      <c r="H9" s="507">
        <f>IF(SUMIF('Final Calculation Sheet'!$G$4:$G$1000,H$3,'Final Calculation Sheet'!$AD$4:$AD$1000)&lt;=0,"SETTLED","OUTSTANDING")</f>
        <v/>
      </c>
      <c r="I9" s="166">
        <f>IF(SUMIF('Final Calculation Sheet'!$G$4:$G$1000,I$3,'Final Calculation Sheet'!$AD$4:$AD$1000)&lt;=0,"SETTLED","OUTSTANDING")</f>
        <v/>
      </c>
      <c r="J9" s="504">
        <f>IF(SUMIF('Final Calculation Sheet'!$G$4:$G$1000,J$3,'Final Calculation Sheet'!$AD$4:$AD$1000)&lt;=0,"SETTLED","OUTSTANDING")</f>
        <v/>
      </c>
      <c r="K9" s="98">
        <f>IF(SUMIF('Final Calculation Sheet'!$G$4:$G$1000,K$3,'Final Calculation Sheet'!$AD$4:$AD$1000)&lt;=0,"SETTLED","OUTSTANDING")</f>
        <v/>
      </c>
      <c r="L9" s="505">
        <f>IF(SUMIF('Final Calculation Sheet'!$G$4:$G$1000,L$3,'Final Calculation Sheet'!$AD$4:$AD$1000)&lt;=0,"SETTLED","OUTSTANDING")</f>
        <v/>
      </c>
      <c r="M9" s="187">
        <f>IF(SUMIF('Final Calculation Sheet'!$G$4:$G$1000,M$3,'Final Calculation Sheet'!$AD$4:$AD$1000)&lt;=0,"SETTLED","OUTSTANDING")</f>
        <v/>
      </c>
      <c r="N9" s="506">
        <f>IF(SUMIF('Final Calculation Sheet'!$G$4:$G$1000,N$3,'Final Calculation Sheet'!$AD$4:$AD$1000)&lt;=0,"SETTLED","OUTSTANDING")</f>
        <v/>
      </c>
      <c r="O9" s="508">
        <f>IF(O8&lt;=0,"SETTLED","OUTSTANDING")</f>
        <v/>
      </c>
    </row>
    <row r="10" ht="17" customHeight="1">
      <c r="A10" s="413" t="inlineStr">
        <is>
          <t xml:space="preserve">  ▸ LOT INFORMATION</t>
        </is>
      </c>
      <c r="B10" s="385" t="n"/>
      <c r="C10" s="385" t="n"/>
      <c r="D10" s="385" t="n"/>
      <c r="E10" s="385" t="n"/>
      <c r="F10" s="385" t="n"/>
      <c r="G10" s="385" t="n"/>
      <c r="H10" s="385" t="n"/>
      <c r="I10" s="385" t="n"/>
      <c r="J10" s="385" t="n"/>
      <c r="K10" s="385" t="n"/>
      <c r="L10" s="385" t="n"/>
      <c r="M10" s="385" t="n"/>
      <c r="N10" s="385" t="n"/>
      <c r="O10" s="385" t="n"/>
    </row>
    <row r="11" outlineLevel="1" ht="15" customHeight="1">
      <c r="A11" s="69" t="inlineStr">
        <is>
          <t xml:space="preserve">      Quantity (total)</t>
        </is>
      </c>
      <c r="B11" s="509">
        <f>SUMIF('Final Calculation Sheet'!$G$4:$G$1000,B$3,'Final Calculation Sheet'!$A$4:$A$1000)</f>
        <v/>
      </c>
      <c r="C11" s="91">
        <f>SUMIF('Final Calculation Sheet'!$G$4:$G$1000,C$3,'Final Calculation Sheet'!$A$4:$A$1000)</f>
        <v/>
      </c>
      <c r="D11" s="510">
        <f>SUMIF('Final Calculation Sheet'!$G$4:$G$1000,D$3,'Final Calculation Sheet'!$A$4:$A$1000)</f>
        <v/>
      </c>
      <c r="E11" s="183">
        <f>SUMIF('Final Calculation Sheet'!$G$4:$G$1000,E$3,'Final Calculation Sheet'!$A$4:$A$1000)</f>
        <v/>
      </c>
      <c r="F11" s="511">
        <f>SUMIF('Final Calculation Sheet'!$G$4:$G$1000,F$3,'Final Calculation Sheet'!$A$4:$A$1000)</f>
        <v/>
      </c>
      <c r="G11" s="134">
        <f>SUMIF('Final Calculation Sheet'!$G$4:$G$1000,G$3,'Final Calculation Sheet'!$A$4:$A$1000)</f>
        <v/>
      </c>
      <c r="H11" s="512">
        <f>SUMIF('Final Calculation Sheet'!$G$4:$G$1000,H$3,'Final Calculation Sheet'!$A$4:$A$1000)</f>
        <v/>
      </c>
      <c r="I11" s="159">
        <f>SUMIF('Final Calculation Sheet'!$G$4:$G$1000,I$3,'Final Calculation Sheet'!$A$4:$A$1000)</f>
        <v/>
      </c>
      <c r="J11" s="509">
        <f>SUMIF('Final Calculation Sheet'!$G$4:$G$1000,J$3,'Final Calculation Sheet'!$A$4:$A$1000)</f>
        <v/>
      </c>
      <c r="K11" s="91">
        <f>SUMIF('Final Calculation Sheet'!$G$4:$G$1000,K$3,'Final Calculation Sheet'!$A$4:$A$1000)</f>
        <v/>
      </c>
      <c r="L11" s="510">
        <f>SUMIF('Final Calculation Sheet'!$G$4:$G$1000,L$3,'Final Calculation Sheet'!$A$4:$A$1000)</f>
        <v/>
      </c>
      <c r="M11" s="183">
        <f>SUMIF('Final Calculation Sheet'!$G$4:$G$1000,M$3,'Final Calculation Sheet'!$A$4:$A$1000)</f>
        <v/>
      </c>
      <c r="N11" s="511">
        <f>SUMIF('Final Calculation Sheet'!$G$4:$G$1000,N$3,'Final Calculation Sheet'!$A$4:$A$1000)</f>
        <v/>
      </c>
      <c r="O11" s="411">
        <f>SUM(B11:N11)</f>
        <v/>
      </c>
    </row>
    <row r="12" outlineLevel="1" ht="15" customHeight="1">
      <c r="A12" s="69" t="inlineStr">
        <is>
          <t xml:space="preserve">      Avg Rate (₹)</t>
        </is>
      </c>
      <c r="B12" s="500">
        <f>IFERROR(SUMIF('Final Calculation Sheet'!$G$4:$G$1000,B$3,'Final Calculation Sheet'!$H$4:$H$1000)/SUMIF('Final Calculation Sheet'!$G$4:$G$1000,B$3,'Final Calculation Sheet'!$A$4:$A$1000),"")</f>
        <v/>
      </c>
      <c r="C12" s="88">
        <f>IFERROR(SUMIF('Final Calculation Sheet'!$G$4:$G$1000,C$3,'Final Calculation Sheet'!$H$4:$H$1000)/SUMIF('Final Calculation Sheet'!$G$4:$G$1000,C$3,'Final Calculation Sheet'!$A$4:$A$1000),"")</f>
        <v/>
      </c>
      <c r="D12" s="501">
        <f>IFERROR(SUMIF('Final Calculation Sheet'!$G$4:$G$1000,D$3,'Final Calculation Sheet'!$H$4:$H$1000)/SUMIF('Final Calculation Sheet'!$G$4:$G$1000,D$3,'Final Calculation Sheet'!$A$4:$A$1000),"")</f>
        <v/>
      </c>
      <c r="E12" s="181">
        <f>IFERROR(SUMIF('Final Calculation Sheet'!$G$4:$G$1000,E$3,'Final Calculation Sheet'!$H$4:$H$1000)/SUMIF('Final Calculation Sheet'!$G$4:$G$1000,E$3,'Final Calculation Sheet'!$A$4:$A$1000),"")</f>
        <v/>
      </c>
      <c r="F12" s="502">
        <f>IFERROR(SUMIF('Final Calculation Sheet'!$G$4:$G$1000,F$3,'Final Calculation Sheet'!$H$4:$H$1000)/SUMIF('Final Calculation Sheet'!$G$4:$G$1000,F$3,'Final Calculation Sheet'!$A$4:$A$1000),"")</f>
        <v/>
      </c>
      <c r="G12" s="131">
        <f>IFERROR(SUMIF('Final Calculation Sheet'!$G$4:$G$1000,G$3,'Final Calculation Sheet'!$H$4:$H$1000)/SUMIF('Final Calculation Sheet'!$G$4:$G$1000,G$3,'Final Calculation Sheet'!$A$4:$A$1000),"")</f>
        <v/>
      </c>
      <c r="H12" s="503">
        <f>IFERROR(SUMIF('Final Calculation Sheet'!$G$4:$G$1000,H$3,'Final Calculation Sheet'!$H$4:$H$1000)/SUMIF('Final Calculation Sheet'!$G$4:$G$1000,H$3,'Final Calculation Sheet'!$A$4:$A$1000),"")</f>
        <v/>
      </c>
      <c r="I12" s="156">
        <f>IFERROR(SUMIF('Final Calculation Sheet'!$G$4:$G$1000,I$3,'Final Calculation Sheet'!$H$4:$H$1000)/SUMIF('Final Calculation Sheet'!$G$4:$G$1000,I$3,'Final Calculation Sheet'!$A$4:$A$1000),"")</f>
        <v/>
      </c>
      <c r="J12" s="500">
        <f>IFERROR(SUMIF('Final Calculation Sheet'!$G$4:$G$1000,J$3,'Final Calculation Sheet'!$H$4:$H$1000)/SUMIF('Final Calculation Sheet'!$G$4:$G$1000,J$3,'Final Calculation Sheet'!$A$4:$A$1000),"")</f>
        <v/>
      </c>
      <c r="K12" s="88">
        <f>IFERROR(SUMIF('Final Calculation Sheet'!$G$4:$G$1000,K$3,'Final Calculation Sheet'!$H$4:$H$1000)/SUMIF('Final Calculation Sheet'!$G$4:$G$1000,K$3,'Final Calculation Sheet'!$A$4:$A$1000),"")</f>
        <v/>
      </c>
      <c r="L12" s="501">
        <f>IFERROR(SUMIF('Final Calculation Sheet'!$G$4:$G$1000,L$3,'Final Calculation Sheet'!$H$4:$H$1000)/SUMIF('Final Calculation Sheet'!$G$4:$G$1000,L$3,'Final Calculation Sheet'!$A$4:$A$1000),"")</f>
        <v/>
      </c>
      <c r="M12" s="181">
        <f>IFERROR(SUMIF('Final Calculation Sheet'!$G$4:$G$1000,M$3,'Final Calculation Sheet'!$H$4:$H$1000)/SUMIF('Final Calculation Sheet'!$G$4:$G$1000,M$3,'Final Calculation Sheet'!$A$4:$A$1000),"")</f>
        <v/>
      </c>
      <c r="N12" s="502">
        <f>IFERROR(SUMIF('Final Calculation Sheet'!$G$4:$G$1000,N$3,'Final Calculation Sheet'!$H$4:$H$1000)/SUMIF('Final Calculation Sheet'!$G$4:$G$1000,N$3,'Final Calculation Sheet'!$A$4:$A$1000),"")</f>
        <v/>
      </c>
      <c r="O12" s="414">
        <f>IFERROR(O6/O11,"")</f>
        <v/>
      </c>
    </row>
    <row r="13" outlineLevel="1" ht="15" customHeight="1">
      <c r="A13" s="69" t="inlineStr">
        <is>
          <t xml:space="preserve">      Lots pending invoice</t>
        </is>
      </c>
      <c r="B13" s="491">
        <f>COUNTIFS('Final Calculation Sheet'!$G$4:$G$1000,B$3,'Final Calculation Sheet'!$AE$4:$AE$1000,"")</f>
        <v/>
      </c>
      <c r="C13" s="492">
        <f>COUNTIFS('Final Calculation Sheet'!$G$4:$G$1000,C$3,'Final Calculation Sheet'!$AE$4:$AE$1000,"")</f>
        <v/>
      </c>
      <c r="D13" s="493">
        <f>COUNTIFS('Final Calculation Sheet'!$G$4:$G$1000,D$3,'Final Calculation Sheet'!$AE$4:$AE$1000,"")</f>
        <v/>
      </c>
      <c r="E13" s="494">
        <f>COUNTIFS('Final Calculation Sheet'!$G$4:$G$1000,E$3,'Final Calculation Sheet'!$AE$4:$AE$1000,"")</f>
        <v/>
      </c>
      <c r="F13" s="495">
        <f>COUNTIFS('Final Calculation Sheet'!$G$4:$G$1000,F$3,'Final Calculation Sheet'!$AE$4:$AE$1000,"")</f>
        <v/>
      </c>
      <c r="G13" s="496">
        <f>COUNTIFS('Final Calculation Sheet'!$G$4:$G$1000,G$3,'Final Calculation Sheet'!$AE$4:$AE$1000,"")</f>
        <v/>
      </c>
      <c r="H13" s="497">
        <f>COUNTIFS('Final Calculation Sheet'!$G$4:$G$1000,H$3,'Final Calculation Sheet'!$AE$4:$AE$1000,"")</f>
        <v/>
      </c>
      <c r="I13" s="498">
        <f>COUNTIFS('Final Calculation Sheet'!$G$4:$G$1000,I$3,'Final Calculation Sheet'!$AE$4:$AE$1000,"")</f>
        <v/>
      </c>
      <c r="J13" s="491">
        <f>COUNTIFS('Final Calculation Sheet'!$G$4:$G$1000,J$3,'Final Calculation Sheet'!$AE$4:$AE$1000,"")</f>
        <v/>
      </c>
      <c r="K13" s="492">
        <f>COUNTIFS('Final Calculation Sheet'!$G$4:$G$1000,K$3,'Final Calculation Sheet'!$AE$4:$AE$1000,"")</f>
        <v/>
      </c>
      <c r="L13" s="493">
        <f>COUNTIFS('Final Calculation Sheet'!$G$4:$G$1000,L$3,'Final Calculation Sheet'!$AE$4:$AE$1000,"")</f>
        <v/>
      </c>
      <c r="M13" s="494">
        <f>COUNTIFS('Final Calculation Sheet'!$G$4:$G$1000,M$3,'Final Calculation Sheet'!$AE$4:$AE$1000,"")</f>
        <v/>
      </c>
      <c r="N13" s="495">
        <f>COUNTIFS('Final Calculation Sheet'!$G$4:$G$1000,N$3,'Final Calculation Sheet'!$AE$4:$AE$1000,"")</f>
        <v/>
      </c>
      <c r="O13" s="499">
        <f>SUM(B13:N13)</f>
        <v/>
      </c>
    </row>
    <row r="14" ht="17" customHeight="1">
      <c r="A14" s="418" t="inlineStr">
        <is>
          <t xml:space="preserve">  ▸ FINANCIALS</t>
        </is>
      </c>
      <c r="B14" s="386" t="n"/>
      <c r="C14" s="386" t="n"/>
      <c r="D14" s="386" t="n"/>
      <c r="E14" s="386" t="n"/>
      <c r="F14" s="386" t="n"/>
      <c r="G14" s="386" t="n"/>
      <c r="H14" s="386" t="n"/>
      <c r="I14" s="386" t="n"/>
      <c r="J14" s="386" t="n"/>
      <c r="K14" s="386" t="n"/>
      <c r="L14" s="386" t="n"/>
      <c r="M14" s="386" t="n"/>
      <c r="N14" s="386" t="n"/>
      <c r="O14" s="386" t="n"/>
    </row>
    <row r="15" outlineLevel="1" ht="15" customHeight="1">
      <c r="A15" s="69" t="inlineStr">
        <is>
          <t xml:space="preserve">      GST @ 18% (₹)</t>
        </is>
      </c>
      <c r="B15" s="500">
        <f>SUMIF('Final Calculation Sheet'!$G$4:$G$1000,B$3,'Final Calculation Sheet'!$I$4:$I$1000)</f>
        <v/>
      </c>
      <c r="C15" s="88">
        <f>SUMIF('Final Calculation Sheet'!$G$4:$G$1000,C$3,'Final Calculation Sheet'!$I$4:$I$1000)</f>
        <v/>
      </c>
      <c r="D15" s="501">
        <f>SUMIF('Final Calculation Sheet'!$G$4:$G$1000,D$3,'Final Calculation Sheet'!$I$4:$I$1000)</f>
        <v/>
      </c>
      <c r="E15" s="181">
        <f>SUMIF('Final Calculation Sheet'!$G$4:$G$1000,E$3,'Final Calculation Sheet'!$I$4:$I$1000)</f>
        <v/>
      </c>
      <c r="F15" s="502">
        <f>SUMIF('Final Calculation Sheet'!$G$4:$G$1000,F$3,'Final Calculation Sheet'!$I$4:$I$1000)</f>
        <v/>
      </c>
      <c r="G15" s="131">
        <f>SUMIF('Final Calculation Sheet'!$G$4:$G$1000,G$3,'Final Calculation Sheet'!$I$4:$I$1000)</f>
        <v/>
      </c>
      <c r="H15" s="503">
        <f>SUMIF('Final Calculation Sheet'!$G$4:$G$1000,H$3,'Final Calculation Sheet'!$I$4:$I$1000)</f>
        <v/>
      </c>
      <c r="I15" s="156">
        <f>SUMIF('Final Calculation Sheet'!$G$4:$G$1000,I$3,'Final Calculation Sheet'!$I$4:$I$1000)</f>
        <v/>
      </c>
      <c r="J15" s="500">
        <f>SUMIF('Final Calculation Sheet'!$G$4:$G$1000,J$3,'Final Calculation Sheet'!$I$4:$I$1000)</f>
        <v/>
      </c>
      <c r="K15" s="88">
        <f>SUMIF('Final Calculation Sheet'!$G$4:$G$1000,K$3,'Final Calculation Sheet'!$I$4:$I$1000)</f>
        <v/>
      </c>
      <c r="L15" s="501">
        <f>SUMIF('Final Calculation Sheet'!$G$4:$G$1000,L$3,'Final Calculation Sheet'!$I$4:$I$1000)</f>
        <v/>
      </c>
      <c r="M15" s="181">
        <f>SUMIF('Final Calculation Sheet'!$G$4:$G$1000,M$3,'Final Calculation Sheet'!$I$4:$I$1000)</f>
        <v/>
      </c>
      <c r="N15" s="502">
        <f>SUMIF('Final Calculation Sheet'!$G$4:$G$1000,N$3,'Final Calculation Sheet'!$I$4:$I$1000)</f>
        <v/>
      </c>
      <c r="O15" s="414">
        <f>SUM(B15:N15)</f>
        <v/>
      </c>
    </row>
    <row r="16" outlineLevel="1" ht="15" customHeight="1">
      <c r="A16" s="69" t="inlineStr">
        <is>
          <t xml:space="preserve">      Mat. Value + GST (₹)</t>
        </is>
      </c>
      <c r="B16" s="500">
        <f>SUMIF('Final Calculation Sheet'!$G$4:$G$1000,B$3,'Final Calculation Sheet'!$J$4:$J$1000)</f>
        <v/>
      </c>
      <c r="C16" s="88">
        <f>SUMIF('Final Calculation Sheet'!$G$4:$G$1000,C$3,'Final Calculation Sheet'!$J$4:$J$1000)</f>
        <v/>
      </c>
      <c r="D16" s="501">
        <f>SUMIF('Final Calculation Sheet'!$G$4:$G$1000,D$3,'Final Calculation Sheet'!$J$4:$J$1000)</f>
        <v/>
      </c>
      <c r="E16" s="181">
        <f>SUMIF('Final Calculation Sheet'!$G$4:$G$1000,E$3,'Final Calculation Sheet'!$J$4:$J$1000)</f>
        <v/>
      </c>
      <c r="F16" s="502">
        <f>SUMIF('Final Calculation Sheet'!$G$4:$G$1000,F$3,'Final Calculation Sheet'!$J$4:$J$1000)</f>
        <v/>
      </c>
      <c r="G16" s="131">
        <f>SUMIF('Final Calculation Sheet'!$G$4:$G$1000,G$3,'Final Calculation Sheet'!$J$4:$J$1000)</f>
        <v/>
      </c>
      <c r="H16" s="503">
        <f>SUMIF('Final Calculation Sheet'!$G$4:$G$1000,H$3,'Final Calculation Sheet'!$J$4:$J$1000)</f>
        <v/>
      </c>
      <c r="I16" s="156">
        <f>SUMIF('Final Calculation Sheet'!$G$4:$G$1000,I$3,'Final Calculation Sheet'!$J$4:$J$1000)</f>
        <v/>
      </c>
      <c r="J16" s="500">
        <f>SUMIF('Final Calculation Sheet'!$G$4:$G$1000,J$3,'Final Calculation Sheet'!$J$4:$J$1000)</f>
        <v/>
      </c>
      <c r="K16" s="88">
        <f>SUMIF('Final Calculation Sheet'!$G$4:$G$1000,K$3,'Final Calculation Sheet'!$J$4:$J$1000)</f>
        <v/>
      </c>
      <c r="L16" s="501">
        <f>SUMIF('Final Calculation Sheet'!$G$4:$G$1000,L$3,'Final Calculation Sheet'!$J$4:$J$1000)</f>
        <v/>
      </c>
      <c r="M16" s="181">
        <f>SUMIF('Final Calculation Sheet'!$G$4:$G$1000,M$3,'Final Calculation Sheet'!$J$4:$J$1000)</f>
        <v/>
      </c>
      <c r="N16" s="502">
        <f>SUMIF('Final Calculation Sheet'!$G$4:$G$1000,N$3,'Final Calculation Sheet'!$J$4:$J$1000)</f>
        <v/>
      </c>
      <c r="O16" s="414">
        <f>SUM(B16:N16)</f>
        <v/>
      </c>
    </row>
    <row r="17" outlineLevel="1" ht="15" customHeight="1">
      <c r="A17" s="69" t="inlineStr">
        <is>
          <t xml:space="preserve">      TCS @ 2% (₹)</t>
        </is>
      </c>
      <c r="B17" s="500">
        <f>SUMIF('Final Calculation Sheet'!$G$4:$G$1000,B$3,'Final Calculation Sheet'!$K$4:$K$1000)</f>
        <v/>
      </c>
      <c r="C17" s="88">
        <f>SUMIF('Final Calculation Sheet'!$G$4:$G$1000,C$3,'Final Calculation Sheet'!$K$4:$K$1000)</f>
        <v/>
      </c>
      <c r="D17" s="501">
        <f>SUMIF('Final Calculation Sheet'!$G$4:$G$1000,D$3,'Final Calculation Sheet'!$K$4:$K$1000)</f>
        <v/>
      </c>
      <c r="E17" s="181">
        <f>SUMIF('Final Calculation Sheet'!$G$4:$G$1000,E$3,'Final Calculation Sheet'!$K$4:$K$1000)</f>
        <v/>
      </c>
      <c r="F17" s="502">
        <f>SUMIF('Final Calculation Sheet'!$G$4:$G$1000,F$3,'Final Calculation Sheet'!$K$4:$K$1000)</f>
        <v/>
      </c>
      <c r="G17" s="131">
        <f>SUMIF('Final Calculation Sheet'!$G$4:$G$1000,G$3,'Final Calculation Sheet'!$K$4:$K$1000)</f>
        <v/>
      </c>
      <c r="H17" s="503">
        <f>SUMIF('Final Calculation Sheet'!$G$4:$G$1000,H$3,'Final Calculation Sheet'!$K$4:$K$1000)</f>
        <v/>
      </c>
      <c r="I17" s="156">
        <f>SUMIF('Final Calculation Sheet'!$G$4:$G$1000,I$3,'Final Calculation Sheet'!$K$4:$K$1000)</f>
        <v/>
      </c>
      <c r="J17" s="500">
        <f>SUMIF('Final Calculation Sheet'!$G$4:$G$1000,J$3,'Final Calculation Sheet'!$K$4:$K$1000)</f>
        <v/>
      </c>
      <c r="K17" s="88">
        <f>SUMIF('Final Calculation Sheet'!$G$4:$G$1000,K$3,'Final Calculation Sheet'!$K$4:$K$1000)</f>
        <v/>
      </c>
      <c r="L17" s="501">
        <f>SUMIF('Final Calculation Sheet'!$G$4:$G$1000,L$3,'Final Calculation Sheet'!$K$4:$K$1000)</f>
        <v/>
      </c>
      <c r="M17" s="181">
        <f>SUMIF('Final Calculation Sheet'!$G$4:$G$1000,M$3,'Final Calculation Sheet'!$K$4:$K$1000)</f>
        <v/>
      </c>
      <c r="N17" s="502">
        <f>SUMIF('Final Calculation Sheet'!$G$4:$G$1000,N$3,'Final Calculation Sheet'!$K$4:$K$1000)</f>
        <v/>
      </c>
      <c r="O17" s="414">
        <f>SUM(B17:N17)</f>
        <v/>
      </c>
    </row>
    <row r="18" outlineLevel="1" ht="15" customHeight="1">
      <c r="A18" s="69" t="inlineStr">
        <is>
          <t xml:space="preserve">      TDS u/s 194(O) (₹)</t>
        </is>
      </c>
      <c r="B18" s="513">
        <f>SUMIF('Final Calculation Sheet'!$G$4:$G$1000,B$3,'Final Calculation Sheet'!$L$4:$L$1000)</f>
        <v/>
      </c>
      <c r="C18" s="95">
        <f>SUMIF('Final Calculation Sheet'!$G$4:$G$1000,C$3,'Final Calculation Sheet'!$L$4:$L$1000)</f>
        <v/>
      </c>
      <c r="D18" s="514">
        <f>SUMIF('Final Calculation Sheet'!$G$4:$G$1000,D$3,'Final Calculation Sheet'!$L$4:$L$1000)</f>
        <v/>
      </c>
      <c r="E18" s="185">
        <f>SUMIF('Final Calculation Sheet'!$G$4:$G$1000,E$3,'Final Calculation Sheet'!$L$4:$L$1000)</f>
        <v/>
      </c>
      <c r="F18" s="515">
        <f>SUMIF('Final Calculation Sheet'!$G$4:$G$1000,F$3,'Final Calculation Sheet'!$L$4:$L$1000)</f>
        <v/>
      </c>
      <c r="G18" s="138">
        <f>SUMIF('Final Calculation Sheet'!$G$4:$G$1000,G$3,'Final Calculation Sheet'!$L$4:$L$1000)</f>
        <v/>
      </c>
      <c r="H18" s="516">
        <f>SUMIF('Final Calculation Sheet'!$G$4:$G$1000,H$3,'Final Calculation Sheet'!$L$4:$L$1000)</f>
        <v/>
      </c>
      <c r="I18" s="163">
        <f>SUMIF('Final Calculation Sheet'!$G$4:$G$1000,I$3,'Final Calculation Sheet'!$L$4:$L$1000)</f>
        <v/>
      </c>
      <c r="J18" s="513">
        <f>SUMIF('Final Calculation Sheet'!$G$4:$G$1000,J$3,'Final Calculation Sheet'!$L$4:$L$1000)</f>
        <v/>
      </c>
      <c r="K18" s="95">
        <f>SUMIF('Final Calculation Sheet'!$G$4:$G$1000,K$3,'Final Calculation Sheet'!$L$4:$L$1000)</f>
        <v/>
      </c>
      <c r="L18" s="514">
        <f>SUMIF('Final Calculation Sheet'!$G$4:$G$1000,L$3,'Final Calculation Sheet'!$L$4:$L$1000)</f>
        <v/>
      </c>
      <c r="M18" s="185">
        <f>SUMIF('Final Calculation Sheet'!$G$4:$G$1000,M$3,'Final Calculation Sheet'!$L$4:$L$1000)</f>
        <v/>
      </c>
      <c r="N18" s="515">
        <f>SUMIF('Final Calculation Sheet'!$G$4:$G$1000,N$3,'Final Calculation Sheet'!$L$4:$L$1000)</f>
        <v/>
      </c>
      <c r="O18" s="416">
        <f>SUM(B18:N18)</f>
        <v/>
      </c>
    </row>
    <row r="19" outlineLevel="1" ht="15" customHeight="1">
      <c r="A19" s="69" t="inlineStr">
        <is>
          <t xml:space="preserve">      Service Charge gross (₹)</t>
        </is>
      </c>
      <c r="B19" s="513">
        <f>SUMIF('Final Calculation Sheet'!$G$4:$G$1000,B$3,'Final Calculation Sheet'!$M$4:$M$1000)</f>
        <v/>
      </c>
      <c r="C19" s="95">
        <f>SUMIF('Final Calculation Sheet'!$G$4:$G$1000,C$3,'Final Calculation Sheet'!$M$4:$M$1000)</f>
        <v/>
      </c>
      <c r="D19" s="514">
        <f>SUMIF('Final Calculation Sheet'!$G$4:$G$1000,D$3,'Final Calculation Sheet'!$M$4:$M$1000)</f>
        <v/>
      </c>
      <c r="E19" s="185">
        <f>SUMIF('Final Calculation Sheet'!$G$4:$G$1000,E$3,'Final Calculation Sheet'!$M$4:$M$1000)</f>
        <v/>
      </c>
      <c r="F19" s="515">
        <f>SUMIF('Final Calculation Sheet'!$G$4:$G$1000,F$3,'Final Calculation Sheet'!$M$4:$M$1000)</f>
        <v/>
      </c>
      <c r="G19" s="138">
        <f>SUMIF('Final Calculation Sheet'!$G$4:$G$1000,G$3,'Final Calculation Sheet'!$M$4:$M$1000)</f>
        <v/>
      </c>
      <c r="H19" s="516">
        <f>SUMIF('Final Calculation Sheet'!$G$4:$G$1000,H$3,'Final Calculation Sheet'!$M$4:$M$1000)</f>
        <v/>
      </c>
      <c r="I19" s="163">
        <f>SUMIF('Final Calculation Sheet'!$G$4:$G$1000,I$3,'Final Calculation Sheet'!$M$4:$M$1000)</f>
        <v/>
      </c>
      <c r="J19" s="513">
        <f>SUMIF('Final Calculation Sheet'!$G$4:$G$1000,J$3,'Final Calculation Sheet'!$M$4:$M$1000)</f>
        <v/>
      </c>
      <c r="K19" s="95">
        <f>SUMIF('Final Calculation Sheet'!$G$4:$G$1000,K$3,'Final Calculation Sheet'!$M$4:$M$1000)</f>
        <v/>
      </c>
      <c r="L19" s="514">
        <f>SUMIF('Final Calculation Sheet'!$G$4:$G$1000,L$3,'Final Calculation Sheet'!$M$4:$M$1000)</f>
        <v/>
      </c>
      <c r="M19" s="185">
        <f>SUMIF('Final Calculation Sheet'!$G$4:$G$1000,M$3,'Final Calculation Sheet'!$M$4:$M$1000)</f>
        <v/>
      </c>
      <c r="N19" s="515">
        <f>SUMIF('Final Calculation Sheet'!$G$4:$G$1000,N$3,'Final Calculation Sheet'!$M$4:$M$1000)</f>
        <v/>
      </c>
      <c r="O19" s="416">
        <f>SUM(B19:N19)</f>
        <v/>
      </c>
    </row>
    <row r="20" outlineLevel="1" ht="15" customHeight="1">
      <c r="A20" s="69" t="inlineStr">
        <is>
          <t xml:space="preserve">      TDS u/s 194(H) (₹)</t>
        </is>
      </c>
      <c r="B20" s="513">
        <f>SUMIF('Final Calculation Sheet'!$G$4:$G$1000,B$3,'Final Calculation Sheet'!$N$4:$N$1000)</f>
        <v/>
      </c>
      <c r="C20" s="95">
        <f>SUMIF('Final Calculation Sheet'!$G$4:$G$1000,C$3,'Final Calculation Sheet'!$N$4:$N$1000)</f>
        <v/>
      </c>
      <c r="D20" s="514">
        <f>SUMIF('Final Calculation Sheet'!$G$4:$G$1000,D$3,'Final Calculation Sheet'!$N$4:$N$1000)</f>
        <v/>
      </c>
      <c r="E20" s="185">
        <f>SUMIF('Final Calculation Sheet'!$G$4:$G$1000,E$3,'Final Calculation Sheet'!$N$4:$N$1000)</f>
        <v/>
      </c>
      <c r="F20" s="515">
        <f>SUMIF('Final Calculation Sheet'!$G$4:$G$1000,F$3,'Final Calculation Sheet'!$N$4:$N$1000)</f>
        <v/>
      </c>
      <c r="G20" s="138">
        <f>SUMIF('Final Calculation Sheet'!$G$4:$G$1000,G$3,'Final Calculation Sheet'!$N$4:$N$1000)</f>
        <v/>
      </c>
      <c r="H20" s="516">
        <f>SUMIF('Final Calculation Sheet'!$G$4:$G$1000,H$3,'Final Calculation Sheet'!$N$4:$N$1000)</f>
        <v/>
      </c>
      <c r="I20" s="163">
        <f>SUMIF('Final Calculation Sheet'!$G$4:$G$1000,I$3,'Final Calculation Sheet'!$N$4:$N$1000)</f>
        <v/>
      </c>
      <c r="J20" s="513">
        <f>SUMIF('Final Calculation Sheet'!$G$4:$G$1000,J$3,'Final Calculation Sheet'!$N$4:$N$1000)</f>
        <v/>
      </c>
      <c r="K20" s="95">
        <f>SUMIF('Final Calculation Sheet'!$G$4:$G$1000,K$3,'Final Calculation Sheet'!$N$4:$N$1000)</f>
        <v/>
      </c>
      <c r="L20" s="514">
        <f>SUMIF('Final Calculation Sheet'!$G$4:$G$1000,L$3,'Final Calculation Sheet'!$N$4:$N$1000)</f>
        <v/>
      </c>
      <c r="M20" s="185">
        <f>SUMIF('Final Calculation Sheet'!$G$4:$G$1000,M$3,'Final Calculation Sheet'!$N$4:$N$1000)</f>
        <v/>
      </c>
      <c r="N20" s="515">
        <f>SUMIF('Final Calculation Sheet'!$G$4:$G$1000,N$3,'Final Calculation Sheet'!$N$4:$N$1000)</f>
        <v/>
      </c>
      <c r="O20" s="416">
        <f>SUM(B20:N20)</f>
        <v/>
      </c>
    </row>
    <row r="21" outlineLevel="1" ht="15" customHeight="1">
      <c r="A21" s="69" t="inlineStr">
        <is>
          <t xml:space="preserve">      Net Service Charge (₹)</t>
        </is>
      </c>
      <c r="B21" s="513">
        <f>SUMIF('Final Calculation Sheet'!$G$4:$G$1000,B$3,'Final Calculation Sheet'!$O$4:$O$1000)</f>
        <v/>
      </c>
      <c r="C21" s="95">
        <f>SUMIF('Final Calculation Sheet'!$G$4:$G$1000,C$3,'Final Calculation Sheet'!$O$4:$O$1000)</f>
        <v/>
      </c>
      <c r="D21" s="514">
        <f>SUMIF('Final Calculation Sheet'!$G$4:$G$1000,D$3,'Final Calculation Sheet'!$O$4:$O$1000)</f>
        <v/>
      </c>
      <c r="E21" s="185">
        <f>SUMIF('Final Calculation Sheet'!$G$4:$G$1000,E$3,'Final Calculation Sheet'!$O$4:$O$1000)</f>
        <v/>
      </c>
      <c r="F21" s="515">
        <f>SUMIF('Final Calculation Sheet'!$G$4:$G$1000,F$3,'Final Calculation Sheet'!$O$4:$O$1000)</f>
        <v/>
      </c>
      <c r="G21" s="138">
        <f>SUMIF('Final Calculation Sheet'!$G$4:$G$1000,G$3,'Final Calculation Sheet'!$O$4:$O$1000)</f>
        <v/>
      </c>
      <c r="H21" s="516">
        <f>SUMIF('Final Calculation Sheet'!$G$4:$G$1000,H$3,'Final Calculation Sheet'!$O$4:$O$1000)</f>
        <v/>
      </c>
      <c r="I21" s="163">
        <f>SUMIF('Final Calculation Sheet'!$G$4:$G$1000,I$3,'Final Calculation Sheet'!$O$4:$O$1000)</f>
        <v/>
      </c>
      <c r="J21" s="513">
        <f>SUMIF('Final Calculation Sheet'!$G$4:$G$1000,J$3,'Final Calculation Sheet'!$O$4:$O$1000)</f>
        <v/>
      </c>
      <c r="K21" s="95">
        <f>SUMIF('Final Calculation Sheet'!$G$4:$G$1000,K$3,'Final Calculation Sheet'!$O$4:$O$1000)</f>
        <v/>
      </c>
      <c r="L21" s="514">
        <f>SUMIF('Final Calculation Sheet'!$G$4:$G$1000,L$3,'Final Calculation Sheet'!$O$4:$O$1000)</f>
        <v/>
      </c>
      <c r="M21" s="185">
        <f>SUMIF('Final Calculation Sheet'!$G$4:$G$1000,M$3,'Final Calculation Sheet'!$O$4:$O$1000)</f>
        <v/>
      </c>
      <c r="N21" s="515">
        <f>SUMIF('Final Calculation Sheet'!$G$4:$G$1000,N$3,'Final Calculation Sheet'!$O$4:$O$1000)</f>
        <v/>
      </c>
      <c r="O21" s="416">
        <f>SUM(B21:N21)</f>
        <v/>
      </c>
    </row>
    <row r="22" outlineLevel="1" ht="15" customHeight="1">
      <c r="A22" s="69" t="inlineStr">
        <is>
          <t xml:space="preserve">      Svc Charge to MSTC (₹)</t>
        </is>
      </c>
      <c r="B22" s="500">
        <f>SUMIF('Final Calculation Sheet'!$G$4:$G$1000,B$3,'Final Calculation Sheet'!$P$4:$P$1000)</f>
        <v/>
      </c>
      <c r="C22" s="88">
        <f>SUMIF('Final Calculation Sheet'!$G$4:$G$1000,C$3,'Final Calculation Sheet'!$P$4:$P$1000)</f>
        <v/>
      </c>
      <c r="D22" s="501">
        <f>SUMIF('Final Calculation Sheet'!$G$4:$G$1000,D$3,'Final Calculation Sheet'!$P$4:$P$1000)</f>
        <v/>
      </c>
      <c r="E22" s="181">
        <f>SUMIF('Final Calculation Sheet'!$G$4:$G$1000,E$3,'Final Calculation Sheet'!$P$4:$P$1000)</f>
        <v/>
      </c>
      <c r="F22" s="502">
        <f>SUMIF('Final Calculation Sheet'!$G$4:$G$1000,F$3,'Final Calculation Sheet'!$P$4:$P$1000)</f>
        <v/>
      </c>
      <c r="G22" s="131">
        <f>SUMIF('Final Calculation Sheet'!$G$4:$G$1000,G$3,'Final Calculation Sheet'!$P$4:$P$1000)</f>
        <v/>
      </c>
      <c r="H22" s="503">
        <f>SUMIF('Final Calculation Sheet'!$G$4:$G$1000,H$3,'Final Calculation Sheet'!$P$4:$P$1000)</f>
        <v/>
      </c>
      <c r="I22" s="156">
        <f>SUMIF('Final Calculation Sheet'!$G$4:$G$1000,I$3,'Final Calculation Sheet'!$P$4:$P$1000)</f>
        <v/>
      </c>
      <c r="J22" s="500">
        <f>SUMIF('Final Calculation Sheet'!$G$4:$G$1000,J$3,'Final Calculation Sheet'!$P$4:$P$1000)</f>
        <v/>
      </c>
      <c r="K22" s="88">
        <f>SUMIF('Final Calculation Sheet'!$G$4:$G$1000,K$3,'Final Calculation Sheet'!$P$4:$P$1000)</f>
        <v/>
      </c>
      <c r="L22" s="501">
        <f>SUMIF('Final Calculation Sheet'!$G$4:$G$1000,L$3,'Final Calculation Sheet'!$P$4:$P$1000)</f>
        <v/>
      </c>
      <c r="M22" s="181">
        <f>SUMIF('Final Calculation Sheet'!$G$4:$G$1000,M$3,'Final Calculation Sheet'!$P$4:$P$1000)</f>
        <v/>
      </c>
      <c r="N22" s="502">
        <f>SUMIF('Final Calculation Sheet'!$G$4:$G$1000,N$3,'Final Calculation Sheet'!$P$4:$P$1000)</f>
        <v/>
      </c>
      <c r="O22" s="414">
        <f>SUM(B22:N22)</f>
        <v/>
      </c>
    </row>
    <row r="23" outlineLevel="1" ht="15" customHeight="1">
      <c r="A23" s="69" t="inlineStr">
        <is>
          <t xml:space="preserve">      GST TDS (₹)</t>
        </is>
      </c>
      <c r="B23" s="500">
        <f>SUMIF('Final Calculation Sheet'!$G$4:$G$1000,B$3,'Final Calculation Sheet'!$R$4:$R$1000)</f>
        <v/>
      </c>
      <c r="C23" s="88">
        <f>SUMIF('Final Calculation Sheet'!$G$4:$G$1000,C$3,'Final Calculation Sheet'!$R$4:$R$1000)</f>
        <v/>
      </c>
      <c r="D23" s="501">
        <f>SUMIF('Final Calculation Sheet'!$G$4:$G$1000,D$3,'Final Calculation Sheet'!$R$4:$R$1000)</f>
        <v/>
      </c>
      <c r="E23" s="181">
        <f>SUMIF('Final Calculation Sheet'!$G$4:$G$1000,E$3,'Final Calculation Sheet'!$R$4:$R$1000)</f>
        <v/>
      </c>
      <c r="F23" s="502">
        <f>SUMIF('Final Calculation Sheet'!$G$4:$G$1000,F$3,'Final Calculation Sheet'!$R$4:$R$1000)</f>
        <v/>
      </c>
      <c r="G23" s="131">
        <f>SUMIF('Final Calculation Sheet'!$G$4:$G$1000,G$3,'Final Calculation Sheet'!$R$4:$R$1000)</f>
        <v/>
      </c>
      <c r="H23" s="503">
        <f>SUMIF('Final Calculation Sheet'!$G$4:$G$1000,H$3,'Final Calculation Sheet'!$R$4:$R$1000)</f>
        <v/>
      </c>
      <c r="I23" s="156">
        <f>SUMIF('Final Calculation Sheet'!$G$4:$G$1000,I$3,'Final Calculation Sheet'!$R$4:$R$1000)</f>
        <v/>
      </c>
      <c r="J23" s="500">
        <f>SUMIF('Final Calculation Sheet'!$G$4:$G$1000,J$3,'Final Calculation Sheet'!$R$4:$R$1000)</f>
        <v/>
      </c>
      <c r="K23" s="88">
        <f>SUMIF('Final Calculation Sheet'!$G$4:$G$1000,K$3,'Final Calculation Sheet'!$R$4:$R$1000)</f>
        <v/>
      </c>
      <c r="L23" s="501">
        <f>SUMIF('Final Calculation Sheet'!$G$4:$G$1000,L$3,'Final Calculation Sheet'!$R$4:$R$1000)</f>
        <v/>
      </c>
      <c r="M23" s="181">
        <f>SUMIF('Final Calculation Sheet'!$G$4:$G$1000,M$3,'Final Calculation Sheet'!$R$4:$R$1000)</f>
        <v/>
      </c>
      <c r="N23" s="502">
        <f>SUMIF('Final Calculation Sheet'!$G$4:$G$1000,N$3,'Final Calculation Sheet'!$R$4:$R$1000)</f>
        <v/>
      </c>
      <c r="O23" s="414">
        <f>SUM(B23:N23)</f>
        <v/>
      </c>
    </row>
    <row r="24" outlineLevel="1" ht="15" customHeight="1">
      <c r="A24" s="69" t="inlineStr">
        <is>
          <t xml:space="preserve">      GST TDS % (effective)</t>
        </is>
      </c>
      <c r="B24" s="517">
        <f>IFERROR(SUMIF('Final Calculation Sheet'!$G$4:$G$1000,B$3,'Final Calculation Sheet'!$R$4:$R$1000)/SUMIF('Final Calculation Sheet'!$G$4:$G$1000,B$3,'Final Calculation Sheet'!$H$4:$H$1000),"")</f>
        <v/>
      </c>
      <c r="C24" s="518">
        <f>IFERROR(SUMIF('Final Calculation Sheet'!$G$4:$G$1000,C$3,'Final Calculation Sheet'!$R$4:$R$1000)/SUMIF('Final Calculation Sheet'!$G$4:$G$1000,C$3,'Final Calculation Sheet'!$H$4:$H$1000),"")</f>
        <v/>
      </c>
      <c r="D24" s="519">
        <f>IFERROR(SUMIF('Final Calculation Sheet'!$G$4:$G$1000,D$3,'Final Calculation Sheet'!$R$4:$R$1000)/SUMIF('Final Calculation Sheet'!$G$4:$G$1000,D$3,'Final Calculation Sheet'!$H$4:$H$1000),"")</f>
        <v/>
      </c>
      <c r="E24" s="520">
        <f>IFERROR(SUMIF('Final Calculation Sheet'!$G$4:$G$1000,E$3,'Final Calculation Sheet'!$R$4:$R$1000)/SUMIF('Final Calculation Sheet'!$G$4:$G$1000,E$3,'Final Calculation Sheet'!$H$4:$H$1000),"")</f>
        <v/>
      </c>
      <c r="F24" s="521">
        <f>IFERROR(SUMIF('Final Calculation Sheet'!$G$4:$G$1000,F$3,'Final Calculation Sheet'!$R$4:$R$1000)/SUMIF('Final Calculation Sheet'!$G$4:$G$1000,F$3,'Final Calculation Sheet'!$H$4:$H$1000),"")</f>
        <v/>
      </c>
      <c r="G24" s="522">
        <f>IFERROR(SUMIF('Final Calculation Sheet'!$G$4:$G$1000,G$3,'Final Calculation Sheet'!$R$4:$R$1000)/SUMIF('Final Calculation Sheet'!$G$4:$G$1000,G$3,'Final Calculation Sheet'!$H$4:$H$1000),"")</f>
        <v/>
      </c>
      <c r="H24" s="523">
        <f>IFERROR(SUMIF('Final Calculation Sheet'!$G$4:$G$1000,H$3,'Final Calculation Sheet'!$R$4:$R$1000)/SUMIF('Final Calculation Sheet'!$G$4:$G$1000,H$3,'Final Calculation Sheet'!$H$4:$H$1000),"")</f>
        <v/>
      </c>
      <c r="I24" s="524">
        <f>IFERROR(SUMIF('Final Calculation Sheet'!$G$4:$G$1000,I$3,'Final Calculation Sheet'!$R$4:$R$1000)/SUMIF('Final Calculation Sheet'!$G$4:$G$1000,I$3,'Final Calculation Sheet'!$H$4:$H$1000),"")</f>
        <v/>
      </c>
      <c r="J24" s="517">
        <f>IFERROR(SUMIF('Final Calculation Sheet'!$G$4:$G$1000,J$3,'Final Calculation Sheet'!$R$4:$R$1000)/SUMIF('Final Calculation Sheet'!$G$4:$G$1000,J$3,'Final Calculation Sheet'!$H$4:$H$1000),"")</f>
        <v/>
      </c>
      <c r="K24" s="518">
        <f>IFERROR(SUMIF('Final Calculation Sheet'!$G$4:$G$1000,K$3,'Final Calculation Sheet'!$R$4:$R$1000)/SUMIF('Final Calculation Sheet'!$G$4:$G$1000,K$3,'Final Calculation Sheet'!$H$4:$H$1000),"")</f>
        <v/>
      </c>
      <c r="L24" s="519">
        <f>IFERROR(SUMIF('Final Calculation Sheet'!$G$4:$G$1000,L$3,'Final Calculation Sheet'!$R$4:$R$1000)/SUMIF('Final Calculation Sheet'!$G$4:$G$1000,L$3,'Final Calculation Sheet'!$H$4:$H$1000),"")</f>
        <v/>
      </c>
      <c r="M24" s="520">
        <f>IFERROR(SUMIF('Final Calculation Sheet'!$G$4:$G$1000,M$3,'Final Calculation Sheet'!$R$4:$R$1000)/SUMIF('Final Calculation Sheet'!$G$4:$G$1000,M$3,'Final Calculation Sheet'!$H$4:$H$1000),"")</f>
        <v/>
      </c>
      <c r="N24" s="521">
        <f>IFERROR(SUMIF('Final Calculation Sheet'!$G$4:$G$1000,N$3,'Final Calculation Sheet'!$R$4:$R$1000)/SUMIF('Final Calculation Sheet'!$G$4:$G$1000,N$3,'Final Calculation Sheet'!$H$4:$H$1000),"")</f>
        <v/>
      </c>
      <c r="O24" s="525">
        <f>IFERROR(O23/O6,"")</f>
        <v/>
      </c>
    </row>
    <row r="25" outlineLevel="1" ht="15" customHeight="1">
      <c r="A25" s="69" t="inlineStr">
        <is>
          <t xml:space="preserve">      Total Receivables (₹)</t>
        </is>
      </c>
      <c r="B25" s="500">
        <f>SUMIF('Final Calculation Sheet'!$G$4:$G$1000,B$3,'Final Calculation Sheet'!$S$4:$S$1000)</f>
        <v/>
      </c>
      <c r="C25" s="88">
        <f>SUMIF('Final Calculation Sheet'!$G$4:$G$1000,C$3,'Final Calculation Sheet'!$S$4:$S$1000)</f>
        <v/>
      </c>
      <c r="D25" s="501">
        <f>SUMIF('Final Calculation Sheet'!$G$4:$G$1000,D$3,'Final Calculation Sheet'!$S$4:$S$1000)</f>
        <v/>
      </c>
      <c r="E25" s="181">
        <f>SUMIF('Final Calculation Sheet'!$G$4:$G$1000,E$3,'Final Calculation Sheet'!$S$4:$S$1000)</f>
        <v/>
      </c>
      <c r="F25" s="502">
        <f>SUMIF('Final Calculation Sheet'!$G$4:$G$1000,F$3,'Final Calculation Sheet'!$S$4:$S$1000)</f>
        <v/>
      </c>
      <c r="G25" s="131">
        <f>SUMIF('Final Calculation Sheet'!$G$4:$G$1000,G$3,'Final Calculation Sheet'!$S$4:$S$1000)</f>
        <v/>
      </c>
      <c r="H25" s="503">
        <f>SUMIF('Final Calculation Sheet'!$G$4:$G$1000,H$3,'Final Calculation Sheet'!$S$4:$S$1000)</f>
        <v/>
      </c>
      <c r="I25" s="156">
        <f>SUMIF('Final Calculation Sheet'!$G$4:$G$1000,I$3,'Final Calculation Sheet'!$S$4:$S$1000)</f>
        <v/>
      </c>
      <c r="J25" s="500">
        <f>SUMIF('Final Calculation Sheet'!$G$4:$G$1000,J$3,'Final Calculation Sheet'!$S$4:$S$1000)</f>
        <v/>
      </c>
      <c r="K25" s="88">
        <f>SUMIF('Final Calculation Sheet'!$G$4:$G$1000,K$3,'Final Calculation Sheet'!$S$4:$S$1000)</f>
        <v/>
      </c>
      <c r="L25" s="501">
        <f>SUMIF('Final Calculation Sheet'!$G$4:$G$1000,L$3,'Final Calculation Sheet'!$S$4:$S$1000)</f>
        <v/>
      </c>
      <c r="M25" s="181">
        <f>SUMIF('Final Calculation Sheet'!$G$4:$G$1000,M$3,'Final Calculation Sheet'!$S$4:$S$1000)</f>
        <v/>
      </c>
      <c r="N25" s="502">
        <f>SUMIF('Final Calculation Sheet'!$G$4:$G$1000,N$3,'Final Calculation Sheet'!$S$4:$S$1000)</f>
        <v/>
      </c>
      <c r="O25" s="414">
        <f>SUM(B25:N25)</f>
        <v/>
      </c>
    </row>
    <row r="26" ht="17" customHeight="1">
      <c r="A26" s="419" t="inlineStr">
        <is>
          <t xml:space="preserve">  ▸ SECURITY DEPOSIT</t>
        </is>
      </c>
      <c r="B26" s="387" t="n"/>
      <c r="C26" s="387" t="n"/>
      <c r="D26" s="387" t="n"/>
      <c r="E26" s="387" t="n"/>
      <c r="F26" s="387" t="n"/>
      <c r="G26" s="387" t="n"/>
      <c r="H26" s="387" t="n"/>
      <c r="I26" s="387" t="n"/>
      <c r="J26" s="387" t="n"/>
      <c r="K26" s="387" t="n"/>
      <c r="L26" s="387" t="n"/>
      <c r="M26" s="387" t="n"/>
      <c r="N26" s="387" t="n"/>
      <c r="O26" s="387" t="n"/>
    </row>
    <row r="27" outlineLevel="1" ht="15" customHeight="1">
      <c r="A27" s="69" t="inlineStr">
        <is>
          <t xml:space="preserve">      SD Expected (₹)</t>
        </is>
      </c>
      <c r="B27" s="500">
        <f>SUMIF('Final Calculation Sheet'!$G$4:$G$1000,B$3,'Final Calculation Sheet'!$T$4:$T$1000)</f>
        <v/>
      </c>
      <c r="C27" s="88">
        <f>SUMIF('Final Calculation Sheet'!$G$4:$G$1000,C$3,'Final Calculation Sheet'!$T$4:$T$1000)</f>
        <v/>
      </c>
      <c r="D27" s="501">
        <f>SUMIF('Final Calculation Sheet'!$G$4:$G$1000,D$3,'Final Calculation Sheet'!$T$4:$T$1000)</f>
        <v/>
      </c>
      <c r="E27" s="181">
        <f>SUMIF('Final Calculation Sheet'!$G$4:$G$1000,E$3,'Final Calculation Sheet'!$T$4:$T$1000)</f>
        <v/>
      </c>
      <c r="F27" s="502">
        <f>SUMIF('Final Calculation Sheet'!$G$4:$G$1000,F$3,'Final Calculation Sheet'!$T$4:$T$1000)</f>
        <v/>
      </c>
      <c r="G27" s="131">
        <f>SUMIF('Final Calculation Sheet'!$G$4:$G$1000,G$3,'Final Calculation Sheet'!$T$4:$T$1000)</f>
        <v/>
      </c>
      <c r="H27" s="503">
        <f>SUMIF('Final Calculation Sheet'!$G$4:$G$1000,H$3,'Final Calculation Sheet'!$T$4:$T$1000)</f>
        <v/>
      </c>
      <c r="I27" s="156">
        <f>SUMIF('Final Calculation Sheet'!$G$4:$G$1000,I$3,'Final Calculation Sheet'!$T$4:$T$1000)</f>
        <v/>
      </c>
      <c r="J27" s="500">
        <f>SUMIF('Final Calculation Sheet'!$G$4:$G$1000,J$3,'Final Calculation Sheet'!$T$4:$T$1000)</f>
        <v/>
      </c>
      <c r="K27" s="88">
        <f>SUMIF('Final Calculation Sheet'!$G$4:$G$1000,K$3,'Final Calculation Sheet'!$T$4:$T$1000)</f>
        <v/>
      </c>
      <c r="L27" s="501">
        <f>SUMIF('Final Calculation Sheet'!$G$4:$G$1000,L$3,'Final Calculation Sheet'!$T$4:$T$1000)</f>
        <v/>
      </c>
      <c r="M27" s="181">
        <f>SUMIF('Final Calculation Sheet'!$G$4:$G$1000,M$3,'Final Calculation Sheet'!$T$4:$T$1000)</f>
        <v/>
      </c>
      <c r="N27" s="502">
        <f>SUMIF('Final Calculation Sheet'!$G$4:$G$1000,N$3,'Final Calculation Sheet'!$T$4:$T$1000)</f>
        <v/>
      </c>
      <c r="O27" s="414">
        <f>SUM(B27:N27)</f>
        <v/>
      </c>
    </row>
    <row r="28" outlineLevel="1" ht="15" customHeight="1">
      <c r="A28" s="69" t="inlineStr">
        <is>
          <t xml:space="preserve">      SD Received (₹)</t>
        </is>
      </c>
      <c r="B28" s="500">
        <f>SUMIF('Final Calculation Sheet'!$G$4:$G$1000,B$3,'Final Calculation Sheet'!$U$4:$U$1000)</f>
        <v/>
      </c>
      <c r="C28" s="88">
        <f>SUMIF('Final Calculation Sheet'!$G$4:$G$1000,C$3,'Final Calculation Sheet'!$U$4:$U$1000)</f>
        <v/>
      </c>
      <c r="D28" s="501">
        <f>SUMIF('Final Calculation Sheet'!$G$4:$G$1000,D$3,'Final Calculation Sheet'!$U$4:$U$1000)</f>
        <v/>
      </c>
      <c r="E28" s="181">
        <f>SUMIF('Final Calculation Sheet'!$G$4:$G$1000,E$3,'Final Calculation Sheet'!$U$4:$U$1000)</f>
        <v/>
      </c>
      <c r="F28" s="502">
        <f>SUMIF('Final Calculation Sheet'!$G$4:$G$1000,F$3,'Final Calculation Sheet'!$U$4:$U$1000)</f>
        <v/>
      </c>
      <c r="G28" s="131">
        <f>SUMIF('Final Calculation Sheet'!$G$4:$G$1000,G$3,'Final Calculation Sheet'!$U$4:$U$1000)</f>
        <v/>
      </c>
      <c r="H28" s="503">
        <f>SUMIF('Final Calculation Sheet'!$G$4:$G$1000,H$3,'Final Calculation Sheet'!$U$4:$U$1000)</f>
        <v/>
      </c>
      <c r="I28" s="156">
        <f>SUMIF('Final Calculation Sheet'!$G$4:$G$1000,I$3,'Final Calculation Sheet'!$U$4:$U$1000)</f>
        <v/>
      </c>
      <c r="J28" s="500">
        <f>SUMIF('Final Calculation Sheet'!$G$4:$G$1000,J$3,'Final Calculation Sheet'!$U$4:$U$1000)</f>
        <v/>
      </c>
      <c r="K28" s="88">
        <f>SUMIF('Final Calculation Sheet'!$G$4:$G$1000,K$3,'Final Calculation Sheet'!$U$4:$U$1000)</f>
        <v/>
      </c>
      <c r="L28" s="501">
        <f>SUMIF('Final Calculation Sheet'!$G$4:$G$1000,L$3,'Final Calculation Sheet'!$U$4:$U$1000)</f>
        <v/>
      </c>
      <c r="M28" s="181">
        <f>SUMIF('Final Calculation Sheet'!$G$4:$G$1000,M$3,'Final Calculation Sheet'!$U$4:$U$1000)</f>
        <v/>
      </c>
      <c r="N28" s="502">
        <f>SUMIF('Final Calculation Sheet'!$G$4:$G$1000,N$3,'Final Calculation Sheet'!$U$4:$U$1000)</f>
        <v/>
      </c>
      <c r="O28" s="414">
        <f>SUM(B28:N28)</f>
        <v/>
      </c>
    </row>
    <row r="29" outlineLevel="1" ht="15" customHeight="1">
      <c r="A29" s="69" t="inlineStr">
        <is>
          <t xml:space="preserve">      SD Outstanding (₹)</t>
        </is>
      </c>
      <c r="B29" s="500">
        <f>SUMIF('Final Calculation Sheet'!$G$4:$G$1000,B$3,'Final Calculation Sheet'!$T$4:$T$1000)-SUMIF('Final Calculation Sheet'!$G$4:$G$1000,B$3,'Final Calculation Sheet'!$U$4:$U$1000)</f>
        <v/>
      </c>
      <c r="C29" s="88">
        <f>SUMIF('Final Calculation Sheet'!$G$4:$G$1000,C$3,'Final Calculation Sheet'!$T$4:$T$1000)-SUMIF('Final Calculation Sheet'!$G$4:$G$1000,C$3,'Final Calculation Sheet'!$U$4:$U$1000)</f>
        <v/>
      </c>
      <c r="D29" s="501">
        <f>SUMIF('Final Calculation Sheet'!$G$4:$G$1000,D$3,'Final Calculation Sheet'!$T$4:$T$1000)-SUMIF('Final Calculation Sheet'!$G$4:$G$1000,D$3,'Final Calculation Sheet'!$U$4:$U$1000)</f>
        <v/>
      </c>
      <c r="E29" s="181">
        <f>SUMIF('Final Calculation Sheet'!$G$4:$G$1000,E$3,'Final Calculation Sheet'!$T$4:$T$1000)-SUMIF('Final Calculation Sheet'!$G$4:$G$1000,E$3,'Final Calculation Sheet'!$U$4:$U$1000)</f>
        <v/>
      </c>
      <c r="F29" s="502">
        <f>SUMIF('Final Calculation Sheet'!$G$4:$G$1000,F$3,'Final Calculation Sheet'!$T$4:$T$1000)-SUMIF('Final Calculation Sheet'!$G$4:$G$1000,F$3,'Final Calculation Sheet'!$U$4:$U$1000)</f>
        <v/>
      </c>
      <c r="G29" s="131">
        <f>SUMIF('Final Calculation Sheet'!$G$4:$G$1000,G$3,'Final Calculation Sheet'!$T$4:$T$1000)-SUMIF('Final Calculation Sheet'!$G$4:$G$1000,G$3,'Final Calculation Sheet'!$U$4:$U$1000)</f>
        <v/>
      </c>
      <c r="H29" s="503">
        <f>SUMIF('Final Calculation Sheet'!$G$4:$G$1000,H$3,'Final Calculation Sheet'!$T$4:$T$1000)-SUMIF('Final Calculation Sheet'!$G$4:$G$1000,H$3,'Final Calculation Sheet'!$U$4:$U$1000)</f>
        <v/>
      </c>
      <c r="I29" s="156">
        <f>SUMIF('Final Calculation Sheet'!$G$4:$G$1000,I$3,'Final Calculation Sheet'!$T$4:$T$1000)-SUMIF('Final Calculation Sheet'!$G$4:$G$1000,I$3,'Final Calculation Sheet'!$U$4:$U$1000)</f>
        <v/>
      </c>
      <c r="J29" s="500">
        <f>SUMIF('Final Calculation Sheet'!$G$4:$G$1000,J$3,'Final Calculation Sheet'!$T$4:$T$1000)-SUMIF('Final Calculation Sheet'!$G$4:$G$1000,J$3,'Final Calculation Sheet'!$U$4:$U$1000)</f>
        <v/>
      </c>
      <c r="K29" s="88">
        <f>SUMIF('Final Calculation Sheet'!$G$4:$G$1000,K$3,'Final Calculation Sheet'!$T$4:$T$1000)-SUMIF('Final Calculation Sheet'!$G$4:$G$1000,K$3,'Final Calculation Sheet'!$U$4:$U$1000)</f>
        <v/>
      </c>
      <c r="L29" s="501">
        <f>SUMIF('Final Calculation Sheet'!$G$4:$G$1000,L$3,'Final Calculation Sheet'!$T$4:$T$1000)-SUMIF('Final Calculation Sheet'!$G$4:$G$1000,L$3,'Final Calculation Sheet'!$U$4:$U$1000)</f>
        <v/>
      </c>
      <c r="M29" s="181">
        <f>SUMIF('Final Calculation Sheet'!$G$4:$G$1000,M$3,'Final Calculation Sheet'!$T$4:$T$1000)-SUMIF('Final Calculation Sheet'!$G$4:$G$1000,M$3,'Final Calculation Sheet'!$U$4:$U$1000)</f>
        <v/>
      </c>
      <c r="N29" s="502">
        <f>SUMIF('Final Calculation Sheet'!$G$4:$G$1000,N$3,'Final Calculation Sheet'!$T$4:$T$1000)-SUMIF('Final Calculation Sheet'!$G$4:$G$1000,N$3,'Final Calculation Sheet'!$U$4:$U$1000)</f>
        <v/>
      </c>
      <c r="O29" s="414">
        <f>O27-O28</f>
        <v/>
      </c>
    </row>
    <row r="30" ht="17" customHeight="1">
      <c r="A30" s="420" t="inlineStr">
        <is>
          <t xml:space="preserve">  ▸ FINAL PAYMENT</t>
        </is>
      </c>
      <c r="B30" s="388" t="n"/>
      <c r="C30" s="388" t="n"/>
      <c r="D30" s="388" t="n"/>
      <c r="E30" s="388" t="n"/>
      <c r="F30" s="388" t="n"/>
      <c r="G30" s="388" t="n"/>
      <c r="H30" s="388" t="n"/>
      <c r="I30" s="388" t="n"/>
      <c r="J30" s="388" t="n"/>
      <c r="K30" s="388" t="n"/>
      <c r="L30" s="388" t="n"/>
      <c r="M30" s="388" t="n"/>
      <c r="N30" s="388" t="n"/>
      <c r="O30" s="388" t="n"/>
    </row>
    <row r="31" outlineLevel="1" ht="15" customHeight="1">
      <c r="A31" s="69" t="inlineStr">
        <is>
          <t xml:space="preserve">      FP Expected (₹)</t>
        </is>
      </c>
      <c r="B31" s="500">
        <f>SUMIF('Final Calculation Sheet'!$G$4:$G$1000,B$3,'Final Calculation Sheet'!$W$4:$W$1000)</f>
        <v/>
      </c>
      <c r="C31" s="88">
        <f>SUMIF('Final Calculation Sheet'!$G$4:$G$1000,C$3,'Final Calculation Sheet'!$W$4:$W$1000)</f>
        <v/>
      </c>
      <c r="D31" s="501">
        <f>SUMIF('Final Calculation Sheet'!$G$4:$G$1000,D$3,'Final Calculation Sheet'!$W$4:$W$1000)</f>
        <v/>
      </c>
      <c r="E31" s="181">
        <f>SUMIF('Final Calculation Sheet'!$G$4:$G$1000,E$3,'Final Calculation Sheet'!$W$4:$W$1000)</f>
        <v/>
      </c>
      <c r="F31" s="502">
        <f>SUMIF('Final Calculation Sheet'!$G$4:$G$1000,F$3,'Final Calculation Sheet'!$W$4:$W$1000)</f>
        <v/>
      </c>
      <c r="G31" s="131">
        <f>SUMIF('Final Calculation Sheet'!$G$4:$G$1000,G$3,'Final Calculation Sheet'!$W$4:$W$1000)</f>
        <v/>
      </c>
      <c r="H31" s="503">
        <f>SUMIF('Final Calculation Sheet'!$G$4:$G$1000,H$3,'Final Calculation Sheet'!$W$4:$W$1000)</f>
        <v/>
      </c>
      <c r="I31" s="156">
        <f>SUMIF('Final Calculation Sheet'!$G$4:$G$1000,I$3,'Final Calculation Sheet'!$W$4:$W$1000)</f>
        <v/>
      </c>
      <c r="J31" s="500">
        <f>SUMIF('Final Calculation Sheet'!$G$4:$G$1000,J$3,'Final Calculation Sheet'!$W$4:$W$1000)</f>
        <v/>
      </c>
      <c r="K31" s="88">
        <f>SUMIF('Final Calculation Sheet'!$G$4:$G$1000,K$3,'Final Calculation Sheet'!$W$4:$W$1000)</f>
        <v/>
      </c>
      <c r="L31" s="501">
        <f>SUMIF('Final Calculation Sheet'!$G$4:$G$1000,L$3,'Final Calculation Sheet'!$W$4:$W$1000)</f>
        <v/>
      </c>
      <c r="M31" s="181">
        <f>SUMIF('Final Calculation Sheet'!$G$4:$G$1000,M$3,'Final Calculation Sheet'!$W$4:$W$1000)</f>
        <v/>
      </c>
      <c r="N31" s="502">
        <f>SUMIF('Final Calculation Sheet'!$G$4:$G$1000,N$3,'Final Calculation Sheet'!$W$4:$W$1000)</f>
        <v/>
      </c>
      <c r="O31" s="414">
        <f>SUM(B31:N31)</f>
        <v/>
      </c>
    </row>
    <row r="32" outlineLevel="1" ht="15" customHeight="1">
      <c r="A32" s="69" t="inlineStr">
        <is>
          <t xml:space="preserve">      FP Received (₹)</t>
        </is>
      </c>
      <c r="B32" s="500">
        <f>SUMIF('Final Calculation Sheet'!$G$4:$G$1000,B$3,'Final Calculation Sheet'!$X$4:$X$1000)</f>
        <v/>
      </c>
      <c r="C32" s="88">
        <f>SUMIF('Final Calculation Sheet'!$G$4:$G$1000,C$3,'Final Calculation Sheet'!$X$4:$X$1000)</f>
        <v/>
      </c>
      <c r="D32" s="501">
        <f>SUMIF('Final Calculation Sheet'!$G$4:$G$1000,D$3,'Final Calculation Sheet'!$X$4:$X$1000)</f>
        <v/>
      </c>
      <c r="E32" s="181">
        <f>SUMIF('Final Calculation Sheet'!$G$4:$G$1000,E$3,'Final Calculation Sheet'!$X$4:$X$1000)</f>
        <v/>
      </c>
      <c r="F32" s="502">
        <f>SUMIF('Final Calculation Sheet'!$G$4:$G$1000,F$3,'Final Calculation Sheet'!$X$4:$X$1000)</f>
        <v/>
      </c>
      <c r="G32" s="131">
        <f>SUMIF('Final Calculation Sheet'!$G$4:$G$1000,G$3,'Final Calculation Sheet'!$X$4:$X$1000)</f>
        <v/>
      </c>
      <c r="H32" s="503">
        <f>SUMIF('Final Calculation Sheet'!$G$4:$G$1000,H$3,'Final Calculation Sheet'!$X$4:$X$1000)</f>
        <v/>
      </c>
      <c r="I32" s="156">
        <f>SUMIF('Final Calculation Sheet'!$G$4:$G$1000,I$3,'Final Calculation Sheet'!$X$4:$X$1000)</f>
        <v/>
      </c>
      <c r="J32" s="500">
        <f>SUMIF('Final Calculation Sheet'!$G$4:$G$1000,J$3,'Final Calculation Sheet'!$X$4:$X$1000)</f>
        <v/>
      </c>
      <c r="K32" s="88">
        <f>SUMIF('Final Calculation Sheet'!$G$4:$G$1000,K$3,'Final Calculation Sheet'!$X$4:$X$1000)</f>
        <v/>
      </c>
      <c r="L32" s="501">
        <f>SUMIF('Final Calculation Sheet'!$G$4:$G$1000,L$3,'Final Calculation Sheet'!$X$4:$X$1000)</f>
        <v/>
      </c>
      <c r="M32" s="181">
        <f>SUMIF('Final Calculation Sheet'!$G$4:$G$1000,M$3,'Final Calculation Sheet'!$X$4:$X$1000)</f>
        <v/>
      </c>
      <c r="N32" s="502">
        <f>SUMIF('Final Calculation Sheet'!$G$4:$G$1000,N$3,'Final Calculation Sheet'!$X$4:$X$1000)</f>
        <v/>
      </c>
      <c r="O32" s="414">
        <f>SUM(B32:N32)</f>
        <v/>
      </c>
    </row>
    <row r="33" outlineLevel="1" ht="15" customHeight="1">
      <c r="A33" s="69" t="inlineStr">
        <is>
          <t xml:space="preserve">      FP Outstanding (₹)</t>
        </is>
      </c>
      <c r="B33" s="500">
        <f>SUMIF('Final Calculation Sheet'!$G$4:$G$1000,B$3,'Final Calculation Sheet'!$W$4:$W$1000)-SUMIF('Final Calculation Sheet'!$G$4:$G$1000,B$3,'Final Calculation Sheet'!$X$4:$X$1000)</f>
        <v/>
      </c>
      <c r="C33" s="88">
        <f>SUMIF('Final Calculation Sheet'!$G$4:$G$1000,C$3,'Final Calculation Sheet'!$W$4:$W$1000)-SUMIF('Final Calculation Sheet'!$G$4:$G$1000,C$3,'Final Calculation Sheet'!$X$4:$X$1000)</f>
        <v/>
      </c>
      <c r="D33" s="501">
        <f>SUMIF('Final Calculation Sheet'!$G$4:$G$1000,D$3,'Final Calculation Sheet'!$W$4:$W$1000)-SUMIF('Final Calculation Sheet'!$G$4:$G$1000,D$3,'Final Calculation Sheet'!$X$4:$X$1000)</f>
        <v/>
      </c>
      <c r="E33" s="181">
        <f>SUMIF('Final Calculation Sheet'!$G$4:$G$1000,E$3,'Final Calculation Sheet'!$W$4:$W$1000)-SUMIF('Final Calculation Sheet'!$G$4:$G$1000,E$3,'Final Calculation Sheet'!$X$4:$X$1000)</f>
        <v/>
      </c>
      <c r="F33" s="502">
        <f>SUMIF('Final Calculation Sheet'!$G$4:$G$1000,F$3,'Final Calculation Sheet'!$W$4:$W$1000)-SUMIF('Final Calculation Sheet'!$G$4:$G$1000,F$3,'Final Calculation Sheet'!$X$4:$X$1000)</f>
        <v/>
      </c>
      <c r="G33" s="131">
        <f>SUMIF('Final Calculation Sheet'!$G$4:$G$1000,G$3,'Final Calculation Sheet'!$W$4:$W$1000)-SUMIF('Final Calculation Sheet'!$G$4:$G$1000,G$3,'Final Calculation Sheet'!$X$4:$X$1000)</f>
        <v/>
      </c>
      <c r="H33" s="503">
        <f>SUMIF('Final Calculation Sheet'!$G$4:$G$1000,H$3,'Final Calculation Sheet'!$W$4:$W$1000)-SUMIF('Final Calculation Sheet'!$G$4:$G$1000,H$3,'Final Calculation Sheet'!$X$4:$X$1000)</f>
        <v/>
      </c>
      <c r="I33" s="156">
        <f>SUMIF('Final Calculation Sheet'!$G$4:$G$1000,I$3,'Final Calculation Sheet'!$W$4:$W$1000)-SUMIF('Final Calculation Sheet'!$G$4:$G$1000,I$3,'Final Calculation Sheet'!$X$4:$X$1000)</f>
        <v/>
      </c>
      <c r="J33" s="500">
        <f>SUMIF('Final Calculation Sheet'!$G$4:$G$1000,J$3,'Final Calculation Sheet'!$W$4:$W$1000)-SUMIF('Final Calculation Sheet'!$G$4:$G$1000,J$3,'Final Calculation Sheet'!$X$4:$X$1000)</f>
        <v/>
      </c>
      <c r="K33" s="88">
        <f>SUMIF('Final Calculation Sheet'!$G$4:$G$1000,K$3,'Final Calculation Sheet'!$W$4:$W$1000)-SUMIF('Final Calculation Sheet'!$G$4:$G$1000,K$3,'Final Calculation Sheet'!$X$4:$X$1000)</f>
        <v/>
      </c>
      <c r="L33" s="501">
        <f>SUMIF('Final Calculation Sheet'!$G$4:$G$1000,L$3,'Final Calculation Sheet'!$W$4:$W$1000)-SUMIF('Final Calculation Sheet'!$G$4:$G$1000,L$3,'Final Calculation Sheet'!$X$4:$X$1000)</f>
        <v/>
      </c>
      <c r="M33" s="181">
        <f>SUMIF('Final Calculation Sheet'!$G$4:$G$1000,M$3,'Final Calculation Sheet'!$W$4:$W$1000)-SUMIF('Final Calculation Sheet'!$G$4:$G$1000,M$3,'Final Calculation Sheet'!$X$4:$X$1000)</f>
        <v/>
      </c>
      <c r="N33" s="502">
        <f>SUMIF('Final Calculation Sheet'!$G$4:$G$1000,N$3,'Final Calculation Sheet'!$W$4:$W$1000)-SUMIF('Final Calculation Sheet'!$G$4:$G$1000,N$3,'Final Calculation Sheet'!$X$4:$X$1000)</f>
        <v/>
      </c>
      <c r="O33" s="414">
        <f>O31-O32</f>
        <v/>
      </c>
    </row>
    <row r="34" ht="17" customHeight="1">
      <c r="A34" s="421" t="inlineStr">
        <is>
          <t xml:space="preserve">  ▸ LPP</t>
        </is>
      </c>
      <c r="B34" s="389" t="n"/>
      <c r="C34" s="389" t="n"/>
      <c r="D34" s="389" t="n"/>
      <c r="E34" s="389" t="n"/>
      <c r="F34" s="389" t="n"/>
      <c r="G34" s="389" t="n"/>
      <c r="H34" s="389" t="n"/>
      <c r="I34" s="389" t="n"/>
      <c r="J34" s="389" t="n"/>
      <c r="K34" s="389" t="n"/>
      <c r="L34" s="389" t="n"/>
      <c r="M34" s="389" t="n"/>
      <c r="N34" s="389" t="n"/>
      <c r="O34" s="389" t="n"/>
    </row>
    <row r="35" outlineLevel="1" ht="15" customHeight="1">
      <c r="A35" s="69" t="inlineStr">
        <is>
          <t xml:space="preserve">      LPP Expected (₹)</t>
        </is>
      </c>
      <c r="B35" s="500">
        <f>SUMIF('Final Calculation Sheet'!$G$4:$G$1000,B$3,'Final Calculation Sheet'!$Z$4:$Z$1000)</f>
        <v/>
      </c>
      <c r="C35" s="88">
        <f>SUMIF('Final Calculation Sheet'!$G$4:$G$1000,C$3,'Final Calculation Sheet'!$Z$4:$Z$1000)</f>
        <v/>
      </c>
      <c r="D35" s="501">
        <f>SUMIF('Final Calculation Sheet'!$G$4:$G$1000,D$3,'Final Calculation Sheet'!$Z$4:$Z$1000)</f>
        <v/>
      </c>
      <c r="E35" s="181">
        <f>SUMIF('Final Calculation Sheet'!$G$4:$G$1000,E$3,'Final Calculation Sheet'!$Z$4:$Z$1000)</f>
        <v/>
      </c>
      <c r="F35" s="502">
        <f>SUMIF('Final Calculation Sheet'!$G$4:$G$1000,F$3,'Final Calculation Sheet'!$Z$4:$Z$1000)</f>
        <v/>
      </c>
      <c r="G35" s="131">
        <f>SUMIF('Final Calculation Sheet'!$G$4:$G$1000,G$3,'Final Calculation Sheet'!$Z$4:$Z$1000)</f>
        <v/>
      </c>
      <c r="H35" s="503">
        <f>SUMIF('Final Calculation Sheet'!$G$4:$G$1000,H$3,'Final Calculation Sheet'!$Z$4:$Z$1000)</f>
        <v/>
      </c>
      <c r="I35" s="156">
        <f>SUMIF('Final Calculation Sheet'!$G$4:$G$1000,I$3,'Final Calculation Sheet'!$Z$4:$Z$1000)</f>
        <v/>
      </c>
      <c r="J35" s="500">
        <f>SUMIF('Final Calculation Sheet'!$G$4:$G$1000,J$3,'Final Calculation Sheet'!$Z$4:$Z$1000)</f>
        <v/>
      </c>
      <c r="K35" s="88">
        <f>SUMIF('Final Calculation Sheet'!$G$4:$G$1000,K$3,'Final Calculation Sheet'!$Z$4:$Z$1000)</f>
        <v/>
      </c>
      <c r="L35" s="501">
        <f>SUMIF('Final Calculation Sheet'!$G$4:$G$1000,L$3,'Final Calculation Sheet'!$Z$4:$Z$1000)</f>
        <v/>
      </c>
      <c r="M35" s="181">
        <f>SUMIF('Final Calculation Sheet'!$G$4:$G$1000,M$3,'Final Calculation Sheet'!$Z$4:$Z$1000)</f>
        <v/>
      </c>
      <c r="N35" s="502">
        <f>SUMIF('Final Calculation Sheet'!$G$4:$G$1000,N$3,'Final Calculation Sheet'!$Z$4:$Z$1000)</f>
        <v/>
      </c>
      <c r="O35" s="414">
        <f>SUM(B35:N35)</f>
        <v/>
      </c>
    </row>
    <row r="36" outlineLevel="1" ht="15" customHeight="1">
      <c r="A36" s="69" t="inlineStr">
        <is>
          <t xml:space="preserve">      LPP Received (₹)</t>
        </is>
      </c>
      <c r="B36" s="500">
        <f>SUMIF('Final Calculation Sheet'!$G$4:$G$1000,B$3,'Final Calculation Sheet'!$AA$4:$AA$1000)</f>
        <v/>
      </c>
      <c r="C36" s="88">
        <f>SUMIF('Final Calculation Sheet'!$G$4:$G$1000,C$3,'Final Calculation Sheet'!$AA$4:$AA$1000)</f>
        <v/>
      </c>
      <c r="D36" s="501">
        <f>SUMIF('Final Calculation Sheet'!$G$4:$G$1000,D$3,'Final Calculation Sheet'!$AA$4:$AA$1000)</f>
        <v/>
      </c>
      <c r="E36" s="181">
        <f>SUMIF('Final Calculation Sheet'!$G$4:$G$1000,E$3,'Final Calculation Sheet'!$AA$4:$AA$1000)</f>
        <v/>
      </c>
      <c r="F36" s="502">
        <f>SUMIF('Final Calculation Sheet'!$G$4:$G$1000,F$3,'Final Calculation Sheet'!$AA$4:$AA$1000)</f>
        <v/>
      </c>
      <c r="G36" s="131">
        <f>SUMIF('Final Calculation Sheet'!$G$4:$G$1000,G$3,'Final Calculation Sheet'!$AA$4:$AA$1000)</f>
        <v/>
      </c>
      <c r="H36" s="503">
        <f>SUMIF('Final Calculation Sheet'!$G$4:$G$1000,H$3,'Final Calculation Sheet'!$AA$4:$AA$1000)</f>
        <v/>
      </c>
      <c r="I36" s="156">
        <f>SUMIF('Final Calculation Sheet'!$G$4:$G$1000,I$3,'Final Calculation Sheet'!$AA$4:$AA$1000)</f>
        <v/>
      </c>
      <c r="J36" s="500">
        <f>SUMIF('Final Calculation Sheet'!$G$4:$G$1000,J$3,'Final Calculation Sheet'!$AA$4:$AA$1000)</f>
        <v/>
      </c>
      <c r="K36" s="88">
        <f>SUMIF('Final Calculation Sheet'!$G$4:$G$1000,K$3,'Final Calculation Sheet'!$AA$4:$AA$1000)</f>
        <v/>
      </c>
      <c r="L36" s="501">
        <f>SUMIF('Final Calculation Sheet'!$G$4:$G$1000,L$3,'Final Calculation Sheet'!$AA$4:$AA$1000)</f>
        <v/>
      </c>
      <c r="M36" s="181">
        <f>SUMIF('Final Calculation Sheet'!$G$4:$G$1000,M$3,'Final Calculation Sheet'!$AA$4:$AA$1000)</f>
        <v/>
      </c>
      <c r="N36" s="502">
        <f>SUMIF('Final Calculation Sheet'!$G$4:$G$1000,N$3,'Final Calculation Sheet'!$AA$4:$AA$1000)</f>
        <v/>
      </c>
      <c r="O36" s="414">
        <f>SUM(B36:N36)</f>
        <v/>
      </c>
    </row>
    <row r="37" ht="17" customHeight="1">
      <c r="A37" s="423" t="inlineStr">
        <is>
          <t xml:space="preserve">  ▸ DOCUMENT</t>
        </is>
      </c>
      <c r="B37" s="390" t="n"/>
      <c r="C37" s="390" t="n"/>
      <c r="D37" s="390" t="n"/>
      <c r="E37" s="390" t="n"/>
      <c r="F37" s="390" t="n"/>
      <c r="G37" s="390" t="n"/>
      <c r="H37" s="390" t="n"/>
      <c r="I37" s="390" t="n"/>
      <c r="J37" s="390" t="n"/>
      <c r="K37" s="390" t="n"/>
      <c r="L37" s="390" t="n"/>
      <c r="M37" s="390" t="n"/>
      <c r="N37" s="390" t="n"/>
      <c r="O37" s="390" t="n"/>
    </row>
    <row r="38" outlineLevel="1" ht="15" customHeight="1">
      <c r="A38" s="69" t="inlineStr">
        <is>
          <t xml:space="preserve">      Invoices raised</t>
        </is>
      </c>
      <c r="B38" s="491">
        <f>COUNTIF('Final Calculation Sheet'!$G$4:$G$1000,B$3)-COUNTIFS('Final Calculation Sheet'!$G$4:$G$1000,B$3,'Final Calculation Sheet'!$AE$4:$AE$1000,"")</f>
        <v/>
      </c>
      <c r="C38" s="492">
        <f>COUNTIF('Final Calculation Sheet'!$G$4:$G$1000,C$3)-COUNTIFS('Final Calculation Sheet'!$G$4:$G$1000,C$3,'Final Calculation Sheet'!$AE$4:$AE$1000,"")</f>
        <v/>
      </c>
      <c r="D38" s="493">
        <f>COUNTIF('Final Calculation Sheet'!$G$4:$G$1000,D$3)-COUNTIFS('Final Calculation Sheet'!$G$4:$G$1000,D$3,'Final Calculation Sheet'!$AE$4:$AE$1000,"")</f>
        <v/>
      </c>
      <c r="E38" s="494">
        <f>COUNTIF('Final Calculation Sheet'!$G$4:$G$1000,E$3)-COUNTIFS('Final Calculation Sheet'!$G$4:$G$1000,E$3,'Final Calculation Sheet'!$AE$4:$AE$1000,"")</f>
        <v/>
      </c>
      <c r="F38" s="495">
        <f>COUNTIF('Final Calculation Sheet'!$G$4:$G$1000,F$3)-COUNTIFS('Final Calculation Sheet'!$G$4:$G$1000,F$3,'Final Calculation Sheet'!$AE$4:$AE$1000,"")</f>
        <v/>
      </c>
      <c r="G38" s="496">
        <f>COUNTIF('Final Calculation Sheet'!$G$4:$G$1000,G$3)-COUNTIFS('Final Calculation Sheet'!$G$4:$G$1000,G$3,'Final Calculation Sheet'!$AE$4:$AE$1000,"")</f>
        <v/>
      </c>
      <c r="H38" s="497">
        <f>COUNTIF('Final Calculation Sheet'!$G$4:$G$1000,H$3)-COUNTIFS('Final Calculation Sheet'!$G$4:$G$1000,H$3,'Final Calculation Sheet'!$AE$4:$AE$1000,"")</f>
        <v/>
      </c>
      <c r="I38" s="498">
        <f>COUNTIF('Final Calculation Sheet'!$G$4:$G$1000,I$3)-COUNTIFS('Final Calculation Sheet'!$G$4:$G$1000,I$3,'Final Calculation Sheet'!$AE$4:$AE$1000,"")</f>
        <v/>
      </c>
      <c r="J38" s="491">
        <f>COUNTIF('Final Calculation Sheet'!$G$4:$G$1000,J$3)-COUNTIFS('Final Calculation Sheet'!$G$4:$G$1000,J$3,'Final Calculation Sheet'!$AE$4:$AE$1000,"")</f>
        <v/>
      </c>
      <c r="K38" s="492">
        <f>COUNTIF('Final Calculation Sheet'!$G$4:$G$1000,K$3)-COUNTIFS('Final Calculation Sheet'!$G$4:$G$1000,K$3,'Final Calculation Sheet'!$AE$4:$AE$1000,"")</f>
        <v/>
      </c>
      <c r="L38" s="493">
        <f>COUNTIF('Final Calculation Sheet'!$G$4:$G$1000,L$3)-COUNTIFS('Final Calculation Sheet'!$G$4:$G$1000,L$3,'Final Calculation Sheet'!$AE$4:$AE$1000,"")</f>
        <v/>
      </c>
      <c r="M38" s="494">
        <f>COUNTIF('Final Calculation Sheet'!$G$4:$G$1000,M$3)-COUNTIFS('Final Calculation Sheet'!$G$4:$G$1000,M$3,'Final Calculation Sheet'!$AE$4:$AE$1000,"")</f>
        <v/>
      </c>
      <c r="N38" s="495">
        <f>COUNTIF('Final Calculation Sheet'!$G$4:$G$1000,N$3)-COUNTIFS('Final Calculation Sheet'!$G$4:$G$1000,N$3,'Final Calculation Sheet'!$AE$4:$AE$1000,"")</f>
        <v/>
      </c>
      <c r="O38" s="499">
        <f>SUM(B38:N38)</f>
        <v/>
      </c>
    </row>
    <row r="39" outlineLevel="1" ht="15" customHeight="1">
      <c r="A39" s="69" t="inlineStr">
        <is>
          <t xml:space="preserve">      SAP Docs posted</t>
        </is>
      </c>
      <c r="B39" s="491">
        <f>COUNTIF('Final Calculation Sheet'!$G$4:$G$1000,B$3)-COUNTIFS('Final Calculation Sheet'!$G$4:$G$1000,B$3,'Final Calculation Sheet'!$AF$4:$AF$1000,"")</f>
        <v/>
      </c>
      <c r="C39" s="492">
        <f>COUNTIF('Final Calculation Sheet'!$G$4:$G$1000,C$3)-COUNTIFS('Final Calculation Sheet'!$G$4:$G$1000,C$3,'Final Calculation Sheet'!$AF$4:$AF$1000,"")</f>
        <v/>
      </c>
      <c r="D39" s="493">
        <f>COUNTIF('Final Calculation Sheet'!$G$4:$G$1000,D$3)-COUNTIFS('Final Calculation Sheet'!$G$4:$G$1000,D$3,'Final Calculation Sheet'!$AF$4:$AF$1000,"")</f>
        <v/>
      </c>
      <c r="E39" s="494">
        <f>COUNTIF('Final Calculation Sheet'!$G$4:$G$1000,E$3)-COUNTIFS('Final Calculation Sheet'!$G$4:$G$1000,E$3,'Final Calculation Sheet'!$AF$4:$AF$1000,"")</f>
        <v/>
      </c>
      <c r="F39" s="495">
        <f>COUNTIF('Final Calculation Sheet'!$G$4:$G$1000,F$3)-COUNTIFS('Final Calculation Sheet'!$G$4:$G$1000,F$3,'Final Calculation Sheet'!$AF$4:$AF$1000,"")</f>
        <v/>
      </c>
      <c r="G39" s="496">
        <f>COUNTIF('Final Calculation Sheet'!$G$4:$G$1000,G$3)-COUNTIFS('Final Calculation Sheet'!$G$4:$G$1000,G$3,'Final Calculation Sheet'!$AF$4:$AF$1000,"")</f>
        <v/>
      </c>
      <c r="H39" s="497">
        <f>COUNTIF('Final Calculation Sheet'!$G$4:$G$1000,H$3)-COUNTIFS('Final Calculation Sheet'!$G$4:$G$1000,H$3,'Final Calculation Sheet'!$AF$4:$AF$1000,"")</f>
        <v/>
      </c>
      <c r="I39" s="498">
        <f>COUNTIF('Final Calculation Sheet'!$G$4:$G$1000,I$3)-COUNTIFS('Final Calculation Sheet'!$G$4:$G$1000,I$3,'Final Calculation Sheet'!$AF$4:$AF$1000,"")</f>
        <v/>
      </c>
      <c r="J39" s="491">
        <f>COUNTIF('Final Calculation Sheet'!$G$4:$G$1000,J$3)-COUNTIFS('Final Calculation Sheet'!$G$4:$G$1000,J$3,'Final Calculation Sheet'!$AF$4:$AF$1000,"")</f>
        <v/>
      </c>
      <c r="K39" s="492">
        <f>COUNTIF('Final Calculation Sheet'!$G$4:$G$1000,K$3)-COUNTIFS('Final Calculation Sheet'!$G$4:$G$1000,K$3,'Final Calculation Sheet'!$AF$4:$AF$1000,"")</f>
        <v/>
      </c>
      <c r="L39" s="493">
        <f>COUNTIF('Final Calculation Sheet'!$G$4:$G$1000,L$3)-COUNTIFS('Final Calculation Sheet'!$G$4:$G$1000,L$3,'Final Calculation Sheet'!$AF$4:$AF$1000,"")</f>
        <v/>
      </c>
      <c r="M39" s="494">
        <f>COUNTIF('Final Calculation Sheet'!$G$4:$G$1000,M$3)-COUNTIFS('Final Calculation Sheet'!$G$4:$G$1000,M$3,'Final Calculation Sheet'!$AF$4:$AF$1000,"")</f>
        <v/>
      </c>
      <c r="N39" s="495">
        <f>COUNTIF('Final Calculation Sheet'!$G$4:$G$1000,N$3)-COUNTIFS('Final Calculation Sheet'!$G$4:$G$1000,N$3,'Final Calculation Sheet'!$AF$4:$AF$1000,"")</f>
        <v/>
      </c>
      <c r="O39" s="499">
        <f>SUM(B39:N39)</f>
        <v/>
      </c>
    </row>
    <row r="40" ht="17" customHeight="1">
      <c r="A40" s="526" t="inlineStr">
        <is>
          <t xml:space="preserve">  ▸ RECOVERY</t>
        </is>
      </c>
      <c r="B40" s="401" t="n"/>
      <c r="C40" s="401" t="n"/>
      <c r="D40" s="401" t="n"/>
      <c r="E40" s="401" t="n"/>
      <c r="F40" s="401" t="n"/>
      <c r="G40" s="401" t="n"/>
      <c r="H40" s="401" t="n"/>
      <c r="I40" s="401" t="n"/>
      <c r="J40" s="401" t="n"/>
      <c r="K40" s="401" t="n"/>
      <c r="L40" s="401" t="n"/>
      <c r="M40" s="401" t="n"/>
      <c r="N40" s="401" t="n"/>
      <c r="O40" s="401" t="n"/>
    </row>
    <row r="41" outlineLevel="1" ht="15" customHeight="1">
      <c r="A41" s="69" t="inlineStr">
        <is>
          <t xml:space="preserve">      Collection %</t>
        </is>
      </c>
      <c r="B41" s="527">
        <f>IFERROR(SUMIF('Final Calculation Sheet'!$G$4:$G$1000,B$3,'Final Calculation Sheet'!$AC$4:$AC$1000)/SUMIF('Final Calculation Sheet'!$G$4:$G$1000,B$3,'Final Calculation Sheet'!$S$4:$S$1000),"")</f>
        <v/>
      </c>
      <c r="C41" s="528">
        <f>IFERROR(SUMIF('Final Calculation Sheet'!$G$4:$G$1000,C$3,'Final Calculation Sheet'!$AC$4:$AC$1000)/SUMIF('Final Calculation Sheet'!$G$4:$G$1000,C$3,'Final Calculation Sheet'!$S$4:$S$1000),"")</f>
        <v/>
      </c>
      <c r="D41" s="529">
        <f>IFERROR(SUMIF('Final Calculation Sheet'!$G$4:$G$1000,D$3,'Final Calculation Sheet'!$AC$4:$AC$1000)/SUMIF('Final Calculation Sheet'!$G$4:$G$1000,D$3,'Final Calculation Sheet'!$S$4:$S$1000),"")</f>
        <v/>
      </c>
      <c r="E41" s="530">
        <f>IFERROR(SUMIF('Final Calculation Sheet'!$G$4:$G$1000,E$3,'Final Calculation Sheet'!$AC$4:$AC$1000)/SUMIF('Final Calculation Sheet'!$G$4:$G$1000,E$3,'Final Calculation Sheet'!$S$4:$S$1000),"")</f>
        <v/>
      </c>
      <c r="F41" s="531">
        <f>IFERROR(SUMIF('Final Calculation Sheet'!$G$4:$G$1000,F$3,'Final Calculation Sheet'!$AC$4:$AC$1000)/SUMIF('Final Calculation Sheet'!$G$4:$G$1000,F$3,'Final Calculation Sheet'!$S$4:$S$1000),"")</f>
        <v/>
      </c>
      <c r="G41" s="532">
        <f>IFERROR(SUMIF('Final Calculation Sheet'!$G$4:$G$1000,G$3,'Final Calculation Sheet'!$AC$4:$AC$1000)/SUMIF('Final Calculation Sheet'!$G$4:$G$1000,G$3,'Final Calculation Sheet'!$S$4:$S$1000),"")</f>
        <v/>
      </c>
      <c r="H41" s="533">
        <f>IFERROR(SUMIF('Final Calculation Sheet'!$G$4:$G$1000,H$3,'Final Calculation Sheet'!$AC$4:$AC$1000)/SUMIF('Final Calculation Sheet'!$G$4:$G$1000,H$3,'Final Calculation Sheet'!$S$4:$S$1000),"")</f>
        <v/>
      </c>
      <c r="I41" s="534">
        <f>IFERROR(SUMIF('Final Calculation Sheet'!$G$4:$G$1000,I$3,'Final Calculation Sheet'!$AC$4:$AC$1000)/SUMIF('Final Calculation Sheet'!$G$4:$G$1000,I$3,'Final Calculation Sheet'!$S$4:$S$1000),"")</f>
        <v/>
      </c>
      <c r="J41" s="527">
        <f>IFERROR(SUMIF('Final Calculation Sheet'!$G$4:$G$1000,J$3,'Final Calculation Sheet'!$AC$4:$AC$1000)/SUMIF('Final Calculation Sheet'!$G$4:$G$1000,J$3,'Final Calculation Sheet'!$S$4:$S$1000),"")</f>
        <v/>
      </c>
      <c r="K41" s="528">
        <f>IFERROR(SUMIF('Final Calculation Sheet'!$G$4:$G$1000,K$3,'Final Calculation Sheet'!$AC$4:$AC$1000)/SUMIF('Final Calculation Sheet'!$G$4:$G$1000,K$3,'Final Calculation Sheet'!$S$4:$S$1000),"")</f>
        <v/>
      </c>
      <c r="L41" s="529">
        <f>IFERROR(SUMIF('Final Calculation Sheet'!$G$4:$G$1000,L$3,'Final Calculation Sheet'!$AC$4:$AC$1000)/SUMIF('Final Calculation Sheet'!$G$4:$G$1000,L$3,'Final Calculation Sheet'!$S$4:$S$1000),"")</f>
        <v/>
      </c>
      <c r="M41" s="530">
        <f>IFERROR(SUMIF('Final Calculation Sheet'!$G$4:$G$1000,M$3,'Final Calculation Sheet'!$AC$4:$AC$1000)/SUMIF('Final Calculation Sheet'!$G$4:$G$1000,M$3,'Final Calculation Sheet'!$S$4:$S$1000),"")</f>
        <v/>
      </c>
      <c r="N41" s="531">
        <f>IFERROR(SUMIF('Final Calculation Sheet'!$G$4:$G$1000,N$3,'Final Calculation Sheet'!$AC$4:$AC$1000)/SUMIF('Final Calculation Sheet'!$G$4:$G$1000,N$3,'Final Calculation Sheet'!$S$4:$S$1000),"")</f>
        <v/>
      </c>
      <c r="O41" s="535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13:O13">
    <cfRule type="cellIs" priority="3" operator="greaterThan" dxfId="3">
      <formula>0</formula>
    </cfRule>
  </conditionalFormatting>
  <conditionalFormatting sqref="B9:O9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9E480E"/>
    <outlinePr summaryBelow="0" summaryRight="1"/>
    <pageSetUpPr fitToPage="1"/>
  </sheetPr>
  <dimension ref="A1:AE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13.5" customWidth="1" min="12" max="12"/>
    <col width="13.5" customWidth="1" min="13" max="13"/>
    <col width="13.5" customWidth="1" min="14" max="14"/>
    <col width="13.5" customWidth="1" min="15" max="15"/>
    <col width="13.5" customWidth="1" min="16" max="16"/>
    <col width="13.5" customWidth="1" min="17" max="17"/>
    <col width="13.5" customWidth="1" min="18" max="18"/>
    <col width="13.5" customWidth="1" min="19" max="19"/>
    <col width="13.5" customWidth="1" min="20" max="20"/>
    <col width="13.5" customWidth="1" min="21" max="21"/>
    <col width="13.5" customWidth="1" min="22" max="22"/>
    <col width="13.5" customWidth="1" min="23" max="23"/>
    <col width="13.5" customWidth="1" min="24" max="24"/>
    <col width="13.5" customWidth="1" min="25" max="25"/>
    <col width="13.5" customWidth="1" min="26" max="26"/>
    <col width="13.5" customWidth="1" min="27" max="27"/>
    <col width="13.5" customWidth="1" min="28" max="28"/>
    <col width="13.5" customWidth="1" min="29" max="29"/>
    <col width="13.5" customWidth="1" min="30" max="30"/>
    <col width="13.5" customWidth="1" min="31" max="31"/>
  </cols>
  <sheetData>
    <row r="1" ht="30" customHeight="1">
      <c r="A1" s="59" t="inlineStr">
        <is>
          <t>MSTC LIMITED  •  BUYER LIST   (one row per buyer  |  every detail → columns)</t>
        </is>
      </c>
    </row>
    <row r="2" ht="40" customHeight="1">
      <c r="A2" s="61" t="inlineStr">
        <is>
          <t>HOW TO USE  ▶  one row per buyer - click the ▼ on the BUYER column and tick the buyers you want; every other row hides   •   every other column has its own ▼ too, so you can also filter on Payment Status, Outstanding, Collection % ...   •   the ∑ TOTAL row uses SUBTOTAL, so it adds up only the buyers the filter leaves visible   •   every figure is a live SUMIF / COUNTIF against 'Final Calculation Sheet' driven by the buyer name in column A - rename a cell and its whole row follows</t>
        </is>
      </c>
    </row>
    <row r="3" ht="16" customHeight="1">
      <c r="A3" s="399" t="inlineStr">
        <is>
          <t>DETAIL BAND  →</t>
        </is>
      </c>
      <c r="B3" s="233" t="inlineStr">
        <is>
          <t>BUYER OVERVIEW</t>
        </is>
      </c>
      <c r="C3" s="384" t="n"/>
      <c r="D3" s="384" t="n"/>
      <c r="E3" s="384" t="n"/>
      <c r="F3" s="384" t="n"/>
      <c r="G3" s="234" t="inlineStr">
        <is>
          <t>LOT INFORMATION</t>
        </is>
      </c>
      <c r="H3" s="385" t="n"/>
      <c r="I3" s="385" t="n"/>
      <c r="J3" s="235" t="inlineStr">
        <is>
          <t>FINANCIALS</t>
        </is>
      </c>
      <c r="K3" s="386" t="n"/>
      <c r="L3" s="386" t="n"/>
      <c r="M3" s="386" t="n"/>
      <c r="N3" s="386" t="n"/>
      <c r="O3" s="386" t="n"/>
      <c r="P3" s="386" t="n"/>
      <c r="Q3" s="386" t="n"/>
      <c r="R3" s="386" t="n"/>
      <c r="S3" s="386" t="n"/>
      <c r="T3" s="386" t="n"/>
      <c r="U3" s="236" t="inlineStr">
        <is>
          <t>SECURITY DEPOSIT</t>
        </is>
      </c>
      <c r="V3" s="387" t="n"/>
      <c r="W3" s="387" t="n"/>
      <c r="X3" s="237" t="inlineStr">
        <is>
          <t>FINAL PAYMENT</t>
        </is>
      </c>
      <c r="Y3" s="388" t="n"/>
      <c r="Z3" s="388" t="n"/>
      <c r="AA3" s="238" t="inlineStr">
        <is>
          <t>LPP</t>
        </is>
      </c>
      <c r="AB3" s="389" t="n"/>
      <c r="AC3" s="239" t="inlineStr">
        <is>
          <t>DOCUMENT</t>
        </is>
      </c>
      <c r="AD3" s="390" t="n"/>
      <c r="AE3" s="400" t="inlineStr">
        <is>
          <t>RECOVERY</t>
        </is>
      </c>
    </row>
    <row r="4" ht="108" customHeight="1">
      <c r="A4" s="424" t="inlineStr">
        <is>
          <t>BUYER  ▸  |  FIELD →</t>
        </is>
      </c>
      <c r="B4" s="606" t="inlineStr">
        <is>
          <t>Lots</t>
        </is>
      </c>
      <c r="C4" s="606" t="inlineStr">
        <is>
          <t>Mat. Value (₹)</t>
        </is>
      </c>
      <c r="D4" s="606" t="inlineStr">
        <is>
          <t>Total Received (₹)</t>
        </is>
      </c>
      <c r="E4" s="606" t="inlineStr">
        <is>
          <t>Outstanding (₹)</t>
        </is>
      </c>
      <c r="F4" s="606" t="inlineStr">
        <is>
          <t>Payment Status</t>
        </is>
      </c>
      <c r="G4" s="606" t="inlineStr">
        <is>
          <t>Quantity (total)</t>
        </is>
      </c>
      <c r="H4" s="606" t="inlineStr">
        <is>
          <t>Avg Rate (₹)</t>
        </is>
      </c>
      <c r="I4" s="606" t="inlineStr">
        <is>
          <t>Lots pending invoice</t>
        </is>
      </c>
      <c r="J4" s="606" t="inlineStr">
        <is>
          <t>GST @ 18% (₹)</t>
        </is>
      </c>
      <c r="K4" s="606" t="inlineStr">
        <is>
          <t>Mat. Value + GST (₹)</t>
        </is>
      </c>
      <c r="L4" s="606" t="inlineStr">
        <is>
          <t>TCS @ 2% (₹)</t>
        </is>
      </c>
      <c r="M4" s="606" t="inlineStr">
        <is>
          <t>TDS u/s 194(O) (₹)</t>
        </is>
      </c>
      <c r="N4" s="606" t="inlineStr">
        <is>
          <t>Service Charge gross (₹)</t>
        </is>
      </c>
      <c r="O4" s="606" t="inlineStr">
        <is>
          <t>TDS u/s 194(H) (₹)</t>
        </is>
      </c>
      <c r="P4" s="606" t="inlineStr">
        <is>
          <t>Net Service Charge (₹)</t>
        </is>
      </c>
      <c r="Q4" s="606" t="inlineStr">
        <is>
          <t>Svc Charge to MSTC (₹)</t>
        </is>
      </c>
      <c r="R4" s="606" t="inlineStr">
        <is>
          <t>GST TDS (₹)</t>
        </is>
      </c>
      <c r="S4" s="606" t="inlineStr">
        <is>
          <t>GST TDS % (effective)</t>
        </is>
      </c>
      <c r="T4" s="606" t="inlineStr">
        <is>
          <t>Total Receivables (₹)</t>
        </is>
      </c>
      <c r="U4" s="606" t="inlineStr">
        <is>
          <t>SD Expected (₹)</t>
        </is>
      </c>
      <c r="V4" s="606" t="inlineStr">
        <is>
          <t>SD Received (₹)</t>
        </is>
      </c>
      <c r="W4" s="606" t="inlineStr">
        <is>
          <t>SD Outstanding (₹)</t>
        </is>
      </c>
      <c r="X4" s="606" t="inlineStr">
        <is>
          <t>FP Expected (₹)</t>
        </is>
      </c>
      <c r="Y4" s="606" t="inlineStr">
        <is>
          <t>FP Received (₹)</t>
        </is>
      </c>
      <c r="Z4" s="606" t="inlineStr">
        <is>
          <t>FP Outstanding (₹)</t>
        </is>
      </c>
      <c r="AA4" s="606" t="inlineStr">
        <is>
          <t>LPP Expected (₹)</t>
        </is>
      </c>
      <c r="AB4" s="606" t="inlineStr">
        <is>
          <t>LPP Received (₹)</t>
        </is>
      </c>
      <c r="AC4" s="606" t="inlineStr">
        <is>
          <t>Invoices raised</t>
        </is>
      </c>
      <c r="AD4" s="606" t="inlineStr">
        <is>
          <t>SAP Docs posted</t>
        </is>
      </c>
      <c r="AE4" s="606" t="inlineStr">
        <is>
          <t>Collection %</t>
        </is>
      </c>
    </row>
    <row r="5" ht="16" customHeight="1">
      <c r="A5" s="607" t="inlineStr">
        <is>
          <t>AL HAMD TRADE CORPORATION</t>
        </is>
      </c>
      <c r="B5" s="491">
        <f>COUNTIF('Final Calculation Sheet'!$G$4:$G$1000,$A5)</f>
        <v/>
      </c>
      <c r="C5" s="500">
        <f>SUMIF('Final Calculation Sheet'!$G$4:$G$1000,$A5,'Final Calculation Sheet'!$H$4:$H$1000)</f>
        <v/>
      </c>
      <c r="D5" s="500">
        <f>SUMIF('Final Calculation Sheet'!$G$4:$G$1000,$A5,'Final Calculation Sheet'!$AC$4:$AC$1000)</f>
        <v/>
      </c>
      <c r="E5" s="500">
        <f>SUMIF('Final Calculation Sheet'!$G$4:$G$1000,$A5,'Final Calculation Sheet'!$AD$4:$AD$1000)</f>
        <v/>
      </c>
      <c r="F5" s="504">
        <f>IF(SUMIF('Final Calculation Sheet'!$G$4:$G$1000,$A5,'Final Calculation Sheet'!$AD$4:$AD$1000)&lt;=0,"SETTLED","OUTSTANDING")</f>
        <v/>
      </c>
      <c r="G5" s="509">
        <f>SUMIF('Final Calculation Sheet'!$G$4:$G$1000,$A5,'Final Calculation Sheet'!$A$4:$A$1000)</f>
        <v/>
      </c>
      <c r="H5" s="500">
        <f>IFERROR(SUMIF('Final Calculation Sheet'!$G$4:$G$1000,$A5,'Final Calculation Sheet'!$H$4:$H$1000)/SUMIF('Final Calculation Sheet'!$G$4:$G$1000,$A5,'Final Calculation Sheet'!$A$4:$A$1000),"")</f>
        <v/>
      </c>
      <c r="I5" s="491">
        <f>COUNTIFS('Final Calculation Sheet'!$G$4:$G$1000,$A5,'Final Calculation Sheet'!$AE$4:$AE$1000,"")</f>
        <v/>
      </c>
      <c r="J5" s="500">
        <f>SUMIF('Final Calculation Sheet'!$G$4:$G$1000,$A5,'Final Calculation Sheet'!$I$4:$I$1000)</f>
        <v/>
      </c>
      <c r="K5" s="500">
        <f>SUMIF('Final Calculation Sheet'!$G$4:$G$1000,$A5,'Final Calculation Sheet'!$J$4:$J$1000)</f>
        <v/>
      </c>
      <c r="L5" s="500">
        <f>SUMIF('Final Calculation Sheet'!$G$4:$G$1000,$A5,'Final Calculation Sheet'!$K$4:$K$1000)</f>
        <v/>
      </c>
      <c r="M5" s="513">
        <f>SUMIF('Final Calculation Sheet'!$G$4:$G$1000,$A5,'Final Calculation Sheet'!$L$4:$L$1000)</f>
        <v/>
      </c>
      <c r="N5" s="513">
        <f>SUMIF('Final Calculation Sheet'!$G$4:$G$1000,$A5,'Final Calculation Sheet'!$M$4:$M$1000)</f>
        <v/>
      </c>
      <c r="O5" s="513">
        <f>SUMIF('Final Calculation Sheet'!$G$4:$G$1000,$A5,'Final Calculation Sheet'!$N$4:$N$1000)</f>
        <v/>
      </c>
      <c r="P5" s="513">
        <f>SUMIF('Final Calculation Sheet'!$G$4:$G$1000,$A5,'Final Calculation Sheet'!$O$4:$O$1000)</f>
        <v/>
      </c>
      <c r="Q5" s="500">
        <f>SUMIF('Final Calculation Sheet'!$G$4:$G$1000,$A5,'Final Calculation Sheet'!$P$4:$P$1000)</f>
        <v/>
      </c>
      <c r="R5" s="500">
        <f>SUMIF('Final Calculation Sheet'!$G$4:$G$1000,$A5,'Final Calculation Sheet'!$R$4:$R$1000)</f>
        <v/>
      </c>
      <c r="S5" s="517">
        <f>IFERROR(SUMIF('Final Calculation Sheet'!$G$4:$G$1000,$A5,'Final Calculation Sheet'!$R$4:$R$1000)/SUMIF('Final Calculation Sheet'!$G$4:$G$1000,$A5,'Final Calculation Sheet'!$H$4:$H$1000),"")</f>
        <v/>
      </c>
      <c r="T5" s="500">
        <f>SUMIF('Final Calculation Sheet'!$G$4:$G$1000,$A5,'Final Calculation Sheet'!$S$4:$S$1000)</f>
        <v/>
      </c>
      <c r="U5" s="500">
        <f>SUMIF('Final Calculation Sheet'!$G$4:$G$1000,$A5,'Final Calculation Sheet'!$T$4:$T$1000)</f>
        <v/>
      </c>
      <c r="V5" s="500">
        <f>SUMIF('Final Calculation Sheet'!$G$4:$G$1000,$A5,'Final Calculation Sheet'!$U$4:$U$1000)</f>
        <v/>
      </c>
      <c r="W5" s="500">
        <f>SUMIF('Final Calculation Sheet'!$G$4:$G$1000,$A5,'Final Calculation Sheet'!$T$4:$T$1000)-SUMIF('Final Calculation Sheet'!$G$4:$G$1000,$A5,'Final Calculation Sheet'!$U$4:$U$1000)</f>
        <v/>
      </c>
      <c r="X5" s="500">
        <f>SUMIF('Final Calculation Sheet'!$G$4:$G$1000,$A5,'Final Calculation Sheet'!$W$4:$W$1000)</f>
        <v/>
      </c>
      <c r="Y5" s="500">
        <f>SUMIF('Final Calculation Sheet'!$G$4:$G$1000,$A5,'Final Calculation Sheet'!$X$4:$X$1000)</f>
        <v/>
      </c>
      <c r="Z5" s="500">
        <f>SUMIF('Final Calculation Sheet'!$G$4:$G$1000,$A5,'Final Calculation Sheet'!$W$4:$W$1000)-SUMIF('Final Calculation Sheet'!$G$4:$G$1000,$A5,'Final Calculation Sheet'!$X$4:$X$1000)</f>
        <v/>
      </c>
      <c r="AA5" s="500">
        <f>SUMIF('Final Calculation Sheet'!$G$4:$G$1000,$A5,'Final Calculation Sheet'!$Z$4:$Z$1000)</f>
        <v/>
      </c>
      <c r="AB5" s="500">
        <f>SUMIF('Final Calculation Sheet'!$G$4:$G$1000,$A5,'Final Calculation Sheet'!$AA$4:$AA$1000)</f>
        <v/>
      </c>
      <c r="AC5" s="491">
        <f>COUNTIF('Final Calculation Sheet'!$G$4:$G$1000,$A5)-COUNTIFS('Final Calculation Sheet'!$G$4:$G$1000,$A5,'Final Calculation Sheet'!$AE$4:$AE$1000,"")</f>
        <v/>
      </c>
      <c r="AD5" s="491">
        <f>COUNTIF('Final Calculation Sheet'!$G$4:$G$1000,$A5)-COUNTIFS('Final Calculation Sheet'!$G$4:$G$1000,$A5,'Final Calculation Sheet'!$AF$4:$AF$1000,"")</f>
        <v/>
      </c>
      <c r="AE5" s="527">
        <f>IFERROR(SUMIF('Final Calculation Sheet'!$G$4:$G$1000,$A5,'Final Calculation Sheet'!$AC$4:$AC$1000)/SUMIF('Final Calculation Sheet'!$G$4:$G$1000,$A5,'Final Calculation Sheet'!$S$4:$S$1000),"")</f>
        <v/>
      </c>
    </row>
    <row r="6" ht="16" customHeight="1">
      <c r="A6" s="608" t="inlineStr">
        <is>
          <t>F R KHANS ENTERPRISES</t>
        </is>
      </c>
      <c r="B6" s="492">
        <f>COUNTIF('Final Calculation Sheet'!$G$4:$G$1000,$A6)</f>
        <v/>
      </c>
      <c r="C6" s="88">
        <f>SUMIF('Final Calculation Sheet'!$G$4:$G$1000,$A6,'Final Calculation Sheet'!$H$4:$H$1000)</f>
        <v/>
      </c>
      <c r="D6" s="88">
        <f>SUMIF('Final Calculation Sheet'!$G$4:$G$1000,$A6,'Final Calculation Sheet'!$AC$4:$AC$1000)</f>
        <v/>
      </c>
      <c r="E6" s="88">
        <f>SUMIF('Final Calculation Sheet'!$G$4:$G$1000,$A6,'Final Calculation Sheet'!$AD$4:$AD$1000)</f>
        <v/>
      </c>
      <c r="F6" s="98">
        <f>IF(SUMIF('Final Calculation Sheet'!$G$4:$G$1000,$A6,'Final Calculation Sheet'!$AD$4:$AD$1000)&lt;=0,"SETTLED","OUTSTANDING")</f>
        <v/>
      </c>
      <c r="G6" s="91">
        <f>SUMIF('Final Calculation Sheet'!$G$4:$G$1000,$A6,'Final Calculation Sheet'!$A$4:$A$1000)</f>
        <v/>
      </c>
      <c r="H6" s="88">
        <f>IFERROR(SUMIF('Final Calculation Sheet'!$G$4:$G$1000,$A6,'Final Calculation Sheet'!$H$4:$H$1000)/SUMIF('Final Calculation Sheet'!$G$4:$G$1000,$A6,'Final Calculation Sheet'!$A$4:$A$1000),"")</f>
        <v/>
      </c>
      <c r="I6" s="492">
        <f>COUNTIFS('Final Calculation Sheet'!$G$4:$G$1000,$A6,'Final Calculation Sheet'!$AE$4:$AE$1000,"")</f>
        <v/>
      </c>
      <c r="J6" s="88">
        <f>SUMIF('Final Calculation Sheet'!$G$4:$G$1000,$A6,'Final Calculation Sheet'!$I$4:$I$1000)</f>
        <v/>
      </c>
      <c r="K6" s="88">
        <f>SUMIF('Final Calculation Sheet'!$G$4:$G$1000,$A6,'Final Calculation Sheet'!$J$4:$J$1000)</f>
        <v/>
      </c>
      <c r="L6" s="88">
        <f>SUMIF('Final Calculation Sheet'!$G$4:$G$1000,$A6,'Final Calculation Sheet'!$K$4:$K$1000)</f>
        <v/>
      </c>
      <c r="M6" s="95">
        <f>SUMIF('Final Calculation Sheet'!$G$4:$G$1000,$A6,'Final Calculation Sheet'!$L$4:$L$1000)</f>
        <v/>
      </c>
      <c r="N6" s="95">
        <f>SUMIF('Final Calculation Sheet'!$G$4:$G$1000,$A6,'Final Calculation Sheet'!$M$4:$M$1000)</f>
        <v/>
      </c>
      <c r="O6" s="95">
        <f>SUMIF('Final Calculation Sheet'!$G$4:$G$1000,$A6,'Final Calculation Sheet'!$N$4:$N$1000)</f>
        <v/>
      </c>
      <c r="P6" s="95">
        <f>SUMIF('Final Calculation Sheet'!$G$4:$G$1000,$A6,'Final Calculation Sheet'!$O$4:$O$1000)</f>
        <v/>
      </c>
      <c r="Q6" s="88">
        <f>SUMIF('Final Calculation Sheet'!$G$4:$G$1000,$A6,'Final Calculation Sheet'!$P$4:$P$1000)</f>
        <v/>
      </c>
      <c r="R6" s="88">
        <f>SUMIF('Final Calculation Sheet'!$G$4:$G$1000,$A6,'Final Calculation Sheet'!$R$4:$R$1000)</f>
        <v/>
      </c>
      <c r="S6" s="518">
        <f>IFERROR(SUMIF('Final Calculation Sheet'!$G$4:$G$1000,$A6,'Final Calculation Sheet'!$R$4:$R$1000)/SUMIF('Final Calculation Sheet'!$G$4:$G$1000,$A6,'Final Calculation Sheet'!$H$4:$H$1000),"")</f>
        <v/>
      </c>
      <c r="T6" s="88">
        <f>SUMIF('Final Calculation Sheet'!$G$4:$G$1000,$A6,'Final Calculation Sheet'!$S$4:$S$1000)</f>
        <v/>
      </c>
      <c r="U6" s="88">
        <f>SUMIF('Final Calculation Sheet'!$G$4:$G$1000,$A6,'Final Calculation Sheet'!$T$4:$T$1000)</f>
        <v/>
      </c>
      <c r="V6" s="88">
        <f>SUMIF('Final Calculation Sheet'!$G$4:$G$1000,$A6,'Final Calculation Sheet'!$U$4:$U$1000)</f>
        <v/>
      </c>
      <c r="W6" s="88">
        <f>SUMIF('Final Calculation Sheet'!$G$4:$G$1000,$A6,'Final Calculation Sheet'!$T$4:$T$1000)-SUMIF('Final Calculation Sheet'!$G$4:$G$1000,$A6,'Final Calculation Sheet'!$U$4:$U$1000)</f>
        <v/>
      </c>
      <c r="X6" s="88">
        <f>SUMIF('Final Calculation Sheet'!$G$4:$G$1000,$A6,'Final Calculation Sheet'!$W$4:$W$1000)</f>
        <v/>
      </c>
      <c r="Y6" s="88">
        <f>SUMIF('Final Calculation Sheet'!$G$4:$G$1000,$A6,'Final Calculation Sheet'!$X$4:$X$1000)</f>
        <v/>
      </c>
      <c r="Z6" s="88">
        <f>SUMIF('Final Calculation Sheet'!$G$4:$G$1000,$A6,'Final Calculation Sheet'!$W$4:$W$1000)-SUMIF('Final Calculation Sheet'!$G$4:$G$1000,$A6,'Final Calculation Sheet'!$X$4:$X$1000)</f>
        <v/>
      </c>
      <c r="AA6" s="88">
        <f>SUMIF('Final Calculation Sheet'!$G$4:$G$1000,$A6,'Final Calculation Sheet'!$Z$4:$Z$1000)</f>
        <v/>
      </c>
      <c r="AB6" s="88">
        <f>SUMIF('Final Calculation Sheet'!$G$4:$G$1000,$A6,'Final Calculation Sheet'!$AA$4:$AA$1000)</f>
        <v/>
      </c>
      <c r="AC6" s="492">
        <f>COUNTIF('Final Calculation Sheet'!$G$4:$G$1000,$A6)-COUNTIFS('Final Calculation Sheet'!$G$4:$G$1000,$A6,'Final Calculation Sheet'!$AE$4:$AE$1000,"")</f>
        <v/>
      </c>
      <c r="AD6" s="492">
        <f>COUNTIF('Final Calculation Sheet'!$G$4:$G$1000,$A6)-COUNTIFS('Final Calculation Sheet'!$G$4:$G$1000,$A6,'Final Calculation Sheet'!$AF$4:$AF$1000,"")</f>
        <v/>
      </c>
      <c r="AE6" s="528">
        <f>IFERROR(SUMIF('Final Calculation Sheet'!$G$4:$G$1000,$A6,'Final Calculation Sheet'!$AC$4:$AC$1000)/SUMIF('Final Calculation Sheet'!$G$4:$G$1000,$A6,'Final Calculation Sheet'!$S$4:$S$1000),"")</f>
        <v/>
      </c>
    </row>
    <row r="7" ht="16" customHeight="1">
      <c r="A7" s="609" t="inlineStr">
        <is>
          <t>HIND TRADERS</t>
        </is>
      </c>
      <c r="B7" s="493">
        <f>COUNTIF('Final Calculation Sheet'!$G$4:$G$1000,$A7)</f>
        <v/>
      </c>
      <c r="C7" s="501">
        <f>SUMIF('Final Calculation Sheet'!$G$4:$G$1000,$A7,'Final Calculation Sheet'!$H$4:$H$1000)</f>
        <v/>
      </c>
      <c r="D7" s="501">
        <f>SUMIF('Final Calculation Sheet'!$G$4:$G$1000,$A7,'Final Calculation Sheet'!$AC$4:$AC$1000)</f>
        <v/>
      </c>
      <c r="E7" s="501">
        <f>SUMIF('Final Calculation Sheet'!$G$4:$G$1000,$A7,'Final Calculation Sheet'!$AD$4:$AD$1000)</f>
        <v/>
      </c>
      <c r="F7" s="505">
        <f>IF(SUMIF('Final Calculation Sheet'!$G$4:$G$1000,$A7,'Final Calculation Sheet'!$AD$4:$AD$1000)&lt;=0,"SETTLED","OUTSTANDING")</f>
        <v/>
      </c>
      <c r="G7" s="510">
        <f>SUMIF('Final Calculation Sheet'!$G$4:$G$1000,$A7,'Final Calculation Sheet'!$A$4:$A$1000)</f>
        <v/>
      </c>
      <c r="H7" s="501">
        <f>IFERROR(SUMIF('Final Calculation Sheet'!$G$4:$G$1000,$A7,'Final Calculation Sheet'!$H$4:$H$1000)/SUMIF('Final Calculation Sheet'!$G$4:$G$1000,$A7,'Final Calculation Sheet'!$A$4:$A$1000),"")</f>
        <v/>
      </c>
      <c r="I7" s="493">
        <f>COUNTIFS('Final Calculation Sheet'!$G$4:$G$1000,$A7,'Final Calculation Sheet'!$AE$4:$AE$1000,"")</f>
        <v/>
      </c>
      <c r="J7" s="501">
        <f>SUMIF('Final Calculation Sheet'!$G$4:$G$1000,$A7,'Final Calculation Sheet'!$I$4:$I$1000)</f>
        <v/>
      </c>
      <c r="K7" s="501">
        <f>SUMIF('Final Calculation Sheet'!$G$4:$G$1000,$A7,'Final Calculation Sheet'!$J$4:$J$1000)</f>
        <v/>
      </c>
      <c r="L7" s="501">
        <f>SUMIF('Final Calculation Sheet'!$G$4:$G$1000,$A7,'Final Calculation Sheet'!$K$4:$K$1000)</f>
        <v/>
      </c>
      <c r="M7" s="514">
        <f>SUMIF('Final Calculation Sheet'!$G$4:$G$1000,$A7,'Final Calculation Sheet'!$L$4:$L$1000)</f>
        <v/>
      </c>
      <c r="N7" s="514">
        <f>SUMIF('Final Calculation Sheet'!$G$4:$G$1000,$A7,'Final Calculation Sheet'!$M$4:$M$1000)</f>
        <v/>
      </c>
      <c r="O7" s="514">
        <f>SUMIF('Final Calculation Sheet'!$G$4:$G$1000,$A7,'Final Calculation Sheet'!$N$4:$N$1000)</f>
        <v/>
      </c>
      <c r="P7" s="514">
        <f>SUMIF('Final Calculation Sheet'!$G$4:$G$1000,$A7,'Final Calculation Sheet'!$O$4:$O$1000)</f>
        <v/>
      </c>
      <c r="Q7" s="501">
        <f>SUMIF('Final Calculation Sheet'!$G$4:$G$1000,$A7,'Final Calculation Sheet'!$P$4:$P$1000)</f>
        <v/>
      </c>
      <c r="R7" s="501">
        <f>SUMIF('Final Calculation Sheet'!$G$4:$G$1000,$A7,'Final Calculation Sheet'!$R$4:$R$1000)</f>
        <v/>
      </c>
      <c r="S7" s="519">
        <f>IFERROR(SUMIF('Final Calculation Sheet'!$G$4:$G$1000,$A7,'Final Calculation Sheet'!$R$4:$R$1000)/SUMIF('Final Calculation Sheet'!$G$4:$G$1000,$A7,'Final Calculation Sheet'!$H$4:$H$1000),"")</f>
        <v/>
      </c>
      <c r="T7" s="501">
        <f>SUMIF('Final Calculation Sheet'!$G$4:$G$1000,$A7,'Final Calculation Sheet'!$S$4:$S$1000)</f>
        <v/>
      </c>
      <c r="U7" s="501">
        <f>SUMIF('Final Calculation Sheet'!$G$4:$G$1000,$A7,'Final Calculation Sheet'!$T$4:$T$1000)</f>
        <v/>
      </c>
      <c r="V7" s="501">
        <f>SUMIF('Final Calculation Sheet'!$G$4:$G$1000,$A7,'Final Calculation Sheet'!$U$4:$U$1000)</f>
        <v/>
      </c>
      <c r="W7" s="501">
        <f>SUMIF('Final Calculation Sheet'!$G$4:$G$1000,$A7,'Final Calculation Sheet'!$T$4:$T$1000)-SUMIF('Final Calculation Sheet'!$G$4:$G$1000,$A7,'Final Calculation Sheet'!$U$4:$U$1000)</f>
        <v/>
      </c>
      <c r="X7" s="501">
        <f>SUMIF('Final Calculation Sheet'!$G$4:$G$1000,$A7,'Final Calculation Sheet'!$W$4:$W$1000)</f>
        <v/>
      </c>
      <c r="Y7" s="501">
        <f>SUMIF('Final Calculation Sheet'!$G$4:$G$1000,$A7,'Final Calculation Sheet'!$X$4:$X$1000)</f>
        <v/>
      </c>
      <c r="Z7" s="501">
        <f>SUMIF('Final Calculation Sheet'!$G$4:$G$1000,$A7,'Final Calculation Sheet'!$W$4:$W$1000)-SUMIF('Final Calculation Sheet'!$G$4:$G$1000,$A7,'Final Calculation Sheet'!$X$4:$X$1000)</f>
        <v/>
      </c>
      <c r="AA7" s="501">
        <f>SUMIF('Final Calculation Sheet'!$G$4:$G$1000,$A7,'Final Calculation Sheet'!$Z$4:$Z$1000)</f>
        <v/>
      </c>
      <c r="AB7" s="501">
        <f>SUMIF('Final Calculation Sheet'!$G$4:$G$1000,$A7,'Final Calculation Sheet'!$AA$4:$AA$1000)</f>
        <v/>
      </c>
      <c r="AC7" s="493">
        <f>COUNTIF('Final Calculation Sheet'!$G$4:$G$1000,$A7)-COUNTIFS('Final Calculation Sheet'!$G$4:$G$1000,$A7,'Final Calculation Sheet'!$AE$4:$AE$1000,"")</f>
        <v/>
      </c>
      <c r="AD7" s="493">
        <f>COUNTIF('Final Calculation Sheet'!$G$4:$G$1000,$A7)-COUNTIFS('Final Calculation Sheet'!$G$4:$G$1000,$A7,'Final Calculation Sheet'!$AF$4:$AF$1000,"")</f>
        <v/>
      </c>
      <c r="AE7" s="529">
        <f>IFERROR(SUMIF('Final Calculation Sheet'!$G$4:$G$1000,$A7,'Final Calculation Sheet'!$AC$4:$AC$1000)/SUMIF('Final Calculation Sheet'!$G$4:$G$1000,$A7,'Final Calculation Sheet'!$S$4:$S$1000),"")</f>
        <v/>
      </c>
    </row>
    <row r="8" ht="16" customHeight="1">
      <c r="A8" s="610" t="inlineStr">
        <is>
          <t>KASHYAP TRADING CO</t>
        </is>
      </c>
      <c r="B8" s="494">
        <f>COUNTIF('Final Calculation Sheet'!$G$4:$G$1000,$A8)</f>
        <v/>
      </c>
      <c r="C8" s="181">
        <f>SUMIF('Final Calculation Sheet'!$G$4:$G$1000,$A8,'Final Calculation Sheet'!$H$4:$H$1000)</f>
        <v/>
      </c>
      <c r="D8" s="181">
        <f>SUMIF('Final Calculation Sheet'!$G$4:$G$1000,$A8,'Final Calculation Sheet'!$AC$4:$AC$1000)</f>
        <v/>
      </c>
      <c r="E8" s="181">
        <f>SUMIF('Final Calculation Sheet'!$G$4:$G$1000,$A8,'Final Calculation Sheet'!$AD$4:$AD$1000)</f>
        <v/>
      </c>
      <c r="F8" s="187">
        <f>IF(SUMIF('Final Calculation Sheet'!$G$4:$G$1000,$A8,'Final Calculation Sheet'!$AD$4:$AD$1000)&lt;=0,"SETTLED","OUTSTANDING")</f>
        <v/>
      </c>
      <c r="G8" s="183">
        <f>SUMIF('Final Calculation Sheet'!$G$4:$G$1000,$A8,'Final Calculation Sheet'!$A$4:$A$1000)</f>
        <v/>
      </c>
      <c r="H8" s="181">
        <f>IFERROR(SUMIF('Final Calculation Sheet'!$G$4:$G$1000,$A8,'Final Calculation Sheet'!$H$4:$H$1000)/SUMIF('Final Calculation Sheet'!$G$4:$G$1000,$A8,'Final Calculation Sheet'!$A$4:$A$1000),"")</f>
        <v/>
      </c>
      <c r="I8" s="494">
        <f>COUNTIFS('Final Calculation Sheet'!$G$4:$G$1000,$A8,'Final Calculation Sheet'!$AE$4:$AE$1000,"")</f>
        <v/>
      </c>
      <c r="J8" s="181">
        <f>SUMIF('Final Calculation Sheet'!$G$4:$G$1000,$A8,'Final Calculation Sheet'!$I$4:$I$1000)</f>
        <v/>
      </c>
      <c r="K8" s="181">
        <f>SUMIF('Final Calculation Sheet'!$G$4:$G$1000,$A8,'Final Calculation Sheet'!$J$4:$J$1000)</f>
        <v/>
      </c>
      <c r="L8" s="181">
        <f>SUMIF('Final Calculation Sheet'!$G$4:$G$1000,$A8,'Final Calculation Sheet'!$K$4:$K$1000)</f>
        <v/>
      </c>
      <c r="M8" s="185">
        <f>SUMIF('Final Calculation Sheet'!$G$4:$G$1000,$A8,'Final Calculation Sheet'!$L$4:$L$1000)</f>
        <v/>
      </c>
      <c r="N8" s="185">
        <f>SUMIF('Final Calculation Sheet'!$G$4:$G$1000,$A8,'Final Calculation Sheet'!$M$4:$M$1000)</f>
        <v/>
      </c>
      <c r="O8" s="185">
        <f>SUMIF('Final Calculation Sheet'!$G$4:$G$1000,$A8,'Final Calculation Sheet'!$N$4:$N$1000)</f>
        <v/>
      </c>
      <c r="P8" s="185">
        <f>SUMIF('Final Calculation Sheet'!$G$4:$G$1000,$A8,'Final Calculation Sheet'!$O$4:$O$1000)</f>
        <v/>
      </c>
      <c r="Q8" s="181">
        <f>SUMIF('Final Calculation Sheet'!$G$4:$G$1000,$A8,'Final Calculation Sheet'!$P$4:$P$1000)</f>
        <v/>
      </c>
      <c r="R8" s="181">
        <f>SUMIF('Final Calculation Sheet'!$G$4:$G$1000,$A8,'Final Calculation Sheet'!$R$4:$R$1000)</f>
        <v/>
      </c>
      <c r="S8" s="520">
        <f>IFERROR(SUMIF('Final Calculation Sheet'!$G$4:$G$1000,$A8,'Final Calculation Sheet'!$R$4:$R$1000)/SUMIF('Final Calculation Sheet'!$G$4:$G$1000,$A8,'Final Calculation Sheet'!$H$4:$H$1000),"")</f>
        <v/>
      </c>
      <c r="T8" s="181">
        <f>SUMIF('Final Calculation Sheet'!$G$4:$G$1000,$A8,'Final Calculation Sheet'!$S$4:$S$1000)</f>
        <v/>
      </c>
      <c r="U8" s="181">
        <f>SUMIF('Final Calculation Sheet'!$G$4:$G$1000,$A8,'Final Calculation Sheet'!$T$4:$T$1000)</f>
        <v/>
      </c>
      <c r="V8" s="181">
        <f>SUMIF('Final Calculation Sheet'!$G$4:$G$1000,$A8,'Final Calculation Sheet'!$U$4:$U$1000)</f>
        <v/>
      </c>
      <c r="W8" s="181">
        <f>SUMIF('Final Calculation Sheet'!$G$4:$G$1000,$A8,'Final Calculation Sheet'!$T$4:$T$1000)-SUMIF('Final Calculation Sheet'!$G$4:$G$1000,$A8,'Final Calculation Sheet'!$U$4:$U$1000)</f>
        <v/>
      </c>
      <c r="X8" s="181">
        <f>SUMIF('Final Calculation Sheet'!$G$4:$G$1000,$A8,'Final Calculation Sheet'!$W$4:$W$1000)</f>
        <v/>
      </c>
      <c r="Y8" s="181">
        <f>SUMIF('Final Calculation Sheet'!$G$4:$G$1000,$A8,'Final Calculation Sheet'!$X$4:$X$1000)</f>
        <v/>
      </c>
      <c r="Z8" s="181">
        <f>SUMIF('Final Calculation Sheet'!$G$4:$G$1000,$A8,'Final Calculation Sheet'!$W$4:$W$1000)-SUMIF('Final Calculation Sheet'!$G$4:$G$1000,$A8,'Final Calculation Sheet'!$X$4:$X$1000)</f>
        <v/>
      </c>
      <c r="AA8" s="181">
        <f>SUMIF('Final Calculation Sheet'!$G$4:$G$1000,$A8,'Final Calculation Sheet'!$Z$4:$Z$1000)</f>
        <v/>
      </c>
      <c r="AB8" s="181">
        <f>SUMIF('Final Calculation Sheet'!$G$4:$G$1000,$A8,'Final Calculation Sheet'!$AA$4:$AA$1000)</f>
        <v/>
      </c>
      <c r="AC8" s="494">
        <f>COUNTIF('Final Calculation Sheet'!$G$4:$G$1000,$A8)-COUNTIFS('Final Calculation Sheet'!$G$4:$G$1000,$A8,'Final Calculation Sheet'!$AE$4:$AE$1000,"")</f>
        <v/>
      </c>
      <c r="AD8" s="494">
        <f>COUNTIF('Final Calculation Sheet'!$G$4:$G$1000,$A8)-COUNTIFS('Final Calculation Sheet'!$G$4:$G$1000,$A8,'Final Calculation Sheet'!$AF$4:$AF$1000,"")</f>
        <v/>
      </c>
      <c r="AE8" s="530">
        <f>IFERROR(SUMIF('Final Calculation Sheet'!$G$4:$G$1000,$A8,'Final Calculation Sheet'!$AC$4:$AC$1000)/SUMIF('Final Calculation Sheet'!$G$4:$G$1000,$A8,'Final Calculation Sheet'!$S$4:$S$1000),"")</f>
        <v/>
      </c>
    </row>
    <row r="9" ht="16" customHeight="1">
      <c r="A9" s="611" t="inlineStr">
        <is>
          <t>M I SCRAP TRADERS</t>
        </is>
      </c>
      <c r="B9" s="495">
        <f>COUNTIF('Final Calculation Sheet'!$G$4:$G$1000,$A9)</f>
        <v/>
      </c>
      <c r="C9" s="502">
        <f>SUMIF('Final Calculation Sheet'!$G$4:$G$1000,$A9,'Final Calculation Sheet'!$H$4:$H$1000)</f>
        <v/>
      </c>
      <c r="D9" s="502">
        <f>SUMIF('Final Calculation Sheet'!$G$4:$G$1000,$A9,'Final Calculation Sheet'!$AC$4:$AC$1000)</f>
        <v/>
      </c>
      <c r="E9" s="502">
        <f>SUMIF('Final Calculation Sheet'!$G$4:$G$1000,$A9,'Final Calculation Sheet'!$AD$4:$AD$1000)</f>
        <v/>
      </c>
      <c r="F9" s="506">
        <f>IF(SUMIF('Final Calculation Sheet'!$G$4:$G$1000,$A9,'Final Calculation Sheet'!$AD$4:$AD$1000)&lt;=0,"SETTLED","OUTSTANDING")</f>
        <v/>
      </c>
      <c r="G9" s="511">
        <f>SUMIF('Final Calculation Sheet'!$G$4:$G$1000,$A9,'Final Calculation Sheet'!$A$4:$A$1000)</f>
        <v/>
      </c>
      <c r="H9" s="502">
        <f>IFERROR(SUMIF('Final Calculation Sheet'!$G$4:$G$1000,$A9,'Final Calculation Sheet'!$H$4:$H$1000)/SUMIF('Final Calculation Sheet'!$G$4:$G$1000,$A9,'Final Calculation Sheet'!$A$4:$A$1000),"")</f>
        <v/>
      </c>
      <c r="I9" s="495">
        <f>COUNTIFS('Final Calculation Sheet'!$G$4:$G$1000,$A9,'Final Calculation Sheet'!$AE$4:$AE$1000,"")</f>
        <v/>
      </c>
      <c r="J9" s="502">
        <f>SUMIF('Final Calculation Sheet'!$G$4:$G$1000,$A9,'Final Calculation Sheet'!$I$4:$I$1000)</f>
        <v/>
      </c>
      <c r="K9" s="502">
        <f>SUMIF('Final Calculation Sheet'!$G$4:$G$1000,$A9,'Final Calculation Sheet'!$J$4:$J$1000)</f>
        <v/>
      </c>
      <c r="L9" s="502">
        <f>SUMIF('Final Calculation Sheet'!$G$4:$G$1000,$A9,'Final Calculation Sheet'!$K$4:$K$1000)</f>
        <v/>
      </c>
      <c r="M9" s="515">
        <f>SUMIF('Final Calculation Sheet'!$G$4:$G$1000,$A9,'Final Calculation Sheet'!$L$4:$L$1000)</f>
        <v/>
      </c>
      <c r="N9" s="515">
        <f>SUMIF('Final Calculation Sheet'!$G$4:$G$1000,$A9,'Final Calculation Sheet'!$M$4:$M$1000)</f>
        <v/>
      </c>
      <c r="O9" s="515">
        <f>SUMIF('Final Calculation Sheet'!$G$4:$G$1000,$A9,'Final Calculation Sheet'!$N$4:$N$1000)</f>
        <v/>
      </c>
      <c r="P9" s="515">
        <f>SUMIF('Final Calculation Sheet'!$G$4:$G$1000,$A9,'Final Calculation Sheet'!$O$4:$O$1000)</f>
        <v/>
      </c>
      <c r="Q9" s="502">
        <f>SUMIF('Final Calculation Sheet'!$G$4:$G$1000,$A9,'Final Calculation Sheet'!$P$4:$P$1000)</f>
        <v/>
      </c>
      <c r="R9" s="502">
        <f>SUMIF('Final Calculation Sheet'!$G$4:$G$1000,$A9,'Final Calculation Sheet'!$R$4:$R$1000)</f>
        <v/>
      </c>
      <c r="S9" s="521">
        <f>IFERROR(SUMIF('Final Calculation Sheet'!$G$4:$G$1000,$A9,'Final Calculation Sheet'!$R$4:$R$1000)/SUMIF('Final Calculation Sheet'!$G$4:$G$1000,$A9,'Final Calculation Sheet'!$H$4:$H$1000),"")</f>
        <v/>
      </c>
      <c r="T9" s="502">
        <f>SUMIF('Final Calculation Sheet'!$G$4:$G$1000,$A9,'Final Calculation Sheet'!$S$4:$S$1000)</f>
        <v/>
      </c>
      <c r="U9" s="502">
        <f>SUMIF('Final Calculation Sheet'!$G$4:$G$1000,$A9,'Final Calculation Sheet'!$T$4:$T$1000)</f>
        <v/>
      </c>
      <c r="V9" s="502">
        <f>SUMIF('Final Calculation Sheet'!$G$4:$G$1000,$A9,'Final Calculation Sheet'!$U$4:$U$1000)</f>
        <v/>
      </c>
      <c r="W9" s="502">
        <f>SUMIF('Final Calculation Sheet'!$G$4:$G$1000,$A9,'Final Calculation Sheet'!$T$4:$T$1000)-SUMIF('Final Calculation Sheet'!$G$4:$G$1000,$A9,'Final Calculation Sheet'!$U$4:$U$1000)</f>
        <v/>
      </c>
      <c r="X9" s="502">
        <f>SUMIF('Final Calculation Sheet'!$G$4:$G$1000,$A9,'Final Calculation Sheet'!$W$4:$W$1000)</f>
        <v/>
      </c>
      <c r="Y9" s="502">
        <f>SUMIF('Final Calculation Sheet'!$G$4:$G$1000,$A9,'Final Calculation Sheet'!$X$4:$X$1000)</f>
        <v/>
      </c>
      <c r="Z9" s="502">
        <f>SUMIF('Final Calculation Sheet'!$G$4:$G$1000,$A9,'Final Calculation Sheet'!$W$4:$W$1000)-SUMIF('Final Calculation Sheet'!$G$4:$G$1000,$A9,'Final Calculation Sheet'!$X$4:$X$1000)</f>
        <v/>
      </c>
      <c r="AA9" s="502">
        <f>SUMIF('Final Calculation Sheet'!$G$4:$G$1000,$A9,'Final Calculation Sheet'!$Z$4:$Z$1000)</f>
        <v/>
      </c>
      <c r="AB9" s="502">
        <f>SUMIF('Final Calculation Sheet'!$G$4:$G$1000,$A9,'Final Calculation Sheet'!$AA$4:$AA$1000)</f>
        <v/>
      </c>
      <c r="AC9" s="495">
        <f>COUNTIF('Final Calculation Sheet'!$G$4:$G$1000,$A9)-COUNTIFS('Final Calculation Sheet'!$G$4:$G$1000,$A9,'Final Calculation Sheet'!$AE$4:$AE$1000,"")</f>
        <v/>
      </c>
      <c r="AD9" s="495">
        <f>COUNTIF('Final Calculation Sheet'!$G$4:$G$1000,$A9)-COUNTIFS('Final Calculation Sheet'!$G$4:$G$1000,$A9,'Final Calculation Sheet'!$AF$4:$AF$1000,"")</f>
        <v/>
      </c>
      <c r="AE9" s="531">
        <f>IFERROR(SUMIF('Final Calculation Sheet'!$G$4:$G$1000,$A9,'Final Calculation Sheet'!$AC$4:$AC$1000)/SUMIF('Final Calculation Sheet'!$G$4:$G$1000,$A9,'Final Calculation Sheet'!$S$4:$S$1000),"")</f>
        <v/>
      </c>
    </row>
    <row r="10" ht="16" customHeight="1">
      <c r="A10" s="612" t="inlineStr">
        <is>
          <t>NATIONAL ENTERPRISES</t>
        </is>
      </c>
      <c r="B10" s="496">
        <f>COUNTIF('Final Calculation Sheet'!$G$4:$G$1000,$A10)</f>
        <v/>
      </c>
      <c r="C10" s="131">
        <f>SUMIF('Final Calculation Sheet'!$G$4:$G$1000,$A10,'Final Calculation Sheet'!$H$4:$H$1000)</f>
        <v/>
      </c>
      <c r="D10" s="131">
        <f>SUMIF('Final Calculation Sheet'!$G$4:$G$1000,$A10,'Final Calculation Sheet'!$AC$4:$AC$1000)</f>
        <v/>
      </c>
      <c r="E10" s="131">
        <f>SUMIF('Final Calculation Sheet'!$G$4:$G$1000,$A10,'Final Calculation Sheet'!$AD$4:$AD$1000)</f>
        <v/>
      </c>
      <c r="F10" s="141">
        <f>IF(SUMIF('Final Calculation Sheet'!$G$4:$G$1000,$A10,'Final Calculation Sheet'!$AD$4:$AD$1000)&lt;=0,"SETTLED","OUTSTANDING")</f>
        <v/>
      </c>
      <c r="G10" s="134">
        <f>SUMIF('Final Calculation Sheet'!$G$4:$G$1000,$A10,'Final Calculation Sheet'!$A$4:$A$1000)</f>
        <v/>
      </c>
      <c r="H10" s="131">
        <f>IFERROR(SUMIF('Final Calculation Sheet'!$G$4:$G$1000,$A10,'Final Calculation Sheet'!$H$4:$H$1000)/SUMIF('Final Calculation Sheet'!$G$4:$G$1000,$A10,'Final Calculation Sheet'!$A$4:$A$1000),"")</f>
        <v/>
      </c>
      <c r="I10" s="496">
        <f>COUNTIFS('Final Calculation Sheet'!$G$4:$G$1000,$A10,'Final Calculation Sheet'!$AE$4:$AE$1000,"")</f>
        <v/>
      </c>
      <c r="J10" s="131">
        <f>SUMIF('Final Calculation Sheet'!$G$4:$G$1000,$A10,'Final Calculation Sheet'!$I$4:$I$1000)</f>
        <v/>
      </c>
      <c r="K10" s="131">
        <f>SUMIF('Final Calculation Sheet'!$G$4:$G$1000,$A10,'Final Calculation Sheet'!$J$4:$J$1000)</f>
        <v/>
      </c>
      <c r="L10" s="131">
        <f>SUMIF('Final Calculation Sheet'!$G$4:$G$1000,$A10,'Final Calculation Sheet'!$K$4:$K$1000)</f>
        <v/>
      </c>
      <c r="M10" s="138">
        <f>SUMIF('Final Calculation Sheet'!$G$4:$G$1000,$A10,'Final Calculation Sheet'!$L$4:$L$1000)</f>
        <v/>
      </c>
      <c r="N10" s="138">
        <f>SUMIF('Final Calculation Sheet'!$G$4:$G$1000,$A10,'Final Calculation Sheet'!$M$4:$M$1000)</f>
        <v/>
      </c>
      <c r="O10" s="138">
        <f>SUMIF('Final Calculation Sheet'!$G$4:$G$1000,$A10,'Final Calculation Sheet'!$N$4:$N$1000)</f>
        <v/>
      </c>
      <c r="P10" s="138">
        <f>SUMIF('Final Calculation Sheet'!$G$4:$G$1000,$A10,'Final Calculation Sheet'!$O$4:$O$1000)</f>
        <v/>
      </c>
      <c r="Q10" s="131">
        <f>SUMIF('Final Calculation Sheet'!$G$4:$G$1000,$A10,'Final Calculation Sheet'!$P$4:$P$1000)</f>
        <v/>
      </c>
      <c r="R10" s="131">
        <f>SUMIF('Final Calculation Sheet'!$G$4:$G$1000,$A10,'Final Calculation Sheet'!$R$4:$R$1000)</f>
        <v/>
      </c>
      <c r="S10" s="522">
        <f>IFERROR(SUMIF('Final Calculation Sheet'!$G$4:$G$1000,$A10,'Final Calculation Sheet'!$R$4:$R$1000)/SUMIF('Final Calculation Sheet'!$G$4:$G$1000,$A10,'Final Calculation Sheet'!$H$4:$H$1000),"")</f>
        <v/>
      </c>
      <c r="T10" s="131">
        <f>SUMIF('Final Calculation Sheet'!$G$4:$G$1000,$A10,'Final Calculation Sheet'!$S$4:$S$1000)</f>
        <v/>
      </c>
      <c r="U10" s="131">
        <f>SUMIF('Final Calculation Sheet'!$G$4:$G$1000,$A10,'Final Calculation Sheet'!$T$4:$T$1000)</f>
        <v/>
      </c>
      <c r="V10" s="131">
        <f>SUMIF('Final Calculation Sheet'!$G$4:$G$1000,$A10,'Final Calculation Sheet'!$U$4:$U$1000)</f>
        <v/>
      </c>
      <c r="W10" s="131">
        <f>SUMIF('Final Calculation Sheet'!$G$4:$G$1000,$A10,'Final Calculation Sheet'!$T$4:$T$1000)-SUMIF('Final Calculation Sheet'!$G$4:$G$1000,$A10,'Final Calculation Sheet'!$U$4:$U$1000)</f>
        <v/>
      </c>
      <c r="X10" s="131">
        <f>SUMIF('Final Calculation Sheet'!$G$4:$G$1000,$A10,'Final Calculation Sheet'!$W$4:$W$1000)</f>
        <v/>
      </c>
      <c r="Y10" s="131">
        <f>SUMIF('Final Calculation Sheet'!$G$4:$G$1000,$A10,'Final Calculation Sheet'!$X$4:$X$1000)</f>
        <v/>
      </c>
      <c r="Z10" s="131">
        <f>SUMIF('Final Calculation Sheet'!$G$4:$G$1000,$A10,'Final Calculation Sheet'!$W$4:$W$1000)-SUMIF('Final Calculation Sheet'!$G$4:$G$1000,$A10,'Final Calculation Sheet'!$X$4:$X$1000)</f>
        <v/>
      </c>
      <c r="AA10" s="131">
        <f>SUMIF('Final Calculation Sheet'!$G$4:$G$1000,$A10,'Final Calculation Sheet'!$Z$4:$Z$1000)</f>
        <v/>
      </c>
      <c r="AB10" s="131">
        <f>SUMIF('Final Calculation Sheet'!$G$4:$G$1000,$A10,'Final Calculation Sheet'!$AA$4:$AA$1000)</f>
        <v/>
      </c>
      <c r="AC10" s="496">
        <f>COUNTIF('Final Calculation Sheet'!$G$4:$G$1000,$A10)-COUNTIFS('Final Calculation Sheet'!$G$4:$G$1000,$A10,'Final Calculation Sheet'!$AE$4:$AE$1000,"")</f>
        <v/>
      </c>
      <c r="AD10" s="496">
        <f>COUNTIF('Final Calculation Sheet'!$G$4:$G$1000,$A10)-COUNTIFS('Final Calculation Sheet'!$G$4:$G$1000,$A10,'Final Calculation Sheet'!$AF$4:$AF$1000,"")</f>
        <v/>
      </c>
      <c r="AE10" s="532">
        <f>IFERROR(SUMIF('Final Calculation Sheet'!$G$4:$G$1000,$A10,'Final Calculation Sheet'!$AC$4:$AC$1000)/SUMIF('Final Calculation Sheet'!$G$4:$G$1000,$A10,'Final Calculation Sheet'!$S$4:$S$1000),"")</f>
        <v/>
      </c>
    </row>
    <row r="11" ht="16" customHeight="1">
      <c r="A11" s="613" t="inlineStr">
        <is>
          <t>NATIONAL SCRAP AND BUILDING MATERIAL SUPPLIER</t>
        </is>
      </c>
      <c r="B11" s="497">
        <f>COUNTIF('Final Calculation Sheet'!$G$4:$G$1000,$A11)</f>
        <v/>
      </c>
      <c r="C11" s="503">
        <f>SUMIF('Final Calculation Sheet'!$G$4:$G$1000,$A11,'Final Calculation Sheet'!$H$4:$H$1000)</f>
        <v/>
      </c>
      <c r="D11" s="503">
        <f>SUMIF('Final Calculation Sheet'!$G$4:$G$1000,$A11,'Final Calculation Sheet'!$AC$4:$AC$1000)</f>
        <v/>
      </c>
      <c r="E11" s="503">
        <f>SUMIF('Final Calculation Sheet'!$G$4:$G$1000,$A11,'Final Calculation Sheet'!$AD$4:$AD$1000)</f>
        <v/>
      </c>
      <c r="F11" s="507">
        <f>IF(SUMIF('Final Calculation Sheet'!$G$4:$G$1000,$A11,'Final Calculation Sheet'!$AD$4:$AD$1000)&lt;=0,"SETTLED","OUTSTANDING")</f>
        <v/>
      </c>
      <c r="G11" s="512">
        <f>SUMIF('Final Calculation Sheet'!$G$4:$G$1000,$A11,'Final Calculation Sheet'!$A$4:$A$1000)</f>
        <v/>
      </c>
      <c r="H11" s="503">
        <f>IFERROR(SUMIF('Final Calculation Sheet'!$G$4:$G$1000,$A11,'Final Calculation Sheet'!$H$4:$H$1000)/SUMIF('Final Calculation Sheet'!$G$4:$G$1000,$A11,'Final Calculation Sheet'!$A$4:$A$1000),"")</f>
        <v/>
      </c>
      <c r="I11" s="497">
        <f>COUNTIFS('Final Calculation Sheet'!$G$4:$G$1000,$A11,'Final Calculation Sheet'!$AE$4:$AE$1000,"")</f>
        <v/>
      </c>
      <c r="J11" s="503">
        <f>SUMIF('Final Calculation Sheet'!$G$4:$G$1000,$A11,'Final Calculation Sheet'!$I$4:$I$1000)</f>
        <v/>
      </c>
      <c r="K11" s="503">
        <f>SUMIF('Final Calculation Sheet'!$G$4:$G$1000,$A11,'Final Calculation Sheet'!$J$4:$J$1000)</f>
        <v/>
      </c>
      <c r="L11" s="503">
        <f>SUMIF('Final Calculation Sheet'!$G$4:$G$1000,$A11,'Final Calculation Sheet'!$K$4:$K$1000)</f>
        <v/>
      </c>
      <c r="M11" s="516">
        <f>SUMIF('Final Calculation Sheet'!$G$4:$G$1000,$A11,'Final Calculation Sheet'!$L$4:$L$1000)</f>
        <v/>
      </c>
      <c r="N11" s="516">
        <f>SUMIF('Final Calculation Sheet'!$G$4:$G$1000,$A11,'Final Calculation Sheet'!$M$4:$M$1000)</f>
        <v/>
      </c>
      <c r="O11" s="516">
        <f>SUMIF('Final Calculation Sheet'!$G$4:$G$1000,$A11,'Final Calculation Sheet'!$N$4:$N$1000)</f>
        <v/>
      </c>
      <c r="P11" s="516">
        <f>SUMIF('Final Calculation Sheet'!$G$4:$G$1000,$A11,'Final Calculation Sheet'!$O$4:$O$1000)</f>
        <v/>
      </c>
      <c r="Q11" s="503">
        <f>SUMIF('Final Calculation Sheet'!$G$4:$G$1000,$A11,'Final Calculation Sheet'!$P$4:$P$1000)</f>
        <v/>
      </c>
      <c r="R11" s="503">
        <f>SUMIF('Final Calculation Sheet'!$G$4:$G$1000,$A11,'Final Calculation Sheet'!$R$4:$R$1000)</f>
        <v/>
      </c>
      <c r="S11" s="523">
        <f>IFERROR(SUMIF('Final Calculation Sheet'!$G$4:$G$1000,$A11,'Final Calculation Sheet'!$R$4:$R$1000)/SUMIF('Final Calculation Sheet'!$G$4:$G$1000,$A11,'Final Calculation Sheet'!$H$4:$H$1000),"")</f>
        <v/>
      </c>
      <c r="T11" s="503">
        <f>SUMIF('Final Calculation Sheet'!$G$4:$G$1000,$A11,'Final Calculation Sheet'!$S$4:$S$1000)</f>
        <v/>
      </c>
      <c r="U11" s="503">
        <f>SUMIF('Final Calculation Sheet'!$G$4:$G$1000,$A11,'Final Calculation Sheet'!$T$4:$T$1000)</f>
        <v/>
      </c>
      <c r="V11" s="503">
        <f>SUMIF('Final Calculation Sheet'!$G$4:$G$1000,$A11,'Final Calculation Sheet'!$U$4:$U$1000)</f>
        <v/>
      </c>
      <c r="W11" s="503">
        <f>SUMIF('Final Calculation Sheet'!$G$4:$G$1000,$A11,'Final Calculation Sheet'!$T$4:$T$1000)-SUMIF('Final Calculation Sheet'!$G$4:$G$1000,$A11,'Final Calculation Sheet'!$U$4:$U$1000)</f>
        <v/>
      </c>
      <c r="X11" s="503">
        <f>SUMIF('Final Calculation Sheet'!$G$4:$G$1000,$A11,'Final Calculation Sheet'!$W$4:$W$1000)</f>
        <v/>
      </c>
      <c r="Y11" s="503">
        <f>SUMIF('Final Calculation Sheet'!$G$4:$G$1000,$A11,'Final Calculation Sheet'!$X$4:$X$1000)</f>
        <v/>
      </c>
      <c r="Z11" s="503">
        <f>SUMIF('Final Calculation Sheet'!$G$4:$G$1000,$A11,'Final Calculation Sheet'!$W$4:$W$1000)-SUMIF('Final Calculation Sheet'!$G$4:$G$1000,$A11,'Final Calculation Sheet'!$X$4:$X$1000)</f>
        <v/>
      </c>
      <c r="AA11" s="503">
        <f>SUMIF('Final Calculation Sheet'!$G$4:$G$1000,$A11,'Final Calculation Sheet'!$Z$4:$Z$1000)</f>
        <v/>
      </c>
      <c r="AB11" s="503">
        <f>SUMIF('Final Calculation Sheet'!$G$4:$G$1000,$A11,'Final Calculation Sheet'!$AA$4:$AA$1000)</f>
        <v/>
      </c>
      <c r="AC11" s="497">
        <f>COUNTIF('Final Calculation Sheet'!$G$4:$G$1000,$A11)-COUNTIFS('Final Calculation Sheet'!$G$4:$G$1000,$A11,'Final Calculation Sheet'!$AE$4:$AE$1000,"")</f>
        <v/>
      </c>
      <c r="AD11" s="497">
        <f>COUNTIF('Final Calculation Sheet'!$G$4:$G$1000,$A11)-COUNTIFS('Final Calculation Sheet'!$G$4:$G$1000,$A11,'Final Calculation Sheet'!$AF$4:$AF$1000,"")</f>
        <v/>
      </c>
      <c r="AE11" s="533">
        <f>IFERROR(SUMIF('Final Calculation Sheet'!$G$4:$G$1000,$A11,'Final Calculation Sheet'!$AC$4:$AC$1000)/SUMIF('Final Calculation Sheet'!$G$4:$G$1000,$A11,'Final Calculation Sheet'!$S$4:$S$1000),"")</f>
        <v/>
      </c>
    </row>
    <row r="12" ht="16" customHeight="1">
      <c r="A12" s="614" t="inlineStr">
        <is>
          <t>OMKAR STEELS</t>
        </is>
      </c>
      <c r="B12" s="498">
        <f>COUNTIF('Final Calculation Sheet'!$G$4:$G$1000,$A12)</f>
        <v/>
      </c>
      <c r="C12" s="156">
        <f>SUMIF('Final Calculation Sheet'!$G$4:$G$1000,$A12,'Final Calculation Sheet'!$H$4:$H$1000)</f>
        <v/>
      </c>
      <c r="D12" s="156">
        <f>SUMIF('Final Calculation Sheet'!$G$4:$G$1000,$A12,'Final Calculation Sheet'!$AC$4:$AC$1000)</f>
        <v/>
      </c>
      <c r="E12" s="156">
        <f>SUMIF('Final Calculation Sheet'!$G$4:$G$1000,$A12,'Final Calculation Sheet'!$AD$4:$AD$1000)</f>
        <v/>
      </c>
      <c r="F12" s="166">
        <f>IF(SUMIF('Final Calculation Sheet'!$G$4:$G$1000,$A12,'Final Calculation Sheet'!$AD$4:$AD$1000)&lt;=0,"SETTLED","OUTSTANDING")</f>
        <v/>
      </c>
      <c r="G12" s="159">
        <f>SUMIF('Final Calculation Sheet'!$G$4:$G$1000,$A12,'Final Calculation Sheet'!$A$4:$A$1000)</f>
        <v/>
      </c>
      <c r="H12" s="156">
        <f>IFERROR(SUMIF('Final Calculation Sheet'!$G$4:$G$1000,$A12,'Final Calculation Sheet'!$H$4:$H$1000)/SUMIF('Final Calculation Sheet'!$G$4:$G$1000,$A12,'Final Calculation Sheet'!$A$4:$A$1000),"")</f>
        <v/>
      </c>
      <c r="I12" s="498">
        <f>COUNTIFS('Final Calculation Sheet'!$G$4:$G$1000,$A12,'Final Calculation Sheet'!$AE$4:$AE$1000,"")</f>
        <v/>
      </c>
      <c r="J12" s="156">
        <f>SUMIF('Final Calculation Sheet'!$G$4:$G$1000,$A12,'Final Calculation Sheet'!$I$4:$I$1000)</f>
        <v/>
      </c>
      <c r="K12" s="156">
        <f>SUMIF('Final Calculation Sheet'!$G$4:$G$1000,$A12,'Final Calculation Sheet'!$J$4:$J$1000)</f>
        <v/>
      </c>
      <c r="L12" s="156">
        <f>SUMIF('Final Calculation Sheet'!$G$4:$G$1000,$A12,'Final Calculation Sheet'!$K$4:$K$1000)</f>
        <v/>
      </c>
      <c r="M12" s="163">
        <f>SUMIF('Final Calculation Sheet'!$G$4:$G$1000,$A12,'Final Calculation Sheet'!$L$4:$L$1000)</f>
        <v/>
      </c>
      <c r="N12" s="163">
        <f>SUMIF('Final Calculation Sheet'!$G$4:$G$1000,$A12,'Final Calculation Sheet'!$M$4:$M$1000)</f>
        <v/>
      </c>
      <c r="O12" s="163">
        <f>SUMIF('Final Calculation Sheet'!$G$4:$G$1000,$A12,'Final Calculation Sheet'!$N$4:$N$1000)</f>
        <v/>
      </c>
      <c r="P12" s="163">
        <f>SUMIF('Final Calculation Sheet'!$G$4:$G$1000,$A12,'Final Calculation Sheet'!$O$4:$O$1000)</f>
        <v/>
      </c>
      <c r="Q12" s="156">
        <f>SUMIF('Final Calculation Sheet'!$G$4:$G$1000,$A12,'Final Calculation Sheet'!$P$4:$P$1000)</f>
        <v/>
      </c>
      <c r="R12" s="156">
        <f>SUMIF('Final Calculation Sheet'!$G$4:$G$1000,$A12,'Final Calculation Sheet'!$R$4:$R$1000)</f>
        <v/>
      </c>
      <c r="S12" s="524">
        <f>IFERROR(SUMIF('Final Calculation Sheet'!$G$4:$G$1000,$A12,'Final Calculation Sheet'!$R$4:$R$1000)/SUMIF('Final Calculation Sheet'!$G$4:$G$1000,$A12,'Final Calculation Sheet'!$H$4:$H$1000),"")</f>
        <v/>
      </c>
      <c r="T12" s="156">
        <f>SUMIF('Final Calculation Sheet'!$G$4:$G$1000,$A12,'Final Calculation Sheet'!$S$4:$S$1000)</f>
        <v/>
      </c>
      <c r="U12" s="156">
        <f>SUMIF('Final Calculation Sheet'!$G$4:$G$1000,$A12,'Final Calculation Sheet'!$T$4:$T$1000)</f>
        <v/>
      </c>
      <c r="V12" s="156">
        <f>SUMIF('Final Calculation Sheet'!$G$4:$G$1000,$A12,'Final Calculation Sheet'!$U$4:$U$1000)</f>
        <v/>
      </c>
      <c r="W12" s="156">
        <f>SUMIF('Final Calculation Sheet'!$G$4:$G$1000,$A12,'Final Calculation Sheet'!$T$4:$T$1000)-SUMIF('Final Calculation Sheet'!$G$4:$G$1000,$A12,'Final Calculation Sheet'!$U$4:$U$1000)</f>
        <v/>
      </c>
      <c r="X12" s="156">
        <f>SUMIF('Final Calculation Sheet'!$G$4:$G$1000,$A12,'Final Calculation Sheet'!$W$4:$W$1000)</f>
        <v/>
      </c>
      <c r="Y12" s="156">
        <f>SUMIF('Final Calculation Sheet'!$G$4:$G$1000,$A12,'Final Calculation Sheet'!$X$4:$X$1000)</f>
        <v/>
      </c>
      <c r="Z12" s="156">
        <f>SUMIF('Final Calculation Sheet'!$G$4:$G$1000,$A12,'Final Calculation Sheet'!$W$4:$W$1000)-SUMIF('Final Calculation Sheet'!$G$4:$G$1000,$A12,'Final Calculation Sheet'!$X$4:$X$1000)</f>
        <v/>
      </c>
      <c r="AA12" s="156">
        <f>SUMIF('Final Calculation Sheet'!$G$4:$G$1000,$A12,'Final Calculation Sheet'!$Z$4:$Z$1000)</f>
        <v/>
      </c>
      <c r="AB12" s="156">
        <f>SUMIF('Final Calculation Sheet'!$G$4:$G$1000,$A12,'Final Calculation Sheet'!$AA$4:$AA$1000)</f>
        <v/>
      </c>
      <c r="AC12" s="498">
        <f>COUNTIF('Final Calculation Sheet'!$G$4:$G$1000,$A12)-COUNTIFS('Final Calculation Sheet'!$G$4:$G$1000,$A12,'Final Calculation Sheet'!$AE$4:$AE$1000,"")</f>
        <v/>
      </c>
      <c r="AD12" s="498">
        <f>COUNTIF('Final Calculation Sheet'!$G$4:$G$1000,$A12)-COUNTIFS('Final Calculation Sheet'!$G$4:$G$1000,$A12,'Final Calculation Sheet'!$AF$4:$AF$1000,"")</f>
        <v/>
      </c>
      <c r="AE12" s="534">
        <f>IFERROR(SUMIF('Final Calculation Sheet'!$G$4:$G$1000,$A12,'Final Calculation Sheet'!$AC$4:$AC$1000)/SUMIF('Final Calculation Sheet'!$G$4:$G$1000,$A12,'Final Calculation Sheet'!$S$4:$S$1000),"")</f>
        <v/>
      </c>
    </row>
    <row r="13" ht="16" customHeight="1">
      <c r="A13" s="607" t="inlineStr">
        <is>
          <t>S M ENTERPRISES</t>
        </is>
      </c>
      <c r="B13" s="491">
        <f>COUNTIF('Final Calculation Sheet'!$G$4:$G$1000,$A13)</f>
        <v/>
      </c>
      <c r="C13" s="500">
        <f>SUMIF('Final Calculation Sheet'!$G$4:$G$1000,$A13,'Final Calculation Sheet'!$H$4:$H$1000)</f>
        <v/>
      </c>
      <c r="D13" s="500">
        <f>SUMIF('Final Calculation Sheet'!$G$4:$G$1000,$A13,'Final Calculation Sheet'!$AC$4:$AC$1000)</f>
        <v/>
      </c>
      <c r="E13" s="500">
        <f>SUMIF('Final Calculation Sheet'!$G$4:$G$1000,$A13,'Final Calculation Sheet'!$AD$4:$AD$1000)</f>
        <v/>
      </c>
      <c r="F13" s="504">
        <f>IF(SUMIF('Final Calculation Sheet'!$G$4:$G$1000,$A13,'Final Calculation Sheet'!$AD$4:$AD$1000)&lt;=0,"SETTLED","OUTSTANDING")</f>
        <v/>
      </c>
      <c r="G13" s="509">
        <f>SUMIF('Final Calculation Sheet'!$G$4:$G$1000,$A13,'Final Calculation Sheet'!$A$4:$A$1000)</f>
        <v/>
      </c>
      <c r="H13" s="500">
        <f>IFERROR(SUMIF('Final Calculation Sheet'!$G$4:$G$1000,$A13,'Final Calculation Sheet'!$H$4:$H$1000)/SUMIF('Final Calculation Sheet'!$G$4:$G$1000,$A13,'Final Calculation Sheet'!$A$4:$A$1000),"")</f>
        <v/>
      </c>
      <c r="I13" s="491">
        <f>COUNTIFS('Final Calculation Sheet'!$G$4:$G$1000,$A13,'Final Calculation Sheet'!$AE$4:$AE$1000,"")</f>
        <v/>
      </c>
      <c r="J13" s="500">
        <f>SUMIF('Final Calculation Sheet'!$G$4:$G$1000,$A13,'Final Calculation Sheet'!$I$4:$I$1000)</f>
        <v/>
      </c>
      <c r="K13" s="500">
        <f>SUMIF('Final Calculation Sheet'!$G$4:$G$1000,$A13,'Final Calculation Sheet'!$J$4:$J$1000)</f>
        <v/>
      </c>
      <c r="L13" s="500">
        <f>SUMIF('Final Calculation Sheet'!$G$4:$G$1000,$A13,'Final Calculation Sheet'!$K$4:$K$1000)</f>
        <v/>
      </c>
      <c r="M13" s="513">
        <f>SUMIF('Final Calculation Sheet'!$G$4:$G$1000,$A13,'Final Calculation Sheet'!$L$4:$L$1000)</f>
        <v/>
      </c>
      <c r="N13" s="513">
        <f>SUMIF('Final Calculation Sheet'!$G$4:$G$1000,$A13,'Final Calculation Sheet'!$M$4:$M$1000)</f>
        <v/>
      </c>
      <c r="O13" s="513">
        <f>SUMIF('Final Calculation Sheet'!$G$4:$G$1000,$A13,'Final Calculation Sheet'!$N$4:$N$1000)</f>
        <v/>
      </c>
      <c r="P13" s="513">
        <f>SUMIF('Final Calculation Sheet'!$G$4:$G$1000,$A13,'Final Calculation Sheet'!$O$4:$O$1000)</f>
        <v/>
      </c>
      <c r="Q13" s="500">
        <f>SUMIF('Final Calculation Sheet'!$G$4:$G$1000,$A13,'Final Calculation Sheet'!$P$4:$P$1000)</f>
        <v/>
      </c>
      <c r="R13" s="500">
        <f>SUMIF('Final Calculation Sheet'!$G$4:$G$1000,$A13,'Final Calculation Sheet'!$R$4:$R$1000)</f>
        <v/>
      </c>
      <c r="S13" s="517">
        <f>IFERROR(SUMIF('Final Calculation Sheet'!$G$4:$G$1000,$A13,'Final Calculation Sheet'!$R$4:$R$1000)/SUMIF('Final Calculation Sheet'!$G$4:$G$1000,$A13,'Final Calculation Sheet'!$H$4:$H$1000),"")</f>
        <v/>
      </c>
      <c r="T13" s="500">
        <f>SUMIF('Final Calculation Sheet'!$G$4:$G$1000,$A13,'Final Calculation Sheet'!$S$4:$S$1000)</f>
        <v/>
      </c>
      <c r="U13" s="500">
        <f>SUMIF('Final Calculation Sheet'!$G$4:$G$1000,$A13,'Final Calculation Sheet'!$T$4:$T$1000)</f>
        <v/>
      </c>
      <c r="V13" s="500">
        <f>SUMIF('Final Calculation Sheet'!$G$4:$G$1000,$A13,'Final Calculation Sheet'!$U$4:$U$1000)</f>
        <v/>
      </c>
      <c r="W13" s="500">
        <f>SUMIF('Final Calculation Sheet'!$G$4:$G$1000,$A13,'Final Calculation Sheet'!$T$4:$T$1000)-SUMIF('Final Calculation Sheet'!$G$4:$G$1000,$A13,'Final Calculation Sheet'!$U$4:$U$1000)</f>
        <v/>
      </c>
      <c r="X13" s="500">
        <f>SUMIF('Final Calculation Sheet'!$G$4:$G$1000,$A13,'Final Calculation Sheet'!$W$4:$W$1000)</f>
        <v/>
      </c>
      <c r="Y13" s="500">
        <f>SUMIF('Final Calculation Sheet'!$G$4:$G$1000,$A13,'Final Calculation Sheet'!$X$4:$X$1000)</f>
        <v/>
      </c>
      <c r="Z13" s="500">
        <f>SUMIF('Final Calculation Sheet'!$G$4:$G$1000,$A13,'Final Calculation Sheet'!$W$4:$W$1000)-SUMIF('Final Calculation Sheet'!$G$4:$G$1000,$A13,'Final Calculation Sheet'!$X$4:$X$1000)</f>
        <v/>
      </c>
      <c r="AA13" s="500">
        <f>SUMIF('Final Calculation Sheet'!$G$4:$G$1000,$A13,'Final Calculation Sheet'!$Z$4:$Z$1000)</f>
        <v/>
      </c>
      <c r="AB13" s="500">
        <f>SUMIF('Final Calculation Sheet'!$G$4:$G$1000,$A13,'Final Calculation Sheet'!$AA$4:$AA$1000)</f>
        <v/>
      </c>
      <c r="AC13" s="491">
        <f>COUNTIF('Final Calculation Sheet'!$G$4:$G$1000,$A13)-COUNTIFS('Final Calculation Sheet'!$G$4:$G$1000,$A13,'Final Calculation Sheet'!$AE$4:$AE$1000,"")</f>
        <v/>
      </c>
      <c r="AD13" s="491">
        <f>COUNTIF('Final Calculation Sheet'!$G$4:$G$1000,$A13)-COUNTIFS('Final Calculation Sheet'!$G$4:$G$1000,$A13,'Final Calculation Sheet'!$AF$4:$AF$1000,"")</f>
        <v/>
      </c>
      <c r="AE13" s="527">
        <f>IFERROR(SUMIF('Final Calculation Sheet'!$G$4:$G$1000,$A13,'Final Calculation Sheet'!$AC$4:$AC$1000)/SUMIF('Final Calculation Sheet'!$G$4:$G$1000,$A13,'Final Calculation Sheet'!$S$4:$S$1000),"")</f>
        <v/>
      </c>
    </row>
    <row r="14" ht="16" customHeight="1">
      <c r="A14" s="608" t="inlineStr">
        <is>
          <t>SAHARA ENTERPRISES</t>
        </is>
      </c>
      <c r="B14" s="492">
        <f>COUNTIF('Final Calculation Sheet'!$G$4:$G$1000,$A14)</f>
        <v/>
      </c>
      <c r="C14" s="88">
        <f>SUMIF('Final Calculation Sheet'!$G$4:$G$1000,$A14,'Final Calculation Sheet'!$H$4:$H$1000)</f>
        <v/>
      </c>
      <c r="D14" s="88">
        <f>SUMIF('Final Calculation Sheet'!$G$4:$G$1000,$A14,'Final Calculation Sheet'!$AC$4:$AC$1000)</f>
        <v/>
      </c>
      <c r="E14" s="88">
        <f>SUMIF('Final Calculation Sheet'!$G$4:$G$1000,$A14,'Final Calculation Sheet'!$AD$4:$AD$1000)</f>
        <v/>
      </c>
      <c r="F14" s="98">
        <f>IF(SUMIF('Final Calculation Sheet'!$G$4:$G$1000,$A14,'Final Calculation Sheet'!$AD$4:$AD$1000)&lt;=0,"SETTLED","OUTSTANDING")</f>
        <v/>
      </c>
      <c r="G14" s="91">
        <f>SUMIF('Final Calculation Sheet'!$G$4:$G$1000,$A14,'Final Calculation Sheet'!$A$4:$A$1000)</f>
        <v/>
      </c>
      <c r="H14" s="88">
        <f>IFERROR(SUMIF('Final Calculation Sheet'!$G$4:$G$1000,$A14,'Final Calculation Sheet'!$H$4:$H$1000)/SUMIF('Final Calculation Sheet'!$G$4:$G$1000,$A14,'Final Calculation Sheet'!$A$4:$A$1000),"")</f>
        <v/>
      </c>
      <c r="I14" s="492">
        <f>COUNTIFS('Final Calculation Sheet'!$G$4:$G$1000,$A14,'Final Calculation Sheet'!$AE$4:$AE$1000,"")</f>
        <v/>
      </c>
      <c r="J14" s="88">
        <f>SUMIF('Final Calculation Sheet'!$G$4:$G$1000,$A14,'Final Calculation Sheet'!$I$4:$I$1000)</f>
        <v/>
      </c>
      <c r="K14" s="88">
        <f>SUMIF('Final Calculation Sheet'!$G$4:$G$1000,$A14,'Final Calculation Sheet'!$J$4:$J$1000)</f>
        <v/>
      </c>
      <c r="L14" s="88">
        <f>SUMIF('Final Calculation Sheet'!$G$4:$G$1000,$A14,'Final Calculation Sheet'!$K$4:$K$1000)</f>
        <v/>
      </c>
      <c r="M14" s="95">
        <f>SUMIF('Final Calculation Sheet'!$G$4:$G$1000,$A14,'Final Calculation Sheet'!$L$4:$L$1000)</f>
        <v/>
      </c>
      <c r="N14" s="95">
        <f>SUMIF('Final Calculation Sheet'!$G$4:$G$1000,$A14,'Final Calculation Sheet'!$M$4:$M$1000)</f>
        <v/>
      </c>
      <c r="O14" s="95">
        <f>SUMIF('Final Calculation Sheet'!$G$4:$G$1000,$A14,'Final Calculation Sheet'!$N$4:$N$1000)</f>
        <v/>
      </c>
      <c r="P14" s="95">
        <f>SUMIF('Final Calculation Sheet'!$G$4:$G$1000,$A14,'Final Calculation Sheet'!$O$4:$O$1000)</f>
        <v/>
      </c>
      <c r="Q14" s="88">
        <f>SUMIF('Final Calculation Sheet'!$G$4:$G$1000,$A14,'Final Calculation Sheet'!$P$4:$P$1000)</f>
        <v/>
      </c>
      <c r="R14" s="88">
        <f>SUMIF('Final Calculation Sheet'!$G$4:$G$1000,$A14,'Final Calculation Sheet'!$R$4:$R$1000)</f>
        <v/>
      </c>
      <c r="S14" s="518">
        <f>IFERROR(SUMIF('Final Calculation Sheet'!$G$4:$G$1000,$A14,'Final Calculation Sheet'!$R$4:$R$1000)/SUMIF('Final Calculation Sheet'!$G$4:$G$1000,$A14,'Final Calculation Sheet'!$H$4:$H$1000),"")</f>
        <v/>
      </c>
      <c r="T14" s="88">
        <f>SUMIF('Final Calculation Sheet'!$G$4:$G$1000,$A14,'Final Calculation Sheet'!$S$4:$S$1000)</f>
        <v/>
      </c>
      <c r="U14" s="88">
        <f>SUMIF('Final Calculation Sheet'!$G$4:$G$1000,$A14,'Final Calculation Sheet'!$T$4:$T$1000)</f>
        <v/>
      </c>
      <c r="V14" s="88">
        <f>SUMIF('Final Calculation Sheet'!$G$4:$G$1000,$A14,'Final Calculation Sheet'!$U$4:$U$1000)</f>
        <v/>
      </c>
      <c r="W14" s="88">
        <f>SUMIF('Final Calculation Sheet'!$G$4:$G$1000,$A14,'Final Calculation Sheet'!$T$4:$T$1000)-SUMIF('Final Calculation Sheet'!$G$4:$G$1000,$A14,'Final Calculation Sheet'!$U$4:$U$1000)</f>
        <v/>
      </c>
      <c r="X14" s="88">
        <f>SUMIF('Final Calculation Sheet'!$G$4:$G$1000,$A14,'Final Calculation Sheet'!$W$4:$W$1000)</f>
        <v/>
      </c>
      <c r="Y14" s="88">
        <f>SUMIF('Final Calculation Sheet'!$G$4:$G$1000,$A14,'Final Calculation Sheet'!$X$4:$X$1000)</f>
        <v/>
      </c>
      <c r="Z14" s="88">
        <f>SUMIF('Final Calculation Sheet'!$G$4:$G$1000,$A14,'Final Calculation Sheet'!$W$4:$W$1000)-SUMIF('Final Calculation Sheet'!$G$4:$G$1000,$A14,'Final Calculation Sheet'!$X$4:$X$1000)</f>
        <v/>
      </c>
      <c r="AA14" s="88">
        <f>SUMIF('Final Calculation Sheet'!$G$4:$G$1000,$A14,'Final Calculation Sheet'!$Z$4:$Z$1000)</f>
        <v/>
      </c>
      <c r="AB14" s="88">
        <f>SUMIF('Final Calculation Sheet'!$G$4:$G$1000,$A14,'Final Calculation Sheet'!$AA$4:$AA$1000)</f>
        <v/>
      </c>
      <c r="AC14" s="492">
        <f>COUNTIF('Final Calculation Sheet'!$G$4:$G$1000,$A14)-COUNTIFS('Final Calculation Sheet'!$G$4:$G$1000,$A14,'Final Calculation Sheet'!$AE$4:$AE$1000,"")</f>
        <v/>
      </c>
      <c r="AD14" s="492">
        <f>COUNTIF('Final Calculation Sheet'!$G$4:$G$1000,$A14)-COUNTIFS('Final Calculation Sheet'!$G$4:$G$1000,$A14,'Final Calculation Sheet'!$AF$4:$AF$1000,"")</f>
        <v/>
      </c>
      <c r="AE14" s="528">
        <f>IFERROR(SUMIF('Final Calculation Sheet'!$G$4:$G$1000,$A14,'Final Calculation Sheet'!$AC$4:$AC$1000)/SUMIF('Final Calculation Sheet'!$G$4:$G$1000,$A14,'Final Calculation Sheet'!$S$4:$S$1000),"")</f>
        <v/>
      </c>
    </row>
    <row r="15" ht="16" customHeight="1">
      <c r="A15" s="609" t="inlineStr">
        <is>
          <t>SHAR JAHAN TRADERS</t>
        </is>
      </c>
      <c r="B15" s="493">
        <f>COUNTIF('Final Calculation Sheet'!$G$4:$G$1000,$A15)</f>
        <v/>
      </c>
      <c r="C15" s="501">
        <f>SUMIF('Final Calculation Sheet'!$G$4:$G$1000,$A15,'Final Calculation Sheet'!$H$4:$H$1000)</f>
        <v/>
      </c>
      <c r="D15" s="501">
        <f>SUMIF('Final Calculation Sheet'!$G$4:$G$1000,$A15,'Final Calculation Sheet'!$AC$4:$AC$1000)</f>
        <v/>
      </c>
      <c r="E15" s="501">
        <f>SUMIF('Final Calculation Sheet'!$G$4:$G$1000,$A15,'Final Calculation Sheet'!$AD$4:$AD$1000)</f>
        <v/>
      </c>
      <c r="F15" s="505">
        <f>IF(SUMIF('Final Calculation Sheet'!$G$4:$G$1000,$A15,'Final Calculation Sheet'!$AD$4:$AD$1000)&lt;=0,"SETTLED","OUTSTANDING")</f>
        <v/>
      </c>
      <c r="G15" s="510">
        <f>SUMIF('Final Calculation Sheet'!$G$4:$G$1000,$A15,'Final Calculation Sheet'!$A$4:$A$1000)</f>
        <v/>
      </c>
      <c r="H15" s="501">
        <f>IFERROR(SUMIF('Final Calculation Sheet'!$G$4:$G$1000,$A15,'Final Calculation Sheet'!$H$4:$H$1000)/SUMIF('Final Calculation Sheet'!$G$4:$G$1000,$A15,'Final Calculation Sheet'!$A$4:$A$1000),"")</f>
        <v/>
      </c>
      <c r="I15" s="493">
        <f>COUNTIFS('Final Calculation Sheet'!$G$4:$G$1000,$A15,'Final Calculation Sheet'!$AE$4:$AE$1000,"")</f>
        <v/>
      </c>
      <c r="J15" s="501">
        <f>SUMIF('Final Calculation Sheet'!$G$4:$G$1000,$A15,'Final Calculation Sheet'!$I$4:$I$1000)</f>
        <v/>
      </c>
      <c r="K15" s="501">
        <f>SUMIF('Final Calculation Sheet'!$G$4:$G$1000,$A15,'Final Calculation Sheet'!$J$4:$J$1000)</f>
        <v/>
      </c>
      <c r="L15" s="501">
        <f>SUMIF('Final Calculation Sheet'!$G$4:$G$1000,$A15,'Final Calculation Sheet'!$K$4:$K$1000)</f>
        <v/>
      </c>
      <c r="M15" s="514">
        <f>SUMIF('Final Calculation Sheet'!$G$4:$G$1000,$A15,'Final Calculation Sheet'!$L$4:$L$1000)</f>
        <v/>
      </c>
      <c r="N15" s="514">
        <f>SUMIF('Final Calculation Sheet'!$G$4:$G$1000,$A15,'Final Calculation Sheet'!$M$4:$M$1000)</f>
        <v/>
      </c>
      <c r="O15" s="514">
        <f>SUMIF('Final Calculation Sheet'!$G$4:$G$1000,$A15,'Final Calculation Sheet'!$N$4:$N$1000)</f>
        <v/>
      </c>
      <c r="P15" s="514">
        <f>SUMIF('Final Calculation Sheet'!$G$4:$G$1000,$A15,'Final Calculation Sheet'!$O$4:$O$1000)</f>
        <v/>
      </c>
      <c r="Q15" s="501">
        <f>SUMIF('Final Calculation Sheet'!$G$4:$G$1000,$A15,'Final Calculation Sheet'!$P$4:$P$1000)</f>
        <v/>
      </c>
      <c r="R15" s="501">
        <f>SUMIF('Final Calculation Sheet'!$G$4:$G$1000,$A15,'Final Calculation Sheet'!$R$4:$R$1000)</f>
        <v/>
      </c>
      <c r="S15" s="519">
        <f>IFERROR(SUMIF('Final Calculation Sheet'!$G$4:$G$1000,$A15,'Final Calculation Sheet'!$R$4:$R$1000)/SUMIF('Final Calculation Sheet'!$G$4:$G$1000,$A15,'Final Calculation Sheet'!$H$4:$H$1000),"")</f>
        <v/>
      </c>
      <c r="T15" s="501">
        <f>SUMIF('Final Calculation Sheet'!$G$4:$G$1000,$A15,'Final Calculation Sheet'!$S$4:$S$1000)</f>
        <v/>
      </c>
      <c r="U15" s="501">
        <f>SUMIF('Final Calculation Sheet'!$G$4:$G$1000,$A15,'Final Calculation Sheet'!$T$4:$T$1000)</f>
        <v/>
      </c>
      <c r="V15" s="501">
        <f>SUMIF('Final Calculation Sheet'!$G$4:$G$1000,$A15,'Final Calculation Sheet'!$U$4:$U$1000)</f>
        <v/>
      </c>
      <c r="W15" s="501">
        <f>SUMIF('Final Calculation Sheet'!$G$4:$G$1000,$A15,'Final Calculation Sheet'!$T$4:$T$1000)-SUMIF('Final Calculation Sheet'!$G$4:$G$1000,$A15,'Final Calculation Sheet'!$U$4:$U$1000)</f>
        <v/>
      </c>
      <c r="X15" s="501">
        <f>SUMIF('Final Calculation Sheet'!$G$4:$G$1000,$A15,'Final Calculation Sheet'!$W$4:$W$1000)</f>
        <v/>
      </c>
      <c r="Y15" s="501">
        <f>SUMIF('Final Calculation Sheet'!$G$4:$G$1000,$A15,'Final Calculation Sheet'!$X$4:$X$1000)</f>
        <v/>
      </c>
      <c r="Z15" s="501">
        <f>SUMIF('Final Calculation Sheet'!$G$4:$G$1000,$A15,'Final Calculation Sheet'!$W$4:$W$1000)-SUMIF('Final Calculation Sheet'!$G$4:$G$1000,$A15,'Final Calculation Sheet'!$X$4:$X$1000)</f>
        <v/>
      </c>
      <c r="AA15" s="501">
        <f>SUMIF('Final Calculation Sheet'!$G$4:$G$1000,$A15,'Final Calculation Sheet'!$Z$4:$Z$1000)</f>
        <v/>
      </c>
      <c r="AB15" s="501">
        <f>SUMIF('Final Calculation Sheet'!$G$4:$G$1000,$A15,'Final Calculation Sheet'!$AA$4:$AA$1000)</f>
        <v/>
      </c>
      <c r="AC15" s="493">
        <f>COUNTIF('Final Calculation Sheet'!$G$4:$G$1000,$A15)-COUNTIFS('Final Calculation Sheet'!$G$4:$G$1000,$A15,'Final Calculation Sheet'!$AE$4:$AE$1000,"")</f>
        <v/>
      </c>
      <c r="AD15" s="493">
        <f>COUNTIF('Final Calculation Sheet'!$G$4:$G$1000,$A15)-COUNTIFS('Final Calculation Sheet'!$G$4:$G$1000,$A15,'Final Calculation Sheet'!$AF$4:$AF$1000,"")</f>
        <v/>
      </c>
      <c r="AE15" s="529">
        <f>IFERROR(SUMIF('Final Calculation Sheet'!$G$4:$G$1000,$A15,'Final Calculation Sheet'!$AC$4:$AC$1000)/SUMIF('Final Calculation Sheet'!$G$4:$G$1000,$A15,'Final Calculation Sheet'!$S$4:$S$1000),"")</f>
        <v/>
      </c>
    </row>
    <row r="16" ht="16" customHeight="1">
      <c r="A16" s="610" t="inlineStr">
        <is>
          <t>STERLING ENTERPRISES</t>
        </is>
      </c>
      <c r="B16" s="494">
        <f>COUNTIF('Final Calculation Sheet'!$G$4:$G$1000,$A16)</f>
        <v/>
      </c>
      <c r="C16" s="181">
        <f>SUMIF('Final Calculation Sheet'!$G$4:$G$1000,$A16,'Final Calculation Sheet'!$H$4:$H$1000)</f>
        <v/>
      </c>
      <c r="D16" s="181">
        <f>SUMIF('Final Calculation Sheet'!$G$4:$G$1000,$A16,'Final Calculation Sheet'!$AC$4:$AC$1000)</f>
        <v/>
      </c>
      <c r="E16" s="181">
        <f>SUMIF('Final Calculation Sheet'!$G$4:$G$1000,$A16,'Final Calculation Sheet'!$AD$4:$AD$1000)</f>
        <v/>
      </c>
      <c r="F16" s="187">
        <f>IF(SUMIF('Final Calculation Sheet'!$G$4:$G$1000,$A16,'Final Calculation Sheet'!$AD$4:$AD$1000)&lt;=0,"SETTLED","OUTSTANDING")</f>
        <v/>
      </c>
      <c r="G16" s="183">
        <f>SUMIF('Final Calculation Sheet'!$G$4:$G$1000,$A16,'Final Calculation Sheet'!$A$4:$A$1000)</f>
        <v/>
      </c>
      <c r="H16" s="181">
        <f>IFERROR(SUMIF('Final Calculation Sheet'!$G$4:$G$1000,$A16,'Final Calculation Sheet'!$H$4:$H$1000)/SUMIF('Final Calculation Sheet'!$G$4:$G$1000,$A16,'Final Calculation Sheet'!$A$4:$A$1000),"")</f>
        <v/>
      </c>
      <c r="I16" s="494">
        <f>COUNTIFS('Final Calculation Sheet'!$G$4:$G$1000,$A16,'Final Calculation Sheet'!$AE$4:$AE$1000,"")</f>
        <v/>
      </c>
      <c r="J16" s="181">
        <f>SUMIF('Final Calculation Sheet'!$G$4:$G$1000,$A16,'Final Calculation Sheet'!$I$4:$I$1000)</f>
        <v/>
      </c>
      <c r="K16" s="181">
        <f>SUMIF('Final Calculation Sheet'!$G$4:$G$1000,$A16,'Final Calculation Sheet'!$J$4:$J$1000)</f>
        <v/>
      </c>
      <c r="L16" s="181">
        <f>SUMIF('Final Calculation Sheet'!$G$4:$G$1000,$A16,'Final Calculation Sheet'!$K$4:$K$1000)</f>
        <v/>
      </c>
      <c r="M16" s="185">
        <f>SUMIF('Final Calculation Sheet'!$G$4:$G$1000,$A16,'Final Calculation Sheet'!$L$4:$L$1000)</f>
        <v/>
      </c>
      <c r="N16" s="185">
        <f>SUMIF('Final Calculation Sheet'!$G$4:$G$1000,$A16,'Final Calculation Sheet'!$M$4:$M$1000)</f>
        <v/>
      </c>
      <c r="O16" s="185">
        <f>SUMIF('Final Calculation Sheet'!$G$4:$G$1000,$A16,'Final Calculation Sheet'!$N$4:$N$1000)</f>
        <v/>
      </c>
      <c r="P16" s="185">
        <f>SUMIF('Final Calculation Sheet'!$G$4:$G$1000,$A16,'Final Calculation Sheet'!$O$4:$O$1000)</f>
        <v/>
      </c>
      <c r="Q16" s="181">
        <f>SUMIF('Final Calculation Sheet'!$G$4:$G$1000,$A16,'Final Calculation Sheet'!$P$4:$P$1000)</f>
        <v/>
      </c>
      <c r="R16" s="181">
        <f>SUMIF('Final Calculation Sheet'!$G$4:$G$1000,$A16,'Final Calculation Sheet'!$R$4:$R$1000)</f>
        <v/>
      </c>
      <c r="S16" s="520">
        <f>IFERROR(SUMIF('Final Calculation Sheet'!$G$4:$G$1000,$A16,'Final Calculation Sheet'!$R$4:$R$1000)/SUMIF('Final Calculation Sheet'!$G$4:$G$1000,$A16,'Final Calculation Sheet'!$H$4:$H$1000),"")</f>
        <v/>
      </c>
      <c r="T16" s="181">
        <f>SUMIF('Final Calculation Sheet'!$G$4:$G$1000,$A16,'Final Calculation Sheet'!$S$4:$S$1000)</f>
        <v/>
      </c>
      <c r="U16" s="181">
        <f>SUMIF('Final Calculation Sheet'!$G$4:$G$1000,$A16,'Final Calculation Sheet'!$T$4:$T$1000)</f>
        <v/>
      </c>
      <c r="V16" s="181">
        <f>SUMIF('Final Calculation Sheet'!$G$4:$G$1000,$A16,'Final Calculation Sheet'!$U$4:$U$1000)</f>
        <v/>
      </c>
      <c r="W16" s="181">
        <f>SUMIF('Final Calculation Sheet'!$G$4:$G$1000,$A16,'Final Calculation Sheet'!$T$4:$T$1000)-SUMIF('Final Calculation Sheet'!$G$4:$G$1000,$A16,'Final Calculation Sheet'!$U$4:$U$1000)</f>
        <v/>
      </c>
      <c r="X16" s="181">
        <f>SUMIF('Final Calculation Sheet'!$G$4:$G$1000,$A16,'Final Calculation Sheet'!$W$4:$W$1000)</f>
        <v/>
      </c>
      <c r="Y16" s="181">
        <f>SUMIF('Final Calculation Sheet'!$G$4:$G$1000,$A16,'Final Calculation Sheet'!$X$4:$X$1000)</f>
        <v/>
      </c>
      <c r="Z16" s="181">
        <f>SUMIF('Final Calculation Sheet'!$G$4:$G$1000,$A16,'Final Calculation Sheet'!$W$4:$W$1000)-SUMIF('Final Calculation Sheet'!$G$4:$G$1000,$A16,'Final Calculation Sheet'!$X$4:$X$1000)</f>
        <v/>
      </c>
      <c r="AA16" s="181">
        <f>SUMIF('Final Calculation Sheet'!$G$4:$G$1000,$A16,'Final Calculation Sheet'!$Z$4:$Z$1000)</f>
        <v/>
      </c>
      <c r="AB16" s="181">
        <f>SUMIF('Final Calculation Sheet'!$G$4:$G$1000,$A16,'Final Calculation Sheet'!$AA$4:$AA$1000)</f>
        <v/>
      </c>
      <c r="AC16" s="494">
        <f>COUNTIF('Final Calculation Sheet'!$G$4:$G$1000,$A16)-COUNTIFS('Final Calculation Sheet'!$G$4:$G$1000,$A16,'Final Calculation Sheet'!$AE$4:$AE$1000,"")</f>
        <v/>
      </c>
      <c r="AD16" s="494">
        <f>COUNTIF('Final Calculation Sheet'!$G$4:$G$1000,$A16)-COUNTIFS('Final Calculation Sheet'!$G$4:$G$1000,$A16,'Final Calculation Sheet'!$AF$4:$AF$1000,"")</f>
        <v/>
      </c>
      <c r="AE16" s="530">
        <f>IFERROR(SUMIF('Final Calculation Sheet'!$G$4:$G$1000,$A16,'Final Calculation Sheet'!$AC$4:$AC$1000)/SUMIF('Final Calculation Sheet'!$G$4:$G$1000,$A16,'Final Calculation Sheet'!$S$4:$S$1000),"")</f>
        <v/>
      </c>
    </row>
    <row r="17" ht="16" customHeight="1">
      <c r="A17" s="611" t="inlineStr">
        <is>
          <t>WATAN SCRAP TRADERS</t>
        </is>
      </c>
      <c r="B17" s="495">
        <f>COUNTIF('Final Calculation Sheet'!$G$4:$G$1000,$A17)</f>
        <v/>
      </c>
      <c r="C17" s="502">
        <f>SUMIF('Final Calculation Sheet'!$G$4:$G$1000,$A17,'Final Calculation Sheet'!$H$4:$H$1000)</f>
        <v/>
      </c>
      <c r="D17" s="502">
        <f>SUMIF('Final Calculation Sheet'!$G$4:$G$1000,$A17,'Final Calculation Sheet'!$AC$4:$AC$1000)</f>
        <v/>
      </c>
      <c r="E17" s="502">
        <f>SUMIF('Final Calculation Sheet'!$G$4:$G$1000,$A17,'Final Calculation Sheet'!$AD$4:$AD$1000)</f>
        <v/>
      </c>
      <c r="F17" s="506">
        <f>IF(SUMIF('Final Calculation Sheet'!$G$4:$G$1000,$A17,'Final Calculation Sheet'!$AD$4:$AD$1000)&lt;=0,"SETTLED","OUTSTANDING")</f>
        <v/>
      </c>
      <c r="G17" s="511">
        <f>SUMIF('Final Calculation Sheet'!$G$4:$G$1000,$A17,'Final Calculation Sheet'!$A$4:$A$1000)</f>
        <v/>
      </c>
      <c r="H17" s="502">
        <f>IFERROR(SUMIF('Final Calculation Sheet'!$G$4:$G$1000,$A17,'Final Calculation Sheet'!$H$4:$H$1000)/SUMIF('Final Calculation Sheet'!$G$4:$G$1000,$A17,'Final Calculation Sheet'!$A$4:$A$1000),"")</f>
        <v/>
      </c>
      <c r="I17" s="495">
        <f>COUNTIFS('Final Calculation Sheet'!$G$4:$G$1000,$A17,'Final Calculation Sheet'!$AE$4:$AE$1000,"")</f>
        <v/>
      </c>
      <c r="J17" s="502">
        <f>SUMIF('Final Calculation Sheet'!$G$4:$G$1000,$A17,'Final Calculation Sheet'!$I$4:$I$1000)</f>
        <v/>
      </c>
      <c r="K17" s="502">
        <f>SUMIF('Final Calculation Sheet'!$G$4:$G$1000,$A17,'Final Calculation Sheet'!$J$4:$J$1000)</f>
        <v/>
      </c>
      <c r="L17" s="502">
        <f>SUMIF('Final Calculation Sheet'!$G$4:$G$1000,$A17,'Final Calculation Sheet'!$K$4:$K$1000)</f>
        <v/>
      </c>
      <c r="M17" s="515">
        <f>SUMIF('Final Calculation Sheet'!$G$4:$G$1000,$A17,'Final Calculation Sheet'!$L$4:$L$1000)</f>
        <v/>
      </c>
      <c r="N17" s="515">
        <f>SUMIF('Final Calculation Sheet'!$G$4:$G$1000,$A17,'Final Calculation Sheet'!$M$4:$M$1000)</f>
        <v/>
      </c>
      <c r="O17" s="515">
        <f>SUMIF('Final Calculation Sheet'!$G$4:$G$1000,$A17,'Final Calculation Sheet'!$N$4:$N$1000)</f>
        <v/>
      </c>
      <c r="P17" s="515">
        <f>SUMIF('Final Calculation Sheet'!$G$4:$G$1000,$A17,'Final Calculation Sheet'!$O$4:$O$1000)</f>
        <v/>
      </c>
      <c r="Q17" s="502">
        <f>SUMIF('Final Calculation Sheet'!$G$4:$G$1000,$A17,'Final Calculation Sheet'!$P$4:$P$1000)</f>
        <v/>
      </c>
      <c r="R17" s="502">
        <f>SUMIF('Final Calculation Sheet'!$G$4:$G$1000,$A17,'Final Calculation Sheet'!$R$4:$R$1000)</f>
        <v/>
      </c>
      <c r="S17" s="521">
        <f>IFERROR(SUMIF('Final Calculation Sheet'!$G$4:$G$1000,$A17,'Final Calculation Sheet'!$R$4:$R$1000)/SUMIF('Final Calculation Sheet'!$G$4:$G$1000,$A17,'Final Calculation Sheet'!$H$4:$H$1000),"")</f>
        <v/>
      </c>
      <c r="T17" s="502">
        <f>SUMIF('Final Calculation Sheet'!$G$4:$G$1000,$A17,'Final Calculation Sheet'!$S$4:$S$1000)</f>
        <v/>
      </c>
      <c r="U17" s="502">
        <f>SUMIF('Final Calculation Sheet'!$G$4:$G$1000,$A17,'Final Calculation Sheet'!$T$4:$T$1000)</f>
        <v/>
      </c>
      <c r="V17" s="502">
        <f>SUMIF('Final Calculation Sheet'!$G$4:$G$1000,$A17,'Final Calculation Sheet'!$U$4:$U$1000)</f>
        <v/>
      </c>
      <c r="W17" s="502">
        <f>SUMIF('Final Calculation Sheet'!$G$4:$G$1000,$A17,'Final Calculation Sheet'!$T$4:$T$1000)-SUMIF('Final Calculation Sheet'!$G$4:$G$1000,$A17,'Final Calculation Sheet'!$U$4:$U$1000)</f>
        <v/>
      </c>
      <c r="X17" s="502">
        <f>SUMIF('Final Calculation Sheet'!$G$4:$G$1000,$A17,'Final Calculation Sheet'!$W$4:$W$1000)</f>
        <v/>
      </c>
      <c r="Y17" s="502">
        <f>SUMIF('Final Calculation Sheet'!$G$4:$G$1000,$A17,'Final Calculation Sheet'!$X$4:$X$1000)</f>
        <v/>
      </c>
      <c r="Z17" s="502">
        <f>SUMIF('Final Calculation Sheet'!$G$4:$G$1000,$A17,'Final Calculation Sheet'!$W$4:$W$1000)-SUMIF('Final Calculation Sheet'!$G$4:$G$1000,$A17,'Final Calculation Sheet'!$X$4:$X$1000)</f>
        <v/>
      </c>
      <c r="AA17" s="502">
        <f>SUMIF('Final Calculation Sheet'!$G$4:$G$1000,$A17,'Final Calculation Sheet'!$Z$4:$Z$1000)</f>
        <v/>
      </c>
      <c r="AB17" s="502">
        <f>SUMIF('Final Calculation Sheet'!$G$4:$G$1000,$A17,'Final Calculation Sheet'!$AA$4:$AA$1000)</f>
        <v/>
      </c>
      <c r="AC17" s="495">
        <f>COUNTIF('Final Calculation Sheet'!$G$4:$G$1000,$A17)-COUNTIFS('Final Calculation Sheet'!$G$4:$G$1000,$A17,'Final Calculation Sheet'!$AE$4:$AE$1000,"")</f>
        <v/>
      </c>
      <c r="AD17" s="495">
        <f>COUNTIF('Final Calculation Sheet'!$G$4:$G$1000,$A17)-COUNTIFS('Final Calculation Sheet'!$G$4:$G$1000,$A17,'Final Calculation Sheet'!$AF$4:$AF$1000,"")</f>
        <v/>
      </c>
      <c r="AE17" s="531">
        <f>IFERROR(SUMIF('Final Calculation Sheet'!$G$4:$G$1000,$A17,'Final Calculation Sheet'!$AC$4:$AC$1000)/SUMIF('Final Calculation Sheet'!$G$4:$G$1000,$A17,'Final Calculation Sheet'!$S$4:$S$1000),"")</f>
        <v/>
      </c>
    </row>
    <row r="18" ht="18" customHeight="1">
      <c r="A18" s="615" t="inlineStr">
        <is>
          <t>∑  TOTAL — visible buyers</t>
        </is>
      </c>
      <c r="B18" s="616">
        <f>SUBTOTAL(109,B5:B17)</f>
        <v/>
      </c>
      <c r="C18" s="227">
        <f>SUBTOTAL(109,C5:C17)</f>
        <v/>
      </c>
      <c r="D18" s="227">
        <f>SUBTOTAL(109,D5:D17)</f>
        <v/>
      </c>
      <c r="E18" s="227">
        <f>SUBTOTAL(109,E5:E17)</f>
        <v/>
      </c>
      <c r="F18" s="617">
        <f>IF(E18&lt;=0,"SETTLED","OUTSTANDING")</f>
        <v/>
      </c>
      <c r="G18" s="618">
        <f>SUBTOTAL(109,G5:G17)</f>
        <v/>
      </c>
      <c r="H18" s="227">
        <f>IFERROR(C18/G18,"")</f>
        <v/>
      </c>
      <c r="I18" s="616">
        <f>SUBTOTAL(109,I5:I17)</f>
        <v/>
      </c>
      <c r="J18" s="227">
        <f>SUBTOTAL(109,J5:J17)</f>
        <v/>
      </c>
      <c r="K18" s="227">
        <f>SUBTOTAL(109,K5:K17)</f>
        <v/>
      </c>
      <c r="L18" s="227">
        <f>SUBTOTAL(109,L5:L17)</f>
        <v/>
      </c>
      <c r="M18" s="619">
        <f>SUBTOTAL(109,M5:M17)</f>
        <v/>
      </c>
      <c r="N18" s="619">
        <f>SUBTOTAL(109,N5:N17)</f>
        <v/>
      </c>
      <c r="O18" s="619">
        <f>SUBTOTAL(109,O5:O17)</f>
        <v/>
      </c>
      <c r="P18" s="619">
        <f>SUBTOTAL(109,P5:P17)</f>
        <v/>
      </c>
      <c r="Q18" s="227">
        <f>SUBTOTAL(109,Q5:Q17)</f>
        <v/>
      </c>
      <c r="R18" s="227">
        <f>SUBTOTAL(109,R5:R17)</f>
        <v/>
      </c>
      <c r="S18" s="620">
        <f>IFERROR(R18/C18,"")</f>
        <v/>
      </c>
      <c r="T18" s="227">
        <f>SUBTOTAL(109,T5:T17)</f>
        <v/>
      </c>
      <c r="U18" s="227">
        <f>SUBTOTAL(109,U5:U17)</f>
        <v/>
      </c>
      <c r="V18" s="227">
        <f>SUBTOTAL(109,V5:V17)</f>
        <v/>
      </c>
      <c r="W18" s="227">
        <f>U18-V18</f>
        <v/>
      </c>
      <c r="X18" s="227">
        <f>SUBTOTAL(109,X5:X17)</f>
        <v/>
      </c>
      <c r="Y18" s="227">
        <f>SUBTOTAL(109,Y5:Y17)</f>
        <v/>
      </c>
      <c r="Z18" s="227">
        <f>X18-Y18</f>
        <v/>
      </c>
      <c r="AA18" s="227">
        <f>SUBTOTAL(109,AA5:AA17)</f>
        <v/>
      </c>
      <c r="AB18" s="227">
        <f>SUBTOTAL(109,AB5:AB17)</f>
        <v/>
      </c>
      <c r="AC18" s="616">
        <f>SUBTOTAL(109,AC5:AC17)</f>
        <v/>
      </c>
      <c r="AD18" s="616">
        <f>SUBTOTAL(109,AD5:AD17)</f>
        <v/>
      </c>
      <c r="AE18" s="621">
        <f>IFERROR(D18/T18,"")</f>
        <v/>
      </c>
    </row>
  </sheetData>
  <autoFilter ref="A4:AE17"/>
  <mergeCells count="9">
    <mergeCell ref="AC3:AD3"/>
    <mergeCell ref="AA3:AB3"/>
    <mergeCell ref="A2:AE2"/>
    <mergeCell ref="J3:T3"/>
    <mergeCell ref="B3:F3"/>
    <mergeCell ref="A1:AE1"/>
    <mergeCell ref="G3:I3"/>
    <mergeCell ref="X3:Z3"/>
    <mergeCell ref="U3:W3"/>
  </mergeCells>
  <conditionalFormatting sqref="E5:E18">
    <cfRule type="cellIs" priority="1" operator="greaterThan" dxfId="1">
      <formula>0</formula>
    </cfRule>
    <cfRule type="cellIs" priority="2" operator="lessThanOrEqual" dxfId="4">
      <formula>0</formula>
    </cfRule>
  </conditionalFormatting>
  <conditionalFormatting sqref="F5:F18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E5:AE18">
    <cfRule type="colorScale" priority="5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1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424" t="inlineStr">
        <is>
          <t>FIELD  ▸  BUYER  /  LOT  /  DETAIL</t>
        </is>
      </c>
      <c r="B4" s="62" t="inlineStr">
        <is>
          <t>VALUE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42" t="n"/>
    </row>
    <row r="6" outlineLevel="1" ht="20" customHeight="1">
      <c r="A6" s="425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67" t="n"/>
    </row>
    <row r="7" outlineLevel="2" ht="16" customHeight="1">
      <c r="A7" s="426" t="inlineStr">
        <is>
          <t xml:space="preserve">      ▸ LOT INFORMATION</t>
        </is>
      </c>
      <c r="B7" s="427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426" t="inlineStr">
        <is>
          <t xml:space="preserve">      ▸ FINANCIALS</t>
        </is>
      </c>
      <c r="B14" s="427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426" t="inlineStr">
        <is>
          <t xml:space="preserve">      ▸ SECURITY DEPOSIT</t>
        </is>
      </c>
      <c r="B27" s="427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426" t="inlineStr">
        <is>
          <t xml:space="preserve">      ▸ FINAL PAYMENT</t>
        </is>
      </c>
      <c r="B31" s="427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426" t="inlineStr">
        <is>
          <t xml:space="preserve">      ▸ LPP</t>
        </is>
      </c>
      <c r="B35" s="427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426" t="inlineStr">
        <is>
          <t xml:space="preserve">      ▸ SUMMARY</t>
        </is>
      </c>
      <c r="B39" s="427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426" t="inlineStr">
        <is>
          <t xml:space="preserve">      ▸ DOCUMENT</t>
        </is>
      </c>
      <c r="B43" s="427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428" t="inlineStr">
        <is>
          <t xml:space="preserve">   ∑  AL HAMD TRADE CORPORATION — TOTALS (all its lots)</t>
        </is>
      </c>
      <c r="B47" s="242" t="n"/>
    </row>
    <row r="48" outlineLevel="2" ht="15" customHeight="1">
      <c r="A48" s="429" t="inlineStr">
        <is>
          <t xml:space="preserve">         Quantity</t>
        </is>
      </c>
      <c r="B48" s="430">
        <f>SUMIF('Final Calculation Sheet'!$G$4:$G$1000,"AL HAMD TRADE CORPORATION",'Final Calculation Sheet'!$A$4:$A$1000)</f>
        <v/>
      </c>
    </row>
    <row r="49" outlineLevel="2" ht="15" customHeight="1">
      <c r="A49" s="429" t="inlineStr">
        <is>
          <t xml:space="preserve">         Mat. Value (₹)</t>
        </is>
      </c>
      <c r="B49" s="199">
        <f>SUMIF('Final Calculation Sheet'!$G$4:$G$1000,"AL HAMD TRADE CORPORATION",'Final Calculation Sheet'!$H$4:$H$1000)</f>
        <v/>
      </c>
    </row>
    <row r="50" outlineLevel="2" ht="15" customHeight="1">
      <c r="A50" s="429" t="inlineStr">
        <is>
          <t xml:space="preserve">         GST @ 18% (₹)</t>
        </is>
      </c>
      <c r="B50" s="199">
        <f>SUMIF('Final Calculation Sheet'!$G$4:$G$1000,"AL HAMD TRADE CORPORATION",'Final Calculation Sheet'!$I$4:$I$1000)</f>
        <v/>
      </c>
    </row>
    <row r="51" outlineLevel="2" ht="15" customHeight="1">
      <c r="A51" s="429" t="inlineStr">
        <is>
          <t xml:space="preserve">         Mat. Value + GST (₹)</t>
        </is>
      </c>
      <c r="B51" s="199">
        <f>SUMIF('Final Calculation Sheet'!$G$4:$G$1000,"AL HAMD TRADE CORPORATION",'Final Calculation Sheet'!$J$4:$J$1000)</f>
        <v/>
      </c>
    </row>
    <row r="52" outlineLevel="2" ht="15" customHeight="1">
      <c r="A52" s="429" t="inlineStr">
        <is>
          <t xml:space="preserve">         TCS @ 2% (₹)</t>
        </is>
      </c>
      <c r="B52" s="199">
        <f>SUMIF('Final Calculation Sheet'!$G$4:$G$1000,"AL HAMD TRADE CORPORATION",'Final Calculation Sheet'!$K$4:$K$1000)</f>
        <v/>
      </c>
    </row>
    <row r="53" outlineLevel="2" ht="15" customHeight="1">
      <c r="A53" s="429" t="inlineStr">
        <is>
          <t xml:space="preserve">         TDS u/s 194(O) (₹)</t>
        </is>
      </c>
      <c r="B53" s="431">
        <f>SUMIF('Final Calculation Sheet'!$G$4:$G$1000,"AL HAMD TRADE CORPORATION",'Final Calculation Sheet'!$L$4:$L$1000)</f>
        <v/>
      </c>
    </row>
    <row r="54" outlineLevel="2" ht="15" customHeight="1">
      <c r="A54" s="429" t="inlineStr">
        <is>
          <t xml:space="preserve">         Service Charge gross (₹)</t>
        </is>
      </c>
      <c r="B54" s="431">
        <f>SUMIF('Final Calculation Sheet'!$G$4:$G$1000,"AL HAMD TRADE CORPORATION",'Final Calculation Sheet'!$M$4:$M$1000)</f>
        <v/>
      </c>
    </row>
    <row r="55" outlineLevel="2" ht="15" customHeight="1">
      <c r="A55" s="429" t="inlineStr">
        <is>
          <t xml:space="preserve">         TDS u/s 194(H) (₹)</t>
        </is>
      </c>
      <c r="B55" s="431">
        <f>SUMIF('Final Calculation Sheet'!$G$4:$G$1000,"AL HAMD TRADE CORPORATION",'Final Calculation Sheet'!$N$4:$N$1000)</f>
        <v/>
      </c>
    </row>
    <row r="56" outlineLevel="2" ht="15" customHeight="1">
      <c r="A56" s="429" t="inlineStr">
        <is>
          <t xml:space="preserve">         Net Service Charge (₹)</t>
        </is>
      </c>
      <c r="B56" s="431">
        <f>SUMIF('Final Calculation Sheet'!$G$4:$G$1000,"AL HAMD TRADE CORPORATION",'Final Calculation Sheet'!$O$4:$O$1000)</f>
        <v/>
      </c>
    </row>
    <row r="57" outlineLevel="2" ht="15" customHeight="1">
      <c r="A57" s="429" t="inlineStr">
        <is>
          <t xml:space="preserve">         Svc Charge to MSTC (₹)</t>
        </is>
      </c>
      <c r="B57" s="199">
        <f>SUMIF('Final Calculation Sheet'!$G$4:$G$1000,"AL HAMD TRADE CORPORATION",'Final Calculation Sheet'!$P$4:$P$1000)</f>
        <v/>
      </c>
    </row>
    <row r="58" outlineLevel="2" ht="15" customHeight="1">
      <c r="A58" s="429" t="inlineStr">
        <is>
          <t xml:space="preserve">         GST TDS (₹)</t>
        </is>
      </c>
      <c r="B58" s="199">
        <f>SUMIF('Final Calculation Sheet'!$G$4:$G$1000,"AL HAMD TRADE CORPORATION",'Final Calculation Sheet'!$R$4:$R$1000)</f>
        <v/>
      </c>
    </row>
    <row r="59" outlineLevel="2" ht="15" customHeight="1">
      <c r="A59" s="429" t="inlineStr">
        <is>
          <t xml:space="preserve">         Total Receivables (₹)</t>
        </is>
      </c>
      <c r="B59" s="199">
        <f>SUMIF('Final Calculation Sheet'!$G$4:$G$1000,"AL HAMD TRADE CORPORATION",'Final Calculation Sheet'!$S$4:$S$1000)</f>
        <v/>
      </c>
    </row>
    <row r="60" outlineLevel="2" ht="15" customHeight="1">
      <c r="A60" s="429" t="inlineStr">
        <is>
          <t xml:space="preserve">         SD Expected (₹)</t>
        </is>
      </c>
      <c r="B60" s="199">
        <f>SUMIF('Final Calculation Sheet'!$G$4:$G$1000,"AL HAMD TRADE CORPORATION",'Final Calculation Sheet'!$T$4:$T$1000)</f>
        <v/>
      </c>
    </row>
    <row r="61" outlineLevel="2" ht="15" customHeight="1">
      <c r="A61" s="429" t="inlineStr">
        <is>
          <t xml:space="preserve">         SD Received (₹)</t>
        </is>
      </c>
      <c r="B61" s="199">
        <f>SUMIF('Final Calculation Sheet'!$G$4:$G$1000,"AL HAMD TRADE CORPORATION",'Final Calculation Sheet'!$U$4:$U$1000)</f>
        <v/>
      </c>
    </row>
    <row r="62" outlineLevel="2" ht="15" customHeight="1">
      <c r="A62" s="429" t="inlineStr">
        <is>
          <t xml:space="preserve">         FP Expected (₹)</t>
        </is>
      </c>
      <c r="B62" s="199">
        <f>SUMIF('Final Calculation Sheet'!$G$4:$G$1000,"AL HAMD TRADE CORPORATION",'Final Calculation Sheet'!$W$4:$W$1000)</f>
        <v/>
      </c>
    </row>
    <row r="63" outlineLevel="2" ht="15" customHeight="1">
      <c r="A63" s="429" t="inlineStr">
        <is>
          <t xml:space="preserve">         FP Received (₹)</t>
        </is>
      </c>
      <c r="B63" s="199">
        <f>SUMIF('Final Calculation Sheet'!$G$4:$G$1000,"AL HAMD TRADE CORPORATION",'Final Calculation Sheet'!$X$4:$X$1000)</f>
        <v/>
      </c>
    </row>
    <row r="64" outlineLevel="2" ht="15" customHeight="1">
      <c r="A64" s="429" t="inlineStr">
        <is>
          <t xml:space="preserve">         LPP Expected (₹)</t>
        </is>
      </c>
      <c r="B64" s="199">
        <f>SUMIF('Final Calculation Sheet'!$G$4:$G$1000,"AL HAMD TRADE CORPORATION",'Final Calculation Sheet'!$Z$4:$Z$1000)</f>
        <v/>
      </c>
    </row>
    <row r="65" outlineLevel="2" ht="15" customHeight="1">
      <c r="A65" s="429" t="inlineStr">
        <is>
          <t xml:space="preserve">         LPP Received (₹)</t>
        </is>
      </c>
      <c r="B65" s="199">
        <f>SUMIF('Final Calculation Sheet'!$G$4:$G$1000,"AL HAMD TRADE CORPORATION",'Final Calculation Sheet'!$AA$4:$AA$1000)</f>
        <v/>
      </c>
    </row>
    <row r="66" outlineLevel="2" ht="15" customHeight="1">
      <c r="A66" s="429" t="inlineStr">
        <is>
          <t xml:space="preserve">         Total Received (₹)</t>
        </is>
      </c>
      <c r="B66" s="199">
        <f>SUMIF('Final Calculation Sheet'!$G$4:$G$1000,"AL HAMD TRADE CORPORATION",'Final Calculation Sheet'!$AC$4:$AC$1000)</f>
        <v/>
      </c>
    </row>
    <row r="67" outlineLevel="2" ht="15" customHeight="1">
      <c r="A67" s="429" t="inlineStr">
        <is>
          <t xml:space="preserve">         Outstanding (₹)</t>
        </is>
      </c>
      <c r="B67" s="199">
        <f>SUMIF('Final Calculation Sheet'!$G$4:$G$1000,"AL HAMD TRADE CORPORATION",'Final Calculation Sheet'!$AD$4:$AD$1000)</f>
        <v/>
      </c>
    </row>
    <row r="68" ht="7" customHeight="1">
      <c r="A68" s="82" t="n"/>
      <c r="B68" s="82" t="n"/>
    </row>
    <row r="69" ht="24" customHeight="1">
      <c r="A6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54" t="n"/>
    </row>
    <row r="70" outlineLevel="1" ht="20" customHeight="1">
      <c r="A70" s="432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6" t="n"/>
    </row>
    <row r="71" outlineLevel="2" ht="16" customHeight="1">
      <c r="A71" s="433" t="inlineStr">
        <is>
          <t xml:space="preserve">      ▸ LOT INFORMATION</t>
        </is>
      </c>
      <c r="B71" s="434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433" t="inlineStr">
        <is>
          <t xml:space="preserve">      ▸ FINANCIALS</t>
        </is>
      </c>
      <c r="B78" s="434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433" t="inlineStr">
        <is>
          <t xml:space="preserve">      ▸ SECURITY DEPOSIT</t>
        </is>
      </c>
      <c r="B91" s="434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433" t="inlineStr">
        <is>
          <t xml:space="preserve">      ▸ FINAL PAYMENT</t>
        </is>
      </c>
      <c r="B95" s="434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433" t="inlineStr">
        <is>
          <t xml:space="preserve">      ▸ LPP</t>
        </is>
      </c>
      <c r="B99" s="434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433" t="inlineStr">
        <is>
          <t xml:space="preserve">      ▸ SUMMARY</t>
        </is>
      </c>
      <c r="B103" s="434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433" t="inlineStr">
        <is>
          <t xml:space="preserve">      ▸ DOCUMENT</t>
        </is>
      </c>
      <c r="B107" s="434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432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6" t="n"/>
    </row>
    <row r="112" outlineLevel="2" ht="16" customHeight="1">
      <c r="A112" s="433" t="inlineStr">
        <is>
          <t xml:space="preserve">      ▸ LOT INFORMATION</t>
        </is>
      </c>
      <c r="B112" s="434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433" t="inlineStr">
        <is>
          <t xml:space="preserve">      ▸ FINANCIALS</t>
        </is>
      </c>
      <c r="B119" s="434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433" t="inlineStr">
        <is>
          <t xml:space="preserve">      ▸ SECURITY DEPOSIT</t>
        </is>
      </c>
      <c r="B132" s="434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433" t="inlineStr">
        <is>
          <t xml:space="preserve">      ▸ FINAL PAYMENT</t>
        </is>
      </c>
      <c r="B136" s="434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433" t="inlineStr">
        <is>
          <t xml:space="preserve">      ▸ LPP</t>
        </is>
      </c>
      <c r="B140" s="434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433" t="inlineStr">
        <is>
          <t xml:space="preserve">      ▸ SUMMARY</t>
        </is>
      </c>
      <c r="B144" s="434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433" t="inlineStr">
        <is>
          <t xml:space="preserve">      ▸ DOCUMENT</t>
        </is>
      </c>
      <c r="B148" s="434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435" t="inlineStr">
        <is>
          <t xml:space="preserve">   ∑  F R KHANS ENTERPRISES — TOTALS (all its lots)</t>
        </is>
      </c>
      <c r="B152" s="254" t="n"/>
    </row>
    <row r="153" outlineLevel="2" ht="15" customHeight="1">
      <c r="A153" s="436" t="inlineStr">
        <is>
          <t xml:space="preserve">         Quantity</t>
        </is>
      </c>
      <c r="B153" s="437">
        <f>SUMIF('Final Calculation Sheet'!$G$4:$G$1000,"F R KHANS ENTERPRISES",'Final Calculation Sheet'!$A$4:$A$1000)</f>
        <v/>
      </c>
    </row>
    <row r="154" outlineLevel="2" ht="15" customHeight="1">
      <c r="A154" s="436" t="inlineStr">
        <is>
          <t xml:space="preserve">         Mat. Value (₹)</t>
        </is>
      </c>
      <c r="B154" s="438">
        <f>SUMIF('Final Calculation Sheet'!$G$4:$G$1000,"F R KHANS ENTERPRISES",'Final Calculation Sheet'!$H$4:$H$1000)</f>
        <v/>
      </c>
    </row>
    <row r="155" outlineLevel="2" ht="15" customHeight="1">
      <c r="A155" s="436" t="inlineStr">
        <is>
          <t xml:space="preserve">         GST @ 18% (₹)</t>
        </is>
      </c>
      <c r="B155" s="438">
        <f>SUMIF('Final Calculation Sheet'!$G$4:$G$1000,"F R KHANS ENTERPRISES",'Final Calculation Sheet'!$I$4:$I$1000)</f>
        <v/>
      </c>
    </row>
    <row r="156" outlineLevel="2" ht="15" customHeight="1">
      <c r="A156" s="436" t="inlineStr">
        <is>
          <t xml:space="preserve">         Mat. Value + GST (₹)</t>
        </is>
      </c>
      <c r="B156" s="438">
        <f>SUMIF('Final Calculation Sheet'!$G$4:$G$1000,"F R KHANS ENTERPRISES",'Final Calculation Sheet'!$J$4:$J$1000)</f>
        <v/>
      </c>
    </row>
    <row r="157" outlineLevel="2" ht="15" customHeight="1">
      <c r="A157" s="436" t="inlineStr">
        <is>
          <t xml:space="preserve">         TCS @ 2% (₹)</t>
        </is>
      </c>
      <c r="B157" s="438">
        <f>SUMIF('Final Calculation Sheet'!$G$4:$G$1000,"F R KHANS ENTERPRISES",'Final Calculation Sheet'!$K$4:$K$1000)</f>
        <v/>
      </c>
    </row>
    <row r="158" outlineLevel="2" ht="15" customHeight="1">
      <c r="A158" s="436" t="inlineStr">
        <is>
          <t xml:space="preserve">         TDS u/s 194(O) (₹)</t>
        </is>
      </c>
      <c r="B158" s="439">
        <f>SUMIF('Final Calculation Sheet'!$G$4:$G$1000,"F R KHANS ENTERPRISES",'Final Calculation Sheet'!$L$4:$L$1000)</f>
        <v/>
      </c>
    </row>
    <row r="159" outlineLevel="2" ht="15" customHeight="1">
      <c r="A159" s="436" t="inlineStr">
        <is>
          <t xml:space="preserve">         Service Charge gross (₹)</t>
        </is>
      </c>
      <c r="B159" s="439">
        <f>SUMIF('Final Calculation Sheet'!$G$4:$G$1000,"F R KHANS ENTERPRISES",'Final Calculation Sheet'!$M$4:$M$1000)</f>
        <v/>
      </c>
    </row>
    <row r="160" outlineLevel="2" ht="15" customHeight="1">
      <c r="A160" s="436" t="inlineStr">
        <is>
          <t xml:space="preserve">         TDS u/s 194(H) (₹)</t>
        </is>
      </c>
      <c r="B160" s="439">
        <f>SUMIF('Final Calculation Sheet'!$G$4:$G$1000,"F R KHANS ENTERPRISES",'Final Calculation Sheet'!$N$4:$N$1000)</f>
        <v/>
      </c>
    </row>
    <row r="161" outlineLevel="2" ht="15" customHeight="1">
      <c r="A161" s="436" t="inlineStr">
        <is>
          <t xml:space="preserve">         Net Service Charge (₹)</t>
        </is>
      </c>
      <c r="B161" s="439">
        <f>SUMIF('Final Calculation Sheet'!$G$4:$G$1000,"F R KHANS ENTERPRISES",'Final Calculation Sheet'!$O$4:$O$1000)</f>
        <v/>
      </c>
    </row>
    <row r="162" outlineLevel="2" ht="15" customHeight="1">
      <c r="A162" s="436" t="inlineStr">
        <is>
          <t xml:space="preserve">         Svc Charge to MSTC (₹)</t>
        </is>
      </c>
      <c r="B162" s="438">
        <f>SUMIF('Final Calculation Sheet'!$G$4:$G$1000,"F R KHANS ENTERPRISES",'Final Calculation Sheet'!$P$4:$P$1000)</f>
        <v/>
      </c>
    </row>
    <row r="163" outlineLevel="2" ht="15" customHeight="1">
      <c r="A163" s="436" t="inlineStr">
        <is>
          <t xml:space="preserve">         GST TDS (₹)</t>
        </is>
      </c>
      <c r="B163" s="438">
        <f>SUMIF('Final Calculation Sheet'!$G$4:$G$1000,"F R KHANS ENTERPRISES",'Final Calculation Sheet'!$R$4:$R$1000)</f>
        <v/>
      </c>
    </row>
    <row r="164" outlineLevel="2" ht="15" customHeight="1">
      <c r="A164" s="436" t="inlineStr">
        <is>
          <t xml:space="preserve">         Total Receivables (₹)</t>
        </is>
      </c>
      <c r="B164" s="438">
        <f>SUMIF('Final Calculation Sheet'!$G$4:$G$1000,"F R KHANS ENTERPRISES",'Final Calculation Sheet'!$S$4:$S$1000)</f>
        <v/>
      </c>
    </row>
    <row r="165" outlineLevel="2" ht="15" customHeight="1">
      <c r="A165" s="436" t="inlineStr">
        <is>
          <t xml:space="preserve">         SD Expected (₹)</t>
        </is>
      </c>
      <c r="B165" s="438">
        <f>SUMIF('Final Calculation Sheet'!$G$4:$G$1000,"F R KHANS ENTERPRISES",'Final Calculation Sheet'!$T$4:$T$1000)</f>
        <v/>
      </c>
    </row>
    <row r="166" outlineLevel="2" ht="15" customHeight="1">
      <c r="A166" s="436" t="inlineStr">
        <is>
          <t xml:space="preserve">         SD Received (₹)</t>
        </is>
      </c>
      <c r="B166" s="438">
        <f>SUMIF('Final Calculation Sheet'!$G$4:$G$1000,"F R KHANS ENTERPRISES",'Final Calculation Sheet'!$U$4:$U$1000)</f>
        <v/>
      </c>
    </row>
    <row r="167" outlineLevel="2" ht="15" customHeight="1">
      <c r="A167" s="436" t="inlineStr">
        <is>
          <t xml:space="preserve">         FP Expected (₹)</t>
        </is>
      </c>
      <c r="B167" s="438">
        <f>SUMIF('Final Calculation Sheet'!$G$4:$G$1000,"F R KHANS ENTERPRISES",'Final Calculation Sheet'!$W$4:$W$1000)</f>
        <v/>
      </c>
    </row>
    <row r="168" outlineLevel="2" ht="15" customHeight="1">
      <c r="A168" s="436" t="inlineStr">
        <is>
          <t xml:space="preserve">         FP Received (₹)</t>
        </is>
      </c>
      <c r="B168" s="438">
        <f>SUMIF('Final Calculation Sheet'!$G$4:$G$1000,"F R KHANS ENTERPRISES",'Final Calculation Sheet'!$X$4:$X$1000)</f>
        <v/>
      </c>
    </row>
    <row r="169" outlineLevel="2" ht="15" customHeight="1">
      <c r="A169" s="436" t="inlineStr">
        <is>
          <t xml:space="preserve">         LPP Expected (₹)</t>
        </is>
      </c>
      <c r="B169" s="438">
        <f>SUMIF('Final Calculation Sheet'!$G$4:$G$1000,"F R KHANS ENTERPRISES",'Final Calculation Sheet'!$Z$4:$Z$1000)</f>
        <v/>
      </c>
    </row>
    <row r="170" outlineLevel="2" ht="15" customHeight="1">
      <c r="A170" s="436" t="inlineStr">
        <is>
          <t xml:space="preserve">         LPP Received (₹)</t>
        </is>
      </c>
      <c r="B170" s="438">
        <f>SUMIF('Final Calculation Sheet'!$G$4:$G$1000,"F R KHANS ENTERPRISES",'Final Calculation Sheet'!$AA$4:$AA$1000)</f>
        <v/>
      </c>
    </row>
    <row r="171" outlineLevel="2" ht="15" customHeight="1">
      <c r="A171" s="436" t="inlineStr">
        <is>
          <t xml:space="preserve">         Total Received (₹)</t>
        </is>
      </c>
      <c r="B171" s="438">
        <f>SUMIF('Final Calculation Sheet'!$G$4:$G$1000,"F R KHANS ENTERPRISES",'Final Calculation Sheet'!$AC$4:$AC$1000)</f>
        <v/>
      </c>
    </row>
    <row r="172" outlineLevel="2" ht="15" customHeight="1">
      <c r="A172" s="436" t="inlineStr">
        <is>
          <t xml:space="preserve">         Outstanding (₹)</t>
        </is>
      </c>
      <c r="B172" s="438">
        <f>SUMIF('Final Calculation Sheet'!$G$4:$G$1000,"F R KHANS ENTERPRISES",'Final Calculation Sheet'!$AD$4:$AD$1000)</f>
        <v/>
      </c>
    </row>
    <row r="173" ht="7" customHeight="1">
      <c r="A173" s="82" t="n"/>
      <c r="B173" s="82" t="n"/>
    </row>
    <row r="174" ht="24" customHeight="1">
      <c r="A17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272" t="n"/>
    </row>
    <row r="175" outlineLevel="1" ht="20" customHeight="1">
      <c r="A175" s="440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102" t="n"/>
    </row>
    <row r="176" outlineLevel="2" ht="16" customHeight="1">
      <c r="A176" s="441" t="inlineStr">
        <is>
          <t xml:space="preserve">      ▸ LOT INFORMATION</t>
        </is>
      </c>
      <c r="B176" s="44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441" t="inlineStr">
        <is>
          <t xml:space="preserve">      ▸ FINANCIALS</t>
        </is>
      </c>
      <c r="B183" s="44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441" t="inlineStr">
        <is>
          <t xml:space="preserve">      ▸ SECURITY DEPOSIT</t>
        </is>
      </c>
      <c r="B196" s="44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441" t="inlineStr">
        <is>
          <t xml:space="preserve">      ▸ FINAL PAYMENT</t>
        </is>
      </c>
      <c r="B200" s="44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441" t="inlineStr">
        <is>
          <t xml:space="preserve">      ▸ LPP</t>
        </is>
      </c>
      <c r="B204" s="44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441" t="inlineStr">
        <is>
          <t xml:space="preserve">      ▸ SUMMARY</t>
        </is>
      </c>
      <c r="B208" s="44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441" t="inlineStr">
        <is>
          <t xml:space="preserve">      ▸ DOCUMENT</t>
        </is>
      </c>
      <c r="B212" s="44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443" t="inlineStr">
        <is>
          <t xml:space="preserve">   ∑  HIND TRADERS — TOTALS (all its lots)</t>
        </is>
      </c>
      <c r="B216" s="272" t="n"/>
    </row>
    <row r="217" outlineLevel="2" ht="15" customHeight="1">
      <c r="A217" s="444" t="inlineStr">
        <is>
          <t xml:space="preserve">         Quantity</t>
        </is>
      </c>
      <c r="B217" s="445">
        <f>SUMIF('Final Calculation Sheet'!$G$4:$G$1000,"HIND TRADERS",'Final Calculation Sheet'!$A$4:$A$1000)</f>
        <v/>
      </c>
    </row>
    <row r="218" outlineLevel="2" ht="15" customHeight="1">
      <c r="A218" s="444" t="inlineStr">
        <is>
          <t xml:space="preserve">         Mat. Value (₹)</t>
        </is>
      </c>
      <c r="B218" s="206">
        <f>SUMIF('Final Calculation Sheet'!$G$4:$G$1000,"HIND TRADERS",'Final Calculation Sheet'!$H$4:$H$1000)</f>
        <v/>
      </c>
    </row>
    <row r="219" outlineLevel="2" ht="15" customHeight="1">
      <c r="A219" s="444" t="inlineStr">
        <is>
          <t xml:space="preserve">         GST @ 18% (₹)</t>
        </is>
      </c>
      <c r="B219" s="206">
        <f>SUMIF('Final Calculation Sheet'!$G$4:$G$1000,"HIND TRADERS",'Final Calculation Sheet'!$I$4:$I$1000)</f>
        <v/>
      </c>
    </row>
    <row r="220" outlineLevel="2" ht="15" customHeight="1">
      <c r="A220" s="444" t="inlineStr">
        <is>
          <t xml:space="preserve">         Mat. Value + GST (₹)</t>
        </is>
      </c>
      <c r="B220" s="206">
        <f>SUMIF('Final Calculation Sheet'!$G$4:$G$1000,"HIND TRADERS",'Final Calculation Sheet'!$J$4:$J$1000)</f>
        <v/>
      </c>
    </row>
    <row r="221" outlineLevel="2" ht="15" customHeight="1">
      <c r="A221" s="444" t="inlineStr">
        <is>
          <t xml:space="preserve">         TCS @ 2% (₹)</t>
        </is>
      </c>
      <c r="B221" s="206">
        <f>SUMIF('Final Calculation Sheet'!$G$4:$G$1000,"HIND TRADERS",'Final Calculation Sheet'!$K$4:$K$1000)</f>
        <v/>
      </c>
    </row>
    <row r="222" outlineLevel="2" ht="15" customHeight="1">
      <c r="A222" s="444" t="inlineStr">
        <is>
          <t xml:space="preserve">         TDS u/s 194(O) (₹)</t>
        </is>
      </c>
      <c r="B222" s="446">
        <f>SUMIF('Final Calculation Sheet'!$G$4:$G$1000,"HIND TRADERS",'Final Calculation Sheet'!$L$4:$L$1000)</f>
        <v/>
      </c>
    </row>
    <row r="223" outlineLevel="2" ht="15" customHeight="1">
      <c r="A223" s="444" t="inlineStr">
        <is>
          <t xml:space="preserve">         Service Charge gross (₹)</t>
        </is>
      </c>
      <c r="B223" s="446">
        <f>SUMIF('Final Calculation Sheet'!$G$4:$G$1000,"HIND TRADERS",'Final Calculation Sheet'!$M$4:$M$1000)</f>
        <v/>
      </c>
    </row>
    <row r="224" outlineLevel="2" ht="15" customHeight="1">
      <c r="A224" s="444" t="inlineStr">
        <is>
          <t xml:space="preserve">         TDS u/s 194(H) (₹)</t>
        </is>
      </c>
      <c r="B224" s="446">
        <f>SUMIF('Final Calculation Sheet'!$G$4:$G$1000,"HIND TRADERS",'Final Calculation Sheet'!$N$4:$N$1000)</f>
        <v/>
      </c>
    </row>
    <row r="225" outlineLevel="2" ht="15" customHeight="1">
      <c r="A225" s="444" t="inlineStr">
        <is>
          <t xml:space="preserve">         Net Service Charge (₹)</t>
        </is>
      </c>
      <c r="B225" s="446">
        <f>SUMIF('Final Calculation Sheet'!$G$4:$G$1000,"HIND TRADERS",'Final Calculation Sheet'!$O$4:$O$1000)</f>
        <v/>
      </c>
    </row>
    <row r="226" outlineLevel="2" ht="15" customHeight="1">
      <c r="A226" s="444" t="inlineStr">
        <is>
          <t xml:space="preserve">         Svc Charge to MSTC (₹)</t>
        </is>
      </c>
      <c r="B226" s="206">
        <f>SUMIF('Final Calculation Sheet'!$G$4:$G$1000,"HIND TRADERS",'Final Calculation Sheet'!$P$4:$P$1000)</f>
        <v/>
      </c>
    </row>
    <row r="227" outlineLevel="2" ht="15" customHeight="1">
      <c r="A227" s="444" t="inlineStr">
        <is>
          <t xml:space="preserve">         GST TDS (₹)</t>
        </is>
      </c>
      <c r="B227" s="206">
        <f>SUMIF('Final Calculation Sheet'!$G$4:$G$1000,"HIND TRADERS",'Final Calculation Sheet'!$R$4:$R$1000)</f>
        <v/>
      </c>
    </row>
    <row r="228" outlineLevel="2" ht="15" customHeight="1">
      <c r="A228" s="444" t="inlineStr">
        <is>
          <t xml:space="preserve">         Total Receivables (₹)</t>
        </is>
      </c>
      <c r="B228" s="206">
        <f>SUMIF('Final Calculation Sheet'!$G$4:$G$1000,"HIND TRADERS",'Final Calculation Sheet'!$S$4:$S$1000)</f>
        <v/>
      </c>
    </row>
    <row r="229" outlineLevel="2" ht="15" customHeight="1">
      <c r="A229" s="444" t="inlineStr">
        <is>
          <t xml:space="preserve">         SD Expected (₹)</t>
        </is>
      </c>
      <c r="B229" s="206">
        <f>SUMIF('Final Calculation Sheet'!$G$4:$G$1000,"HIND TRADERS",'Final Calculation Sheet'!$T$4:$T$1000)</f>
        <v/>
      </c>
    </row>
    <row r="230" outlineLevel="2" ht="15" customHeight="1">
      <c r="A230" s="444" t="inlineStr">
        <is>
          <t xml:space="preserve">         SD Received (₹)</t>
        </is>
      </c>
      <c r="B230" s="206">
        <f>SUMIF('Final Calculation Sheet'!$G$4:$G$1000,"HIND TRADERS",'Final Calculation Sheet'!$U$4:$U$1000)</f>
        <v/>
      </c>
    </row>
    <row r="231" outlineLevel="2" ht="15" customHeight="1">
      <c r="A231" s="444" t="inlineStr">
        <is>
          <t xml:space="preserve">         FP Expected (₹)</t>
        </is>
      </c>
      <c r="B231" s="206">
        <f>SUMIF('Final Calculation Sheet'!$G$4:$G$1000,"HIND TRADERS",'Final Calculation Sheet'!$W$4:$W$1000)</f>
        <v/>
      </c>
    </row>
    <row r="232" outlineLevel="2" ht="15" customHeight="1">
      <c r="A232" s="444" t="inlineStr">
        <is>
          <t xml:space="preserve">         FP Received (₹)</t>
        </is>
      </c>
      <c r="B232" s="206">
        <f>SUMIF('Final Calculation Sheet'!$G$4:$G$1000,"HIND TRADERS",'Final Calculation Sheet'!$X$4:$X$1000)</f>
        <v/>
      </c>
    </row>
    <row r="233" outlineLevel="2" ht="15" customHeight="1">
      <c r="A233" s="444" t="inlineStr">
        <is>
          <t xml:space="preserve">         LPP Expected (₹)</t>
        </is>
      </c>
      <c r="B233" s="206">
        <f>SUMIF('Final Calculation Sheet'!$G$4:$G$1000,"HIND TRADERS",'Final Calculation Sheet'!$Z$4:$Z$1000)</f>
        <v/>
      </c>
    </row>
    <row r="234" outlineLevel="2" ht="15" customHeight="1">
      <c r="A234" s="444" t="inlineStr">
        <is>
          <t xml:space="preserve">         LPP Received (₹)</t>
        </is>
      </c>
      <c r="B234" s="206">
        <f>SUMIF('Final Calculation Sheet'!$G$4:$G$1000,"HIND TRADERS",'Final Calculation Sheet'!$AA$4:$AA$1000)</f>
        <v/>
      </c>
    </row>
    <row r="235" outlineLevel="2" ht="15" customHeight="1">
      <c r="A235" s="444" t="inlineStr">
        <is>
          <t xml:space="preserve">         Total Received (₹)</t>
        </is>
      </c>
      <c r="B235" s="206">
        <f>SUMIF('Final Calculation Sheet'!$G$4:$G$1000,"HIND TRADERS",'Final Calculation Sheet'!$AC$4:$AC$1000)</f>
        <v/>
      </c>
    </row>
    <row r="236" outlineLevel="2" ht="15" customHeight="1">
      <c r="A236" s="444" t="inlineStr">
        <is>
          <t xml:space="preserve">         Outstanding (₹)</t>
        </is>
      </c>
      <c r="B236" s="206">
        <f>SUMIF('Final Calculation Sheet'!$G$4:$G$1000,"HIND TRADERS",'Final Calculation Sheet'!$AD$4:$AD$1000)</f>
        <v/>
      </c>
    </row>
    <row r="237" ht="7" customHeight="1">
      <c r="A237" s="82" t="n"/>
      <c r="B237" s="82" t="n"/>
    </row>
    <row r="238" ht="24" customHeight="1">
      <c r="A23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284" t="n"/>
    </row>
    <row r="239" outlineLevel="1" ht="20" customHeight="1">
      <c r="A239" s="447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111" t="n"/>
    </row>
    <row r="240" outlineLevel="2" ht="16" customHeight="1">
      <c r="A240" s="448" t="inlineStr">
        <is>
          <t xml:space="preserve">      ▸ LOT INFORMATION</t>
        </is>
      </c>
      <c r="B240" s="449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448" t="inlineStr">
        <is>
          <t xml:space="preserve">      ▸ FINANCIALS</t>
        </is>
      </c>
      <c r="B247" s="449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448" t="inlineStr">
        <is>
          <t xml:space="preserve">      ▸ SECURITY DEPOSIT</t>
        </is>
      </c>
      <c r="B260" s="449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448" t="inlineStr">
        <is>
          <t xml:space="preserve">      ▸ FINAL PAYMENT</t>
        </is>
      </c>
      <c r="B264" s="449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448" t="inlineStr">
        <is>
          <t xml:space="preserve">      ▸ LPP</t>
        </is>
      </c>
      <c r="B268" s="449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448" t="inlineStr">
        <is>
          <t xml:space="preserve">      ▸ SUMMARY</t>
        </is>
      </c>
      <c r="B272" s="449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448" t="inlineStr">
        <is>
          <t xml:space="preserve">      ▸ DOCUMENT</t>
        </is>
      </c>
      <c r="B276" s="449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450" t="inlineStr">
        <is>
          <t xml:space="preserve">   ∑  KASHYAP TRADING CO — TOTALS (all its lots)</t>
        </is>
      </c>
      <c r="B280" s="284" t="n"/>
    </row>
    <row r="281" outlineLevel="2" ht="15" customHeight="1">
      <c r="A281" s="451" t="inlineStr">
        <is>
          <t xml:space="preserve">         Quantity</t>
        </is>
      </c>
      <c r="B281" s="452">
        <f>SUMIF('Final Calculation Sheet'!$G$4:$G$1000,"KASHYAP TRADING CO",'Final Calculation Sheet'!$A$4:$A$1000)</f>
        <v/>
      </c>
    </row>
    <row r="282" outlineLevel="2" ht="15" customHeight="1">
      <c r="A282" s="451" t="inlineStr">
        <is>
          <t xml:space="preserve">         Mat. Value (₹)</t>
        </is>
      </c>
      <c r="B282" s="453">
        <f>SUMIF('Final Calculation Sheet'!$G$4:$G$1000,"KASHYAP TRADING CO",'Final Calculation Sheet'!$H$4:$H$1000)</f>
        <v/>
      </c>
    </row>
    <row r="283" outlineLevel="2" ht="15" customHeight="1">
      <c r="A283" s="451" t="inlineStr">
        <is>
          <t xml:space="preserve">         GST @ 18% (₹)</t>
        </is>
      </c>
      <c r="B283" s="453">
        <f>SUMIF('Final Calculation Sheet'!$G$4:$G$1000,"KASHYAP TRADING CO",'Final Calculation Sheet'!$I$4:$I$1000)</f>
        <v/>
      </c>
    </row>
    <row r="284" outlineLevel="2" ht="15" customHeight="1">
      <c r="A284" s="451" t="inlineStr">
        <is>
          <t xml:space="preserve">         Mat. Value + GST (₹)</t>
        </is>
      </c>
      <c r="B284" s="453">
        <f>SUMIF('Final Calculation Sheet'!$G$4:$G$1000,"KASHYAP TRADING CO",'Final Calculation Sheet'!$J$4:$J$1000)</f>
        <v/>
      </c>
    </row>
    <row r="285" outlineLevel="2" ht="15" customHeight="1">
      <c r="A285" s="451" t="inlineStr">
        <is>
          <t xml:space="preserve">         TCS @ 2% (₹)</t>
        </is>
      </c>
      <c r="B285" s="453">
        <f>SUMIF('Final Calculation Sheet'!$G$4:$G$1000,"KASHYAP TRADING CO",'Final Calculation Sheet'!$K$4:$K$1000)</f>
        <v/>
      </c>
    </row>
    <row r="286" outlineLevel="2" ht="15" customHeight="1">
      <c r="A286" s="451" t="inlineStr">
        <is>
          <t xml:space="preserve">         TDS u/s 194(O) (₹)</t>
        </is>
      </c>
      <c r="B286" s="454">
        <f>SUMIF('Final Calculation Sheet'!$G$4:$G$1000,"KASHYAP TRADING CO",'Final Calculation Sheet'!$L$4:$L$1000)</f>
        <v/>
      </c>
    </row>
    <row r="287" outlineLevel="2" ht="15" customHeight="1">
      <c r="A287" s="451" t="inlineStr">
        <is>
          <t xml:space="preserve">         Service Charge gross (₹)</t>
        </is>
      </c>
      <c r="B287" s="454">
        <f>SUMIF('Final Calculation Sheet'!$G$4:$G$1000,"KASHYAP TRADING CO",'Final Calculation Sheet'!$M$4:$M$1000)</f>
        <v/>
      </c>
    </row>
    <row r="288" outlineLevel="2" ht="15" customHeight="1">
      <c r="A288" s="451" t="inlineStr">
        <is>
          <t xml:space="preserve">         TDS u/s 194(H) (₹)</t>
        </is>
      </c>
      <c r="B288" s="454">
        <f>SUMIF('Final Calculation Sheet'!$G$4:$G$1000,"KASHYAP TRADING CO",'Final Calculation Sheet'!$N$4:$N$1000)</f>
        <v/>
      </c>
    </row>
    <row r="289" outlineLevel="2" ht="15" customHeight="1">
      <c r="A289" s="451" t="inlineStr">
        <is>
          <t xml:space="preserve">         Net Service Charge (₹)</t>
        </is>
      </c>
      <c r="B289" s="454">
        <f>SUMIF('Final Calculation Sheet'!$G$4:$G$1000,"KASHYAP TRADING CO",'Final Calculation Sheet'!$O$4:$O$1000)</f>
        <v/>
      </c>
    </row>
    <row r="290" outlineLevel="2" ht="15" customHeight="1">
      <c r="A290" s="451" t="inlineStr">
        <is>
          <t xml:space="preserve">         Svc Charge to MSTC (₹)</t>
        </is>
      </c>
      <c r="B290" s="453">
        <f>SUMIF('Final Calculation Sheet'!$G$4:$G$1000,"KASHYAP TRADING CO",'Final Calculation Sheet'!$P$4:$P$1000)</f>
        <v/>
      </c>
    </row>
    <row r="291" outlineLevel="2" ht="15" customHeight="1">
      <c r="A291" s="451" t="inlineStr">
        <is>
          <t xml:space="preserve">         GST TDS (₹)</t>
        </is>
      </c>
      <c r="B291" s="453">
        <f>SUMIF('Final Calculation Sheet'!$G$4:$G$1000,"KASHYAP TRADING CO",'Final Calculation Sheet'!$R$4:$R$1000)</f>
        <v/>
      </c>
    </row>
    <row r="292" outlineLevel="2" ht="15" customHeight="1">
      <c r="A292" s="451" t="inlineStr">
        <is>
          <t xml:space="preserve">         Total Receivables (₹)</t>
        </is>
      </c>
      <c r="B292" s="453">
        <f>SUMIF('Final Calculation Sheet'!$G$4:$G$1000,"KASHYAP TRADING CO",'Final Calculation Sheet'!$S$4:$S$1000)</f>
        <v/>
      </c>
    </row>
    <row r="293" outlineLevel="2" ht="15" customHeight="1">
      <c r="A293" s="451" t="inlineStr">
        <is>
          <t xml:space="preserve">         SD Expected (₹)</t>
        </is>
      </c>
      <c r="B293" s="453">
        <f>SUMIF('Final Calculation Sheet'!$G$4:$G$1000,"KASHYAP TRADING CO",'Final Calculation Sheet'!$T$4:$T$1000)</f>
        <v/>
      </c>
    </row>
    <row r="294" outlineLevel="2" ht="15" customHeight="1">
      <c r="A294" s="451" t="inlineStr">
        <is>
          <t xml:space="preserve">         SD Received (₹)</t>
        </is>
      </c>
      <c r="B294" s="453">
        <f>SUMIF('Final Calculation Sheet'!$G$4:$G$1000,"KASHYAP TRADING CO",'Final Calculation Sheet'!$U$4:$U$1000)</f>
        <v/>
      </c>
    </row>
    <row r="295" outlineLevel="2" ht="15" customHeight="1">
      <c r="A295" s="451" t="inlineStr">
        <is>
          <t xml:space="preserve">         FP Expected (₹)</t>
        </is>
      </c>
      <c r="B295" s="453">
        <f>SUMIF('Final Calculation Sheet'!$G$4:$G$1000,"KASHYAP TRADING CO",'Final Calculation Sheet'!$W$4:$W$1000)</f>
        <v/>
      </c>
    </row>
    <row r="296" outlineLevel="2" ht="15" customHeight="1">
      <c r="A296" s="451" t="inlineStr">
        <is>
          <t xml:space="preserve">         FP Received (₹)</t>
        </is>
      </c>
      <c r="B296" s="453">
        <f>SUMIF('Final Calculation Sheet'!$G$4:$G$1000,"KASHYAP TRADING CO",'Final Calculation Sheet'!$X$4:$X$1000)</f>
        <v/>
      </c>
    </row>
    <row r="297" outlineLevel="2" ht="15" customHeight="1">
      <c r="A297" s="451" t="inlineStr">
        <is>
          <t xml:space="preserve">         LPP Expected (₹)</t>
        </is>
      </c>
      <c r="B297" s="453">
        <f>SUMIF('Final Calculation Sheet'!$G$4:$G$1000,"KASHYAP TRADING CO",'Final Calculation Sheet'!$Z$4:$Z$1000)</f>
        <v/>
      </c>
    </row>
    <row r="298" outlineLevel="2" ht="15" customHeight="1">
      <c r="A298" s="451" t="inlineStr">
        <is>
          <t xml:space="preserve">         LPP Received (₹)</t>
        </is>
      </c>
      <c r="B298" s="453">
        <f>SUMIF('Final Calculation Sheet'!$G$4:$G$1000,"KASHYAP TRADING CO",'Final Calculation Sheet'!$AA$4:$AA$1000)</f>
        <v/>
      </c>
    </row>
    <row r="299" outlineLevel="2" ht="15" customHeight="1">
      <c r="A299" s="451" t="inlineStr">
        <is>
          <t xml:space="preserve">         Total Received (₹)</t>
        </is>
      </c>
      <c r="B299" s="453">
        <f>SUMIF('Final Calculation Sheet'!$G$4:$G$1000,"KASHYAP TRADING CO",'Final Calculation Sheet'!$AC$4:$AC$1000)</f>
        <v/>
      </c>
    </row>
    <row r="300" outlineLevel="2" ht="15" customHeight="1">
      <c r="A300" s="451" t="inlineStr">
        <is>
          <t xml:space="preserve">         Outstanding (₹)</t>
        </is>
      </c>
      <c r="B300" s="453">
        <f>SUMIF('Final Calculation Sheet'!$G$4:$G$1000,"KASHYAP TRADING CO",'Final Calculation Sheet'!$AD$4:$AD$1000)</f>
        <v/>
      </c>
    </row>
    <row r="301" ht="7" customHeight="1">
      <c r="A301" s="82" t="n"/>
      <c r="B301" s="82" t="n"/>
    </row>
    <row r="302" ht="24" customHeight="1">
      <c r="A30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296" t="n"/>
    </row>
    <row r="303" outlineLevel="1" ht="20" customHeight="1">
      <c r="A303" s="455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120" t="n"/>
    </row>
    <row r="304" outlineLevel="2" ht="16" customHeight="1">
      <c r="A304" s="456" t="inlineStr">
        <is>
          <t xml:space="preserve">      ▸ LOT INFORMATION</t>
        </is>
      </c>
      <c r="B304" s="457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456" t="inlineStr">
        <is>
          <t xml:space="preserve">      ▸ FINANCIALS</t>
        </is>
      </c>
      <c r="B311" s="457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456" t="inlineStr">
        <is>
          <t xml:space="preserve">      ▸ SECURITY DEPOSIT</t>
        </is>
      </c>
      <c r="B324" s="457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456" t="inlineStr">
        <is>
          <t xml:space="preserve">      ▸ FINAL PAYMENT</t>
        </is>
      </c>
      <c r="B328" s="457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456" t="inlineStr">
        <is>
          <t xml:space="preserve">      ▸ LPP</t>
        </is>
      </c>
      <c r="B332" s="457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456" t="inlineStr">
        <is>
          <t xml:space="preserve">      ▸ SUMMARY</t>
        </is>
      </c>
      <c r="B336" s="457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456" t="inlineStr">
        <is>
          <t xml:space="preserve">      ▸ DOCUMENT</t>
        </is>
      </c>
      <c r="B340" s="457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458" t="inlineStr">
        <is>
          <t xml:space="preserve">   ∑  M I SCRAP TRADERS — TOTALS (all its lots)</t>
        </is>
      </c>
      <c r="B344" s="296" t="n"/>
    </row>
    <row r="345" outlineLevel="2" ht="15" customHeight="1">
      <c r="A345" s="459" t="inlineStr">
        <is>
          <t xml:space="preserve">         Quantity</t>
        </is>
      </c>
      <c r="B345" s="460">
        <f>SUMIF('Final Calculation Sheet'!$G$4:$G$1000,"M I SCRAP TRADERS",'Final Calculation Sheet'!$A$4:$A$1000)</f>
        <v/>
      </c>
    </row>
    <row r="346" outlineLevel="2" ht="15" customHeight="1">
      <c r="A346" s="459" t="inlineStr">
        <is>
          <t xml:space="preserve">         Mat. Value (₹)</t>
        </is>
      </c>
      <c r="B346" s="213">
        <f>SUMIF('Final Calculation Sheet'!$G$4:$G$1000,"M I SCRAP TRADERS",'Final Calculation Sheet'!$H$4:$H$1000)</f>
        <v/>
      </c>
    </row>
    <row r="347" outlineLevel="2" ht="15" customHeight="1">
      <c r="A347" s="459" t="inlineStr">
        <is>
          <t xml:space="preserve">         GST @ 18% (₹)</t>
        </is>
      </c>
      <c r="B347" s="213">
        <f>SUMIF('Final Calculation Sheet'!$G$4:$G$1000,"M I SCRAP TRADERS",'Final Calculation Sheet'!$I$4:$I$1000)</f>
        <v/>
      </c>
    </row>
    <row r="348" outlineLevel="2" ht="15" customHeight="1">
      <c r="A348" s="459" t="inlineStr">
        <is>
          <t xml:space="preserve">         Mat. Value + GST (₹)</t>
        </is>
      </c>
      <c r="B348" s="213">
        <f>SUMIF('Final Calculation Sheet'!$G$4:$G$1000,"M I SCRAP TRADERS",'Final Calculation Sheet'!$J$4:$J$1000)</f>
        <v/>
      </c>
    </row>
    <row r="349" outlineLevel="2" ht="15" customHeight="1">
      <c r="A349" s="459" t="inlineStr">
        <is>
          <t xml:space="preserve">         TCS @ 2% (₹)</t>
        </is>
      </c>
      <c r="B349" s="213">
        <f>SUMIF('Final Calculation Sheet'!$G$4:$G$1000,"M I SCRAP TRADERS",'Final Calculation Sheet'!$K$4:$K$1000)</f>
        <v/>
      </c>
    </row>
    <row r="350" outlineLevel="2" ht="15" customHeight="1">
      <c r="A350" s="459" t="inlineStr">
        <is>
          <t xml:space="preserve">         TDS u/s 194(O) (₹)</t>
        </is>
      </c>
      <c r="B350" s="461">
        <f>SUMIF('Final Calculation Sheet'!$G$4:$G$1000,"M I SCRAP TRADERS",'Final Calculation Sheet'!$L$4:$L$1000)</f>
        <v/>
      </c>
    </row>
    <row r="351" outlineLevel="2" ht="15" customHeight="1">
      <c r="A351" s="459" t="inlineStr">
        <is>
          <t xml:space="preserve">         Service Charge gross (₹)</t>
        </is>
      </c>
      <c r="B351" s="461">
        <f>SUMIF('Final Calculation Sheet'!$G$4:$G$1000,"M I SCRAP TRADERS",'Final Calculation Sheet'!$M$4:$M$1000)</f>
        <v/>
      </c>
    </row>
    <row r="352" outlineLevel="2" ht="15" customHeight="1">
      <c r="A352" s="459" t="inlineStr">
        <is>
          <t xml:space="preserve">         TDS u/s 194(H) (₹)</t>
        </is>
      </c>
      <c r="B352" s="461">
        <f>SUMIF('Final Calculation Sheet'!$G$4:$G$1000,"M I SCRAP TRADERS",'Final Calculation Sheet'!$N$4:$N$1000)</f>
        <v/>
      </c>
    </row>
    <row r="353" outlineLevel="2" ht="15" customHeight="1">
      <c r="A353" s="459" t="inlineStr">
        <is>
          <t xml:space="preserve">         Net Service Charge (₹)</t>
        </is>
      </c>
      <c r="B353" s="461">
        <f>SUMIF('Final Calculation Sheet'!$G$4:$G$1000,"M I SCRAP TRADERS",'Final Calculation Sheet'!$O$4:$O$1000)</f>
        <v/>
      </c>
    </row>
    <row r="354" outlineLevel="2" ht="15" customHeight="1">
      <c r="A354" s="459" t="inlineStr">
        <is>
          <t xml:space="preserve">         Svc Charge to MSTC (₹)</t>
        </is>
      </c>
      <c r="B354" s="213">
        <f>SUMIF('Final Calculation Sheet'!$G$4:$G$1000,"M I SCRAP TRADERS",'Final Calculation Sheet'!$P$4:$P$1000)</f>
        <v/>
      </c>
    </row>
    <row r="355" outlineLevel="2" ht="15" customHeight="1">
      <c r="A355" s="459" t="inlineStr">
        <is>
          <t xml:space="preserve">         GST TDS (₹)</t>
        </is>
      </c>
      <c r="B355" s="213">
        <f>SUMIF('Final Calculation Sheet'!$G$4:$G$1000,"M I SCRAP TRADERS",'Final Calculation Sheet'!$R$4:$R$1000)</f>
        <v/>
      </c>
    </row>
    <row r="356" outlineLevel="2" ht="15" customHeight="1">
      <c r="A356" s="459" t="inlineStr">
        <is>
          <t xml:space="preserve">         Total Receivables (₹)</t>
        </is>
      </c>
      <c r="B356" s="213">
        <f>SUMIF('Final Calculation Sheet'!$G$4:$G$1000,"M I SCRAP TRADERS",'Final Calculation Sheet'!$S$4:$S$1000)</f>
        <v/>
      </c>
    </row>
    <row r="357" outlineLevel="2" ht="15" customHeight="1">
      <c r="A357" s="459" t="inlineStr">
        <is>
          <t xml:space="preserve">         SD Expected (₹)</t>
        </is>
      </c>
      <c r="B357" s="213">
        <f>SUMIF('Final Calculation Sheet'!$G$4:$G$1000,"M I SCRAP TRADERS",'Final Calculation Sheet'!$T$4:$T$1000)</f>
        <v/>
      </c>
    </row>
    <row r="358" outlineLevel="2" ht="15" customHeight="1">
      <c r="A358" s="459" t="inlineStr">
        <is>
          <t xml:space="preserve">         SD Received (₹)</t>
        </is>
      </c>
      <c r="B358" s="213">
        <f>SUMIF('Final Calculation Sheet'!$G$4:$G$1000,"M I SCRAP TRADERS",'Final Calculation Sheet'!$U$4:$U$1000)</f>
        <v/>
      </c>
    </row>
    <row r="359" outlineLevel="2" ht="15" customHeight="1">
      <c r="A359" s="459" t="inlineStr">
        <is>
          <t xml:space="preserve">         FP Expected (₹)</t>
        </is>
      </c>
      <c r="B359" s="213">
        <f>SUMIF('Final Calculation Sheet'!$G$4:$G$1000,"M I SCRAP TRADERS",'Final Calculation Sheet'!$W$4:$W$1000)</f>
        <v/>
      </c>
    </row>
    <row r="360" outlineLevel="2" ht="15" customHeight="1">
      <c r="A360" s="459" t="inlineStr">
        <is>
          <t xml:space="preserve">         FP Received (₹)</t>
        </is>
      </c>
      <c r="B360" s="213">
        <f>SUMIF('Final Calculation Sheet'!$G$4:$G$1000,"M I SCRAP TRADERS",'Final Calculation Sheet'!$X$4:$X$1000)</f>
        <v/>
      </c>
    </row>
    <row r="361" outlineLevel="2" ht="15" customHeight="1">
      <c r="A361" s="459" t="inlineStr">
        <is>
          <t xml:space="preserve">         LPP Expected (₹)</t>
        </is>
      </c>
      <c r="B361" s="213">
        <f>SUMIF('Final Calculation Sheet'!$G$4:$G$1000,"M I SCRAP TRADERS",'Final Calculation Sheet'!$Z$4:$Z$1000)</f>
        <v/>
      </c>
    </row>
    <row r="362" outlineLevel="2" ht="15" customHeight="1">
      <c r="A362" s="459" t="inlineStr">
        <is>
          <t xml:space="preserve">         LPP Received (₹)</t>
        </is>
      </c>
      <c r="B362" s="213">
        <f>SUMIF('Final Calculation Sheet'!$G$4:$G$1000,"M I SCRAP TRADERS",'Final Calculation Sheet'!$AA$4:$AA$1000)</f>
        <v/>
      </c>
    </row>
    <row r="363" outlineLevel="2" ht="15" customHeight="1">
      <c r="A363" s="459" t="inlineStr">
        <is>
          <t xml:space="preserve">         Total Received (₹)</t>
        </is>
      </c>
      <c r="B363" s="213">
        <f>SUMIF('Final Calculation Sheet'!$G$4:$G$1000,"M I SCRAP TRADERS",'Final Calculation Sheet'!$AC$4:$AC$1000)</f>
        <v/>
      </c>
    </row>
    <row r="364" outlineLevel="2" ht="15" customHeight="1">
      <c r="A364" s="459" t="inlineStr">
        <is>
          <t xml:space="preserve">         Outstanding (₹)</t>
        </is>
      </c>
      <c r="B364" s="213">
        <f>SUMIF('Final Calculation Sheet'!$G$4:$G$1000,"M I SCRAP TRADERS",'Final Calculation Sheet'!$AD$4:$AD$1000)</f>
        <v/>
      </c>
    </row>
    <row r="365" ht="7" customHeight="1">
      <c r="A365" s="82" t="n"/>
      <c r="B365" s="82" t="n"/>
    </row>
    <row r="366" ht="24" customHeight="1">
      <c r="A36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08" t="n"/>
    </row>
    <row r="367" outlineLevel="1" ht="20" customHeight="1">
      <c r="A367" s="462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130" t="n"/>
    </row>
    <row r="368" outlineLevel="2" ht="16" customHeight="1">
      <c r="A368" s="463" t="inlineStr">
        <is>
          <t xml:space="preserve">      ▸ LOT INFORMATION</t>
        </is>
      </c>
      <c r="B368" s="464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463" t="inlineStr">
        <is>
          <t xml:space="preserve">      ▸ FINANCIALS</t>
        </is>
      </c>
      <c r="B375" s="464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463" t="inlineStr">
        <is>
          <t xml:space="preserve">      ▸ SECURITY DEPOSIT</t>
        </is>
      </c>
      <c r="B388" s="464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463" t="inlineStr">
        <is>
          <t xml:space="preserve">      ▸ FINAL PAYMENT</t>
        </is>
      </c>
      <c r="B392" s="464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463" t="inlineStr">
        <is>
          <t xml:space="preserve">      ▸ LPP</t>
        </is>
      </c>
      <c r="B396" s="464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463" t="inlineStr">
        <is>
          <t xml:space="preserve">      ▸ SUMMARY</t>
        </is>
      </c>
      <c r="B400" s="464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463" t="inlineStr">
        <is>
          <t xml:space="preserve">      ▸ DOCUMENT</t>
        </is>
      </c>
      <c r="B404" s="464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462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130" t="n"/>
    </row>
    <row r="409" outlineLevel="2" ht="16" customHeight="1">
      <c r="A409" s="463" t="inlineStr">
        <is>
          <t xml:space="preserve">      ▸ LOT INFORMATION</t>
        </is>
      </c>
      <c r="B409" s="464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463" t="inlineStr">
        <is>
          <t xml:space="preserve">      ▸ FINANCIALS</t>
        </is>
      </c>
      <c r="B416" s="464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463" t="inlineStr">
        <is>
          <t xml:space="preserve">      ▸ SECURITY DEPOSIT</t>
        </is>
      </c>
      <c r="B429" s="464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463" t="inlineStr">
        <is>
          <t xml:space="preserve">      ▸ FINAL PAYMENT</t>
        </is>
      </c>
      <c r="B433" s="464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463" t="inlineStr">
        <is>
          <t xml:space="preserve">      ▸ LPP</t>
        </is>
      </c>
      <c r="B437" s="464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463" t="inlineStr">
        <is>
          <t xml:space="preserve">      ▸ SUMMARY</t>
        </is>
      </c>
      <c r="B441" s="464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463" t="inlineStr">
        <is>
          <t xml:space="preserve">      ▸ DOCUMENT</t>
        </is>
      </c>
      <c r="B445" s="464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462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130" t="n"/>
    </row>
    <row r="450" outlineLevel="2" ht="16" customHeight="1">
      <c r="A450" s="463" t="inlineStr">
        <is>
          <t xml:space="preserve">      ▸ LOT INFORMATION</t>
        </is>
      </c>
      <c r="B450" s="464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463" t="inlineStr">
        <is>
          <t xml:space="preserve">      ▸ FINANCIALS</t>
        </is>
      </c>
      <c r="B457" s="464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463" t="inlineStr">
        <is>
          <t xml:space="preserve">      ▸ SECURITY DEPOSIT</t>
        </is>
      </c>
      <c r="B470" s="464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463" t="inlineStr">
        <is>
          <t xml:space="preserve">      ▸ FINAL PAYMENT</t>
        </is>
      </c>
      <c r="B474" s="464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463" t="inlineStr">
        <is>
          <t xml:space="preserve">      ▸ LPP</t>
        </is>
      </c>
      <c r="B478" s="464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463" t="inlineStr">
        <is>
          <t xml:space="preserve">      ▸ SUMMARY</t>
        </is>
      </c>
      <c r="B482" s="464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463" t="inlineStr">
        <is>
          <t xml:space="preserve">      ▸ DOCUMENT</t>
        </is>
      </c>
      <c r="B486" s="464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462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130" t="n"/>
    </row>
    <row r="491" outlineLevel="2" ht="16" customHeight="1">
      <c r="A491" s="463" t="inlineStr">
        <is>
          <t xml:space="preserve">      ▸ LOT INFORMATION</t>
        </is>
      </c>
      <c r="B491" s="464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463" t="inlineStr">
        <is>
          <t xml:space="preserve">      ▸ FINANCIALS</t>
        </is>
      </c>
      <c r="B498" s="464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463" t="inlineStr">
        <is>
          <t xml:space="preserve">      ▸ SECURITY DEPOSIT</t>
        </is>
      </c>
      <c r="B511" s="464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463" t="inlineStr">
        <is>
          <t xml:space="preserve">      ▸ FINAL PAYMENT</t>
        </is>
      </c>
      <c r="B515" s="464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463" t="inlineStr">
        <is>
          <t xml:space="preserve">      ▸ LPP</t>
        </is>
      </c>
      <c r="B519" s="464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463" t="inlineStr">
        <is>
          <t xml:space="preserve">      ▸ SUMMARY</t>
        </is>
      </c>
      <c r="B523" s="464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463" t="inlineStr">
        <is>
          <t xml:space="preserve">      ▸ DOCUMENT</t>
        </is>
      </c>
      <c r="B527" s="464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462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130" t="n"/>
    </row>
    <row r="532" outlineLevel="2" ht="16" customHeight="1">
      <c r="A532" s="463" t="inlineStr">
        <is>
          <t xml:space="preserve">      ▸ LOT INFORMATION</t>
        </is>
      </c>
      <c r="B532" s="464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463" t="inlineStr">
        <is>
          <t xml:space="preserve">      ▸ FINANCIALS</t>
        </is>
      </c>
      <c r="B539" s="464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463" t="inlineStr">
        <is>
          <t xml:space="preserve">      ▸ SECURITY DEPOSIT</t>
        </is>
      </c>
      <c r="B552" s="464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463" t="inlineStr">
        <is>
          <t xml:space="preserve">      ▸ FINAL PAYMENT</t>
        </is>
      </c>
      <c r="B556" s="464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463" t="inlineStr">
        <is>
          <t xml:space="preserve">      ▸ LPP</t>
        </is>
      </c>
      <c r="B560" s="464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463" t="inlineStr">
        <is>
          <t xml:space="preserve">      ▸ SUMMARY</t>
        </is>
      </c>
      <c r="B564" s="464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463" t="inlineStr">
        <is>
          <t xml:space="preserve">      ▸ DOCUMENT</t>
        </is>
      </c>
      <c r="B568" s="464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462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130" t="n"/>
    </row>
    <row r="573" outlineLevel="2" ht="16" customHeight="1">
      <c r="A573" s="463" t="inlineStr">
        <is>
          <t xml:space="preserve">      ▸ LOT INFORMATION</t>
        </is>
      </c>
      <c r="B573" s="464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463" t="inlineStr">
        <is>
          <t xml:space="preserve">      ▸ FINANCIALS</t>
        </is>
      </c>
      <c r="B580" s="464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463" t="inlineStr">
        <is>
          <t xml:space="preserve">      ▸ SECURITY DEPOSIT</t>
        </is>
      </c>
      <c r="B593" s="464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463" t="inlineStr">
        <is>
          <t xml:space="preserve">      ▸ FINAL PAYMENT</t>
        </is>
      </c>
      <c r="B597" s="464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463" t="inlineStr">
        <is>
          <t xml:space="preserve">      ▸ LPP</t>
        </is>
      </c>
      <c r="B601" s="464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463" t="inlineStr">
        <is>
          <t xml:space="preserve">      ▸ SUMMARY</t>
        </is>
      </c>
      <c r="B605" s="464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463" t="inlineStr">
        <is>
          <t xml:space="preserve">      ▸ DOCUMENT</t>
        </is>
      </c>
      <c r="B609" s="464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462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130" t="n"/>
    </row>
    <row r="614" outlineLevel="2" ht="16" customHeight="1">
      <c r="A614" s="463" t="inlineStr">
        <is>
          <t xml:space="preserve">      ▸ LOT INFORMATION</t>
        </is>
      </c>
      <c r="B614" s="464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463" t="inlineStr">
        <is>
          <t xml:space="preserve">      ▸ FINANCIALS</t>
        </is>
      </c>
      <c r="B621" s="464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463" t="inlineStr">
        <is>
          <t xml:space="preserve">      ▸ SECURITY DEPOSIT</t>
        </is>
      </c>
      <c r="B634" s="464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463" t="inlineStr">
        <is>
          <t xml:space="preserve">      ▸ FINAL PAYMENT</t>
        </is>
      </c>
      <c r="B638" s="464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463" t="inlineStr">
        <is>
          <t xml:space="preserve">      ▸ LPP</t>
        </is>
      </c>
      <c r="B642" s="464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463" t="inlineStr">
        <is>
          <t xml:space="preserve">      ▸ SUMMARY</t>
        </is>
      </c>
      <c r="B646" s="464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463" t="inlineStr">
        <is>
          <t xml:space="preserve">      ▸ DOCUMENT</t>
        </is>
      </c>
      <c r="B650" s="464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462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130" t="n"/>
    </row>
    <row r="655" outlineLevel="2" ht="16" customHeight="1">
      <c r="A655" s="463" t="inlineStr">
        <is>
          <t xml:space="preserve">      ▸ LOT INFORMATION</t>
        </is>
      </c>
      <c r="B655" s="464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463" t="inlineStr">
        <is>
          <t xml:space="preserve">      ▸ FINANCIALS</t>
        </is>
      </c>
      <c r="B662" s="464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463" t="inlineStr">
        <is>
          <t xml:space="preserve">      ▸ SECURITY DEPOSIT</t>
        </is>
      </c>
      <c r="B675" s="464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463" t="inlineStr">
        <is>
          <t xml:space="preserve">      ▸ FINAL PAYMENT</t>
        </is>
      </c>
      <c r="B679" s="464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463" t="inlineStr">
        <is>
          <t xml:space="preserve">      ▸ LPP</t>
        </is>
      </c>
      <c r="B683" s="464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463" t="inlineStr">
        <is>
          <t xml:space="preserve">      ▸ SUMMARY</t>
        </is>
      </c>
      <c r="B687" s="464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463" t="inlineStr">
        <is>
          <t xml:space="preserve">      ▸ DOCUMENT</t>
        </is>
      </c>
      <c r="B691" s="464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462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130" t="n"/>
    </row>
    <row r="696" outlineLevel="2" ht="16" customHeight="1">
      <c r="A696" s="463" t="inlineStr">
        <is>
          <t xml:space="preserve">      ▸ LOT INFORMATION</t>
        </is>
      </c>
      <c r="B696" s="464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463" t="inlineStr">
        <is>
          <t xml:space="preserve">      ▸ FINANCIALS</t>
        </is>
      </c>
      <c r="B703" s="464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463" t="inlineStr">
        <is>
          <t xml:space="preserve">      ▸ SECURITY DEPOSIT</t>
        </is>
      </c>
      <c r="B716" s="464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463" t="inlineStr">
        <is>
          <t xml:space="preserve">      ▸ FINAL PAYMENT</t>
        </is>
      </c>
      <c r="B720" s="464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463" t="inlineStr">
        <is>
          <t xml:space="preserve">      ▸ LPP</t>
        </is>
      </c>
      <c r="B724" s="464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463" t="inlineStr">
        <is>
          <t xml:space="preserve">      ▸ SUMMARY</t>
        </is>
      </c>
      <c r="B728" s="464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463" t="inlineStr">
        <is>
          <t xml:space="preserve">      ▸ DOCUMENT</t>
        </is>
      </c>
      <c r="B732" s="464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462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130" t="n"/>
    </row>
    <row r="737" outlineLevel="2" ht="16" customHeight="1">
      <c r="A737" s="463" t="inlineStr">
        <is>
          <t xml:space="preserve">      ▸ LOT INFORMATION</t>
        </is>
      </c>
      <c r="B737" s="464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463" t="inlineStr">
        <is>
          <t xml:space="preserve">      ▸ FINANCIALS</t>
        </is>
      </c>
      <c r="B744" s="464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463" t="inlineStr">
        <is>
          <t xml:space="preserve">      ▸ SECURITY DEPOSIT</t>
        </is>
      </c>
      <c r="B757" s="464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463" t="inlineStr">
        <is>
          <t xml:space="preserve">      ▸ FINAL PAYMENT</t>
        </is>
      </c>
      <c r="B761" s="464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463" t="inlineStr">
        <is>
          <t xml:space="preserve">      ▸ LPP</t>
        </is>
      </c>
      <c r="B765" s="464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463" t="inlineStr">
        <is>
          <t xml:space="preserve">      ▸ SUMMARY</t>
        </is>
      </c>
      <c r="B769" s="464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463" t="inlineStr">
        <is>
          <t xml:space="preserve">      ▸ DOCUMENT</t>
        </is>
      </c>
      <c r="B773" s="464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462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130" t="n"/>
    </row>
    <row r="778" outlineLevel="2" ht="16" customHeight="1">
      <c r="A778" s="463" t="inlineStr">
        <is>
          <t xml:space="preserve">      ▸ LOT INFORMATION</t>
        </is>
      </c>
      <c r="B778" s="464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463" t="inlineStr">
        <is>
          <t xml:space="preserve">      ▸ FINANCIALS</t>
        </is>
      </c>
      <c r="B785" s="464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463" t="inlineStr">
        <is>
          <t xml:space="preserve">      ▸ SECURITY DEPOSIT</t>
        </is>
      </c>
      <c r="B798" s="464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463" t="inlineStr">
        <is>
          <t xml:space="preserve">      ▸ FINAL PAYMENT</t>
        </is>
      </c>
      <c r="B802" s="464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463" t="inlineStr">
        <is>
          <t xml:space="preserve">      ▸ LPP</t>
        </is>
      </c>
      <c r="B806" s="464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463" t="inlineStr">
        <is>
          <t xml:space="preserve">      ▸ SUMMARY</t>
        </is>
      </c>
      <c r="B810" s="464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463" t="inlineStr">
        <is>
          <t xml:space="preserve">      ▸ DOCUMENT</t>
        </is>
      </c>
      <c r="B814" s="464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462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130" t="n"/>
    </row>
    <row r="819" outlineLevel="2" ht="16" customHeight="1">
      <c r="A819" s="463" t="inlineStr">
        <is>
          <t xml:space="preserve">      ▸ LOT INFORMATION</t>
        </is>
      </c>
      <c r="B819" s="464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463" t="inlineStr">
        <is>
          <t xml:space="preserve">      ▸ FINANCIALS</t>
        </is>
      </c>
      <c r="B826" s="464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463" t="inlineStr">
        <is>
          <t xml:space="preserve">      ▸ SECURITY DEPOSIT</t>
        </is>
      </c>
      <c r="B839" s="464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463" t="inlineStr">
        <is>
          <t xml:space="preserve">      ▸ FINAL PAYMENT</t>
        </is>
      </c>
      <c r="B843" s="464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463" t="inlineStr">
        <is>
          <t xml:space="preserve">      ▸ LPP</t>
        </is>
      </c>
      <c r="B847" s="464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463" t="inlineStr">
        <is>
          <t xml:space="preserve">      ▸ SUMMARY</t>
        </is>
      </c>
      <c r="B851" s="464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463" t="inlineStr">
        <is>
          <t xml:space="preserve">      ▸ DOCUMENT</t>
        </is>
      </c>
      <c r="B855" s="464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462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130" t="n"/>
    </row>
    <row r="860" outlineLevel="2" ht="16" customHeight="1">
      <c r="A860" s="463" t="inlineStr">
        <is>
          <t xml:space="preserve">      ▸ LOT INFORMATION</t>
        </is>
      </c>
      <c r="B860" s="464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463" t="inlineStr">
        <is>
          <t xml:space="preserve">      ▸ FINANCIALS</t>
        </is>
      </c>
      <c r="B867" s="464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463" t="inlineStr">
        <is>
          <t xml:space="preserve">      ▸ SECURITY DEPOSIT</t>
        </is>
      </c>
      <c r="B880" s="464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463" t="inlineStr">
        <is>
          <t xml:space="preserve">      ▸ FINAL PAYMENT</t>
        </is>
      </c>
      <c r="B884" s="464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463" t="inlineStr">
        <is>
          <t xml:space="preserve">      ▸ LPP</t>
        </is>
      </c>
      <c r="B888" s="464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463" t="inlineStr">
        <is>
          <t xml:space="preserve">      ▸ SUMMARY</t>
        </is>
      </c>
      <c r="B892" s="464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463" t="inlineStr">
        <is>
          <t xml:space="preserve">      ▸ DOCUMENT</t>
        </is>
      </c>
      <c r="B896" s="464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465" t="inlineStr">
        <is>
          <t xml:space="preserve">   ∑  NATIONAL ENTERPRISES — TOTALS (all its lots)</t>
        </is>
      </c>
      <c r="B900" s="308" t="n"/>
    </row>
    <row r="901" outlineLevel="2" ht="15" customHeight="1">
      <c r="A901" s="466" t="inlineStr">
        <is>
          <t xml:space="preserve">         Quantity</t>
        </is>
      </c>
      <c r="B901" s="467">
        <f>SUMIF('Final Calculation Sheet'!$G$4:$G$1000,"NATIONAL ENTERPRISES",'Final Calculation Sheet'!$A$4:$A$1000)</f>
        <v/>
      </c>
    </row>
    <row r="902" outlineLevel="2" ht="15" customHeight="1">
      <c r="A902" s="466" t="inlineStr">
        <is>
          <t xml:space="preserve">         Mat. Value (₹)</t>
        </is>
      </c>
      <c r="B902" s="468">
        <f>SUMIF('Final Calculation Sheet'!$G$4:$G$1000,"NATIONAL ENTERPRISES",'Final Calculation Sheet'!$H$4:$H$1000)</f>
        <v/>
      </c>
    </row>
    <row r="903" outlineLevel="2" ht="15" customHeight="1">
      <c r="A903" s="466" t="inlineStr">
        <is>
          <t xml:space="preserve">         GST @ 18% (₹)</t>
        </is>
      </c>
      <c r="B903" s="468">
        <f>SUMIF('Final Calculation Sheet'!$G$4:$G$1000,"NATIONAL ENTERPRISES",'Final Calculation Sheet'!$I$4:$I$1000)</f>
        <v/>
      </c>
    </row>
    <row r="904" outlineLevel="2" ht="15" customHeight="1">
      <c r="A904" s="466" t="inlineStr">
        <is>
          <t xml:space="preserve">         Mat. Value + GST (₹)</t>
        </is>
      </c>
      <c r="B904" s="468">
        <f>SUMIF('Final Calculation Sheet'!$G$4:$G$1000,"NATIONAL ENTERPRISES",'Final Calculation Sheet'!$J$4:$J$1000)</f>
        <v/>
      </c>
    </row>
    <row r="905" outlineLevel="2" ht="15" customHeight="1">
      <c r="A905" s="466" t="inlineStr">
        <is>
          <t xml:space="preserve">         TCS @ 2% (₹)</t>
        </is>
      </c>
      <c r="B905" s="468">
        <f>SUMIF('Final Calculation Sheet'!$G$4:$G$1000,"NATIONAL ENTERPRISES",'Final Calculation Sheet'!$K$4:$K$1000)</f>
        <v/>
      </c>
    </row>
    <row r="906" outlineLevel="2" ht="15" customHeight="1">
      <c r="A906" s="466" t="inlineStr">
        <is>
          <t xml:space="preserve">         TDS u/s 194(O) (₹)</t>
        </is>
      </c>
      <c r="B906" s="469">
        <f>SUMIF('Final Calculation Sheet'!$G$4:$G$1000,"NATIONAL ENTERPRISES",'Final Calculation Sheet'!$L$4:$L$1000)</f>
        <v/>
      </c>
    </row>
    <row r="907" outlineLevel="2" ht="15" customHeight="1">
      <c r="A907" s="466" t="inlineStr">
        <is>
          <t xml:space="preserve">         Service Charge gross (₹)</t>
        </is>
      </c>
      <c r="B907" s="469">
        <f>SUMIF('Final Calculation Sheet'!$G$4:$G$1000,"NATIONAL ENTERPRISES",'Final Calculation Sheet'!$M$4:$M$1000)</f>
        <v/>
      </c>
    </row>
    <row r="908" outlineLevel="2" ht="15" customHeight="1">
      <c r="A908" s="466" t="inlineStr">
        <is>
          <t xml:space="preserve">         TDS u/s 194(H) (₹)</t>
        </is>
      </c>
      <c r="B908" s="469">
        <f>SUMIF('Final Calculation Sheet'!$G$4:$G$1000,"NATIONAL ENTERPRISES",'Final Calculation Sheet'!$N$4:$N$1000)</f>
        <v/>
      </c>
    </row>
    <row r="909" outlineLevel="2" ht="15" customHeight="1">
      <c r="A909" s="466" t="inlineStr">
        <is>
          <t xml:space="preserve">         Net Service Charge (₹)</t>
        </is>
      </c>
      <c r="B909" s="469">
        <f>SUMIF('Final Calculation Sheet'!$G$4:$G$1000,"NATIONAL ENTERPRISES",'Final Calculation Sheet'!$O$4:$O$1000)</f>
        <v/>
      </c>
    </row>
    <row r="910" outlineLevel="2" ht="15" customHeight="1">
      <c r="A910" s="466" t="inlineStr">
        <is>
          <t xml:space="preserve">         Svc Charge to MSTC (₹)</t>
        </is>
      </c>
      <c r="B910" s="468">
        <f>SUMIF('Final Calculation Sheet'!$G$4:$G$1000,"NATIONAL ENTERPRISES",'Final Calculation Sheet'!$P$4:$P$1000)</f>
        <v/>
      </c>
    </row>
    <row r="911" outlineLevel="2" ht="15" customHeight="1">
      <c r="A911" s="466" t="inlineStr">
        <is>
          <t xml:space="preserve">         GST TDS (₹)</t>
        </is>
      </c>
      <c r="B911" s="468">
        <f>SUMIF('Final Calculation Sheet'!$G$4:$G$1000,"NATIONAL ENTERPRISES",'Final Calculation Sheet'!$R$4:$R$1000)</f>
        <v/>
      </c>
    </row>
    <row r="912" outlineLevel="2" ht="15" customHeight="1">
      <c r="A912" s="466" t="inlineStr">
        <is>
          <t xml:space="preserve">         Total Receivables (₹)</t>
        </is>
      </c>
      <c r="B912" s="468">
        <f>SUMIF('Final Calculation Sheet'!$G$4:$G$1000,"NATIONAL ENTERPRISES",'Final Calculation Sheet'!$S$4:$S$1000)</f>
        <v/>
      </c>
    </row>
    <row r="913" outlineLevel="2" ht="15" customHeight="1">
      <c r="A913" s="466" t="inlineStr">
        <is>
          <t xml:space="preserve">         SD Expected (₹)</t>
        </is>
      </c>
      <c r="B913" s="468">
        <f>SUMIF('Final Calculation Sheet'!$G$4:$G$1000,"NATIONAL ENTERPRISES",'Final Calculation Sheet'!$T$4:$T$1000)</f>
        <v/>
      </c>
    </row>
    <row r="914" outlineLevel="2" ht="15" customHeight="1">
      <c r="A914" s="466" t="inlineStr">
        <is>
          <t xml:space="preserve">         SD Received (₹)</t>
        </is>
      </c>
      <c r="B914" s="468">
        <f>SUMIF('Final Calculation Sheet'!$G$4:$G$1000,"NATIONAL ENTERPRISES",'Final Calculation Sheet'!$U$4:$U$1000)</f>
        <v/>
      </c>
    </row>
    <row r="915" outlineLevel="2" ht="15" customHeight="1">
      <c r="A915" s="466" t="inlineStr">
        <is>
          <t xml:space="preserve">         FP Expected (₹)</t>
        </is>
      </c>
      <c r="B915" s="468">
        <f>SUMIF('Final Calculation Sheet'!$G$4:$G$1000,"NATIONAL ENTERPRISES",'Final Calculation Sheet'!$W$4:$W$1000)</f>
        <v/>
      </c>
    </row>
    <row r="916" outlineLevel="2" ht="15" customHeight="1">
      <c r="A916" s="466" t="inlineStr">
        <is>
          <t xml:space="preserve">         FP Received (₹)</t>
        </is>
      </c>
      <c r="B916" s="468">
        <f>SUMIF('Final Calculation Sheet'!$G$4:$G$1000,"NATIONAL ENTERPRISES",'Final Calculation Sheet'!$X$4:$X$1000)</f>
        <v/>
      </c>
    </row>
    <row r="917" outlineLevel="2" ht="15" customHeight="1">
      <c r="A917" s="466" t="inlineStr">
        <is>
          <t xml:space="preserve">         LPP Expected (₹)</t>
        </is>
      </c>
      <c r="B917" s="468">
        <f>SUMIF('Final Calculation Sheet'!$G$4:$G$1000,"NATIONAL ENTERPRISES",'Final Calculation Sheet'!$Z$4:$Z$1000)</f>
        <v/>
      </c>
    </row>
    <row r="918" outlineLevel="2" ht="15" customHeight="1">
      <c r="A918" s="466" t="inlineStr">
        <is>
          <t xml:space="preserve">         LPP Received (₹)</t>
        </is>
      </c>
      <c r="B918" s="468">
        <f>SUMIF('Final Calculation Sheet'!$G$4:$G$1000,"NATIONAL ENTERPRISES",'Final Calculation Sheet'!$AA$4:$AA$1000)</f>
        <v/>
      </c>
    </row>
    <row r="919" outlineLevel="2" ht="15" customHeight="1">
      <c r="A919" s="466" t="inlineStr">
        <is>
          <t xml:space="preserve">         Total Received (₹)</t>
        </is>
      </c>
      <c r="B919" s="468">
        <f>SUMIF('Final Calculation Sheet'!$G$4:$G$1000,"NATIONAL ENTERPRISES",'Final Calculation Sheet'!$AC$4:$AC$1000)</f>
        <v/>
      </c>
    </row>
    <row r="920" outlineLevel="2" ht="15" customHeight="1">
      <c r="A920" s="466" t="inlineStr">
        <is>
          <t xml:space="preserve">         Outstanding (₹)</t>
        </is>
      </c>
      <c r="B920" s="468">
        <f>SUMIF('Final Calculation Sheet'!$G$4:$G$1000,"NATIONAL ENTERPRISES",'Final Calculation Sheet'!$AD$4:$AD$1000)</f>
        <v/>
      </c>
    </row>
    <row r="921" ht="7" customHeight="1">
      <c r="A921" s="82" t="n"/>
      <c r="B921" s="82" t="n"/>
    </row>
    <row r="922" ht="24" customHeight="1">
      <c r="A92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26" t="n"/>
    </row>
    <row r="923" outlineLevel="1" ht="20" customHeight="1">
      <c r="A923" s="47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145" t="n"/>
    </row>
    <row r="924" outlineLevel="2" ht="16" customHeight="1">
      <c r="A924" s="471" t="inlineStr">
        <is>
          <t xml:space="preserve">      ▸ LOT INFORMATION</t>
        </is>
      </c>
      <c r="B924" s="472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471" t="inlineStr">
        <is>
          <t xml:space="preserve">      ▸ FINANCIALS</t>
        </is>
      </c>
      <c r="B931" s="472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471" t="inlineStr">
        <is>
          <t xml:space="preserve">      ▸ SECURITY DEPOSIT</t>
        </is>
      </c>
      <c r="B944" s="472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471" t="inlineStr">
        <is>
          <t xml:space="preserve">      ▸ FINAL PAYMENT</t>
        </is>
      </c>
      <c r="B948" s="472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471" t="inlineStr">
        <is>
          <t xml:space="preserve">      ▸ LPP</t>
        </is>
      </c>
      <c r="B952" s="472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471" t="inlineStr">
        <is>
          <t xml:space="preserve">      ▸ SUMMARY</t>
        </is>
      </c>
      <c r="B956" s="472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471" t="inlineStr">
        <is>
          <t xml:space="preserve">      ▸ DOCUMENT</t>
        </is>
      </c>
      <c r="B960" s="472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473" t="inlineStr">
        <is>
          <t xml:space="preserve">   ∑  NATIONAL SCRAP AND BUILDING MATERIAL SUPPLIER — TOTALS (all its lots)</t>
        </is>
      </c>
      <c r="B964" s="326" t="n"/>
    </row>
    <row r="965" outlineLevel="2" ht="15" customHeight="1">
      <c r="A965" s="474" t="inlineStr">
        <is>
          <t xml:space="preserve">         Quantity</t>
        </is>
      </c>
      <c r="B965" s="475">
        <f>SUMIF('Final Calculation Sheet'!$G$4:$G$1000,"NATIONAL SCRAP AND BUILDING MATERIAL SUPPLIER",'Final Calculation Sheet'!$A$4:$A$1000)</f>
        <v/>
      </c>
    </row>
    <row r="966" outlineLevel="2" ht="15" customHeight="1">
      <c r="A966" s="474" t="inlineStr">
        <is>
          <t xml:space="preserve">         Mat. Value (₹)</t>
        </is>
      </c>
      <c r="B966" s="220">
        <f>SUMIF('Final Calculation Sheet'!$G$4:$G$1000,"NATIONAL SCRAP AND BUILDING MATERIAL SUPPLIER",'Final Calculation Sheet'!$H$4:$H$1000)</f>
        <v/>
      </c>
    </row>
    <row r="967" outlineLevel="2" ht="15" customHeight="1">
      <c r="A967" s="474" t="inlineStr">
        <is>
          <t xml:space="preserve">         GST @ 18% (₹)</t>
        </is>
      </c>
      <c r="B967" s="220">
        <f>SUMIF('Final Calculation Sheet'!$G$4:$G$1000,"NATIONAL SCRAP AND BUILDING MATERIAL SUPPLIER",'Final Calculation Sheet'!$I$4:$I$1000)</f>
        <v/>
      </c>
    </row>
    <row r="968" outlineLevel="2" ht="15" customHeight="1">
      <c r="A968" s="474" t="inlineStr">
        <is>
          <t xml:space="preserve">         Mat. Value + GST (₹)</t>
        </is>
      </c>
      <c r="B968" s="220">
        <f>SUMIF('Final Calculation Sheet'!$G$4:$G$1000,"NATIONAL SCRAP AND BUILDING MATERIAL SUPPLIER",'Final Calculation Sheet'!$J$4:$J$1000)</f>
        <v/>
      </c>
    </row>
    <row r="969" outlineLevel="2" ht="15" customHeight="1">
      <c r="A969" s="474" t="inlineStr">
        <is>
          <t xml:space="preserve">         TCS @ 2% (₹)</t>
        </is>
      </c>
      <c r="B969" s="220">
        <f>SUMIF('Final Calculation Sheet'!$G$4:$G$1000,"NATIONAL SCRAP AND BUILDING MATERIAL SUPPLIER",'Final Calculation Sheet'!$K$4:$K$1000)</f>
        <v/>
      </c>
    </row>
    <row r="970" outlineLevel="2" ht="15" customHeight="1">
      <c r="A970" s="474" t="inlineStr">
        <is>
          <t xml:space="preserve">         TDS u/s 194(O) (₹)</t>
        </is>
      </c>
      <c r="B970" s="476">
        <f>SUMIF('Final Calculation Sheet'!$G$4:$G$1000,"NATIONAL SCRAP AND BUILDING MATERIAL SUPPLIER",'Final Calculation Sheet'!$L$4:$L$1000)</f>
        <v/>
      </c>
    </row>
    <row r="971" outlineLevel="2" ht="15" customHeight="1">
      <c r="A971" s="474" t="inlineStr">
        <is>
          <t xml:space="preserve">         Service Charge gross (₹)</t>
        </is>
      </c>
      <c r="B971" s="476">
        <f>SUMIF('Final Calculation Sheet'!$G$4:$G$1000,"NATIONAL SCRAP AND BUILDING MATERIAL SUPPLIER",'Final Calculation Sheet'!$M$4:$M$1000)</f>
        <v/>
      </c>
    </row>
    <row r="972" outlineLevel="2" ht="15" customHeight="1">
      <c r="A972" s="474" t="inlineStr">
        <is>
          <t xml:space="preserve">         TDS u/s 194(H) (₹)</t>
        </is>
      </c>
      <c r="B972" s="476">
        <f>SUMIF('Final Calculation Sheet'!$G$4:$G$1000,"NATIONAL SCRAP AND BUILDING MATERIAL SUPPLIER",'Final Calculation Sheet'!$N$4:$N$1000)</f>
        <v/>
      </c>
    </row>
    <row r="973" outlineLevel="2" ht="15" customHeight="1">
      <c r="A973" s="474" t="inlineStr">
        <is>
          <t xml:space="preserve">         Net Service Charge (₹)</t>
        </is>
      </c>
      <c r="B973" s="476">
        <f>SUMIF('Final Calculation Sheet'!$G$4:$G$1000,"NATIONAL SCRAP AND BUILDING MATERIAL SUPPLIER",'Final Calculation Sheet'!$O$4:$O$1000)</f>
        <v/>
      </c>
    </row>
    <row r="974" outlineLevel="2" ht="15" customHeight="1">
      <c r="A974" s="474" t="inlineStr">
        <is>
          <t xml:space="preserve">         Svc Charge to MSTC (₹)</t>
        </is>
      </c>
      <c r="B974" s="220">
        <f>SUMIF('Final Calculation Sheet'!$G$4:$G$1000,"NATIONAL SCRAP AND BUILDING MATERIAL SUPPLIER",'Final Calculation Sheet'!$P$4:$P$1000)</f>
        <v/>
      </c>
    </row>
    <row r="975" outlineLevel="2" ht="15" customHeight="1">
      <c r="A975" s="474" t="inlineStr">
        <is>
          <t xml:space="preserve">         GST TDS (₹)</t>
        </is>
      </c>
      <c r="B975" s="220">
        <f>SUMIF('Final Calculation Sheet'!$G$4:$G$1000,"NATIONAL SCRAP AND BUILDING MATERIAL SUPPLIER",'Final Calculation Sheet'!$R$4:$R$1000)</f>
        <v/>
      </c>
    </row>
    <row r="976" outlineLevel="2" ht="15" customHeight="1">
      <c r="A976" s="474" t="inlineStr">
        <is>
          <t xml:space="preserve">         Total Receivables (₹)</t>
        </is>
      </c>
      <c r="B976" s="220">
        <f>SUMIF('Final Calculation Sheet'!$G$4:$G$1000,"NATIONAL SCRAP AND BUILDING MATERIAL SUPPLIER",'Final Calculation Sheet'!$S$4:$S$1000)</f>
        <v/>
      </c>
    </row>
    <row r="977" outlineLevel="2" ht="15" customHeight="1">
      <c r="A977" s="474" t="inlineStr">
        <is>
          <t xml:space="preserve">         SD Expected (₹)</t>
        </is>
      </c>
      <c r="B977" s="220">
        <f>SUMIF('Final Calculation Sheet'!$G$4:$G$1000,"NATIONAL SCRAP AND BUILDING MATERIAL SUPPLIER",'Final Calculation Sheet'!$T$4:$T$1000)</f>
        <v/>
      </c>
    </row>
    <row r="978" outlineLevel="2" ht="15" customHeight="1">
      <c r="A978" s="474" t="inlineStr">
        <is>
          <t xml:space="preserve">         SD Received (₹)</t>
        </is>
      </c>
      <c r="B978" s="220">
        <f>SUMIF('Final Calculation Sheet'!$G$4:$G$1000,"NATIONAL SCRAP AND BUILDING MATERIAL SUPPLIER",'Final Calculation Sheet'!$U$4:$U$1000)</f>
        <v/>
      </c>
    </row>
    <row r="979" outlineLevel="2" ht="15" customHeight="1">
      <c r="A979" s="474" t="inlineStr">
        <is>
          <t xml:space="preserve">         FP Expected (₹)</t>
        </is>
      </c>
      <c r="B979" s="220">
        <f>SUMIF('Final Calculation Sheet'!$G$4:$G$1000,"NATIONAL SCRAP AND BUILDING MATERIAL SUPPLIER",'Final Calculation Sheet'!$W$4:$W$1000)</f>
        <v/>
      </c>
    </row>
    <row r="980" outlineLevel="2" ht="15" customHeight="1">
      <c r="A980" s="474" t="inlineStr">
        <is>
          <t xml:space="preserve">         FP Received (₹)</t>
        </is>
      </c>
      <c r="B980" s="220">
        <f>SUMIF('Final Calculation Sheet'!$G$4:$G$1000,"NATIONAL SCRAP AND BUILDING MATERIAL SUPPLIER",'Final Calculation Sheet'!$X$4:$X$1000)</f>
        <v/>
      </c>
    </row>
    <row r="981" outlineLevel="2" ht="15" customHeight="1">
      <c r="A981" s="474" t="inlineStr">
        <is>
          <t xml:space="preserve">         LPP Expected (₹)</t>
        </is>
      </c>
      <c r="B981" s="220">
        <f>SUMIF('Final Calculation Sheet'!$G$4:$G$1000,"NATIONAL SCRAP AND BUILDING MATERIAL SUPPLIER",'Final Calculation Sheet'!$Z$4:$Z$1000)</f>
        <v/>
      </c>
    </row>
    <row r="982" outlineLevel="2" ht="15" customHeight="1">
      <c r="A982" s="474" t="inlineStr">
        <is>
          <t xml:space="preserve">         LPP Received (₹)</t>
        </is>
      </c>
      <c r="B982" s="220">
        <f>SUMIF('Final Calculation Sheet'!$G$4:$G$1000,"NATIONAL SCRAP AND BUILDING MATERIAL SUPPLIER",'Final Calculation Sheet'!$AA$4:$AA$1000)</f>
        <v/>
      </c>
    </row>
    <row r="983" outlineLevel="2" ht="15" customHeight="1">
      <c r="A983" s="474" t="inlineStr">
        <is>
          <t xml:space="preserve">         Total Received (₹)</t>
        </is>
      </c>
      <c r="B983" s="220">
        <f>SUMIF('Final Calculation Sheet'!$G$4:$G$1000,"NATIONAL SCRAP AND BUILDING MATERIAL SUPPLIER",'Final Calculation Sheet'!$AC$4:$AC$1000)</f>
        <v/>
      </c>
    </row>
    <row r="984" outlineLevel="2" ht="15" customHeight="1">
      <c r="A984" s="474" t="inlineStr">
        <is>
          <t xml:space="preserve">         Outstanding (₹)</t>
        </is>
      </c>
      <c r="B984" s="220">
        <f>SUMIF('Final Calculation Sheet'!$G$4:$G$1000,"NATIONAL SCRAP AND BUILDING MATERIAL SUPPLIER",'Final Calculation Sheet'!$AD$4:$AD$1000)</f>
        <v/>
      </c>
    </row>
    <row r="985" ht="7" customHeight="1">
      <c r="A985" s="82" t="n"/>
      <c r="B985" s="82" t="n"/>
    </row>
    <row r="986" ht="24" customHeight="1">
      <c r="A98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38" t="n"/>
    </row>
    <row r="987" outlineLevel="1" ht="20" customHeight="1">
      <c r="A987" s="477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154" t="n"/>
    </row>
    <row r="988" outlineLevel="2" ht="16" customHeight="1">
      <c r="A988" s="478" t="inlineStr">
        <is>
          <t xml:space="preserve">      ▸ LOT INFORMATION</t>
        </is>
      </c>
      <c r="B988" s="479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478" t="inlineStr">
        <is>
          <t xml:space="preserve">      ▸ FINANCIALS</t>
        </is>
      </c>
      <c r="B995" s="479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478" t="inlineStr">
        <is>
          <t xml:space="preserve">      ▸ SECURITY DEPOSIT</t>
        </is>
      </c>
      <c r="B1008" s="479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478" t="inlineStr">
        <is>
          <t xml:space="preserve">      ▸ FINAL PAYMENT</t>
        </is>
      </c>
      <c r="B1012" s="479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478" t="inlineStr">
        <is>
          <t xml:space="preserve">      ▸ LPP</t>
        </is>
      </c>
      <c r="B1016" s="479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478" t="inlineStr">
        <is>
          <t xml:space="preserve">      ▸ SUMMARY</t>
        </is>
      </c>
      <c r="B1020" s="479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478" t="inlineStr">
        <is>
          <t xml:space="preserve">      ▸ DOCUMENT</t>
        </is>
      </c>
      <c r="B1024" s="479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477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154" t="n"/>
    </row>
    <row r="1029" outlineLevel="2" ht="16" customHeight="1">
      <c r="A1029" s="478" t="inlineStr">
        <is>
          <t xml:space="preserve">      ▸ LOT INFORMATION</t>
        </is>
      </c>
      <c r="B1029" s="479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478" t="inlineStr">
        <is>
          <t xml:space="preserve">      ▸ FINANCIALS</t>
        </is>
      </c>
      <c r="B1036" s="479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478" t="inlineStr">
        <is>
          <t xml:space="preserve">      ▸ SECURITY DEPOSIT</t>
        </is>
      </c>
      <c r="B1049" s="479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478" t="inlineStr">
        <is>
          <t xml:space="preserve">      ▸ FINAL PAYMENT</t>
        </is>
      </c>
      <c r="B1053" s="479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478" t="inlineStr">
        <is>
          <t xml:space="preserve">      ▸ LPP</t>
        </is>
      </c>
      <c r="B1057" s="479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478" t="inlineStr">
        <is>
          <t xml:space="preserve">      ▸ SUMMARY</t>
        </is>
      </c>
      <c r="B1061" s="479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478" t="inlineStr">
        <is>
          <t xml:space="preserve">      ▸ DOCUMENT</t>
        </is>
      </c>
      <c r="B1065" s="479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480" t="inlineStr">
        <is>
          <t xml:space="preserve">   ∑  OMKAR STEELS — TOTALS (all its lots)</t>
        </is>
      </c>
      <c r="B1069" s="338" t="n"/>
    </row>
    <row r="1070" outlineLevel="2" ht="15" customHeight="1">
      <c r="A1070" s="481" t="inlineStr">
        <is>
          <t xml:space="preserve">         Quantity</t>
        </is>
      </c>
      <c r="B1070" s="482">
        <f>SUMIF('Final Calculation Sheet'!$G$4:$G$1000,"OMKAR STEELS",'Final Calculation Sheet'!$A$4:$A$1000)</f>
        <v/>
      </c>
    </row>
    <row r="1071" outlineLevel="2" ht="15" customHeight="1">
      <c r="A1071" s="481" t="inlineStr">
        <is>
          <t xml:space="preserve">         Mat. Value (₹)</t>
        </is>
      </c>
      <c r="B1071" s="483">
        <f>SUMIF('Final Calculation Sheet'!$G$4:$G$1000,"OMKAR STEELS",'Final Calculation Sheet'!$H$4:$H$1000)</f>
        <v/>
      </c>
    </row>
    <row r="1072" outlineLevel="2" ht="15" customHeight="1">
      <c r="A1072" s="481" t="inlineStr">
        <is>
          <t xml:space="preserve">         GST @ 18% (₹)</t>
        </is>
      </c>
      <c r="B1072" s="483">
        <f>SUMIF('Final Calculation Sheet'!$G$4:$G$1000,"OMKAR STEELS",'Final Calculation Sheet'!$I$4:$I$1000)</f>
        <v/>
      </c>
    </row>
    <row r="1073" outlineLevel="2" ht="15" customHeight="1">
      <c r="A1073" s="481" t="inlineStr">
        <is>
          <t xml:space="preserve">         Mat. Value + GST (₹)</t>
        </is>
      </c>
      <c r="B1073" s="483">
        <f>SUMIF('Final Calculation Sheet'!$G$4:$G$1000,"OMKAR STEELS",'Final Calculation Sheet'!$J$4:$J$1000)</f>
        <v/>
      </c>
    </row>
    <row r="1074" outlineLevel="2" ht="15" customHeight="1">
      <c r="A1074" s="481" t="inlineStr">
        <is>
          <t xml:space="preserve">         TCS @ 2% (₹)</t>
        </is>
      </c>
      <c r="B1074" s="483">
        <f>SUMIF('Final Calculation Sheet'!$G$4:$G$1000,"OMKAR STEELS",'Final Calculation Sheet'!$K$4:$K$1000)</f>
        <v/>
      </c>
    </row>
    <row r="1075" outlineLevel="2" ht="15" customHeight="1">
      <c r="A1075" s="481" t="inlineStr">
        <is>
          <t xml:space="preserve">         TDS u/s 194(O) (₹)</t>
        </is>
      </c>
      <c r="B1075" s="484">
        <f>SUMIF('Final Calculation Sheet'!$G$4:$G$1000,"OMKAR STEELS",'Final Calculation Sheet'!$L$4:$L$1000)</f>
        <v/>
      </c>
    </row>
    <row r="1076" outlineLevel="2" ht="15" customHeight="1">
      <c r="A1076" s="481" t="inlineStr">
        <is>
          <t xml:space="preserve">         Service Charge gross (₹)</t>
        </is>
      </c>
      <c r="B1076" s="484">
        <f>SUMIF('Final Calculation Sheet'!$G$4:$G$1000,"OMKAR STEELS",'Final Calculation Sheet'!$M$4:$M$1000)</f>
        <v/>
      </c>
    </row>
    <row r="1077" outlineLevel="2" ht="15" customHeight="1">
      <c r="A1077" s="481" t="inlineStr">
        <is>
          <t xml:space="preserve">         TDS u/s 194(H) (₹)</t>
        </is>
      </c>
      <c r="B1077" s="484">
        <f>SUMIF('Final Calculation Sheet'!$G$4:$G$1000,"OMKAR STEELS",'Final Calculation Sheet'!$N$4:$N$1000)</f>
        <v/>
      </c>
    </row>
    <row r="1078" outlineLevel="2" ht="15" customHeight="1">
      <c r="A1078" s="481" t="inlineStr">
        <is>
          <t xml:space="preserve">         Net Service Charge (₹)</t>
        </is>
      </c>
      <c r="B1078" s="484">
        <f>SUMIF('Final Calculation Sheet'!$G$4:$G$1000,"OMKAR STEELS",'Final Calculation Sheet'!$O$4:$O$1000)</f>
        <v/>
      </c>
    </row>
    <row r="1079" outlineLevel="2" ht="15" customHeight="1">
      <c r="A1079" s="481" t="inlineStr">
        <is>
          <t xml:space="preserve">         Svc Charge to MSTC (₹)</t>
        </is>
      </c>
      <c r="B1079" s="483">
        <f>SUMIF('Final Calculation Sheet'!$G$4:$G$1000,"OMKAR STEELS",'Final Calculation Sheet'!$P$4:$P$1000)</f>
        <v/>
      </c>
    </row>
    <row r="1080" outlineLevel="2" ht="15" customHeight="1">
      <c r="A1080" s="481" t="inlineStr">
        <is>
          <t xml:space="preserve">         GST TDS (₹)</t>
        </is>
      </c>
      <c r="B1080" s="483">
        <f>SUMIF('Final Calculation Sheet'!$G$4:$G$1000,"OMKAR STEELS",'Final Calculation Sheet'!$R$4:$R$1000)</f>
        <v/>
      </c>
    </row>
    <row r="1081" outlineLevel="2" ht="15" customHeight="1">
      <c r="A1081" s="481" t="inlineStr">
        <is>
          <t xml:space="preserve">         Total Receivables (₹)</t>
        </is>
      </c>
      <c r="B1081" s="483">
        <f>SUMIF('Final Calculation Sheet'!$G$4:$G$1000,"OMKAR STEELS",'Final Calculation Sheet'!$S$4:$S$1000)</f>
        <v/>
      </c>
    </row>
    <row r="1082" outlineLevel="2" ht="15" customHeight="1">
      <c r="A1082" s="481" t="inlineStr">
        <is>
          <t xml:space="preserve">         SD Expected (₹)</t>
        </is>
      </c>
      <c r="B1082" s="483">
        <f>SUMIF('Final Calculation Sheet'!$G$4:$G$1000,"OMKAR STEELS",'Final Calculation Sheet'!$T$4:$T$1000)</f>
        <v/>
      </c>
    </row>
    <row r="1083" outlineLevel="2" ht="15" customHeight="1">
      <c r="A1083" s="481" t="inlineStr">
        <is>
          <t xml:space="preserve">         SD Received (₹)</t>
        </is>
      </c>
      <c r="B1083" s="483">
        <f>SUMIF('Final Calculation Sheet'!$G$4:$G$1000,"OMKAR STEELS",'Final Calculation Sheet'!$U$4:$U$1000)</f>
        <v/>
      </c>
    </row>
    <row r="1084" outlineLevel="2" ht="15" customHeight="1">
      <c r="A1084" s="481" t="inlineStr">
        <is>
          <t xml:space="preserve">         FP Expected (₹)</t>
        </is>
      </c>
      <c r="B1084" s="483">
        <f>SUMIF('Final Calculation Sheet'!$G$4:$G$1000,"OMKAR STEELS",'Final Calculation Sheet'!$W$4:$W$1000)</f>
        <v/>
      </c>
    </row>
    <row r="1085" outlineLevel="2" ht="15" customHeight="1">
      <c r="A1085" s="481" t="inlineStr">
        <is>
          <t xml:space="preserve">         FP Received (₹)</t>
        </is>
      </c>
      <c r="B1085" s="483">
        <f>SUMIF('Final Calculation Sheet'!$G$4:$G$1000,"OMKAR STEELS",'Final Calculation Sheet'!$X$4:$X$1000)</f>
        <v/>
      </c>
    </row>
    <row r="1086" outlineLevel="2" ht="15" customHeight="1">
      <c r="A1086" s="481" t="inlineStr">
        <is>
          <t xml:space="preserve">         LPP Expected (₹)</t>
        </is>
      </c>
      <c r="B1086" s="483">
        <f>SUMIF('Final Calculation Sheet'!$G$4:$G$1000,"OMKAR STEELS",'Final Calculation Sheet'!$Z$4:$Z$1000)</f>
        <v/>
      </c>
    </row>
    <row r="1087" outlineLevel="2" ht="15" customHeight="1">
      <c r="A1087" s="481" t="inlineStr">
        <is>
          <t xml:space="preserve">         LPP Received (₹)</t>
        </is>
      </c>
      <c r="B1087" s="483">
        <f>SUMIF('Final Calculation Sheet'!$G$4:$G$1000,"OMKAR STEELS",'Final Calculation Sheet'!$AA$4:$AA$1000)</f>
        <v/>
      </c>
    </row>
    <row r="1088" outlineLevel="2" ht="15" customHeight="1">
      <c r="A1088" s="481" t="inlineStr">
        <is>
          <t xml:space="preserve">         Total Received (₹)</t>
        </is>
      </c>
      <c r="B1088" s="483">
        <f>SUMIF('Final Calculation Sheet'!$G$4:$G$1000,"OMKAR STEELS",'Final Calculation Sheet'!$AC$4:$AC$1000)</f>
        <v/>
      </c>
    </row>
    <row r="1089" outlineLevel="2" ht="15" customHeight="1">
      <c r="A1089" s="481" t="inlineStr">
        <is>
          <t xml:space="preserve">         Outstanding (₹)</t>
        </is>
      </c>
      <c r="B1089" s="483">
        <f>SUMIF('Final Calculation Sheet'!$G$4:$G$1000,"OMKAR STEELS",'Final Calculation Sheet'!$AD$4:$AD$1000)</f>
        <v/>
      </c>
    </row>
    <row r="1090" ht="7" customHeight="1">
      <c r="A1090" s="82" t="n"/>
      <c r="B1090" s="82" t="n"/>
    </row>
    <row r="1091" ht="24" customHeight="1">
      <c r="A109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42" t="n"/>
    </row>
    <row r="1092" outlineLevel="1" ht="20" customHeight="1">
      <c r="A1092" s="425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67" t="n"/>
    </row>
    <row r="1093" outlineLevel="2" ht="16" customHeight="1">
      <c r="A1093" s="426" t="inlineStr">
        <is>
          <t xml:space="preserve">      ▸ LOT INFORMATION</t>
        </is>
      </c>
      <c r="B1093" s="427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426" t="inlineStr">
        <is>
          <t xml:space="preserve">      ▸ FINANCIALS</t>
        </is>
      </c>
      <c r="B1100" s="427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426" t="inlineStr">
        <is>
          <t xml:space="preserve">      ▸ SECURITY DEPOSIT</t>
        </is>
      </c>
      <c r="B1113" s="427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426" t="inlineStr">
        <is>
          <t xml:space="preserve">      ▸ FINAL PAYMENT</t>
        </is>
      </c>
      <c r="B1117" s="427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426" t="inlineStr">
        <is>
          <t xml:space="preserve">      ▸ LPP</t>
        </is>
      </c>
      <c r="B1121" s="427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426" t="inlineStr">
        <is>
          <t xml:space="preserve">      ▸ SUMMARY</t>
        </is>
      </c>
      <c r="B1125" s="427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426" t="inlineStr">
        <is>
          <t xml:space="preserve">      ▸ DOCUMENT</t>
        </is>
      </c>
      <c r="B1129" s="427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425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67" t="n"/>
    </row>
    <row r="1134" outlineLevel="2" ht="16" customHeight="1">
      <c r="A1134" s="426" t="inlineStr">
        <is>
          <t xml:space="preserve">      ▸ LOT INFORMATION</t>
        </is>
      </c>
      <c r="B1134" s="427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426" t="inlineStr">
        <is>
          <t xml:space="preserve">      ▸ FINANCIALS</t>
        </is>
      </c>
      <c r="B1141" s="427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426" t="inlineStr">
        <is>
          <t xml:space="preserve">      ▸ SECURITY DEPOSIT</t>
        </is>
      </c>
      <c r="B1154" s="427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426" t="inlineStr">
        <is>
          <t xml:space="preserve">      ▸ FINAL PAYMENT</t>
        </is>
      </c>
      <c r="B1158" s="427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426" t="inlineStr">
        <is>
          <t xml:space="preserve">      ▸ LPP</t>
        </is>
      </c>
      <c r="B1162" s="427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426" t="inlineStr">
        <is>
          <t xml:space="preserve">      ▸ SUMMARY</t>
        </is>
      </c>
      <c r="B1166" s="427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426" t="inlineStr">
        <is>
          <t xml:space="preserve">      ▸ DOCUMENT</t>
        </is>
      </c>
      <c r="B1170" s="427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428" t="inlineStr">
        <is>
          <t xml:space="preserve">   ∑  S M ENTERPRISES — TOTALS (all its lots)</t>
        </is>
      </c>
      <c r="B1174" s="242" t="n"/>
    </row>
    <row r="1175" outlineLevel="2" ht="15" customHeight="1">
      <c r="A1175" s="429" t="inlineStr">
        <is>
          <t xml:space="preserve">         Quantity</t>
        </is>
      </c>
      <c r="B1175" s="430">
        <f>SUMIF('Final Calculation Sheet'!$G$4:$G$1000,"S M ENTERPRISES",'Final Calculation Sheet'!$A$4:$A$1000)</f>
        <v/>
      </c>
    </row>
    <row r="1176" outlineLevel="2" ht="15" customHeight="1">
      <c r="A1176" s="429" t="inlineStr">
        <is>
          <t xml:space="preserve">         Mat. Value (₹)</t>
        </is>
      </c>
      <c r="B1176" s="199">
        <f>SUMIF('Final Calculation Sheet'!$G$4:$G$1000,"S M ENTERPRISES",'Final Calculation Sheet'!$H$4:$H$1000)</f>
        <v/>
      </c>
    </row>
    <row r="1177" outlineLevel="2" ht="15" customHeight="1">
      <c r="A1177" s="429" t="inlineStr">
        <is>
          <t xml:space="preserve">         GST @ 18% (₹)</t>
        </is>
      </c>
      <c r="B1177" s="199">
        <f>SUMIF('Final Calculation Sheet'!$G$4:$G$1000,"S M ENTERPRISES",'Final Calculation Sheet'!$I$4:$I$1000)</f>
        <v/>
      </c>
    </row>
    <row r="1178" outlineLevel="2" ht="15" customHeight="1">
      <c r="A1178" s="429" t="inlineStr">
        <is>
          <t xml:space="preserve">         Mat. Value + GST (₹)</t>
        </is>
      </c>
      <c r="B1178" s="199">
        <f>SUMIF('Final Calculation Sheet'!$G$4:$G$1000,"S M ENTERPRISES",'Final Calculation Sheet'!$J$4:$J$1000)</f>
        <v/>
      </c>
    </row>
    <row r="1179" outlineLevel="2" ht="15" customHeight="1">
      <c r="A1179" s="429" t="inlineStr">
        <is>
          <t xml:space="preserve">         TCS @ 2% (₹)</t>
        </is>
      </c>
      <c r="B1179" s="199">
        <f>SUMIF('Final Calculation Sheet'!$G$4:$G$1000,"S M ENTERPRISES",'Final Calculation Sheet'!$K$4:$K$1000)</f>
        <v/>
      </c>
    </row>
    <row r="1180" outlineLevel="2" ht="15" customHeight="1">
      <c r="A1180" s="429" t="inlineStr">
        <is>
          <t xml:space="preserve">         TDS u/s 194(O) (₹)</t>
        </is>
      </c>
      <c r="B1180" s="431">
        <f>SUMIF('Final Calculation Sheet'!$G$4:$G$1000,"S M ENTERPRISES",'Final Calculation Sheet'!$L$4:$L$1000)</f>
        <v/>
      </c>
    </row>
    <row r="1181" outlineLevel="2" ht="15" customHeight="1">
      <c r="A1181" s="429" t="inlineStr">
        <is>
          <t xml:space="preserve">         Service Charge gross (₹)</t>
        </is>
      </c>
      <c r="B1181" s="431">
        <f>SUMIF('Final Calculation Sheet'!$G$4:$G$1000,"S M ENTERPRISES",'Final Calculation Sheet'!$M$4:$M$1000)</f>
        <v/>
      </c>
    </row>
    <row r="1182" outlineLevel="2" ht="15" customHeight="1">
      <c r="A1182" s="429" t="inlineStr">
        <is>
          <t xml:space="preserve">         TDS u/s 194(H) (₹)</t>
        </is>
      </c>
      <c r="B1182" s="431">
        <f>SUMIF('Final Calculation Sheet'!$G$4:$G$1000,"S M ENTERPRISES",'Final Calculation Sheet'!$N$4:$N$1000)</f>
        <v/>
      </c>
    </row>
    <row r="1183" outlineLevel="2" ht="15" customHeight="1">
      <c r="A1183" s="429" t="inlineStr">
        <is>
          <t xml:space="preserve">         Net Service Charge (₹)</t>
        </is>
      </c>
      <c r="B1183" s="431">
        <f>SUMIF('Final Calculation Sheet'!$G$4:$G$1000,"S M ENTERPRISES",'Final Calculation Sheet'!$O$4:$O$1000)</f>
        <v/>
      </c>
    </row>
    <row r="1184" outlineLevel="2" ht="15" customHeight="1">
      <c r="A1184" s="429" t="inlineStr">
        <is>
          <t xml:space="preserve">         Svc Charge to MSTC (₹)</t>
        </is>
      </c>
      <c r="B1184" s="199">
        <f>SUMIF('Final Calculation Sheet'!$G$4:$G$1000,"S M ENTERPRISES",'Final Calculation Sheet'!$P$4:$P$1000)</f>
        <v/>
      </c>
    </row>
    <row r="1185" outlineLevel="2" ht="15" customHeight="1">
      <c r="A1185" s="429" t="inlineStr">
        <is>
          <t xml:space="preserve">         GST TDS (₹)</t>
        </is>
      </c>
      <c r="B1185" s="199">
        <f>SUMIF('Final Calculation Sheet'!$G$4:$G$1000,"S M ENTERPRISES",'Final Calculation Sheet'!$R$4:$R$1000)</f>
        <v/>
      </c>
    </row>
    <row r="1186" outlineLevel="2" ht="15" customHeight="1">
      <c r="A1186" s="429" t="inlineStr">
        <is>
          <t xml:space="preserve">         Total Receivables (₹)</t>
        </is>
      </c>
      <c r="B1186" s="199">
        <f>SUMIF('Final Calculation Sheet'!$G$4:$G$1000,"S M ENTERPRISES",'Final Calculation Sheet'!$S$4:$S$1000)</f>
        <v/>
      </c>
    </row>
    <row r="1187" outlineLevel="2" ht="15" customHeight="1">
      <c r="A1187" s="429" t="inlineStr">
        <is>
          <t xml:space="preserve">         SD Expected (₹)</t>
        </is>
      </c>
      <c r="B1187" s="199">
        <f>SUMIF('Final Calculation Sheet'!$G$4:$G$1000,"S M ENTERPRISES",'Final Calculation Sheet'!$T$4:$T$1000)</f>
        <v/>
      </c>
    </row>
    <row r="1188" outlineLevel="2" ht="15" customHeight="1">
      <c r="A1188" s="429" t="inlineStr">
        <is>
          <t xml:space="preserve">         SD Received (₹)</t>
        </is>
      </c>
      <c r="B1188" s="199">
        <f>SUMIF('Final Calculation Sheet'!$G$4:$G$1000,"S M ENTERPRISES",'Final Calculation Sheet'!$U$4:$U$1000)</f>
        <v/>
      </c>
    </row>
    <row r="1189" outlineLevel="2" ht="15" customHeight="1">
      <c r="A1189" s="429" t="inlineStr">
        <is>
          <t xml:space="preserve">         FP Expected (₹)</t>
        </is>
      </c>
      <c r="B1189" s="199">
        <f>SUMIF('Final Calculation Sheet'!$G$4:$G$1000,"S M ENTERPRISES",'Final Calculation Sheet'!$W$4:$W$1000)</f>
        <v/>
      </c>
    </row>
    <row r="1190" outlineLevel="2" ht="15" customHeight="1">
      <c r="A1190" s="429" t="inlineStr">
        <is>
          <t xml:space="preserve">         FP Received (₹)</t>
        </is>
      </c>
      <c r="B1190" s="199">
        <f>SUMIF('Final Calculation Sheet'!$G$4:$G$1000,"S M ENTERPRISES",'Final Calculation Sheet'!$X$4:$X$1000)</f>
        <v/>
      </c>
    </row>
    <row r="1191" outlineLevel="2" ht="15" customHeight="1">
      <c r="A1191" s="429" t="inlineStr">
        <is>
          <t xml:space="preserve">         LPP Expected (₹)</t>
        </is>
      </c>
      <c r="B1191" s="199">
        <f>SUMIF('Final Calculation Sheet'!$G$4:$G$1000,"S M ENTERPRISES",'Final Calculation Sheet'!$Z$4:$Z$1000)</f>
        <v/>
      </c>
    </row>
    <row r="1192" outlineLevel="2" ht="15" customHeight="1">
      <c r="A1192" s="429" t="inlineStr">
        <is>
          <t xml:space="preserve">         LPP Received (₹)</t>
        </is>
      </c>
      <c r="B1192" s="199">
        <f>SUMIF('Final Calculation Sheet'!$G$4:$G$1000,"S M ENTERPRISES",'Final Calculation Sheet'!$AA$4:$AA$1000)</f>
        <v/>
      </c>
    </row>
    <row r="1193" outlineLevel="2" ht="15" customHeight="1">
      <c r="A1193" s="429" t="inlineStr">
        <is>
          <t xml:space="preserve">         Total Received (₹)</t>
        </is>
      </c>
      <c r="B1193" s="199">
        <f>SUMIF('Final Calculation Sheet'!$G$4:$G$1000,"S M ENTERPRISES",'Final Calculation Sheet'!$AC$4:$AC$1000)</f>
        <v/>
      </c>
    </row>
    <row r="1194" outlineLevel="2" ht="15" customHeight="1">
      <c r="A1194" s="429" t="inlineStr">
        <is>
          <t xml:space="preserve">         Outstanding (₹)</t>
        </is>
      </c>
      <c r="B1194" s="199">
        <f>SUMIF('Final Calculation Sheet'!$G$4:$G$1000,"S M ENTERPRISES",'Final Calculation Sheet'!$AD$4:$AD$1000)</f>
        <v/>
      </c>
    </row>
    <row r="1195" ht="7" customHeight="1">
      <c r="A1195" s="82" t="n"/>
      <c r="B1195" s="82" t="n"/>
    </row>
    <row r="1196" ht="24" customHeight="1">
      <c r="A119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54" t="n"/>
    </row>
    <row r="1197" outlineLevel="1" ht="20" customHeight="1">
      <c r="A1197" s="432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6" t="n"/>
    </row>
    <row r="1198" outlineLevel="2" ht="16" customHeight="1">
      <c r="A1198" s="433" t="inlineStr">
        <is>
          <t xml:space="preserve">      ▸ LOT INFORMATION</t>
        </is>
      </c>
      <c r="B1198" s="434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433" t="inlineStr">
        <is>
          <t xml:space="preserve">      ▸ FINANCIALS</t>
        </is>
      </c>
      <c r="B1205" s="434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433" t="inlineStr">
        <is>
          <t xml:space="preserve">      ▸ SECURITY DEPOSIT</t>
        </is>
      </c>
      <c r="B1218" s="434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433" t="inlineStr">
        <is>
          <t xml:space="preserve">      ▸ FINAL PAYMENT</t>
        </is>
      </c>
      <c r="B1222" s="434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433" t="inlineStr">
        <is>
          <t xml:space="preserve">      ▸ LPP</t>
        </is>
      </c>
      <c r="B1226" s="434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433" t="inlineStr">
        <is>
          <t xml:space="preserve">      ▸ SUMMARY</t>
        </is>
      </c>
      <c r="B1230" s="434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433" t="inlineStr">
        <is>
          <t xml:space="preserve">      ▸ DOCUMENT</t>
        </is>
      </c>
      <c r="B1234" s="434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435" t="inlineStr">
        <is>
          <t xml:space="preserve">   ∑  SAHARA ENTERPRISES — TOTALS (all its lots)</t>
        </is>
      </c>
      <c r="B1238" s="254" t="n"/>
    </row>
    <row r="1239" outlineLevel="2" ht="15" customHeight="1">
      <c r="A1239" s="436" t="inlineStr">
        <is>
          <t xml:space="preserve">         Quantity</t>
        </is>
      </c>
      <c r="B1239" s="437">
        <f>SUMIF('Final Calculation Sheet'!$G$4:$G$1000,"SAHARA ENTERPRISES",'Final Calculation Sheet'!$A$4:$A$1000)</f>
        <v/>
      </c>
    </row>
    <row r="1240" outlineLevel="2" ht="15" customHeight="1">
      <c r="A1240" s="436" t="inlineStr">
        <is>
          <t xml:space="preserve">         Mat. Value (₹)</t>
        </is>
      </c>
      <c r="B1240" s="438">
        <f>SUMIF('Final Calculation Sheet'!$G$4:$G$1000,"SAHARA ENTERPRISES",'Final Calculation Sheet'!$H$4:$H$1000)</f>
        <v/>
      </c>
    </row>
    <row r="1241" outlineLevel="2" ht="15" customHeight="1">
      <c r="A1241" s="436" t="inlineStr">
        <is>
          <t xml:space="preserve">         GST @ 18% (₹)</t>
        </is>
      </c>
      <c r="B1241" s="438">
        <f>SUMIF('Final Calculation Sheet'!$G$4:$G$1000,"SAHARA ENTERPRISES",'Final Calculation Sheet'!$I$4:$I$1000)</f>
        <v/>
      </c>
    </row>
    <row r="1242" outlineLevel="2" ht="15" customHeight="1">
      <c r="A1242" s="436" t="inlineStr">
        <is>
          <t xml:space="preserve">         Mat. Value + GST (₹)</t>
        </is>
      </c>
      <c r="B1242" s="438">
        <f>SUMIF('Final Calculation Sheet'!$G$4:$G$1000,"SAHARA ENTERPRISES",'Final Calculation Sheet'!$J$4:$J$1000)</f>
        <v/>
      </c>
    </row>
    <row r="1243" outlineLevel="2" ht="15" customHeight="1">
      <c r="A1243" s="436" t="inlineStr">
        <is>
          <t xml:space="preserve">         TCS @ 2% (₹)</t>
        </is>
      </c>
      <c r="B1243" s="438">
        <f>SUMIF('Final Calculation Sheet'!$G$4:$G$1000,"SAHARA ENTERPRISES",'Final Calculation Sheet'!$K$4:$K$1000)</f>
        <v/>
      </c>
    </row>
    <row r="1244" outlineLevel="2" ht="15" customHeight="1">
      <c r="A1244" s="436" t="inlineStr">
        <is>
          <t xml:space="preserve">         TDS u/s 194(O) (₹)</t>
        </is>
      </c>
      <c r="B1244" s="439">
        <f>SUMIF('Final Calculation Sheet'!$G$4:$G$1000,"SAHARA ENTERPRISES",'Final Calculation Sheet'!$L$4:$L$1000)</f>
        <v/>
      </c>
    </row>
    <row r="1245" outlineLevel="2" ht="15" customHeight="1">
      <c r="A1245" s="436" t="inlineStr">
        <is>
          <t xml:space="preserve">         Service Charge gross (₹)</t>
        </is>
      </c>
      <c r="B1245" s="439">
        <f>SUMIF('Final Calculation Sheet'!$G$4:$G$1000,"SAHARA ENTERPRISES",'Final Calculation Sheet'!$M$4:$M$1000)</f>
        <v/>
      </c>
    </row>
    <row r="1246" outlineLevel="2" ht="15" customHeight="1">
      <c r="A1246" s="436" t="inlineStr">
        <is>
          <t xml:space="preserve">         TDS u/s 194(H) (₹)</t>
        </is>
      </c>
      <c r="B1246" s="439">
        <f>SUMIF('Final Calculation Sheet'!$G$4:$G$1000,"SAHARA ENTERPRISES",'Final Calculation Sheet'!$N$4:$N$1000)</f>
        <v/>
      </c>
    </row>
    <row r="1247" outlineLevel="2" ht="15" customHeight="1">
      <c r="A1247" s="436" t="inlineStr">
        <is>
          <t xml:space="preserve">         Net Service Charge (₹)</t>
        </is>
      </c>
      <c r="B1247" s="439">
        <f>SUMIF('Final Calculation Sheet'!$G$4:$G$1000,"SAHARA ENTERPRISES",'Final Calculation Sheet'!$O$4:$O$1000)</f>
        <v/>
      </c>
    </row>
    <row r="1248" outlineLevel="2" ht="15" customHeight="1">
      <c r="A1248" s="436" t="inlineStr">
        <is>
          <t xml:space="preserve">         Svc Charge to MSTC (₹)</t>
        </is>
      </c>
      <c r="B1248" s="438">
        <f>SUMIF('Final Calculation Sheet'!$G$4:$G$1000,"SAHARA ENTERPRISES",'Final Calculation Sheet'!$P$4:$P$1000)</f>
        <v/>
      </c>
    </row>
    <row r="1249" outlineLevel="2" ht="15" customHeight="1">
      <c r="A1249" s="436" t="inlineStr">
        <is>
          <t xml:space="preserve">         GST TDS (₹)</t>
        </is>
      </c>
      <c r="B1249" s="438">
        <f>SUMIF('Final Calculation Sheet'!$G$4:$G$1000,"SAHARA ENTERPRISES",'Final Calculation Sheet'!$R$4:$R$1000)</f>
        <v/>
      </c>
    </row>
    <row r="1250" outlineLevel="2" ht="15" customHeight="1">
      <c r="A1250" s="436" t="inlineStr">
        <is>
          <t xml:space="preserve">         Total Receivables (₹)</t>
        </is>
      </c>
      <c r="B1250" s="438">
        <f>SUMIF('Final Calculation Sheet'!$G$4:$G$1000,"SAHARA ENTERPRISES",'Final Calculation Sheet'!$S$4:$S$1000)</f>
        <v/>
      </c>
    </row>
    <row r="1251" outlineLevel="2" ht="15" customHeight="1">
      <c r="A1251" s="436" t="inlineStr">
        <is>
          <t xml:space="preserve">         SD Expected (₹)</t>
        </is>
      </c>
      <c r="B1251" s="438">
        <f>SUMIF('Final Calculation Sheet'!$G$4:$G$1000,"SAHARA ENTERPRISES",'Final Calculation Sheet'!$T$4:$T$1000)</f>
        <v/>
      </c>
    </row>
    <row r="1252" outlineLevel="2" ht="15" customHeight="1">
      <c r="A1252" s="436" t="inlineStr">
        <is>
          <t xml:space="preserve">         SD Received (₹)</t>
        </is>
      </c>
      <c r="B1252" s="438">
        <f>SUMIF('Final Calculation Sheet'!$G$4:$G$1000,"SAHARA ENTERPRISES",'Final Calculation Sheet'!$U$4:$U$1000)</f>
        <v/>
      </c>
    </row>
    <row r="1253" outlineLevel="2" ht="15" customHeight="1">
      <c r="A1253" s="436" t="inlineStr">
        <is>
          <t xml:space="preserve">         FP Expected (₹)</t>
        </is>
      </c>
      <c r="B1253" s="438">
        <f>SUMIF('Final Calculation Sheet'!$G$4:$G$1000,"SAHARA ENTERPRISES",'Final Calculation Sheet'!$W$4:$W$1000)</f>
        <v/>
      </c>
    </row>
    <row r="1254" outlineLevel="2" ht="15" customHeight="1">
      <c r="A1254" s="436" t="inlineStr">
        <is>
          <t xml:space="preserve">         FP Received (₹)</t>
        </is>
      </c>
      <c r="B1254" s="438">
        <f>SUMIF('Final Calculation Sheet'!$G$4:$G$1000,"SAHARA ENTERPRISES",'Final Calculation Sheet'!$X$4:$X$1000)</f>
        <v/>
      </c>
    </row>
    <row r="1255" outlineLevel="2" ht="15" customHeight="1">
      <c r="A1255" s="436" t="inlineStr">
        <is>
          <t xml:space="preserve">         LPP Expected (₹)</t>
        </is>
      </c>
      <c r="B1255" s="438">
        <f>SUMIF('Final Calculation Sheet'!$G$4:$G$1000,"SAHARA ENTERPRISES",'Final Calculation Sheet'!$Z$4:$Z$1000)</f>
        <v/>
      </c>
    </row>
    <row r="1256" outlineLevel="2" ht="15" customHeight="1">
      <c r="A1256" s="436" t="inlineStr">
        <is>
          <t xml:space="preserve">         LPP Received (₹)</t>
        </is>
      </c>
      <c r="B1256" s="438">
        <f>SUMIF('Final Calculation Sheet'!$G$4:$G$1000,"SAHARA ENTERPRISES",'Final Calculation Sheet'!$AA$4:$AA$1000)</f>
        <v/>
      </c>
    </row>
    <row r="1257" outlineLevel="2" ht="15" customHeight="1">
      <c r="A1257" s="436" t="inlineStr">
        <is>
          <t xml:space="preserve">         Total Received (₹)</t>
        </is>
      </c>
      <c r="B1257" s="438">
        <f>SUMIF('Final Calculation Sheet'!$G$4:$G$1000,"SAHARA ENTERPRISES",'Final Calculation Sheet'!$AC$4:$AC$1000)</f>
        <v/>
      </c>
    </row>
    <row r="1258" outlineLevel="2" ht="15" customHeight="1">
      <c r="A1258" s="436" t="inlineStr">
        <is>
          <t xml:space="preserve">         Outstanding (₹)</t>
        </is>
      </c>
      <c r="B1258" s="438">
        <f>SUMIF('Final Calculation Sheet'!$G$4:$G$1000,"SAHARA ENTERPRISES",'Final Calculation Sheet'!$AD$4:$AD$1000)</f>
        <v/>
      </c>
    </row>
    <row r="1259" ht="7" customHeight="1">
      <c r="A1259" s="82" t="n"/>
      <c r="B1259" s="82" t="n"/>
    </row>
    <row r="1260" ht="24" customHeight="1">
      <c r="A12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272" t="n"/>
    </row>
    <row r="1261" outlineLevel="1" ht="20" customHeight="1">
      <c r="A1261" s="440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102" t="n"/>
    </row>
    <row r="1262" outlineLevel="2" ht="16" customHeight="1">
      <c r="A1262" s="441" t="inlineStr">
        <is>
          <t xml:space="preserve">      ▸ LOT INFORMATION</t>
        </is>
      </c>
      <c r="B1262" s="44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441" t="inlineStr">
        <is>
          <t xml:space="preserve">      ▸ FINANCIALS</t>
        </is>
      </c>
      <c r="B1269" s="44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441" t="inlineStr">
        <is>
          <t xml:space="preserve">      ▸ SECURITY DEPOSIT</t>
        </is>
      </c>
      <c r="B1282" s="44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441" t="inlineStr">
        <is>
          <t xml:space="preserve">      ▸ FINAL PAYMENT</t>
        </is>
      </c>
      <c r="B1286" s="44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441" t="inlineStr">
        <is>
          <t xml:space="preserve">      ▸ LPP</t>
        </is>
      </c>
      <c r="B1290" s="44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441" t="inlineStr">
        <is>
          <t xml:space="preserve">      ▸ SUMMARY</t>
        </is>
      </c>
      <c r="B1294" s="44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441" t="inlineStr">
        <is>
          <t xml:space="preserve">      ▸ DOCUMENT</t>
        </is>
      </c>
      <c r="B1298" s="44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440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102" t="n"/>
    </row>
    <row r="1303" outlineLevel="2" ht="16" customHeight="1">
      <c r="A1303" s="441" t="inlineStr">
        <is>
          <t xml:space="preserve">      ▸ LOT INFORMATION</t>
        </is>
      </c>
      <c r="B1303" s="44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441" t="inlineStr">
        <is>
          <t xml:space="preserve">      ▸ FINANCIALS</t>
        </is>
      </c>
      <c r="B1310" s="44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441" t="inlineStr">
        <is>
          <t xml:space="preserve">      ▸ SECURITY DEPOSIT</t>
        </is>
      </c>
      <c r="B1323" s="44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441" t="inlineStr">
        <is>
          <t xml:space="preserve">      ▸ FINAL PAYMENT</t>
        </is>
      </c>
      <c r="B1327" s="44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441" t="inlineStr">
        <is>
          <t xml:space="preserve">      ▸ LPP</t>
        </is>
      </c>
      <c r="B1331" s="44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441" t="inlineStr">
        <is>
          <t xml:space="preserve">      ▸ SUMMARY</t>
        </is>
      </c>
      <c r="B1335" s="44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441" t="inlineStr">
        <is>
          <t xml:space="preserve">      ▸ DOCUMENT</t>
        </is>
      </c>
      <c r="B1339" s="44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443" t="inlineStr">
        <is>
          <t xml:space="preserve">   ∑  SHAR JAHAN TRADERS — TOTALS (all its lots)</t>
        </is>
      </c>
      <c r="B1343" s="272" t="n"/>
    </row>
    <row r="1344" outlineLevel="2" ht="15" customHeight="1">
      <c r="A1344" s="444" t="inlineStr">
        <is>
          <t xml:space="preserve">         Quantity</t>
        </is>
      </c>
      <c r="B1344" s="445">
        <f>SUMIF('Final Calculation Sheet'!$G$4:$G$1000,"SHAR JAHAN TRADERS",'Final Calculation Sheet'!$A$4:$A$1000)</f>
        <v/>
      </c>
    </row>
    <row r="1345" outlineLevel="2" ht="15" customHeight="1">
      <c r="A1345" s="444" t="inlineStr">
        <is>
          <t xml:space="preserve">         Mat. Value (₹)</t>
        </is>
      </c>
      <c r="B1345" s="206">
        <f>SUMIF('Final Calculation Sheet'!$G$4:$G$1000,"SHAR JAHAN TRADERS",'Final Calculation Sheet'!$H$4:$H$1000)</f>
        <v/>
      </c>
    </row>
    <row r="1346" outlineLevel="2" ht="15" customHeight="1">
      <c r="A1346" s="444" t="inlineStr">
        <is>
          <t xml:space="preserve">         GST @ 18% (₹)</t>
        </is>
      </c>
      <c r="B1346" s="206">
        <f>SUMIF('Final Calculation Sheet'!$G$4:$G$1000,"SHAR JAHAN TRADERS",'Final Calculation Sheet'!$I$4:$I$1000)</f>
        <v/>
      </c>
    </row>
    <row r="1347" outlineLevel="2" ht="15" customHeight="1">
      <c r="A1347" s="444" t="inlineStr">
        <is>
          <t xml:space="preserve">         Mat. Value + GST (₹)</t>
        </is>
      </c>
      <c r="B1347" s="206">
        <f>SUMIF('Final Calculation Sheet'!$G$4:$G$1000,"SHAR JAHAN TRADERS",'Final Calculation Sheet'!$J$4:$J$1000)</f>
        <v/>
      </c>
    </row>
    <row r="1348" outlineLevel="2" ht="15" customHeight="1">
      <c r="A1348" s="444" t="inlineStr">
        <is>
          <t xml:space="preserve">         TCS @ 2% (₹)</t>
        </is>
      </c>
      <c r="B1348" s="206">
        <f>SUMIF('Final Calculation Sheet'!$G$4:$G$1000,"SHAR JAHAN TRADERS",'Final Calculation Sheet'!$K$4:$K$1000)</f>
        <v/>
      </c>
    </row>
    <row r="1349" outlineLevel="2" ht="15" customHeight="1">
      <c r="A1349" s="444" t="inlineStr">
        <is>
          <t xml:space="preserve">         TDS u/s 194(O) (₹)</t>
        </is>
      </c>
      <c r="B1349" s="446">
        <f>SUMIF('Final Calculation Sheet'!$G$4:$G$1000,"SHAR JAHAN TRADERS",'Final Calculation Sheet'!$L$4:$L$1000)</f>
        <v/>
      </c>
    </row>
    <row r="1350" outlineLevel="2" ht="15" customHeight="1">
      <c r="A1350" s="444" t="inlineStr">
        <is>
          <t xml:space="preserve">         Service Charge gross (₹)</t>
        </is>
      </c>
      <c r="B1350" s="446">
        <f>SUMIF('Final Calculation Sheet'!$G$4:$G$1000,"SHAR JAHAN TRADERS",'Final Calculation Sheet'!$M$4:$M$1000)</f>
        <v/>
      </c>
    </row>
    <row r="1351" outlineLevel="2" ht="15" customHeight="1">
      <c r="A1351" s="444" t="inlineStr">
        <is>
          <t xml:space="preserve">         TDS u/s 194(H) (₹)</t>
        </is>
      </c>
      <c r="B1351" s="446">
        <f>SUMIF('Final Calculation Sheet'!$G$4:$G$1000,"SHAR JAHAN TRADERS",'Final Calculation Sheet'!$N$4:$N$1000)</f>
        <v/>
      </c>
    </row>
    <row r="1352" outlineLevel="2" ht="15" customHeight="1">
      <c r="A1352" s="444" t="inlineStr">
        <is>
          <t xml:space="preserve">         Net Service Charge (₹)</t>
        </is>
      </c>
      <c r="B1352" s="446">
        <f>SUMIF('Final Calculation Sheet'!$G$4:$G$1000,"SHAR JAHAN TRADERS",'Final Calculation Sheet'!$O$4:$O$1000)</f>
        <v/>
      </c>
    </row>
    <row r="1353" outlineLevel="2" ht="15" customHeight="1">
      <c r="A1353" s="444" t="inlineStr">
        <is>
          <t xml:space="preserve">         Svc Charge to MSTC (₹)</t>
        </is>
      </c>
      <c r="B1353" s="206">
        <f>SUMIF('Final Calculation Sheet'!$G$4:$G$1000,"SHAR JAHAN TRADERS",'Final Calculation Sheet'!$P$4:$P$1000)</f>
        <v/>
      </c>
    </row>
    <row r="1354" outlineLevel="2" ht="15" customHeight="1">
      <c r="A1354" s="444" t="inlineStr">
        <is>
          <t xml:space="preserve">         GST TDS (₹)</t>
        </is>
      </c>
      <c r="B1354" s="206">
        <f>SUMIF('Final Calculation Sheet'!$G$4:$G$1000,"SHAR JAHAN TRADERS",'Final Calculation Sheet'!$R$4:$R$1000)</f>
        <v/>
      </c>
    </row>
    <row r="1355" outlineLevel="2" ht="15" customHeight="1">
      <c r="A1355" s="444" t="inlineStr">
        <is>
          <t xml:space="preserve">         Total Receivables (₹)</t>
        </is>
      </c>
      <c r="B1355" s="206">
        <f>SUMIF('Final Calculation Sheet'!$G$4:$G$1000,"SHAR JAHAN TRADERS",'Final Calculation Sheet'!$S$4:$S$1000)</f>
        <v/>
      </c>
    </row>
    <row r="1356" outlineLevel="2" ht="15" customHeight="1">
      <c r="A1356" s="444" t="inlineStr">
        <is>
          <t xml:space="preserve">         SD Expected (₹)</t>
        </is>
      </c>
      <c r="B1356" s="206">
        <f>SUMIF('Final Calculation Sheet'!$G$4:$G$1000,"SHAR JAHAN TRADERS",'Final Calculation Sheet'!$T$4:$T$1000)</f>
        <v/>
      </c>
    </row>
    <row r="1357" outlineLevel="2" ht="15" customHeight="1">
      <c r="A1357" s="444" t="inlineStr">
        <is>
          <t xml:space="preserve">         SD Received (₹)</t>
        </is>
      </c>
      <c r="B1357" s="206">
        <f>SUMIF('Final Calculation Sheet'!$G$4:$G$1000,"SHAR JAHAN TRADERS",'Final Calculation Sheet'!$U$4:$U$1000)</f>
        <v/>
      </c>
    </row>
    <row r="1358" outlineLevel="2" ht="15" customHeight="1">
      <c r="A1358" s="444" t="inlineStr">
        <is>
          <t xml:space="preserve">         FP Expected (₹)</t>
        </is>
      </c>
      <c r="B1358" s="206">
        <f>SUMIF('Final Calculation Sheet'!$G$4:$G$1000,"SHAR JAHAN TRADERS",'Final Calculation Sheet'!$W$4:$W$1000)</f>
        <v/>
      </c>
    </row>
    <row r="1359" outlineLevel="2" ht="15" customHeight="1">
      <c r="A1359" s="444" t="inlineStr">
        <is>
          <t xml:space="preserve">         FP Received (₹)</t>
        </is>
      </c>
      <c r="B1359" s="206">
        <f>SUMIF('Final Calculation Sheet'!$G$4:$G$1000,"SHAR JAHAN TRADERS",'Final Calculation Sheet'!$X$4:$X$1000)</f>
        <v/>
      </c>
    </row>
    <row r="1360" outlineLevel="2" ht="15" customHeight="1">
      <c r="A1360" s="444" t="inlineStr">
        <is>
          <t xml:space="preserve">         LPP Expected (₹)</t>
        </is>
      </c>
      <c r="B1360" s="206">
        <f>SUMIF('Final Calculation Sheet'!$G$4:$G$1000,"SHAR JAHAN TRADERS",'Final Calculation Sheet'!$Z$4:$Z$1000)</f>
        <v/>
      </c>
    </row>
    <row r="1361" outlineLevel="2" ht="15" customHeight="1">
      <c r="A1361" s="444" t="inlineStr">
        <is>
          <t xml:space="preserve">         LPP Received (₹)</t>
        </is>
      </c>
      <c r="B1361" s="206">
        <f>SUMIF('Final Calculation Sheet'!$G$4:$G$1000,"SHAR JAHAN TRADERS",'Final Calculation Sheet'!$AA$4:$AA$1000)</f>
        <v/>
      </c>
    </row>
    <row r="1362" outlineLevel="2" ht="15" customHeight="1">
      <c r="A1362" s="444" t="inlineStr">
        <is>
          <t xml:space="preserve">         Total Received (₹)</t>
        </is>
      </c>
      <c r="B1362" s="206">
        <f>SUMIF('Final Calculation Sheet'!$G$4:$G$1000,"SHAR JAHAN TRADERS",'Final Calculation Sheet'!$AC$4:$AC$1000)</f>
        <v/>
      </c>
    </row>
    <row r="1363" outlineLevel="2" ht="15" customHeight="1">
      <c r="A1363" s="444" t="inlineStr">
        <is>
          <t xml:space="preserve">         Outstanding (₹)</t>
        </is>
      </c>
      <c r="B1363" s="206">
        <f>SUMIF('Final Calculation Sheet'!$G$4:$G$1000,"SHAR JAHAN TRADERS",'Final Calculation Sheet'!$AD$4:$AD$1000)</f>
        <v/>
      </c>
    </row>
    <row r="1364" ht="7" customHeight="1">
      <c r="A1364" s="82" t="n"/>
      <c r="B1364" s="82" t="n"/>
    </row>
    <row r="1365" ht="24" customHeight="1">
      <c r="A13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284" t="n"/>
    </row>
    <row r="1366" outlineLevel="1" ht="20" customHeight="1">
      <c r="A1366" s="447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111" t="n"/>
    </row>
    <row r="1367" outlineLevel="2" ht="16" customHeight="1">
      <c r="A1367" s="448" t="inlineStr">
        <is>
          <t xml:space="preserve">      ▸ LOT INFORMATION</t>
        </is>
      </c>
      <c r="B1367" s="449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448" t="inlineStr">
        <is>
          <t xml:space="preserve">      ▸ FINANCIALS</t>
        </is>
      </c>
      <c r="B1374" s="449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448" t="inlineStr">
        <is>
          <t xml:space="preserve">      ▸ SECURITY DEPOSIT</t>
        </is>
      </c>
      <c r="B1387" s="449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448" t="inlineStr">
        <is>
          <t xml:space="preserve">      ▸ FINAL PAYMENT</t>
        </is>
      </c>
      <c r="B1391" s="449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448" t="inlineStr">
        <is>
          <t xml:space="preserve">      ▸ LPP</t>
        </is>
      </c>
      <c r="B1395" s="449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448" t="inlineStr">
        <is>
          <t xml:space="preserve">      ▸ SUMMARY</t>
        </is>
      </c>
      <c r="B1399" s="449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448" t="inlineStr">
        <is>
          <t xml:space="preserve">      ▸ DOCUMENT</t>
        </is>
      </c>
      <c r="B1403" s="449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447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111" t="n"/>
    </row>
    <row r="1408" outlineLevel="2" ht="16" customHeight="1">
      <c r="A1408" s="448" t="inlineStr">
        <is>
          <t xml:space="preserve">      ▸ LOT INFORMATION</t>
        </is>
      </c>
      <c r="B1408" s="449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448" t="inlineStr">
        <is>
          <t xml:space="preserve">      ▸ FINANCIALS</t>
        </is>
      </c>
      <c r="B1415" s="449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448" t="inlineStr">
        <is>
          <t xml:space="preserve">      ▸ SECURITY DEPOSIT</t>
        </is>
      </c>
      <c r="B1428" s="449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448" t="inlineStr">
        <is>
          <t xml:space="preserve">      ▸ FINAL PAYMENT</t>
        </is>
      </c>
      <c r="B1432" s="449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448" t="inlineStr">
        <is>
          <t xml:space="preserve">      ▸ LPP</t>
        </is>
      </c>
      <c r="B1436" s="449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448" t="inlineStr">
        <is>
          <t xml:space="preserve">      ▸ SUMMARY</t>
        </is>
      </c>
      <c r="B1440" s="449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448" t="inlineStr">
        <is>
          <t xml:space="preserve">      ▸ DOCUMENT</t>
        </is>
      </c>
      <c r="B1444" s="449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447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111" t="n"/>
    </row>
    <row r="1449" outlineLevel="2" ht="16" customHeight="1">
      <c r="A1449" s="448" t="inlineStr">
        <is>
          <t xml:space="preserve">      ▸ LOT INFORMATION</t>
        </is>
      </c>
      <c r="B1449" s="449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448" t="inlineStr">
        <is>
          <t xml:space="preserve">      ▸ FINANCIALS</t>
        </is>
      </c>
      <c r="B1456" s="449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448" t="inlineStr">
        <is>
          <t xml:space="preserve">      ▸ SECURITY DEPOSIT</t>
        </is>
      </c>
      <c r="B1469" s="449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448" t="inlineStr">
        <is>
          <t xml:space="preserve">      ▸ FINAL PAYMENT</t>
        </is>
      </c>
      <c r="B1473" s="449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448" t="inlineStr">
        <is>
          <t xml:space="preserve">      ▸ LPP</t>
        </is>
      </c>
      <c r="B1477" s="449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448" t="inlineStr">
        <is>
          <t xml:space="preserve">      ▸ SUMMARY</t>
        </is>
      </c>
      <c r="B1481" s="449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448" t="inlineStr">
        <is>
          <t xml:space="preserve">      ▸ DOCUMENT</t>
        </is>
      </c>
      <c r="B1485" s="449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447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111" t="n"/>
    </row>
    <row r="1490" outlineLevel="2" ht="16" customHeight="1">
      <c r="A1490" s="448" t="inlineStr">
        <is>
          <t xml:space="preserve">      ▸ LOT INFORMATION</t>
        </is>
      </c>
      <c r="B1490" s="449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448" t="inlineStr">
        <is>
          <t xml:space="preserve">      ▸ FINANCIALS</t>
        </is>
      </c>
      <c r="B1497" s="449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448" t="inlineStr">
        <is>
          <t xml:space="preserve">      ▸ SECURITY DEPOSIT</t>
        </is>
      </c>
      <c r="B1510" s="449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448" t="inlineStr">
        <is>
          <t xml:space="preserve">      ▸ FINAL PAYMENT</t>
        </is>
      </c>
      <c r="B1514" s="449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448" t="inlineStr">
        <is>
          <t xml:space="preserve">      ▸ LPP</t>
        </is>
      </c>
      <c r="B1518" s="449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448" t="inlineStr">
        <is>
          <t xml:space="preserve">      ▸ SUMMARY</t>
        </is>
      </c>
      <c r="B1522" s="449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448" t="inlineStr">
        <is>
          <t xml:space="preserve">      ▸ DOCUMENT</t>
        </is>
      </c>
      <c r="B1526" s="449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447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111" t="n"/>
    </row>
    <row r="1531" outlineLevel="2" ht="16" customHeight="1">
      <c r="A1531" s="448" t="inlineStr">
        <is>
          <t xml:space="preserve">      ▸ LOT INFORMATION</t>
        </is>
      </c>
      <c r="B1531" s="449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448" t="inlineStr">
        <is>
          <t xml:space="preserve">      ▸ FINANCIALS</t>
        </is>
      </c>
      <c r="B1538" s="449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448" t="inlineStr">
        <is>
          <t xml:space="preserve">      ▸ SECURITY DEPOSIT</t>
        </is>
      </c>
      <c r="B1551" s="449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448" t="inlineStr">
        <is>
          <t xml:space="preserve">      ▸ FINAL PAYMENT</t>
        </is>
      </c>
      <c r="B1555" s="449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448" t="inlineStr">
        <is>
          <t xml:space="preserve">      ▸ LPP</t>
        </is>
      </c>
      <c r="B1559" s="449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448" t="inlineStr">
        <is>
          <t xml:space="preserve">      ▸ SUMMARY</t>
        </is>
      </c>
      <c r="B1563" s="449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448" t="inlineStr">
        <is>
          <t xml:space="preserve">      ▸ DOCUMENT</t>
        </is>
      </c>
      <c r="B1567" s="449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447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111" t="n"/>
    </row>
    <row r="1572" outlineLevel="2" ht="16" customHeight="1">
      <c r="A1572" s="448" t="inlineStr">
        <is>
          <t xml:space="preserve">      ▸ LOT INFORMATION</t>
        </is>
      </c>
      <c r="B1572" s="449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448" t="inlineStr">
        <is>
          <t xml:space="preserve">      ▸ FINANCIALS</t>
        </is>
      </c>
      <c r="B1579" s="449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448" t="inlineStr">
        <is>
          <t xml:space="preserve">      ▸ SECURITY DEPOSIT</t>
        </is>
      </c>
      <c r="B1592" s="449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448" t="inlineStr">
        <is>
          <t xml:space="preserve">      ▸ FINAL PAYMENT</t>
        </is>
      </c>
      <c r="B1596" s="449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448" t="inlineStr">
        <is>
          <t xml:space="preserve">      ▸ LPP</t>
        </is>
      </c>
      <c r="B1600" s="449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448" t="inlineStr">
        <is>
          <t xml:space="preserve">      ▸ SUMMARY</t>
        </is>
      </c>
      <c r="B1604" s="449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448" t="inlineStr">
        <is>
          <t xml:space="preserve">      ▸ DOCUMENT</t>
        </is>
      </c>
      <c r="B1608" s="449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447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111" t="n"/>
    </row>
    <row r="1613" outlineLevel="2" ht="16" customHeight="1">
      <c r="A1613" s="448" t="inlineStr">
        <is>
          <t xml:space="preserve">      ▸ LOT INFORMATION</t>
        </is>
      </c>
      <c r="B1613" s="449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448" t="inlineStr">
        <is>
          <t xml:space="preserve">      ▸ FINANCIALS</t>
        </is>
      </c>
      <c r="B1620" s="449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448" t="inlineStr">
        <is>
          <t xml:space="preserve">      ▸ SECURITY DEPOSIT</t>
        </is>
      </c>
      <c r="B1633" s="449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448" t="inlineStr">
        <is>
          <t xml:space="preserve">      ▸ FINAL PAYMENT</t>
        </is>
      </c>
      <c r="B1637" s="449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448" t="inlineStr">
        <is>
          <t xml:space="preserve">      ▸ LPP</t>
        </is>
      </c>
      <c r="B1641" s="449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448" t="inlineStr">
        <is>
          <t xml:space="preserve">      ▸ SUMMARY</t>
        </is>
      </c>
      <c r="B1645" s="449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448" t="inlineStr">
        <is>
          <t xml:space="preserve">      ▸ DOCUMENT</t>
        </is>
      </c>
      <c r="B1649" s="449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450" t="inlineStr">
        <is>
          <t xml:space="preserve">   ∑  STERLING ENTERPRISES — TOTALS (all its lots)</t>
        </is>
      </c>
      <c r="B1653" s="284" t="n"/>
    </row>
    <row r="1654" outlineLevel="2" ht="15" customHeight="1">
      <c r="A1654" s="451" t="inlineStr">
        <is>
          <t xml:space="preserve">         Quantity</t>
        </is>
      </c>
      <c r="B1654" s="452">
        <f>SUMIF('Final Calculation Sheet'!$G$4:$G$1000,"STERLING ENTERPRISES",'Final Calculation Sheet'!$A$4:$A$1000)</f>
        <v/>
      </c>
    </row>
    <row r="1655" outlineLevel="2" ht="15" customHeight="1">
      <c r="A1655" s="451" t="inlineStr">
        <is>
          <t xml:space="preserve">         Mat. Value (₹)</t>
        </is>
      </c>
      <c r="B1655" s="453">
        <f>SUMIF('Final Calculation Sheet'!$G$4:$G$1000,"STERLING ENTERPRISES",'Final Calculation Sheet'!$H$4:$H$1000)</f>
        <v/>
      </c>
    </row>
    <row r="1656" outlineLevel="2" ht="15" customHeight="1">
      <c r="A1656" s="451" t="inlineStr">
        <is>
          <t xml:space="preserve">         GST @ 18% (₹)</t>
        </is>
      </c>
      <c r="B1656" s="453">
        <f>SUMIF('Final Calculation Sheet'!$G$4:$G$1000,"STERLING ENTERPRISES",'Final Calculation Sheet'!$I$4:$I$1000)</f>
        <v/>
      </c>
    </row>
    <row r="1657" outlineLevel="2" ht="15" customHeight="1">
      <c r="A1657" s="451" t="inlineStr">
        <is>
          <t xml:space="preserve">         Mat. Value + GST (₹)</t>
        </is>
      </c>
      <c r="B1657" s="453">
        <f>SUMIF('Final Calculation Sheet'!$G$4:$G$1000,"STERLING ENTERPRISES",'Final Calculation Sheet'!$J$4:$J$1000)</f>
        <v/>
      </c>
    </row>
    <row r="1658" outlineLevel="2" ht="15" customHeight="1">
      <c r="A1658" s="451" t="inlineStr">
        <is>
          <t xml:space="preserve">         TCS @ 2% (₹)</t>
        </is>
      </c>
      <c r="B1658" s="453">
        <f>SUMIF('Final Calculation Sheet'!$G$4:$G$1000,"STERLING ENTERPRISES",'Final Calculation Sheet'!$K$4:$K$1000)</f>
        <v/>
      </c>
    </row>
    <row r="1659" outlineLevel="2" ht="15" customHeight="1">
      <c r="A1659" s="451" t="inlineStr">
        <is>
          <t xml:space="preserve">         TDS u/s 194(O) (₹)</t>
        </is>
      </c>
      <c r="B1659" s="454">
        <f>SUMIF('Final Calculation Sheet'!$G$4:$G$1000,"STERLING ENTERPRISES",'Final Calculation Sheet'!$L$4:$L$1000)</f>
        <v/>
      </c>
    </row>
    <row r="1660" outlineLevel="2" ht="15" customHeight="1">
      <c r="A1660" s="451" t="inlineStr">
        <is>
          <t xml:space="preserve">         Service Charge gross (₹)</t>
        </is>
      </c>
      <c r="B1660" s="454">
        <f>SUMIF('Final Calculation Sheet'!$G$4:$G$1000,"STERLING ENTERPRISES",'Final Calculation Sheet'!$M$4:$M$1000)</f>
        <v/>
      </c>
    </row>
    <row r="1661" outlineLevel="2" ht="15" customHeight="1">
      <c r="A1661" s="451" t="inlineStr">
        <is>
          <t xml:space="preserve">         TDS u/s 194(H) (₹)</t>
        </is>
      </c>
      <c r="B1661" s="454">
        <f>SUMIF('Final Calculation Sheet'!$G$4:$G$1000,"STERLING ENTERPRISES",'Final Calculation Sheet'!$N$4:$N$1000)</f>
        <v/>
      </c>
    </row>
    <row r="1662" outlineLevel="2" ht="15" customHeight="1">
      <c r="A1662" s="451" t="inlineStr">
        <is>
          <t xml:space="preserve">         Net Service Charge (₹)</t>
        </is>
      </c>
      <c r="B1662" s="454">
        <f>SUMIF('Final Calculation Sheet'!$G$4:$G$1000,"STERLING ENTERPRISES",'Final Calculation Sheet'!$O$4:$O$1000)</f>
        <v/>
      </c>
    </row>
    <row r="1663" outlineLevel="2" ht="15" customHeight="1">
      <c r="A1663" s="451" t="inlineStr">
        <is>
          <t xml:space="preserve">         Svc Charge to MSTC (₹)</t>
        </is>
      </c>
      <c r="B1663" s="453">
        <f>SUMIF('Final Calculation Sheet'!$G$4:$G$1000,"STERLING ENTERPRISES",'Final Calculation Sheet'!$P$4:$P$1000)</f>
        <v/>
      </c>
    </row>
    <row r="1664" outlineLevel="2" ht="15" customHeight="1">
      <c r="A1664" s="451" t="inlineStr">
        <is>
          <t xml:space="preserve">         GST TDS (₹)</t>
        </is>
      </c>
      <c r="B1664" s="453">
        <f>SUMIF('Final Calculation Sheet'!$G$4:$G$1000,"STERLING ENTERPRISES",'Final Calculation Sheet'!$R$4:$R$1000)</f>
        <v/>
      </c>
    </row>
    <row r="1665" outlineLevel="2" ht="15" customHeight="1">
      <c r="A1665" s="451" t="inlineStr">
        <is>
          <t xml:space="preserve">         Total Receivables (₹)</t>
        </is>
      </c>
      <c r="B1665" s="453">
        <f>SUMIF('Final Calculation Sheet'!$G$4:$G$1000,"STERLING ENTERPRISES",'Final Calculation Sheet'!$S$4:$S$1000)</f>
        <v/>
      </c>
    </row>
    <row r="1666" outlineLevel="2" ht="15" customHeight="1">
      <c r="A1666" s="451" t="inlineStr">
        <is>
          <t xml:space="preserve">         SD Expected (₹)</t>
        </is>
      </c>
      <c r="B1666" s="453">
        <f>SUMIF('Final Calculation Sheet'!$G$4:$G$1000,"STERLING ENTERPRISES",'Final Calculation Sheet'!$T$4:$T$1000)</f>
        <v/>
      </c>
    </row>
    <row r="1667" outlineLevel="2" ht="15" customHeight="1">
      <c r="A1667" s="451" t="inlineStr">
        <is>
          <t xml:space="preserve">         SD Received (₹)</t>
        </is>
      </c>
      <c r="B1667" s="453">
        <f>SUMIF('Final Calculation Sheet'!$G$4:$G$1000,"STERLING ENTERPRISES",'Final Calculation Sheet'!$U$4:$U$1000)</f>
        <v/>
      </c>
    </row>
    <row r="1668" outlineLevel="2" ht="15" customHeight="1">
      <c r="A1668" s="451" t="inlineStr">
        <is>
          <t xml:space="preserve">         FP Expected (₹)</t>
        </is>
      </c>
      <c r="B1668" s="453">
        <f>SUMIF('Final Calculation Sheet'!$G$4:$G$1000,"STERLING ENTERPRISES",'Final Calculation Sheet'!$W$4:$W$1000)</f>
        <v/>
      </c>
    </row>
    <row r="1669" outlineLevel="2" ht="15" customHeight="1">
      <c r="A1669" s="451" t="inlineStr">
        <is>
          <t xml:space="preserve">         FP Received (₹)</t>
        </is>
      </c>
      <c r="B1669" s="453">
        <f>SUMIF('Final Calculation Sheet'!$G$4:$G$1000,"STERLING ENTERPRISES",'Final Calculation Sheet'!$X$4:$X$1000)</f>
        <v/>
      </c>
    </row>
    <row r="1670" outlineLevel="2" ht="15" customHeight="1">
      <c r="A1670" s="451" t="inlineStr">
        <is>
          <t xml:space="preserve">         LPP Expected (₹)</t>
        </is>
      </c>
      <c r="B1670" s="453">
        <f>SUMIF('Final Calculation Sheet'!$G$4:$G$1000,"STERLING ENTERPRISES",'Final Calculation Sheet'!$Z$4:$Z$1000)</f>
        <v/>
      </c>
    </row>
    <row r="1671" outlineLevel="2" ht="15" customHeight="1">
      <c r="A1671" s="451" t="inlineStr">
        <is>
          <t xml:space="preserve">         LPP Received (₹)</t>
        </is>
      </c>
      <c r="B1671" s="453">
        <f>SUMIF('Final Calculation Sheet'!$G$4:$G$1000,"STERLING ENTERPRISES",'Final Calculation Sheet'!$AA$4:$AA$1000)</f>
        <v/>
      </c>
    </row>
    <row r="1672" outlineLevel="2" ht="15" customHeight="1">
      <c r="A1672" s="451" t="inlineStr">
        <is>
          <t xml:space="preserve">         Total Received (₹)</t>
        </is>
      </c>
      <c r="B1672" s="453">
        <f>SUMIF('Final Calculation Sheet'!$G$4:$G$1000,"STERLING ENTERPRISES",'Final Calculation Sheet'!$AC$4:$AC$1000)</f>
        <v/>
      </c>
    </row>
    <row r="1673" outlineLevel="2" ht="15" customHeight="1">
      <c r="A1673" s="451" t="inlineStr">
        <is>
          <t xml:space="preserve">         Outstanding (₹)</t>
        </is>
      </c>
      <c r="B1673" s="453">
        <f>SUMIF('Final Calculation Sheet'!$G$4:$G$1000,"STERLING ENTERPRISES",'Final Calculation Sheet'!$AD$4:$AD$1000)</f>
        <v/>
      </c>
    </row>
    <row r="1674" ht="7" customHeight="1">
      <c r="A1674" s="82" t="n"/>
      <c r="B1674" s="82" t="n"/>
    </row>
    <row r="1675" ht="24" customHeight="1">
      <c r="A16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296" t="n"/>
    </row>
    <row r="1676" outlineLevel="1" ht="20" customHeight="1">
      <c r="A1676" s="455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120" t="n"/>
    </row>
    <row r="1677" outlineLevel="2" ht="16" customHeight="1">
      <c r="A1677" s="456" t="inlineStr">
        <is>
          <t xml:space="preserve">      ▸ LOT INFORMATION</t>
        </is>
      </c>
      <c r="B1677" s="457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456" t="inlineStr">
        <is>
          <t xml:space="preserve">      ▸ FINANCIALS</t>
        </is>
      </c>
      <c r="B1684" s="457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456" t="inlineStr">
        <is>
          <t xml:space="preserve">      ▸ SECURITY DEPOSIT</t>
        </is>
      </c>
      <c r="B1697" s="457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456" t="inlineStr">
        <is>
          <t xml:space="preserve">      ▸ FINAL PAYMENT</t>
        </is>
      </c>
      <c r="B1701" s="457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456" t="inlineStr">
        <is>
          <t xml:space="preserve">      ▸ LPP</t>
        </is>
      </c>
      <c r="B1705" s="457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456" t="inlineStr">
        <is>
          <t xml:space="preserve">      ▸ SUMMARY</t>
        </is>
      </c>
      <c r="B1709" s="457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456" t="inlineStr">
        <is>
          <t xml:space="preserve">      ▸ DOCUMENT</t>
        </is>
      </c>
      <c r="B1713" s="457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455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120" t="n"/>
    </row>
    <row r="1718" outlineLevel="2" ht="16" customHeight="1">
      <c r="A1718" s="456" t="inlineStr">
        <is>
          <t xml:space="preserve">      ▸ LOT INFORMATION</t>
        </is>
      </c>
      <c r="B1718" s="457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456" t="inlineStr">
        <is>
          <t xml:space="preserve">      ▸ FINANCIALS</t>
        </is>
      </c>
      <c r="B1725" s="457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456" t="inlineStr">
        <is>
          <t xml:space="preserve">      ▸ SECURITY DEPOSIT</t>
        </is>
      </c>
      <c r="B1738" s="457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456" t="inlineStr">
        <is>
          <t xml:space="preserve">      ▸ FINAL PAYMENT</t>
        </is>
      </c>
      <c r="B1742" s="457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456" t="inlineStr">
        <is>
          <t xml:space="preserve">      ▸ LPP</t>
        </is>
      </c>
      <c r="B1746" s="457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456" t="inlineStr">
        <is>
          <t xml:space="preserve">      ▸ SUMMARY</t>
        </is>
      </c>
      <c r="B1750" s="457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456" t="inlineStr">
        <is>
          <t xml:space="preserve">      ▸ DOCUMENT</t>
        </is>
      </c>
      <c r="B1754" s="457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455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120" t="n"/>
    </row>
    <row r="1759" outlineLevel="2" ht="16" customHeight="1">
      <c r="A1759" s="456" t="inlineStr">
        <is>
          <t xml:space="preserve">      ▸ LOT INFORMATION</t>
        </is>
      </c>
      <c r="B1759" s="457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456" t="inlineStr">
        <is>
          <t xml:space="preserve">      ▸ FINANCIALS</t>
        </is>
      </c>
      <c r="B1766" s="457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456" t="inlineStr">
        <is>
          <t xml:space="preserve">      ▸ SECURITY DEPOSIT</t>
        </is>
      </c>
      <c r="B1779" s="457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456" t="inlineStr">
        <is>
          <t xml:space="preserve">      ▸ FINAL PAYMENT</t>
        </is>
      </c>
      <c r="B1783" s="457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456" t="inlineStr">
        <is>
          <t xml:space="preserve">      ▸ LPP</t>
        </is>
      </c>
      <c r="B1787" s="457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456" t="inlineStr">
        <is>
          <t xml:space="preserve">      ▸ SUMMARY</t>
        </is>
      </c>
      <c r="B1791" s="457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456" t="inlineStr">
        <is>
          <t xml:space="preserve">      ▸ DOCUMENT</t>
        </is>
      </c>
      <c r="B1795" s="457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458" t="inlineStr">
        <is>
          <t xml:space="preserve">   ∑  WATAN SCRAP TRADERS — TOTALS (all its lots)</t>
        </is>
      </c>
      <c r="B1799" s="296" t="n"/>
    </row>
    <row r="1800" outlineLevel="2" ht="15" customHeight="1">
      <c r="A1800" s="459" t="inlineStr">
        <is>
          <t xml:space="preserve">         Quantity</t>
        </is>
      </c>
      <c r="B1800" s="460">
        <f>SUMIF('Final Calculation Sheet'!$G$4:$G$1000,"WATAN SCRAP TRADERS",'Final Calculation Sheet'!$A$4:$A$1000)</f>
        <v/>
      </c>
    </row>
    <row r="1801" outlineLevel="2" ht="15" customHeight="1">
      <c r="A1801" s="459" t="inlineStr">
        <is>
          <t xml:space="preserve">         Mat. Value (₹)</t>
        </is>
      </c>
      <c r="B1801" s="213">
        <f>SUMIF('Final Calculation Sheet'!$G$4:$G$1000,"WATAN SCRAP TRADERS",'Final Calculation Sheet'!$H$4:$H$1000)</f>
        <v/>
      </c>
    </row>
    <row r="1802" outlineLevel="2" ht="15" customHeight="1">
      <c r="A1802" s="459" t="inlineStr">
        <is>
          <t xml:space="preserve">         GST @ 18% (₹)</t>
        </is>
      </c>
      <c r="B1802" s="213">
        <f>SUMIF('Final Calculation Sheet'!$G$4:$G$1000,"WATAN SCRAP TRADERS",'Final Calculation Sheet'!$I$4:$I$1000)</f>
        <v/>
      </c>
    </row>
    <row r="1803" outlineLevel="2" ht="15" customHeight="1">
      <c r="A1803" s="459" t="inlineStr">
        <is>
          <t xml:space="preserve">         Mat. Value + GST (₹)</t>
        </is>
      </c>
      <c r="B1803" s="213">
        <f>SUMIF('Final Calculation Sheet'!$G$4:$G$1000,"WATAN SCRAP TRADERS",'Final Calculation Sheet'!$J$4:$J$1000)</f>
        <v/>
      </c>
    </row>
    <row r="1804" outlineLevel="2" ht="15" customHeight="1">
      <c r="A1804" s="459" t="inlineStr">
        <is>
          <t xml:space="preserve">         TCS @ 2% (₹)</t>
        </is>
      </c>
      <c r="B1804" s="213">
        <f>SUMIF('Final Calculation Sheet'!$G$4:$G$1000,"WATAN SCRAP TRADERS",'Final Calculation Sheet'!$K$4:$K$1000)</f>
        <v/>
      </c>
    </row>
    <row r="1805" outlineLevel="2" ht="15" customHeight="1">
      <c r="A1805" s="459" t="inlineStr">
        <is>
          <t xml:space="preserve">         TDS u/s 194(O) (₹)</t>
        </is>
      </c>
      <c r="B1805" s="461">
        <f>SUMIF('Final Calculation Sheet'!$G$4:$G$1000,"WATAN SCRAP TRADERS",'Final Calculation Sheet'!$L$4:$L$1000)</f>
        <v/>
      </c>
    </row>
    <row r="1806" outlineLevel="2" ht="15" customHeight="1">
      <c r="A1806" s="459" t="inlineStr">
        <is>
          <t xml:space="preserve">         Service Charge gross (₹)</t>
        </is>
      </c>
      <c r="B1806" s="461">
        <f>SUMIF('Final Calculation Sheet'!$G$4:$G$1000,"WATAN SCRAP TRADERS",'Final Calculation Sheet'!$M$4:$M$1000)</f>
        <v/>
      </c>
    </row>
    <row r="1807" outlineLevel="2" ht="15" customHeight="1">
      <c r="A1807" s="459" t="inlineStr">
        <is>
          <t xml:space="preserve">         TDS u/s 194(H) (₹)</t>
        </is>
      </c>
      <c r="B1807" s="461">
        <f>SUMIF('Final Calculation Sheet'!$G$4:$G$1000,"WATAN SCRAP TRADERS",'Final Calculation Sheet'!$N$4:$N$1000)</f>
        <v/>
      </c>
    </row>
    <row r="1808" outlineLevel="2" ht="15" customHeight="1">
      <c r="A1808" s="459" t="inlineStr">
        <is>
          <t xml:space="preserve">         Net Service Charge (₹)</t>
        </is>
      </c>
      <c r="B1808" s="461">
        <f>SUMIF('Final Calculation Sheet'!$G$4:$G$1000,"WATAN SCRAP TRADERS",'Final Calculation Sheet'!$O$4:$O$1000)</f>
        <v/>
      </c>
    </row>
    <row r="1809" outlineLevel="2" ht="15" customHeight="1">
      <c r="A1809" s="459" t="inlineStr">
        <is>
          <t xml:space="preserve">         Svc Charge to MSTC (₹)</t>
        </is>
      </c>
      <c r="B1809" s="213">
        <f>SUMIF('Final Calculation Sheet'!$G$4:$G$1000,"WATAN SCRAP TRADERS",'Final Calculation Sheet'!$P$4:$P$1000)</f>
        <v/>
      </c>
    </row>
    <row r="1810" outlineLevel="2" ht="15" customHeight="1">
      <c r="A1810" s="459" t="inlineStr">
        <is>
          <t xml:space="preserve">         GST TDS (₹)</t>
        </is>
      </c>
      <c r="B1810" s="213">
        <f>SUMIF('Final Calculation Sheet'!$G$4:$G$1000,"WATAN SCRAP TRADERS",'Final Calculation Sheet'!$R$4:$R$1000)</f>
        <v/>
      </c>
    </row>
    <row r="1811" outlineLevel="2" ht="15" customHeight="1">
      <c r="A1811" s="459" t="inlineStr">
        <is>
          <t xml:space="preserve">         Total Receivables (₹)</t>
        </is>
      </c>
      <c r="B1811" s="213">
        <f>SUMIF('Final Calculation Sheet'!$G$4:$G$1000,"WATAN SCRAP TRADERS",'Final Calculation Sheet'!$S$4:$S$1000)</f>
        <v/>
      </c>
    </row>
    <row r="1812" outlineLevel="2" ht="15" customHeight="1">
      <c r="A1812" s="459" t="inlineStr">
        <is>
          <t xml:space="preserve">         SD Expected (₹)</t>
        </is>
      </c>
      <c r="B1812" s="213">
        <f>SUMIF('Final Calculation Sheet'!$G$4:$G$1000,"WATAN SCRAP TRADERS",'Final Calculation Sheet'!$T$4:$T$1000)</f>
        <v/>
      </c>
    </row>
    <row r="1813" outlineLevel="2" ht="15" customHeight="1">
      <c r="A1813" s="459" t="inlineStr">
        <is>
          <t xml:space="preserve">         SD Received (₹)</t>
        </is>
      </c>
      <c r="B1813" s="213">
        <f>SUMIF('Final Calculation Sheet'!$G$4:$G$1000,"WATAN SCRAP TRADERS",'Final Calculation Sheet'!$U$4:$U$1000)</f>
        <v/>
      </c>
    </row>
    <row r="1814" outlineLevel="2" ht="15" customHeight="1">
      <c r="A1814" s="459" t="inlineStr">
        <is>
          <t xml:space="preserve">         FP Expected (₹)</t>
        </is>
      </c>
      <c r="B1814" s="213">
        <f>SUMIF('Final Calculation Sheet'!$G$4:$G$1000,"WATAN SCRAP TRADERS",'Final Calculation Sheet'!$W$4:$W$1000)</f>
        <v/>
      </c>
    </row>
    <row r="1815" outlineLevel="2" ht="15" customHeight="1">
      <c r="A1815" s="459" t="inlineStr">
        <is>
          <t xml:space="preserve">         FP Received (₹)</t>
        </is>
      </c>
      <c r="B1815" s="213">
        <f>SUMIF('Final Calculation Sheet'!$G$4:$G$1000,"WATAN SCRAP TRADERS",'Final Calculation Sheet'!$X$4:$X$1000)</f>
        <v/>
      </c>
    </row>
    <row r="1816" outlineLevel="2" ht="15" customHeight="1">
      <c r="A1816" s="459" t="inlineStr">
        <is>
          <t xml:space="preserve">         LPP Expected (₹)</t>
        </is>
      </c>
      <c r="B1816" s="213">
        <f>SUMIF('Final Calculation Sheet'!$G$4:$G$1000,"WATAN SCRAP TRADERS",'Final Calculation Sheet'!$Z$4:$Z$1000)</f>
        <v/>
      </c>
    </row>
    <row r="1817" outlineLevel="2" ht="15" customHeight="1">
      <c r="A1817" s="459" t="inlineStr">
        <is>
          <t xml:space="preserve">         LPP Received (₹)</t>
        </is>
      </c>
      <c r="B1817" s="213">
        <f>SUMIF('Final Calculation Sheet'!$G$4:$G$1000,"WATAN SCRAP TRADERS",'Final Calculation Sheet'!$AA$4:$AA$1000)</f>
        <v/>
      </c>
    </row>
    <row r="1818" outlineLevel="2" ht="15" customHeight="1">
      <c r="A1818" s="459" t="inlineStr">
        <is>
          <t xml:space="preserve">         Total Received (₹)</t>
        </is>
      </c>
      <c r="B1818" s="213">
        <f>SUMIF('Final Calculation Sheet'!$G$4:$G$1000,"WATAN SCRAP TRADERS",'Final Calculation Sheet'!$AC$4:$AC$1000)</f>
        <v/>
      </c>
    </row>
    <row r="1819" outlineLevel="2" ht="15" customHeight="1">
      <c r="A1819" s="459" t="inlineStr">
        <is>
          <t xml:space="preserve">         Outstanding (₹)</t>
        </is>
      </c>
      <c r="B1819" s="213">
        <f>SUMIF('Final Calculation Sheet'!$G$4:$G$1000,"WATAN SCRAP TRADERS",'Final Calculation Sheet'!$AD$4:$AD$1000)</f>
        <v/>
      </c>
    </row>
    <row r="1820" ht="7" customHeight="1">
      <c r="A1820" s="82" t="n"/>
      <c r="B1820" s="82" t="n"/>
    </row>
    <row r="1821" ht="24" customHeight="1">
      <c r="A1821" s="485" t="inlineStr">
        <is>
          <t>∑∑  ALL BUYERS — GRAND TOTAL</t>
        </is>
      </c>
      <c r="B1821" s="486" t="n"/>
    </row>
    <row r="1822" outlineLevel="1" ht="15" customHeight="1">
      <c r="A1822" s="429" t="inlineStr">
        <is>
          <t xml:space="preserve">      Quantity</t>
        </is>
      </c>
      <c r="B1822" s="487">
        <f>B48+B153+B217+B281+B345+B901+B965+B1070+B1175+B1239+B1344+B1654+B1800</f>
        <v/>
      </c>
    </row>
    <row r="1823" outlineLevel="1" ht="15" customHeight="1">
      <c r="A1823" s="429" t="inlineStr">
        <is>
          <t xml:space="preserve">      Mat. Value (₹)</t>
        </is>
      </c>
      <c r="B1823" s="488">
        <f>B49+B154+B218+B282+B346+B902+B966+B1071+B1176+B1240+B1345+B1655+B1801</f>
        <v/>
      </c>
    </row>
    <row r="1824" outlineLevel="1" ht="15" customHeight="1">
      <c r="A1824" s="429" t="inlineStr">
        <is>
          <t xml:space="preserve">      GST @ 18% (₹)</t>
        </is>
      </c>
      <c r="B1824" s="488">
        <f>B50+B155+B219+B283+B347+B903+B967+B1072+B1177+B1241+B1346+B1656+B1802</f>
        <v/>
      </c>
    </row>
    <row r="1825" outlineLevel="1" ht="15" customHeight="1">
      <c r="A1825" s="429" t="inlineStr">
        <is>
          <t xml:space="preserve">      Mat. Value + GST (₹)</t>
        </is>
      </c>
      <c r="B1825" s="488">
        <f>B51+B156+B220+B284+B348+B904+B968+B1073+B1178+B1242+B1347+B1657+B1803</f>
        <v/>
      </c>
    </row>
    <row r="1826" outlineLevel="1" ht="15" customHeight="1">
      <c r="A1826" s="429" t="inlineStr">
        <is>
          <t xml:space="preserve">      TCS @ 2% (₹)</t>
        </is>
      </c>
      <c r="B1826" s="488">
        <f>B52+B157+B221+B285+B349+B905+B969+B1074+B1179+B1243+B1348+B1658+B1804</f>
        <v/>
      </c>
    </row>
    <row r="1827" outlineLevel="1" ht="15" customHeight="1">
      <c r="A1827" s="429" t="inlineStr">
        <is>
          <t xml:space="preserve">      TDS u/s 194(O) (₹)</t>
        </is>
      </c>
      <c r="B1827" s="489">
        <f>B53+B158+B222+B286+B350+B906+B970+B1075+B1180+B1244+B1349+B1659+B1805</f>
        <v/>
      </c>
    </row>
    <row r="1828" outlineLevel="1" ht="15" customHeight="1">
      <c r="A1828" s="429" t="inlineStr">
        <is>
          <t xml:space="preserve">      Service Charge gross (₹)</t>
        </is>
      </c>
      <c r="B1828" s="489">
        <f>B54+B159+B223+B287+B351+B907+B971+B1076+B1181+B1245+B1350+B1660+B1806</f>
        <v/>
      </c>
    </row>
    <row r="1829" outlineLevel="1" ht="15" customHeight="1">
      <c r="A1829" s="429" t="inlineStr">
        <is>
          <t xml:space="preserve">      TDS u/s 194(H) (₹)</t>
        </is>
      </c>
      <c r="B1829" s="489">
        <f>B55+B160+B224+B288+B352+B908+B972+B1077+B1182+B1246+B1351+B1661+B1807</f>
        <v/>
      </c>
    </row>
    <row r="1830" outlineLevel="1" ht="15" customHeight="1">
      <c r="A1830" s="429" t="inlineStr">
        <is>
          <t xml:space="preserve">      Net Service Charge (₹)</t>
        </is>
      </c>
      <c r="B1830" s="489">
        <f>B56+B161+B225+B289+B353+B909+B973+B1078+B1183+B1247+B1352+B1662+B1808</f>
        <v/>
      </c>
    </row>
    <row r="1831" outlineLevel="1" ht="15" customHeight="1">
      <c r="A1831" s="429" t="inlineStr">
        <is>
          <t xml:space="preserve">      Svc Charge to MSTC (₹)</t>
        </is>
      </c>
      <c r="B1831" s="488">
        <f>B57+B162+B226+B290+B354+B910+B974+B1079+B1184+B1248+B1353+B1663+B1809</f>
        <v/>
      </c>
    </row>
    <row r="1832" outlineLevel="1" ht="15" customHeight="1">
      <c r="A1832" s="429" t="inlineStr">
        <is>
          <t xml:space="preserve">      GST TDS (₹)</t>
        </is>
      </c>
      <c r="B1832" s="488">
        <f>B58+B163+B227+B291+B355+B911+B975+B1080+B1185+B1249+B1354+B1664+B1810</f>
        <v/>
      </c>
    </row>
    <row r="1833" outlineLevel="1" ht="15" customHeight="1">
      <c r="A1833" s="429" t="inlineStr">
        <is>
          <t xml:space="preserve">      Total Receivables (₹)</t>
        </is>
      </c>
      <c r="B1833" s="488">
        <f>B59+B164+B228+B292+B356+B912+B976+B1081+B1186+B1250+B1355+B1665+B1811</f>
        <v/>
      </c>
    </row>
    <row r="1834" outlineLevel="1" ht="15" customHeight="1">
      <c r="A1834" s="429" t="inlineStr">
        <is>
          <t xml:space="preserve">      SD Expected (₹)</t>
        </is>
      </c>
      <c r="B1834" s="488">
        <f>B60+B165+B229+B293+B357+B913+B977+B1082+B1187+B1251+B1356+B1666+B1812</f>
        <v/>
      </c>
    </row>
    <row r="1835" outlineLevel="1" ht="15" customHeight="1">
      <c r="A1835" s="429" t="inlineStr">
        <is>
          <t xml:space="preserve">      SD Received (₹)</t>
        </is>
      </c>
      <c r="B1835" s="488">
        <f>B61+B166+B230+B294+B358+B914+B978+B1083+B1188+B1252+B1357+B1667+B1813</f>
        <v/>
      </c>
    </row>
    <row r="1836" outlineLevel="1" ht="15" customHeight="1">
      <c r="A1836" s="429" t="inlineStr">
        <is>
          <t xml:space="preserve">      FP Expected (₹)</t>
        </is>
      </c>
      <c r="B1836" s="488">
        <f>B62+B167+B231+B295+B359+B915+B979+B1084+B1189+B1253+B1358+B1668+B1814</f>
        <v/>
      </c>
    </row>
    <row r="1837" outlineLevel="1" ht="15" customHeight="1">
      <c r="A1837" s="429" t="inlineStr">
        <is>
          <t xml:space="preserve">      FP Received (₹)</t>
        </is>
      </c>
      <c r="B1837" s="488">
        <f>B63+B168+B232+B296+B360+B916+B980+B1085+B1190+B1254+B1359+B1669+B1815</f>
        <v/>
      </c>
    </row>
    <row r="1838" outlineLevel="1" ht="15" customHeight="1">
      <c r="A1838" s="429" t="inlineStr">
        <is>
          <t xml:space="preserve">      LPP Expected (₹)</t>
        </is>
      </c>
      <c r="B1838" s="488">
        <f>B64+B169+B233+B297+B361+B917+B981+B1086+B1191+B1255+B1360+B1670+B1816</f>
        <v/>
      </c>
    </row>
    <row r="1839" outlineLevel="1" ht="15" customHeight="1">
      <c r="A1839" s="429" t="inlineStr">
        <is>
          <t xml:space="preserve">      LPP Received (₹)</t>
        </is>
      </c>
      <c r="B1839" s="488">
        <f>B65+B170+B234+B298+B362+B918+B982+B1087+B1192+B1256+B1361+B1671+B1817</f>
        <v/>
      </c>
    </row>
    <row r="1840" outlineLevel="1" ht="15" customHeight="1">
      <c r="A1840" s="429" t="inlineStr">
        <is>
          <t xml:space="preserve">      Total Received (₹)</t>
        </is>
      </c>
      <c r="B1840" s="488">
        <f>B66+B171+B235+B299+B363+B919+B983+B1088+B1193+B1257+B1362+B1672+B1818</f>
        <v/>
      </c>
    </row>
    <row r="1841" outlineLevel="1" ht="15" customHeight="1">
      <c r="A1841" s="429" t="inlineStr">
        <is>
          <t xml:space="preserve">      Outstanding (₹)</t>
        </is>
      </c>
      <c r="B1841" s="488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10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F4B183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autoFilter ref="A5:A563"/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+ Field Filter'!A6" tooltip="Jump to AL HAMD TRADE CORPORATION" display="AL HAMD TRADE CORPORATION"/>
    <hyperlink ref="A569" location="'Collapsible + Field Filter'!A49" tooltip="Jump to F R KHANS ENTERPRISES" display="F R KHANS ENTERPRISES"/>
    <hyperlink ref="A570" location="'Collapsible + Field Filter'!A92" tooltip="Jump to HIND TRADERS" display="HIND TRADERS"/>
    <hyperlink ref="A571" location="'Collapsible + Field Filter'!A135" tooltip="Jump to KASHYAP TRADING CO" display="KASHYAP TRADING CO"/>
    <hyperlink ref="A572" location="'Collapsible + Field Filter'!A178" tooltip="Jump to M I SCRAP TRADERS" display="M I SCRAP TRADERS"/>
    <hyperlink ref="A573" location="'Collapsible + Field Filter'!A221" tooltip="Jump to NATIONAL ENTERPRISES" display="NATIONAL ENTERPRISES"/>
    <hyperlink ref="A574" location="'Collapsible + Field Filter'!A264" tooltip="Jump to NATIONAL SCRAP AND BUILDING MATERIAL SUPPLIER" display="NATIONAL SCRAP AND BUILDING MATERIAL SUPPLIER"/>
    <hyperlink ref="A575" location="'Collapsible + Field Filter'!A307" tooltip="Jump to OMKAR STEELS" display="OMKAR STEELS"/>
    <hyperlink ref="A576" location="'Collapsible + Field Filter'!A350" tooltip="Jump to S M ENTERPRISES" display="S M ENTERPRISES"/>
    <hyperlink ref="A577" location="'Collapsible + Field Filter'!A393" tooltip="Jump to SAHARA ENTERPRISES" display="SAHARA ENTERPRISES"/>
    <hyperlink ref="A578" location="'Collapsible + Field Filter'!A436" tooltip="Jump to SHAR JAHAN TRADERS" display="SHAR JAHAN TRADERS"/>
    <hyperlink ref="A579" location="'Collapsible + Field Filter'!A479" tooltip="Jump to STERLING ENTERPRISES" display="STERLING ENTERPRISES"/>
    <hyperlink ref="A580" location="'Collapsible + Field Filter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1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233" t="inlineStr">
        <is>
          <t>LOT INFORMATION</t>
        </is>
      </c>
      <c r="B3" s="384" t="n"/>
      <c r="C3" s="384" t="n"/>
      <c r="D3" s="384" t="n"/>
      <c r="E3" s="384" t="n"/>
      <c r="F3" s="384" t="n"/>
      <c r="G3" s="234" t="inlineStr">
        <is>
          <t>FINANCIALS</t>
        </is>
      </c>
      <c r="H3" s="385" t="n"/>
      <c r="I3" s="385" t="n"/>
      <c r="J3" s="385" t="n"/>
      <c r="K3" s="385" t="n"/>
      <c r="L3" s="385" t="n"/>
      <c r="M3" s="385" t="n"/>
      <c r="N3" s="385" t="n"/>
      <c r="O3" s="385" t="n"/>
      <c r="P3" s="385" t="n"/>
      <c r="Q3" s="385" t="n"/>
      <c r="R3" s="385" t="n"/>
      <c r="S3" s="235" t="inlineStr">
        <is>
          <t>SECURITY DEPOSIT</t>
        </is>
      </c>
      <c r="T3" s="386" t="n"/>
      <c r="U3" s="386" t="n"/>
      <c r="V3" s="236" t="inlineStr">
        <is>
          <t>FINAL PAYMENT</t>
        </is>
      </c>
      <c r="W3" s="387" t="n"/>
      <c r="X3" s="387" t="n"/>
      <c r="Y3" s="237" t="inlineStr">
        <is>
          <t>LPP</t>
        </is>
      </c>
      <c r="Z3" s="388" t="n"/>
      <c r="AA3" s="388" t="n"/>
      <c r="AB3" s="238" t="inlineStr">
        <is>
          <t>SUMMARY</t>
        </is>
      </c>
      <c r="AC3" s="389" t="n"/>
      <c r="AD3" s="389" t="n"/>
      <c r="AE3" s="239" t="inlineStr">
        <is>
          <t>DOCUMENT</t>
        </is>
      </c>
      <c r="AF3" s="390" t="n"/>
      <c r="AG3" s="390" t="n"/>
    </row>
    <row r="4" ht="42" customHeight="1">
      <c r="A4" s="233" t="inlineStr">
        <is>
          <t>Lot No.</t>
        </is>
      </c>
      <c r="B4" s="233" t="inlineStr">
        <is>
          <t>Lot Name</t>
        </is>
      </c>
      <c r="C4" s="233" t="inlineStr">
        <is>
          <t>Bid Sheet / Auction</t>
        </is>
      </c>
      <c r="D4" s="233" t="inlineStr">
        <is>
          <t>Quantity</t>
        </is>
      </c>
      <c r="E4" s="233" t="inlineStr">
        <is>
          <t>Unit</t>
        </is>
      </c>
      <c r="F4" s="233" t="inlineStr">
        <is>
          <t>Rate (₹)</t>
        </is>
      </c>
      <c r="G4" s="234" t="inlineStr">
        <is>
          <t>Mat. Value (₹)</t>
        </is>
      </c>
      <c r="H4" s="234" t="inlineStr">
        <is>
          <t>GST @ 18% (₹)</t>
        </is>
      </c>
      <c r="I4" s="234" t="inlineStr">
        <is>
          <t>Mat. Value + GST (₹)</t>
        </is>
      </c>
      <c r="J4" s="234" t="inlineStr">
        <is>
          <t>TCS @ 2% (₹)</t>
        </is>
      </c>
      <c r="K4" s="234" t="inlineStr">
        <is>
          <t>TDS u/s 194(O) (₹)</t>
        </is>
      </c>
      <c r="L4" s="234" t="inlineStr">
        <is>
          <t>Service Charge gross (₹)</t>
        </is>
      </c>
      <c r="M4" s="234" t="inlineStr">
        <is>
          <t>TDS u/s 194(H) (₹)</t>
        </is>
      </c>
      <c r="N4" s="234" t="inlineStr">
        <is>
          <t>Net Service Charge (₹)</t>
        </is>
      </c>
      <c r="O4" s="234" t="inlineStr">
        <is>
          <t>Svc Charge to MSTC (₹)</t>
        </is>
      </c>
      <c r="P4" s="234" t="inlineStr">
        <is>
          <t>GST TDS Rate</t>
        </is>
      </c>
      <c r="Q4" s="234" t="inlineStr">
        <is>
          <t>GST TDS (₹)</t>
        </is>
      </c>
      <c r="R4" s="234" t="inlineStr">
        <is>
          <t>Total Receivables (₹)</t>
        </is>
      </c>
      <c r="S4" s="235" t="inlineStr">
        <is>
          <t>SD Expected (₹)</t>
        </is>
      </c>
      <c r="T4" s="235" t="inlineStr">
        <is>
          <t>SD Received (₹)</t>
        </is>
      </c>
      <c r="U4" s="235" t="inlineStr">
        <is>
          <t>SD Receipt Date</t>
        </is>
      </c>
      <c r="V4" s="236" t="inlineStr">
        <is>
          <t>FP Expected (₹)</t>
        </is>
      </c>
      <c r="W4" s="236" t="inlineStr">
        <is>
          <t>FP Received (₹)</t>
        </is>
      </c>
      <c r="X4" s="236" t="inlineStr">
        <is>
          <t>FP Receipt Date</t>
        </is>
      </c>
      <c r="Y4" s="237" t="inlineStr">
        <is>
          <t>LPP Expected (₹)</t>
        </is>
      </c>
      <c r="Z4" s="237" t="inlineStr">
        <is>
          <t>LPP Received (₹)</t>
        </is>
      </c>
      <c r="AA4" s="237" t="inlineStr">
        <is>
          <t>LPP Receipt Date</t>
        </is>
      </c>
      <c r="AB4" s="238" t="inlineStr">
        <is>
          <t>Total Received (₹)</t>
        </is>
      </c>
      <c r="AC4" s="238" t="inlineStr">
        <is>
          <t>Outstanding (₹)</t>
        </is>
      </c>
      <c r="AD4" s="238" t="inlineStr">
        <is>
          <t>Payment Status</t>
        </is>
      </c>
      <c r="AE4" s="239" t="inlineStr">
        <is>
          <t>Invoice No.</t>
        </is>
      </c>
      <c r="AF4" s="239" t="inlineStr">
        <is>
          <t>SAP Document</t>
        </is>
      </c>
      <c r="AG4" s="239" t="inlineStr">
        <is>
          <t>Doc./Invoice Date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248">
        <f>IF('Final Calculation Sheet'!$F$4="","",'Final Calculation Sheet'!$F$4)</f>
        <v/>
      </c>
      <c r="B6" s="247">
        <f>IF('Final Calculation Sheet'!$B$4="","",'Final Calculation Sheet'!$B$4)</f>
        <v/>
      </c>
      <c r="C6" s="248">
        <f>IF('Final Calculation Sheet'!$D$4="","",'Final Calculation Sheet'!$D$4)</f>
        <v/>
      </c>
      <c r="D6" s="249">
        <f>IF('Final Calculation Sheet'!$A$4="","",'Final Calculation Sheet'!$A$4)</f>
        <v/>
      </c>
      <c r="E6" s="250">
        <f>IF('Final Calculation Sheet'!$E$4="","",'Final Calculation Sheet'!$E$4)</f>
        <v/>
      </c>
      <c r="F6" s="248">
        <f>IF('Final Calculation Sheet'!$C$4="","",'Final Calculation Sheet'!$C$4)</f>
        <v/>
      </c>
      <c r="G6" s="248">
        <f>IF('Final Calculation Sheet'!$H$4="","",'Final Calculation Sheet'!$H$4)</f>
        <v/>
      </c>
      <c r="H6" s="248">
        <f>IF('Final Calculation Sheet'!$I$4="","",'Final Calculation Sheet'!$I$4)</f>
        <v/>
      </c>
      <c r="I6" s="248">
        <f>IF('Final Calculation Sheet'!$J$4="","",'Final Calculation Sheet'!$J$4)</f>
        <v/>
      </c>
      <c r="J6" s="248">
        <f>IF('Final Calculation Sheet'!$K$4="","",'Final Calculation Sheet'!$K$4)</f>
        <v/>
      </c>
      <c r="K6" s="251">
        <f>IF('Final Calculation Sheet'!$L$4="","",'Final Calculation Sheet'!$L$4)</f>
        <v/>
      </c>
      <c r="L6" s="251">
        <f>IF('Final Calculation Sheet'!$M$4="","",'Final Calculation Sheet'!$M$4)</f>
        <v/>
      </c>
      <c r="M6" s="251">
        <f>IF('Final Calculation Sheet'!$N$4="","",'Final Calculation Sheet'!$N$4)</f>
        <v/>
      </c>
      <c r="N6" s="251">
        <f>IF('Final Calculation Sheet'!$O$4="","",'Final Calculation Sheet'!$O$4)</f>
        <v/>
      </c>
      <c r="O6" s="248">
        <f>IF('Final Calculation Sheet'!$P$4="","",'Final Calculation Sheet'!$P$4)</f>
        <v/>
      </c>
      <c r="P6" s="252">
        <f>IF('Final Calculation Sheet'!$Q$4="","",'Final Calculation Sheet'!$Q$4)</f>
        <v/>
      </c>
      <c r="Q6" s="248">
        <f>IF('Final Calculation Sheet'!$R$4="","",'Final Calculation Sheet'!$R$4)</f>
        <v/>
      </c>
      <c r="R6" s="248">
        <f>IF('Final Calculation Sheet'!$S$4="","",'Final Calculation Sheet'!$S$4)</f>
        <v/>
      </c>
      <c r="S6" s="248">
        <f>IF('Final Calculation Sheet'!$T$4="","",'Final Calculation Sheet'!$T$4)</f>
        <v/>
      </c>
      <c r="T6" s="248">
        <f>IF('Final Calculation Sheet'!$U$4="","",'Final Calculation Sheet'!$U$4)</f>
        <v/>
      </c>
      <c r="U6" s="250">
        <f>IF('Final Calculation Sheet'!$V$4="","",'Final Calculation Sheet'!$V$4)</f>
        <v/>
      </c>
      <c r="V6" s="248">
        <f>IF('Final Calculation Sheet'!$W$4="","",'Final Calculation Sheet'!$W$4)</f>
        <v/>
      </c>
      <c r="W6" s="248">
        <f>IF('Final Calculation Sheet'!$X$4="","",'Final Calculation Sheet'!$X$4)</f>
        <v/>
      </c>
      <c r="X6" s="250">
        <f>IF('Final Calculation Sheet'!$Y$4="","",'Final Calculation Sheet'!$Y$4)</f>
        <v/>
      </c>
      <c r="Y6" s="248">
        <f>IF('Final Calculation Sheet'!$Z$4="","",'Final Calculation Sheet'!$Z$4)</f>
        <v/>
      </c>
      <c r="Z6" s="248">
        <f>IF('Final Calculation Sheet'!$AA$4="","",'Final Calculation Sheet'!$AA$4)</f>
        <v/>
      </c>
      <c r="AA6" s="250">
        <f>IF('Final Calculation Sheet'!$AB$4="","",'Final Calculation Sheet'!$AB$4)</f>
        <v/>
      </c>
      <c r="AB6" s="248">
        <f>IF('Final Calculation Sheet'!$AC$4="","",'Final Calculation Sheet'!$AC$4)</f>
        <v/>
      </c>
      <c r="AC6" s="248">
        <f>IF('Final Calculation Sheet'!$AD$4="","",'Final Calculation Sheet'!$AD$4)</f>
        <v/>
      </c>
      <c r="AD6" s="250">
        <f>IF('Final Calculation Sheet'!$AD$4="","",IF('Final Calculation Sheet'!$AD$4&lt;=0,"SETTLED","OUTSTANDING"))</f>
        <v/>
      </c>
      <c r="AE6" s="250">
        <f>IF('Final Calculation Sheet'!$AE$4="","",'Final Calculation Sheet'!$AE$4)</f>
        <v/>
      </c>
      <c r="AF6" s="248">
        <f>IF('Final Calculation Sheet'!$AF$4="","",'Final Calculation Sheet'!$AF$4)</f>
        <v/>
      </c>
      <c r="AG6" s="250">
        <f>IF('Final Calculation Sheet'!$AG$4="","",'Final Calculation Sheet'!$AG$4)</f>
        <v/>
      </c>
    </row>
    <row r="7" ht="20" customHeight="1">
      <c r="A7" s="241" t="inlineStr">
        <is>
          <t>∑  AL HAMD TRADE CORPORATION — TOTALS</t>
        </is>
      </c>
      <c r="B7" s="391" t="inlineStr">
        <is>
          <t>–</t>
        </is>
      </c>
      <c r="C7" s="391" t="inlineStr">
        <is>
          <t>–</t>
        </is>
      </c>
      <c r="D7" s="244">
        <f>SUM(D6:D6)</f>
        <v/>
      </c>
      <c r="E7" s="391" t="inlineStr">
        <is>
          <t>–</t>
        </is>
      </c>
      <c r="F7" s="391" t="inlineStr">
        <is>
          <t>–</t>
        </is>
      </c>
      <c r="G7" s="245">
        <f>SUM(G6:G6)</f>
        <v/>
      </c>
      <c r="H7" s="245">
        <f>SUM(H6:H6)</f>
        <v/>
      </c>
      <c r="I7" s="245">
        <f>SUM(I6:I6)</f>
        <v/>
      </c>
      <c r="J7" s="245">
        <f>SUM(J6:J6)</f>
        <v/>
      </c>
      <c r="K7" s="246">
        <f>SUM(K6:K6)</f>
        <v/>
      </c>
      <c r="L7" s="246">
        <f>SUM(L6:L6)</f>
        <v/>
      </c>
      <c r="M7" s="246">
        <f>SUM(M6:M6)</f>
        <v/>
      </c>
      <c r="N7" s="246">
        <f>SUM(N6:N6)</f>
        <v/>
      </c>
      <c r="O7" s="245">
        <f>SUM(O6:O6)</f>
        <v/>
      </c>
      <c r="P7" s="391" t="inlineStr">
        <is>
          <t>–</t>
        </is>
      </c>
      <c r="Q7" s="245">
        <f>SUM(Q6:Q6)</f>
        <v/>
      </c>
      <c r="R7" s="245">
        <f>SUM(R6:R6)</f>
        <v/>
      </c>
      <c r="S7" s="245">
        <f>SUM(S6:S6)</f>
        <v/>
      </c>
      <c r="T7" s="245">
        <f>SUM(T6:T6)</f>
        <v/>
      </c>
      <c r="U7" s="391" t="inlineStr">
        <is>
          <t>–</t>
        </is>
      </c>
      <c r="V7" s="245">
        <f>SUM(V6:V6)</f>
        <v/>
      </c>
      <c r="W7" s="245">
        <f>SUM(W6:W6)</f>
        <v/>
      </c>
      <c r="X7" s="391" t="inlineStr">
        <is>
          <t>–</t>
        </is>
      </c>
      <c r="Y7" s="245">
        <f>SUM(Y6:Y6)</f>
        <v/>
      </c>
      <c r="Z7" s="245">
        <f>SUM(Z6:Z6)</f>
        <v/>
      </c>
      <c r="AA7" s="391" t="inlineStr">
        <is>
          <t>–</t>
        </is>
      </c>
      <c r="AB7" s="245">
        <f>SUM(AB6:AB6)</f>
        <v/>
      </c>
      <c r="AC7" s="245">
        <f>SUM(AC6:AC6)</f>
        <v/>
      </c>
      <c r="AD7" s="391" t="inlineStr">
        <is>
          <t>–</t>
        </is>
      </c>
      <c r="AE7" s="391" t="inlineStr">
        <is>
          <t>–</t>
        </is>
      </c>
      <c r="AF7" s="391" t="inlineStr">
        <is>
          <t>–</t>
        </is>
      </c>
      <c r="AG7" s="391" t="inlineStr">
        <is>
          <t>–</t>
        </is>
      </c>
    </row>
    <row r="8" ht="7" customHeight="1">
      <c r="A8" s="82" t="n"/>
      <c r="B8" s="82" t="n"/>
      <c r="C8" s="82" t="n"/>
      <c r="D8" s="82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</row>
    <row r="9" ht="24" customHeight="1">
      <c r="A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260">
        <f>IF('Final Calculation Sheet'!$F$6="","",'Final Calculation Sheet'!$F$6)</f>
        <v/>
      </c>
      <c r="B10" s="259">
        <f>IF('Final Calculation Sheet'!$B$6="","",'Final Calculation Sheet'!$B$6)</f>
        <v/>
      </c>
      <c r="C10" s="260">
        <f>IF('Final Calculation Sheet'!$D$6="","",'Final Calculation Sheet'!$D$6)</f>
        <v/>
      </c>
      <c r="D10" s="261">
        <f>IF('Final Calculation Sheet'!$A$6="","",'Final Calculation Sheet'!$A$6)</f>
        <v/>
      </c>
      <c r="E10" s="262">
        <f>IF('Final Calculation Sheet'!$E$6="","",'Final Calculation Sheet'!$E$6)</f>
        <v/>
      </c>
      <c r="F10" s="260">
        <f>IF('Final Calculation Sheet'!$C$6="","",'Final Calculation Sheet'!$C$6)</f>
        <v/>
      </c>
      <c r="G10" s="260">
        <f>IF('Final Calculation Sheet'!$H$6="","",'Final Calculation Sheet'!$H$6)</f>
        <v/>
      </c>
      <c r="H10" s="260">
        <f>IF('Final Calculation Sheet'!$I$6="","",'Final Calculation Sheet'!$I$6)</f>
        <v/>
      </c>
      <c r="I10" s="260">
        <f>IF('Final Calculation Sheet'!$J$6="","",'Final Calculation Sheet'!$J$6)</f>
        <v/>
      </c>
      <c r="J10" s="260">
        <f>IF('Final Calculation Sheet'!$K$6="","",'Final Calculation Sheet'!$K$6)</f>
        <v/>
      </c>
      <c r="K10" s="263">
        <f>IF('Final Calculation Sheet'!$L$6="","",'Final Calculation Sheet'!$L$6)</f>
        <v/>
      </c>
      <c r="L10" s="263">
        <f>IF('Final Calculation Sheet'!$M$6="","",'Final Calculation Sheet'!$M$6)</f>
        <v/>
      </c>
      <c r="M10" s="263">
        <f>IF('Final Calculation Sheet'!$N$6="","",'Final Calculation Sheet'!$N$6)</f>
        <v/>
      </c>
      <c r="N10" s="263">
        <f>IF('Final Calculation Sheet'!$O$6="","",'Final Calculation Sheet'!$O$6)</f>
        <v/>
      </c>
      <c r="O10" s="260">
        <f>IF('Final Calculation Sheet'!$P$6="","",'Final Calculation Sheet'!$P$6)</f>
        <v/>
      </c>
      <c r="P10" s="264">
        <f>IF('Final Calculation Sheet'!$Q$6="","",'Final Calculation Sheet'!$Q$6)</f>
        <v/>
      </c>
      <c r="Q10" s="260">
        <f>IF('Final Calculation Sheet'!$R$6="","",'Final Calculation Sheet'!$R$6)</f>
        <v/>
      </c>
      <c r="R10" s="260">
        <f>IF('Final Calculation Sheet'!$S$6="","",'Final Calculation Sheet'!$S$6)</f>
        <v/>
      </c>
      <c r="S10" s="260">
        <f>IF('Final Calculation Sheet'!$T$6="","",'Final Calculation Sheet'!$T$6)</f>
        <v/>
      </c>
      <c r="T10" s="260">
        <f>IF('Final Calculation Sheet'!$U$6="","",'Final Calculation Sheet'!$U$6)</f>
        <v/>
      </c>
      <c r="U10" s="262">
        <f>IF('Final Calculation Sheet'!$V$6="","",'Final Calculation Sheet'!$V$6)</f>
        <v/>
      </c>
      <c r="V10" s="260">
        <f>IF('Final Calculation Sheet'!$W$6="","",'Final Calculation Sheet'!$W$6)</f>
        <v/>
      </c>
      <c r="W10" s="260">
        <f>IF('Final Calculation Sheet'!$X$6="","",'Final Calculation Sheet'!$X$6)</f>
        <v/>
      </c>
      <c r="X10" s="262">
        <f>IF('Final Calculation Sheet'!$Y$6="","",'Final Calculation Sheet'!$Y$6)</f>
        <v/>
      </c>
      <c r="Y10" s="260">
        <f>IF('Final Calculation Sheet'!$Z$6="","",'Final Calculation Sheet'!$Z$6)</f>
        <v/>
      </c>
      <c r="Z10" s="260">
        <f>IF('Final Calculation Sheet'!$AA$6="","",'Final Calculation Sheet'!$AA$6)</f>
        <v/>
      </c>
      <c r="AA10" s="262">
        <f>IF('Final Calculation Sheet'!$AB$6="","",'Final Calculation Sheet'!$AB$6)</f>
        <v/>
      </c>
      <c r="AB10" s="260">
        <f>IF('Final Calculation Sheet'!$AC$6="","",'Final Calculation Sheet'!$AC$6)</f>
        <v/>
      </c>
      <c r="AC10" s="260">
        <f>IF('Final Calculation Sheet'!$AD$6="","",'Final Calculation Sheet'!$AD$6)</f>
        <v/>
      </c>
      <c r="AD10" s="262">
        <f>IF('Final Calculation Sheet'!$AD$6="","",IF('Final Calculation Sheet'!$AD$6&lt;=0,"SETTLED","OUTSTANDING"))</f>
        <v/>
      </c>
      <c r="AE10" s="262">
        <f>IF('Final Calculation Sheet'!$AE$6="","",'Final Calculation Sheet'!$AE$6)</f>
        <v/>
      </c>
      <c r="AF10" s="260">
        <f>IF('Final Calculation Sheet'!$AF$6="","",'Final Calculation Sheet'!$AF$6)</f>
        <v/>
      </c>
      <c r="AG10" s="262">
        <f>IF('Final Calculation Sheet'!$AG$6="","",'Final Calculation Sheet'!$AG$6)</f>
        <v/>
      </c>
    </row>
    <row r="11" outlineLevel="1" ht="15" customHeight="1">
      <c r="A11" s="266">
        <f>IF('Final Calculation Sheet'!$F$7="","",'Final Calculation Sheet'!$F$7)</f>
        <v/>
      </c>
      <c r="B11" s="265">
        <f>IF('Final Calculation Sheet'!$B$7="","",'Final Calculation Sheet'!$B$7)</f>
        <v/>
      </c>
      <c r="C11" s="266">
        <f>IF('Final Calculation Sheet'!$D$7="","",'Final Calculation Sheet'!$D$7)</f>
        <v/>
      </c>
      <c r="D11" s="267">
        <f>IF('Final Calculation Sheet'!$A$7="","",'Final Calculation Sheet'!$A$7)</f>
        <v/>
      </c>
      <c r="E11" s="268">
        <f>IF('Final Calculation Sheet'!$E$7="","",'Final Calculation Sheet'!$E$7)</f>
        <v/>
      </c>
      <c r="F11" s="266">
        <f>IF('Final Calculation Sheet'!$C$7="","",'Final Calculation Sheet'!$C$7)</f>
        <v/>
      </c>
      <c r="G11" s="266">
        <f>IF('Final Calculation Sheet'!$H$7="","",'Final Calculation Sheet'!$H$7)</f>
        <v/>
      </c>
      <c r="H11" s="266">
        <f>IF('Final Calculation Sheet'!$I$7="","",'Final Calculation Sheet'!$I$7)</f>
        <v/>
      </c>
      <c r="I11" s="266">
        <f>IF('Final Calculation Sheet'!$J$7="","",'Final Calculation Sheet'!$J$7)</f>
        <v/>
      </c>
      <c r="J11" s="266">
        <f>IF('Final Calculation Sheet'!$K$7="","",'Final Calculation Sheet'!$K$7)</f>
        <v/>
      </c>
      <c r="K11" s="269">
        <f>IF('Final Calculation Sheet'!$L$7="","",'Final Calculation Sheet'!$L$7)</f>
        <v/>
      </c>
      <c r="L11" s="269">
        <f>IF('Final Calculation Sheet'!$M$7="","",'Final Calculation Sheet'!$M$7)</f>
        <v/>
      </c>
      <c r="M11" s="269">
        <f>IF('Final Calculation Sheet'!$N$7="","",'Final Calculation Sheet'!$N$7)</f>
        <v/>
      </c>
      <c r="N11" s="269">
        <f>IF('Final Calculation Sheet'!$O$7="","",'Final Calculation Sheet'!$O$7)</f>
        <v/>
      </c>
      <c r="O11" s="266">
        <f>IF('Final Calculation Sheet'!$P$7="","",'Final Calculation Sheet'!$P$7)</f>
        <v/>
      </c>
      <c r="P11" s="270">
        <f>IF('Final Calculation Sheet'!$Q$7="","",'Final Calculation Sheet'!$Q$7)</f>
        <v/>
      </c>
      <c r="Q11" s="266">
        <f>IF('Final Calculation Sheet'!$R$7="","",'Final Calculation Sheet'!$R$7)</f>
        <v/>
      </c>
      <c r="R11" s="266">
        <f>IF('Final Calculation Sheet'!$S$7="","",'Final Calculation Sheet'!$S$7)</f>
        <v/>
      </c>
      <c r="S11" s="266">
        <f>IF('Final Calculation Sheet'!$T$7="","",'Final Calculation Sheet'!$T$7)</f>
        <v/>
      </c>
      <c r="T11" s="266">
        <f>IF('Final Calculation Sheet'!$U$7="","",'Final Calculation Sheet'!$U$7)</f>
        <v/>
      </c>
      <c r="U11" s="268">
        <f>IF('Final Calculation Sheet'!$V$7="","",'Final Calculation Sheet'!$V$7)</f>
        <v/>
      </c>
      <c r="V11" s="266">
        <f>IF('Final Calculation Sheet'!$W$7="","",'Final Calculation Sheet'!$W$7)</f>
        <v/>
      </c>
      <c r="W11" s="266">
        <f>IF('Final Calculation Sheet'!$X$7="","",'Final Calculation Sheet'!$X$7)</f>
        <v/>
      </c>
      <c r="X11" s="268">
        <f>IF('Final Calculation Sheet'!$Y$7="","",'Final Calculation Sheet'!$Y$7)</f>
        <v/>
      </c>
      <c r="Y11" s="266">
        <f>IF('Final Calculation Sheet'!$Z$7="","",'Final Calculation Sheet'!$Z$7)</f>
        <v/>
      </c>
      <c r="Z11" s="266">
        <f>IF('Final Calculation Sheet'!$AA$7="","",'Final Calculation Sheet'!$AA$7)</f>
        <v/>
      </c>
      <c r="AA11" s="268">
        <f>IF('Final Calculation Sheet'!$AB$7="","",'Final Calculation Sheet'!$AB$7)</f>
        <v/>
      </c>
      <c r="AB11" s="266">
        <f>IF('Final Calculation Sheet'!$AC$7="","",'Final Calculation Sheet'!$AC$7)</f>
        <v/>
      </c>
      <c r="AC11" s="266">
        <f>IF('Final Calculation Sheet'!$AD$7="","",'Final Calculation Sheet'!$AD$7)</f>
        <v/>
      </c>
      <c r="AD11" s="268">
        <f>IF('Final Calculation Sheet'!$AD$7="","",IF('Final Calculation Sheet'!$AD$7&lt;=0,"SETTLED","OUTSTANDING"))</f>
        <v/>
      </c>
      <c r="AE11" s="268">
        <f>IF('Final Calculation Sheet'!$AE$7="","",'Final Calculation Sheet'!$AE$7)</f>
        <v/>
      </c>
      <c r="AF11" s="266">
        <f>IF('Final Calculation Sheet'!$AF$7="","",'Final Calculation Sheet'!$AF$7)</f>
        <v/>
      </c>
      <c r="AG11" s="268">
        <f>IF('Final Calculation Sheet'!$AG$7="","",'Final Calculation Sheet'!$AG$7)</f>
        <v/>
      </c>
    </row>
    <row r="12" ht="20" customHeight="1">
      <c r="A12" s="253" t="inlineStr">
        <is>
          <t>∑  F R KHANS ENTERPRISES — TOTALS</t>
        </is>
      </c>
      <c r="B12" s="392" t="inlineStr">
        <is>
          <t>–</t>
        </is>
      </c>
      <c r="C12" s="392" t="inlineStr">
        <is>
          <t>–</t>
        </is>
      </c>
      <c r="D12" s="256">
        <f>SUM(D10:D11)</f>
        <v/>
      </c>
      <c r="E12" s="392" t="inlineStr">
        <is>
          <t>–</t>
        </is>
      </c>
      <c r="F12" s="392" t="inlineStr">
        <is>
          <t>–</t>
        </is>
      </c>
      <c r="G12" s="257">
        <f>SUM(G10:G11)</f>
        <v/>
      </c>
      <c r="H12" s="257">
        <f>SUM(H10:H11)</f>
        <v/>
      </c>
      <c r="I12" s="257">
        <f>SUM(I10:I11)</f>
        <v/>
      </c>
      <c r="J12" s="257">
        <f>SUM(J10:J11)</f>
        <v/>
      </c>
      <c r="K12" s="258">
        <f>SUM(K10:K11)</f>
        <v/>
      </c>
      <c r="L12" s="258">
        <f>SUM(L10:L11)</f>
        <v/>
      </c>
      <c r="M12" s="258">
        <f>SUM(M10:M11)</f>
        <v/>
      </c>
      <c r="N12" s="258">
        <f>SUM(N10:N11)</f>
        <v/>
      </c>
      <c r="O12" s="257">
        <f>SUM(O10:O11)</f>
        <v/>
      </c>
      <c r="P12" s="392" t="inlineStr">
        <is>
          <t>–</t>
        </is>
      </c>
      <c r="Q12" s="257">
        <f>SUM(Q10:Q11)</f>
        <v/>
      </c>
      <c r="R12" s="257">
        <f>SUM(R10:R11)</f>
        <v/>
      </c>
      <c r="S12" s="257">
        <f>SUM(S10:S11)</f>
        <v/>
      </c>
      <c r="T12" s="257">
        <f>SUM(T10:T11)</f>
        <v/>
      </c>
      <c r="U12" s="392" t="inlineStr">
        <is>
          <t>–</t>
        </is>
      </c>
      <c r="V12" s="257">
        <f>SUM(V10:V11)</f>
        <v/>
      </c>
      <c r="W12" s="257">
        <f>SUM(W10:W11)</f>
        <v/>
      </c>
      <c r="X12" s="392" t="inlineStr">
        <is>
          <t>–</t>
        </is>
      </c>
      <c r="Y12" s="257">
        <f>SUM(Y10:Y11)</f>
        <v/>
      </c>
      <c r="Z12" s="257">
        <f>SUM(Z10:Z11)</f>
        <v/>
      </c>
      <c r="AA12" s="392" t="inlineStr">
        <is>
          <t>–</t>
        </is>
      </c>
      <c r="AB12" s="257">
        <f>SUM(AB10:AB11)</f>
        <v/>
      </c>
      <c r="AC12" s="257">
        <f>SUM(AC10:AC11)</f>
        <v/>
      </c>
      <c r="AD12" s="392" t="inlineStr">
        <is>
          <t>–</t>
        </is>
      </c>
      <c r="AE12" s="392" t="inlineStr">
        <is>
          <t>–</t>
        </is>
      </c>
      <c r="AF12" s="392" t="inlineStr">
        <is>
          <t>–</t>
        </is>
      </c>
      <c r="AG12" s="392" t="inlineStr">
        <is>
          <t>–</t>
        </is>
      </c>
    </row>
    <row r="13" ht="7" customHeight="1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24" customHeight="1">
      <c r="A1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278">
        <f>IF('Final Calculation Sheet'!$F$15="","",'Final Calculation Sheet'!$F$15)</f>
        <v/>
      </c>
      <c r="B15" s="277">
        <f>IF('Final Calculation Sheet'!$B$15="","",'Final Calculation Sheet'!$B$15)</f>
        <v/>
      </c>
      <c r="C15" s="278">
        <f>IF('Final Calculation Sheet'!$D$15="","",'Final Calculation Sheet'!$D$15)</f>
        <v/>
      </c>
      <c r="D15" s="279">
        <f>IF('Final Calculation Sheet'!$A$15="","",'Final Calculation Sheet'!$A$15)</f>
        <v/>
      </c>
      <c r="E15" s="280">
        <f>IF('Final Calculation Sheet'!$E$15="","",'Final Calculation Sheet'!$E$15)</f>
        <v/>
      </c>
      <c r="F15" s="278">
        <f>IF('Final Calculation Sheet'!$C$15="","",'Final Calculation Sheet'!$C$15)</f>
        <v/>
      </c>
      <c r="G15" s="278">
        <f>IF('Final Calculation Sheet'!$H$15="","",'Final Calculation Sheet'!$H$15)</f>
        <v/>
      </c>
      <c r="H15" s="278">
        <f>IF('Final Calculation Sheet'!$I$15="","",'Final Calculation Sheet'!$I$15)</f>
        <v/>
      </c>
      <c r="I15" s="278">
        <f>IF('Final Calculation Sheet'!$J$15="","",'Final Calculation Sheet'!$J$15)</f>
        <v/>
      </c>
      <c r="J15" s="278">
        <f>IF('Final Calculation Sheet'!$K$15="","",'Final Calculation Sheet'!$K$15)</f>
        <v/>
      </c>
      <c r="K15" s="281">
        <f>IF('Final Calculation Sheet'!$L$15="","",'Final Calculation Sheet'!$L$15)</f>
        <v/>
      </c>
      <c r="L15" s="281">
        <f>IF('Final Calculation Sheet'!$M$15="","",'Final Calculation Sheet'!$M$15)</f>
        <v/>
      </c>
      <c r="M15" s="281">
        <f>IF('Final Calculation Sheet'!$N$15="","",'Final Calculation Sheet'!$N$15)</f>
        <v/>
      </c>
      <c r="N15" s="281">
        <f>IF('Final Calculation Sheet'!$O$15="","",'Final Calculation Sheet'!$O$15)</f>
        <v/>
      </c>
      <c r="O15" s="278">
        <f>IF('Final Calculation Sheet'!$P$15="","",'Final Calculation Sheet'!$P$15)</f>
        <v/>
      </c>
      <c r="P15" s="282">
        <f>IF('Final Calculation Sheet'!$Q$15="","",'Final Calculation Sheet'!$Q$15)</f>
        <v/>
      </c>
      <c r="Q15" s="278">
        <f>IF('Final Calculation Sheet'!$R$15="","",'Final Calculation Sheet'!$R$15)</f>
        <v/>
      </c>
      <c r="R15" s="278">
        <f>IF('Final Calculation Sheet'!$S$15="","",'Final Calculation Sheet'!$S$15)</f>
        <v/>
      </c>
      <c r="S15" s="278">
        <f>IF('Final Calculation Sheet'!$T$15="","",'Final Calculation Sheet'!$T$15)</f>
        <v/>
      </c>
      <c r="T15" s="278">
        <f>IF('Final Calculation Sheet'!$U$15="","",'Final Calculation Sheet'!$U$15)</f>
        <v/>
      </c>
      <c r="U15" s="280">
        <f>IF('Final Calculation Sheet'!$V$15="","",'Final Calculation Sheet'!$V$15)</f>
        <v/>
      </c>
      <c r="V15" s="278">
        <f>IF('Final Calculation Sheet'!$W$15="","",'Final Calculation Sheet'!$W$15)</f>
        <v/>
      </c>
      <c r="W15" s="278">
        <f>IF('Final Calculation Sheet'!$X$15="","",'Final Calculation Sheet'!$X$15)</f>
        <v/>
      </c>
      <c r="X15" s="280">
        <f>IF('Final Calculation Sheet'!$Y$15="","",'Final Calculation Sheet'!$Y$15)</f>
        <v/>
      </c>
      <c r="Y15" s="278">
        <f>IF('Final Calculation Sheet'!$Z$15="","",'Final Calculation Sheet'!$Z$15)</f>
        <v/>
      </c>
      <c r="Z15" s="278">
        <f>IF('Final Calculation Sheet'!$AA$15="","",'Final Calculation Sheet'!$AA$15)</f>
        <v/>
      </c>
      <c r="AA15" s="280">
        <f>IF('Final Calculation Sheet'!$AB$15="","",'Final Calculation Sheet'!$AB$15)</f>
        <v/>
      </c>
      <c r="AB15" s="278">
        <f>IF('Final Calculation Sheet'!$AC$15="","",'Final Calculation Sheet'!$AC$15)</f>
        <v/>
      </c>
      <c r="AC15" s="278">
        <f>IF('Final Calculation Sheet'!$AD$15="","",'Final Calculation Sheet'!$AD$15)</f>
        <v/>
      </c>
      <c r="AD15" s="280">
        <f>IF('Final Calculation Sheet'!$AD$15="","",IF('Final Calculation Sheet'!$AD$15&lt;=0,"SETTLED","OUTSTANDING"))</f>
        <v/>
      </c>
      <c r="AE15" s="280">
        <f>IF('Final Calculation Sheet'!$AE$15="","",'Final Calculation Sheet'!$AE$15)</f>
        <v/>
      </c>
      <c r="AF15" s="278">
        <f>IF('Final Calculation Sheet'!$AF$15="","",'Final Calculation Sheet'!$AF$15)</f>
        <v/>
      </c>
      <c r="AG15" s="280">
        <f>IF('Final Calculation Sheet'!$AG$15="","",'Final Calculation Sheet'!$AG$15)</f>
        <v/>
      </c>
    </row>
    <row r="16" ht="20" customHeight="1">
      <c r="A16" s="271" t="inlineStr">
        <is>
          <t>∑  HIND TRADERS — TOTALS</t>
        </is>
      </c>
      <c r="B16" s="393" t="inlineStr">
        <is>
          <t>–</t>
        </is>
      </c>
      <c r="C16" s="393" t="inlineStr">
        <is>
          <t>–</t>
        </is>
      </c>
      <c r="D16" s="274">
        <f>SUM(D15:D15)</f>
        <v/>
      </c>
      <c r="E16" s="393" t="inlineStr">
        <is>
          <t>–</t>
        </is>
      </c>
      <c r="F16" s="393" t="inlineStr">
        <is>
          <t>–</t>
        </is>
      </c>
      <c r="G16" s="275">
        <f>SUM(G15:G15)</f>
        <v/>
      </c>
      <c r="H16" s="275">
        <f>SUM(H15:H15)</f>
        <v/>
      </c>
      <c r="I16" s="275">
        <f>SUM(I15:I15)</f>
        <v/>
      </c>
      <c r="J16" s="275">
        <f>SUM(J15:J15)</f>
        <v/>
      </c>
      <c r="K16" s="276">
        <f>SUM(K15:K15)</f>
        <v/>
      </c>
      <c r="L16" s="276">
        <f>SUM(L15:L15)</f>
        <v/>
      </c>
      <c r="M16" s="276">
        <f>SUM(M15:M15)</f>
        <v/>
      </c>
      <c r="N16" s="276">
        <f>SUM(N15:N15)</f>
        <v/>
      </c>
      <c r="O16" s="275">
        <f>SUM(O15:O15)</f>
        <v/>
      </c>
      <c r="P16" s="393" t="inlineStr">
        <is>
          <t>–</t>
        </is>
      </c>
      <c r="Q16" s="275">
        <f>SUM(Q15:Q15)</f>
        <v/>
      </c>
      <c r="R16" s="275">
        <f>SUM(R15:R15)</f>
        <v/>
      </c>
      <c r="S16" s="275">
        <f>SUM(S15:S15)</f>
        <v/>
      </c>
      <c r="T16" s="275">
        <f>SUM(T15:T15)</f>
        <v/>
      </c>
      <c r="U16" s="393" t="inlineStr">
        <is>
          <t>–</t>
        </is>
      </c>
      <c r="V16" s="275">
        <f>SUM(V15:V15)</f>
        <v/>
      </c>
      <c r="W16" s="275">
        <f>SUM(W15:W15)</f>
        <v/>
      </c>
      <c r="X16" s="393" t="inlineStr">
        <is>
          <t>–</t>
        </is>
      </c>
      <c r="Y16" s="275">
        <f>SUM(Y15:Y15)</f>
        <v/>
      </c>
      <c r="Z16" s="275">
        <f>SUM(Z15:Z15)</f>
        <v/>
      </c>
      <c r="AA16" s="393" t="inlineStr">
        <is>
          <t>–</t>
        </is>
      </c>
      <c r="AB16" s="275">
        <f>SUM(AB15:AB15)</f>
        <v/>
      </c>
      <c r="AC16" s="275">
        <f>SUM(AC15:AC15)</f>
        <v/>
      </c>
      <c r="AD16" s="393" t="inlineStr">
        <is>
          <t>–</t>
        </is>
      </c>
      <c r="AE16" s="393" t="inlineStr">
        <is>
          <t>–</t>
        </is>
      </c>
      <c r="AF16" s="393" t="inlineStr">
        <is>
          <t>–</t>
        </is>
      </c>
      <c r="AG16" s="393" t="inlineStr">
        <is>
          <t>–</t>
        </is>
      </c>
    </row>
    <row r="17" ht="7" customHeight="1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</row>
    <row r="18" ht="24" customHeight="1">
      <c r="A1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290">
        <f>IF('Final Calculation Sheet'!$F$38="","",'Final Calculation Sheet'!$F$38)</f>
        <v/>
      </c>
      <c r="B19" s="289">
        <f>IF('Final Calculation Sheet'!$B$38="","",'Final Calculation Sheet'!$B$38)</f>
        <v/>
      </c>
      <c r="C19" s="290">
        <f>IF('Final Calculation Sheet'!$D$38="","",'Final Calculation Sheet'!$D$38)</f>
        <v/>
      </c>
      <c r="D19" s="291">
        <f>IF('Final Calculation Sheet'!$A$38="","",'Final Calculation Sheet'!$A$38)</f>
        <v/>
      </c>
      <c r="E19" s="292">
        <f>IF('Final Calculation Sheet'!$E$38="","",'Final Calculation Sheet'!$E$38)</f>
        <v/>
      </c>
      <c r="F19" s="290">
        <f>IF('Final Calculation Sheet'!$C$38="","",'Final Calculation Sheet'!$C$38)</f>
        <v/>
      </c>
      <c r="G19" s="290">
        <f>IF('Final Calculation Sheet'!$H$38="","",'Final Calculation Sheet'!$H$38)</f>
        <v/>
      </c>
      <c r="H19" s="290">
        <f>IF('Final Calculation Sheet'!$I$38="","",'Final Calculation Sheet'!$I$38)</f>
        <v/>
      </c>
      <c r="I19" s="290">
        <f>IF('Final Calculation Sheet'!$J$38="","",'Final Calculation Sheet'!$J$38)</f>
        <v/>
      </c>
      <c r="J19" s="290">
        <f>IF('Final Calculation Sheet'!$K$38="","",'Final Calculation Sheet'!$K$38)</f>
        <v/>
      </c>
      <c r="K19" s="293">
        <f>IF('Final Calculation Sheet'!$L$38="","",'Final Calculation Sheet'!$L$38)</f>
        <v/>
      </c>
      <c r="L19" s="293">
        <f>IF('Final Calculation Sheet'!$M$38="","",'Final Calculation Sheet'!$M$38)</f>
        <v/>
      </c>
      <c r="M19" s="293">
        <f>IF('Final Calculation Sheet'!$N$38="","",'Final Calculation Sheet'!$N$38)</f>
        <v/>
      </c>
      <c r="N19" s="293">
        <f>IF('Final Calculation Sheet'!$O$38="","",'Final Calculation Sheet'!$O$38)</f>
        <v/>
      </c>
      <c r="O19" s="290">
        <f>IF('Final Calculation Sheet'!$P$38="","",'Final Calculation Sheet'!$P$38)</f>
        <v/>
      </c>
      <c r="P19" s="294">
        <f>IF('Final Calculation Sheet'!$Q$38="","",'Final Calculation Sheet'!$Q$38)</f>
        <v/>
      </c>
      <c r="Q19" s="290">
        <f>IF('Final Calculation Sheet'!$R$38="","",'Final Calculation Sheet'!$R$38)</f>
        <v/>
      </c>
      <c r="R19" s="290">
        <f>IF('Final Calculation Sheet'!$S$38="","",'Final Calculation Sheet'!$S$38)</f>
        <v/>
      </c>
      <c r="S19" s="290">
        <f>IF('Final Calculation Sheet'!$T$38="","",'Final Calculation Sheet'!$T$38)</f>
        <v/>
      </c>
      <c r="T19" s="290">
        <f>IF('Final Calculation Sheet'!$U$38="","",'Final Calculation Sheet'!$U$38)</f>
        <v/>
      </c>
      <c r="U19" s="292">
        <f>IF('Final Calculation Sheet'!$V$38="","",'Final Calculation Sheet'!$V$38)</f>
        <v/>
      </c>
      <c r="V19" s="290">
        <f>IF('Final Calculation Sheet'!$W$38="","",'Final Calculation Sheet'!$W$38)</f>
        <v/>
      </c>
      <c r="W19" s="290">
        <f>IF('Final Calculation Sheet'!$X$38="","",'Final Calculation Sheet'!$X$38)</f>
        <v/>
      </c>
      <c r="X19" s="292">
        <f>IF('Final Calculation Sheet'!$Y$38="","",'Final Calculation Sheet'!$Y$38)</f>
        <v/>
      </c>
      <c r="Y19" s="290">
        <f>IF('Final Calculation Sheet'!$Z$38="","",'Final Calculation Sheet'!$Z$38)</f>
        <v/>
      </c>
      <c r="Z19" s="290">
        <f>IF('Final Calculation Sheet'!$AA$38="","",'Final Calculation Sheet'!$AA$38)</f>
        <v/>
      </c>
      <c r="AA19" s="292">
        <f>IF('Final Calculation Sheet'!$AB$38="","",'Final Calculation Sheet'!$AB$38)</f>
        <v/>
      </c>
      <c r="AB19" s="290">
        <f>IF('Final Calculation Sheet'!$AC$38="","",'Final Calculation Sheet'!$AC$38)</f>
        <v/>
      </c>
      <c r="AC19" s="290">
        <f>IF('Final Calculation Sheet'!$AD$38="","",'Final Calculation Sheet'!$AD$38)</f>
        <v/>
      </c>
      <c r="AD19" s="292">
        <f>IF('Final Calculation Sheet'!$AD$38="","",IF('Final Calculation Sheet'!$AD$38&lt;=0,"SETTLED","OUTSTANDING"))</f>
        <v/>
      </c>
      <c r="AE19" s="292">
        <f>IF('Final Calculation Sheet'!$AE$38="","",'Final Calculation Sheet'!$AE$38)</f>
        <v/>
      </c>
      <c r="AF19" s="290">
        <f>IF('Final Calculation Sheet'!$AF$38="","",'Final Calculation Sheet'!$AF$38)</f>
        <v/>
      </c>
      <c r="AG19" s="292">
        <f>IF('Final Calculation Sheet'!$AG$38="","",'Final Calculation Sheet'!$AG$38)</f>
        <v/>
      </c>
    </row>
    <row r="20" ht="20" customHeight="1">
      <c r="A20" s="283" t="inlineStr">
        <is>
          <t>∑  KASHYAP TRADING CO — TOTALS</t>
        </is>
      </c>
      <c r="B20" s="394" t="inlineStr">
        <is>
          <t>–</t>
        </is>
      </c>
      <c r="C20" s="394" t="inlineStr">
        <is>
          <t>–</t>
        </is>
      </c>
      <c r="D20" s="286">
        <f>SUM(D19:D19)</f>
        <v/>
      </c>
      <c r="E20" s="394" t="inlineStr">
        <is>
          <t>–</t>
        </is>
      </c>
      <c r="F20" s="394" t="inlineStr">
        <is>
          <t>–</t>
        </is>
      </c>
      <c r="G20" s="287">
        <f>SUM(G19:G19)</f>
        <v/>
      </c>
      <c r="H20" s="287">
        <f>SUM(H19:H19)</f>
        <v/>
      </c>
      <c r="I20" s="287">
        <f>SUM(I19:I19)</f>
        <v/>
      </c>
      <c r="J20" s="287">
        <f>SUM(J19:J19)</f>
        <v/>
      </c>
      <c r="K20" s="288">
        <f>SUM(K19:K19)</f>
        <v/>
      </c>
      <c r="L20" s="288">
        <f>SUM(L19:L19)</f>
        <v/>
      </c>
      <c r="M20" s="288">
        <f>SUM(M19:M19)</f>
        <v/>
      </c>
      <c r="N20" s="288">
        <f>SUM(N19:N19)</f>
        <v/>
      </c>
      <c r="O20" s="287">
        <f>SUM(O19:O19)</f>
        <v/>
      </c>
      <c r="P20" s="394" t="inlineStr">
        <is>
          <t>–</t>
        </is>
      </c>
      <c r="Q20" s="287">
        <f>SUM(Q19:Q19)</f>
        <v/>
      </c>
      <c r="R20" s="287">
        <f>SUM(R19:R19)</f>
        <v/>
      </c>
      <c r="S20" s="287">
        <f>SUM(S19:S19)</f>
        <v/>
      </c>
      <c r="T20" s="287">
        <f>SUM(T19:T19)</f>
        <v/>
      </c>
      <c r="U20" s="394" t="inlineStr">
        <is>
          <t>–</t>
        </is>
      </c>
      <c r="V20" s="287">
        <f>SUM(V19:V19)</f>
        <v/>
      </c>
      <c r="W20" s="287">
        <f>SUM(W19:W19)</f>
        <v/>
      </c>
      <c r="X20" s="394" t="inlineStr">
        <is>
          <t>–</t>
        </is>
      </c>
      <c r="Y20" s="287">
        <f>SUM(Y19:Y19)</f>
        <v/>
      </c>
      <c r="Z20" s="287">
        <f>SUM(Z19:Z19)</f>
        <v/>
      </c>
      <c r="AA20" s="394" t="inlineStr">
        <is>
          <t>–</t>
        </is>
      </c>
      <c r="AB20" s="287">
        <f>SUM(AB19:AB19)</f>
        <v/>
      </c>
      <c r="AC20" s="287">
        <f>SUM(AC19:AC19)</f>
        <v/>
      </c>
      <c r="AD20" s="394" t="inlineStr">
        <is>
          <t>–</t>
        </is>
      </c>
      <c r="AE20" s="394" t="inlineStr">
        <is>
          <t>–</t>
        </is>
      </c>
      <c r="AF20" s="394" t="inlineStr">
        <is>
          <t>–</t>
        </is>
      </c>
      <c r="AG20" s="394" t="inlineStr">
        <is>
          <t>–</t>
        </is>
      </c>
    </row>
    <row r="21" ht="7" customHeight="1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</row>
    <row r="22" ht="24" customHeight="1">
      <c r="A2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302">
        <f>IF('Final Calculation Sheet'!$F$27="","",'Final Calculation Sheet'!$F$27)</f>
        <v/>
      </c>
      <c r="B23" s="301">
        <f>IF('Final Calculation Sheet'!$B$27="","",'Final Calculation Sheet'!$B$27)</f>
        <v/>
      </c>
      <c r="C23" s="302">
        <f>IF('Final Calculation Sheet'!$D$27="","",'Final Calculation Sheet'!$D$27)</f>
        <v/>
      </c>
      <c r="D23" s="303">
        <f>IF('Final Calculation Sheet'!$A$27="","",'Final Calculation Sheet'!$A$27)</f>
        <v/>
      </c>
      <c r="E23" s="304">
        <f>IF('Final Calculation Sheet'!$E$27="","",'Final Calculation Sheet'!$E$27)</f>
        <v/>
      </c>
      <c r="F23" s="302">
        <f>IF('Final Calculation Sheet'!$C$27="","",'Final Calculation Sheet'!$C$27)</f>
        <v/>
      </c>
      <c r="G23" s="302">
        <f>IF('Final Calculation Sheet'!$H$27="","",'Final Calculation Sheet'!$H$27)</f>
        <v/>
      </c>
      <c r="H23" s="302">
        <f>IF('Final Calculation Sheet'!$I$27="","",'Final Calculation Sheet'!$I$27)</f>
        <v/>
      </c>
      <c r="I23" s="302">
        <f>IF('Final Calculation Sheet'!$J$27="","",'Final Calculation Sheet'!$J$27)</f>
        <v/>
      </c>
      <c r="J23" s="302">
        <f>IF('Final Calculation Sheet'!$K$27="","",'Final Calculation Sheet'!$K$27)</f>
        <v/>
      </c>
      <c r="K23" s="305">
        <f>IF('Final Calculation Sheet'!$L$27="","",'Final Calculation Sheet'!$L$27)</f>
        <v/>
      </c>
      <c r="L23" s="305">
        <f>IF('Final Calculation Sheet'!$M$27="","",'Final Calculation Sheet'!$M$27)</f>
        <v/>
      </c>
      <c r="M23" s="305">
        <f>IF('Final Calculation Sheet'!$N$27="","",'Final Calculation Sheet'!$N$27)</f>
        <v/>
      </c>
      <c r="N23" s="305">
        <f>IF('Final Calculation Sheet'!$O$27="","",'Final Calculation Sheet'!$O$27)</f>
        <v/>
      </c>
      <c r="O23" s="302">
        <f>IF('Final Calculation Sheet'!$P$27="","",'Final Calculation Sheet'!$P$27)</f>
        <v/>
      </c>
      <c r="P23" s="306">
        <f>IF('Final Calculation Sheet'!$Q$27="","",'Final Calculation Sheet'!$Q$27)</f>
        <v/>
      </c>
      <c r="Q23" s="302">
        <f>IF('Final Calculation Sheet'!$R$27="","",'Final Calculation Sheet'!$R$27)</f>
        <v/>
      </c>
      <c r="R23" s="302">
        <f>IF('Final Calculation Sheet'!$S$27="","",'Final Calculation Sheet'!$S$27)</f>
        <v/>
      </c>
      <c r="S23" s="302">
        <f>IF('Final Calculation Sheet'!$T$27="","",'Final Calculation Sheet'!$T$27)</f>
        <v/>
      </c>
      <c r="T23" s="302">
        <f>IF('Final Calculation Sheet'!$U$27="","",'Final Calculation Sheet'!$U$27)</f>
        <v/>
      </c>
      <c r="U23" s="304">
        <f>IF('Final Calculation Sheet'!$V$27="","",'Final Calculation Sheet'!$V$27)</f>
        <v/>
      </c>
      <c r="V23" s="302">
        <f>IF('Final Calculation Sheet'!$W$27="","",'Final Calculation Sheet'!$W$27)</f>
        <v/>
      </c>
      <c r="W23" s="302">
        <f>IF('Final Calculation Sheet'!$X$27="","",'Final Calculation Sheet'!$X$27)</f>
        <v/>
      </c>
      <c r="X23" s="304">
        <f>IF('Final Calculation Sheet'!$Y$27="","",'Final Calculation Sheet'!$Y$27)</f>
        <v/>
      </c>
      <c r="Y23" s="302">
        <f>IF('Final Calculation Sheet'!$Z$27="","",'Final Calculation Sheet'!$Z$27)</f>
        <v/>
      </c>
      <c r="Z23" s="302">
        <f>IF('Final Calculation Sheet'!$AA$27="","",'Final Calculation Sheet'!$AA$27)</f>
        <v/>
      </c>
      <c r="AA23" s="304">
        <f>IF('Final Calculation Sheet'!$AB$27="","",'Final Calculation Sheet'!$AB$27)</f>
        <v/>
      </c>
      <c r="AB23" s="302">
        <f>IF('Final Calculation Sheet'!$AC$27="","",'Final Calculation Sheet'!$AC$27)</f>
        <v/>
      </c>
      <c r="AC23" s="302">
        <f>IF('Final Calculation Sheet'!$AD$27="","",'Final Calculation Sheet'!$AD$27)</f>
        <v/>
      </c>
      <c r="AD23" s="304">
        <f>IF('Final Calculation Sheet'!$AD$27="","",IF('Final Calculation Sheet'!$AD$27&lt;=0,"SETTLED","OUTSTANDING"))</f>
        <v/>
      </c>
      <c r="AE23" s="304">
        <f>IF('Final Calculation Sheet'!$AE$27="","",'Final Calculation Sheet'!$AE$27)</f>
        <v/>
      </c>
      <c r="AF23" s="302">
        <f>IF('Final Calculation Sheet'!$AF$27="","",'Final Calculation Sheet'!$AF$27)</f>
        <v/>
      </c>
      <c r="AG23" s="304">
        <f>IF('Final Calculation Sheet'!$AG$27="","",'Final Calculation Sheet'!$AG$27)</f>
        <v/>
      </c>
    </row>
    <row r="24" ht="20" customHeight="1">
      <c r="A24" s="295" t="inlineStr">
        <is>
          <t>∑  M I SCRAP TRADERS — TOTALS</t>
        </is>
      </c>
      <c r="B24" s="395" t="inlineStr">
        <is>
          <t>–</t>
        </is>
      </c>
      <c r="C24" s="395" t="inlineStr">
        <is>
          <t>–</t>
        </is>
      </c>
      <c r="D24" s="298">
        <f>SUM(D23:D23)</f>
        <v/>
      </c>
      <c r="E24" s="395" t="inlineStr">
        <is>
          <t>–</t>
        </is>
      </c>
      <c r="F24" s="395" t="inlineStr">
        <is>
          <t>–</t>
        </is>
      </c>
      <c r="G24" s="299">
        <f>SUM(G23:G23)</f>
        <v/>
      </c>
      <c r="H24" s="299">
        <f>SUM(H23:H23)</f>
        <v/>
      </c>
      <c r="I24" s="299">
        <f>SUM(I23:I23)</f>
        <v/>
      </c>
      <c r="J24" s="299">
        <f>SUM(J23:J23)</f>
        <v/>
      </c>
      <c r="K24" s="300">
        <f>SUM(K23:K23)</f>
        <v/>
      </c>
      <c r="L24" s="300">
        <f>SUM(L23:L23)</f>
        <v/>
      </c>
      <c r="M24" s="300">
        <f>SUM(M23:M23)</f>
        <v/>
      </c>
      <c r="N24" s="300">
        <f>SUM(N23:N23)</f>
        <v/>
      </c>
      <c r="O24" s="299">
        <f>SUM(O23:O23)</f>
        <v/>
      </c>
      <c r="P24" s="395" t="inlineStr">
        <is>
          <t>–</t>
        </is>
      </c>
      <c r="Q24" s="299">
        <f>SUM(Q23:Q23)</f>
        <v/>
      </c>
      <c r="R24" s="299">
        <f>SUM(R23:R23)</f>
        <v/>
      </c>
      <c r="S24" s="299">
        <f>SUM(S23:S23)</f>
        <v/>
      </c>
      <c r="T24" s="299">
        <f>SUM(T23:T23)</f>
        <v/>
      </c>
      <c r="U24" s="395" t="inlineStr">
        <is>
          <t>–</t>
        </is>
      </c>
      <c r="V24" s="299">
        <f>SUM(V23:V23)</f>
        <v/>
      </c>
      <c r="W24" s="299">
        <f>SUM(W23:W23)</f>
        <v/>
      </c>
      <c r="X24" s="395" t="inlineStr">
        <is>
          <t>–</t>
        </is>
      </c>
      <c r="Y24" s="299">
        <f>SUM(Y23:Y23)</f>
        <v/>
      </c>
      <c r="Z24" s="299">
        <f>SUM(Z23:Z23)</f>
        <v/>
      </c>
      <c r="AA24" s="395" t="inlineStr">
        <is>
          <t>–</t>
        </is>
      </c>
      <c r="AB24" s="299">
        <f>SUM(AB23:AB23)</f>
        <v/>
      </c>
      <c r="AC24" s="299">
        <f>SUM(AC23:AC23)</f>
        <v/>
      </c>
      <c r="AD24" s="395" t="inlineStr">
        <is>
          <t>–</t>
        </is>
      </c>
      <c r="AE24" s="395" t="inlineStr">
        <is>
          <t>–</t>
        </is>
      </c>
      <c r="AF24" s="395" t="inlineStr">
        <is>
          <t>–</t>
        </is>
      </c>
      <c r="AG24" s="395" t="inlineStr">
        <is>
          <t>–</t>
        </is>
      </c>
    </row>
    <row r="25" ht="7" customHeight="1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</row>
    <row r="26" ht="24" customHeight="1">
      <c r="A2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314">
        <f>IF('Final Calculation Sheet'!$F$5="","",'Final Calculation Sheet'!$F$5)</f>
        <v/>
      </c>
      <c r="B27" s="313">
        <f>IF('Final Calculation Sheet'!$B$5="","",'Final Calculation Sheet'!$B$5)</f>
        <v/>
      </c>
      <c r="C27" s="314">
        <f>IF('Final Calculation Sheet'!$D$5="","",'Final Calculation Sheet'!$D$5)</f>
        <v/>
      </c>
      <c r="D27" s="315">
        <f>IF('Final Calculation Sheet'!$A$5="","",'Final Calculation Sheet'!$A$5)</f>
        <v/>
      </c>
      <c r="E27" s="316">
        <f>IF('Final Calculation Sheet'!$E$5="","",'Final Calculation Sheet'!$E$5)</f>
        <v/>
      </c>
      <c r="F27" s="314">
        <f>IF('Final Calculation Sheet'!$C$5="","",'Final Calculation Sheet'!$C$5)</f>
        <v/>
      </c>
      <c r="G27" s="314">
        <f>IF('Final Calculation Sheet'!$H$5="","",'Final Calculation Sheet'!$H$5)</f>
        <v/>
      </c>
      <c r="H27" s="314">
        <f>IF('Final Calculation Sheet'!$I$5="","",'Final Calculation Sheet'!$I$5)</f>
        <v/>
      </c>
      <c r="I27" s="314">
        <f>IF('Final Calculation Sheet'!$J$5="","",'Final Calculation Sheet'!$J$5)</f>
        <v/>
      </c>
      <c r="J27" s="314">
        <f>IF('Final Calculation Sheet'!$K$5="","",'Final Calculation Sheet'!$K$5)</f>
        <v/>
      </c>
      <c r="K27" s="317">
        <f>IF('Final Calculation Sheet'!$L$5="","",'Final Calculation Sheet'!$L$5)</f>
        <v/>
      </c>
      <c r="L27" s="317">
        <f>IF('Final Calculation Sheet'!$M$5="","",'Final Calculation Sheet'!$M$5)</f>
        <v/>
      </c>
      <c r="M27" s="317">
        <f>IF('Final Calculation Sheet'!$N$5="","",'Final Calculation Sheet'!$N$5)</f>
        <v/>
      </c>
      <c r="N27" s="317">
        <f>IF('Final Calculation Sheet'!$O$5="","",'Final Calculation Sheet'!$O$5)</f>
        <v/>
      </c>
      <c r="O27" s="314">
        <f>IF('Final Calculation Sheet'!$P$5="","",'Final Calculation Sheet'!$P$5)</f>
        <v/>
      </c>
      <c r="P27" s="318">
        <f>IF('Final Calculation Sheet'!$Q$5="","",'Final Calculation Sheet'!$Q$5)</f>
        <v/>
      </c>
      <c r="Q27" s="314">
        <f>IF('Final Calculation Sheet'!$R$5="","",'Final Calculation Sheet'!$R$5)</f>
        <v/>
      </c>
      <c r="R27" s="314">
        <f>IF('Final Calculation Sheet'!$S$5="","",'Final Calculation Sheet'!$S$5)</f>
        <v/>
      </c>
      <c r="S27" s="314">
        <f>IF('Final Calculation Sheet'!$T$5="","",'Final Calculation Sheet'!$T$5)</f>
        <v/>
      </c>
      <c r="T27" s="314">
        <f>IF('Final Calculation Sheet'!$U$5="","",'Final Calculation Sheet'!$U$5)</f>
        <v/>
      </c>
      <c r="U27" s="316">
        <f>IF('Final Calculation Sheet'!$V$5="","",'Final Calculation Sheet'!$V$5)</f>
        <v/>
      </c>
      <c r="V27" s="314">
        <f>IF('Final Calculation Sheet'!$W$5="","",'Final Calculation Sheet'!$W$5)</f>
        <v/>
      </c>
      <c r="W27" s="314">
        <f>IF('Final Calculation Sheet'!$X$5="","",'Final Calculation Sheet'!$X$5)</f>
        <v/>
      </c>
      <c r="X27" s="316">
        <f>IF('Final Calculation Sheet'!$Y$5="","",'Final Calculation Sheet'!$Y$5)</f>
        <v/>
      </c>
      <c r="Y27" s="314">
        <f>IF('Final Calculation Sheet'!$Z$5="","",'Final Calculation Sheet'!$Z$5)</f>
        <v/>
      </c>
      <c r="Z27" s="314">
        <f>IF('Final Calculation Sheet'!$AA$5="","",'Final Calculation Sheet'!$AA$5)</f>
        <v/>
      </c>
      <c r="AA27" s="316">
        <f>IF('Final Calculation Sheet'!$AB$5="","",'Final Calculation Sheet'!$AB$5)</f>
        <v/>
      </c>
      <c r="AB27" s="314">
        <f>IF('Final Calculation Sheet'!$AC$5="","",'Final Calculation Sheet'!$AC$5)</f>
        <v/>
      </c>
      <c r="AC27" s="314">
        <f>IF('Final Calculation Sheet'!$AD$5="","",'Final Calculation Sheet'!$AD$5)</f>
        <v/>
      </c>
      <c r="AD27" s="316">
        <f>IF('Final Calculation Sheet'!$AD$5="","",IF('Final Calculation Sheet'!$AD$5&lt;=0,"SETTLED","OUTSTANDING"))</f>
        <v/>
      </c>
      <c r="AE27" s="316">
        <f>IF('Final Calculation Sheet'!$AE$5="","",'Final Calculation Sheet'!$AE$5)</f>
        <v/>
      </c>
      <c r="AF27" s="314">
        <f>IF('Final Calculation Sheet'!$AF$5="","",'Final Calculation Sheet'!$AF$5)</f>
        <v/>
      </c>
      <c r="AG27" s="316">
        <f>IF('Final Calculation Sheet'!$AG$5="","",'Final Calculation Sheet'!$AG$5)</f>
        <v/>
      </c>
    </row>
    <row r="28" outlineLevel="1" ht="15" customHeight="1">
      <c r="A28" s="320">
        <f>IF('Final Calculation Sheet'!$F$10="","",'Final Calculation Sheet'!$F$10)</f>
        <v/>
      </c>
      <c r="B28" s="319">
        <f>IF('Final Calculation Sheet'!$B$10="","",'Final Calculation Sheet'!$B$10)</f>
        <v/>
      </c>
      <c r="C28" s="320">
        <f>IF('Final Calculation Sheet'!$D$10="","",'Final Calculation Sheet'!$D$10)</f>
        <v/>
      </c>
      <c r="D28" s="321">
        <f>IF('Final Calculation Sheet'!$A$10="","",'Final Calculation Sheet'!$A$10)</f>
        <v/>
      </c>
      <c r="E28" s="322">
        <f>IF('Final Calculation Sheet'!$E$10="","",'Final Calculation Sheet'!$E$10)</f>
        <v/>
      </c>
      <c r="F28" s="320">
        <f>IF('Final Calculation Sheet'!$C$10="","",'Final Calculation Sheet'!$C$10)</f>
        <v/>
      </c>
      <c r="G28" s="320">
        <f>IF('Final Calculation Sheet'!$H$10="","",'Final Calculation Sheet'!$H$10)</f>
        <v/>
      </c>
      <c r="H28" s="320">
        <f>IF('Final Calculation Sheet'!$I$10="","",'Final Calculation Sheet'!$I$10)</f>
        <v/>
      </c>
      <c r="I28" s="320">
        <f>IF('Final Calculation Sheet'!$J$10="","",'Final Calculation Sheet'!$J$10)</f>
        <v/>
      </c>
      <c r="J28" s="320">
        <f>IF('Final Calculation Sheet'!$K$10="","",'Final Calculation Sheet'!$K$10)</f>
        <v/>
      </c>
      <c r="K28" s="323">
        <f>IF('Final Calculation Sheet'!$L$10="","",'Final Calculation Sheet'!$L$10)</f>
        <v/>
      </c>
      <c r="L28" s="323">
        <f>IF('Final Calculation Sheet'!$M$10="","",'Final Calculation Sheet'!$M$10)</f>
        <v/>
      </c>
      <c r="M28" s="323">
        <f>IF('Final Calculation Sheet'!$N$10="","",'Final Calculation Sheet'!$N$10)</f>
        <v/>
      </c>
      <c r="N28" s="323">
        <f>IF('Final Calculation Sheet'!$O$10="","",'Final Calculation Sheet'!$O$10)</f>
        <v/>
      </c>
      <c r="O28" s="320">
        <f>IF('Final Calculation Sheet'!$P$10="","",'Final Calculation Sheet'!$P$10)</f>
        <v/>
      </c>
      <c r="P28" s="324">
        <f>IF('Final Calculation Sheet'!$Q$10="","",'Final Calculation Sheet'!$Q$10)</f>
        <v/>
      </c>
      <c r="Q28" s="320">
        <f>IF('Final Calculation Sheet'!$R$10="","",'Final Calculation Sheet'!$R$10)</f>
        <v/>
      </c>
      <c r="R28" s="320">
        <f>IF('Final Calculation Sheet'!$S$10="","",'Final Calculation Sheet'!$S$10)</f>
        <v/>
      </c>
      <c r="S28" s="320">
        <f>IF('Final Calculation Sheet'!$T$10="","",'Final Calculation Sheet'!$T$10)</f>
        <v/>
      </c>
      <c r="T28" s="320">
        <f>IF('Final Calculation Sheet'!$U$10="","",'Final Calculation Sheet'!$U$10)</f>
        <v/>
      </c>
      <c r="U28" s="322">
        <f>IF('Final Calculation Sheet'!$V$10="","",'Final Calculation Sheet'!$V$10)</f>
        <v/>
      </c>
      <c r="V28" s="320">
        <f>IF('Final Calculation Sheet'!$W$10="","",'Final Calculation Sheet'!$W$10)</f>
        <v/>
      </c>
      <c r="W28" s="320">
        <f>IF('Final Calculation Sheet'!$X$10="","",'Final Calculation Sheet'!$X$10)</f>
        <v/>
      </c>
      <c r="X28" s="322">
        <f>IF('Final Calculation Sheet'!$Y$10="","",'Final Calculation Sheet'!$Y$10)</f>
        <v/>
      </c>
      <c r="Y28" s="320">
        <f>IF('Final Calculation Sheet'!$Z$10="","",'Final Calculation Sheet'!$Z$10)</f>
        <v/>
      </c>
      <c r="Z28" s="320">
        <f>IF('Final Calculation Sheet'!$AA$10="","",'Final Calculation Sheet'!$AA$10)</f>
        <v/>
      </c>
      <c r="AA28" s="322">
        <f>IF('Final Calculation Sheet'!$AB$10="","",'Final Calculation Sheet'!$AB$10)</f>
        <v/>
      </c>
      <c r="AB28" s="320">
        <f>IF('Final Calculation Sheet'!$AC$10="","",'Final Calculation Sheet'!$AC$10)</f>
        <v/>
      </c>
      <c r="AC28" s="320">
        <f>IF('Final Calculation Sheet'!$AD$10="","",'Final Calculation Sheet'!$AD$10)</f>
        <v/>
      </c>
      <c r="AD28" s="322">
        <f>IF('Final Calculation Sheet'!$AD$10="","",IF('Final Calculation Sheet'!$AD$10&lt;=0,"SETTLED","OUTSTANDING"))</f>
        <v/>
      </c>
      <c r="AE28" s="322">
        <f>IF('Final Calculation Sheet'!$AE$10="","",'Final Calculation Sheet'!$AE$10)</f>
        <v/>
      </c>
      <c r="AF28" s="320">
        <f>IF('Final Calculation Sheet'!$AF$10="","",'Final Calculation Sheet'!$AF$10)</f>
        <v/>
      </c>
      <c r="AG28" s="322">
        <f>IF('Final Calculation Sheet'!$AG$10="","",'Final Calculation Sheet'!$AG$10)</f>
        <v/>
      </c>
    </row>
    <row r="29" outlineLevel="1" ht="15" customHeight="1">
      <c r="A29" s="314">
        <f>IF('Final Calculation Sheet'!$F$11="","",'Final Calculation Sheet'!$F$11)</f>
        <v/>
      </c>
      <c r="B29" s="313">
        <f>IF('Final Calculation Sheet'!$B$11="","",'Final Calculation Sheet'!$B$11)</f>
        <v/>
      </c>
      <c r="C29" s="314">
        <f>IF('Final Calculation Sheet'!$D$11="","",'Final Calculation Sheet'!$D$11)</f>
        <v/>
      </c>
      <c r="D29" s="315">
        <f>IF('Final Calculation Sheet'!$A$11="","",'Final Calculation Sheet'!$A$11)</f>
        <v/>
      </c>
      <c r="E29" s="316">
        <f>IF('Final Calculation Sheet'!$E$11="","",'Final Calculation Sheet'!$E$11)</f>
        <v/>
      </c>
      <c r="F29" s="314">
        <f>IF('Final Calculation Sheet'!$C$11="","",'Final Calculation Sheet'!$C$11)</f>
        <v/>
      </c>
      <c r="G29" s="314">
        <f>IF('Final Calculation Sheet'!$H$11="","",'Final Calculation Sheet'!$H$11)</f>
        <v/>
      </c>
      <c r="H29" s="314">
        <f>IF('Final Calculation Sheet'!$I$11="","",'Final Calculation Sheet'!$I$11)</f>
        <v/>
      </c>
      <c r="I29" s="314">
        <f>IF('Final Calculation Sheet'!$J$11="","",'Final Calculation Sheet'!$J$11)</f>
        <v/>
      </c>
      <c r="J29" s="314">
        <f>IF('Final Calculation Sheet'!$K$11="","",'Final Calculation Sheet'!$K$11)</f>
        <v/>
      </c>
      <c r="K29" s="317">
        <f>IF('Final Calculation Sheet'!$L$11="","",'Final Calculation Sheet'!$L$11)</f>
        <v/>
      </c>
      <c r="L29" s="317">
        <f>IF('Final Calculation Sheet'!$M$11="","",'Final Calculation Sheet'!$M$11)</f>
        <v/>
      </c>
      <c r="M29" s="317">
        <f>IF('Final Calculation Sheet'!$N$11="","",'Final Calculation Sheet'!$N$11)</f>
        <v/>
      </c>
      <c r="N29" s="317">
        <f>IF('Final Calculation Sheet'!$O$11="","",'Final Calculation Sheet'!$O$11)</f>
        <v/>
      </c>
      <c r="O29" s="314">
        <f>IF('Final Calculation Sheet'!$P$11="","",'Final Calculation Sheet'!$P$11)</f>
        <v/>
      </c>
      <c r="P29" s="318">
        <f>IF('Final Calculation Sheet'!$Q$11="","",'Final Calculation Sheet'!$Q$11)</f>
        <v/>
      </c>
      <c r="Q29" s="314">
        <f>IF('Final Calculation Sheet'!$R$11="","",'Final Calculation Sheet'!$R$11)</f>
        <v/>
      </c>
      <c r="R29" s="314">
        <f>IF('Final Calculation Sheet'!$S$11="","",'Final Calculation Sheet'!$S$11)</f>
        <v/>
      </c>
      <c r="S29" s="314">
        <f>IF('Final Calculation Sheet'!$T$11="","",'Final Calculation Sheet'!$T$11)</f>
        <v/>
      </c>
      <c r="T29" s="314">
        <f>IF('Final Calculation Sheet'!$U$11="","",'Final Calculation Sheet'!$U$11)</f>
        <v/>
      </c>
      <c r="U29" s="316">
        <f>IF('Final Calculation Sheet'!$V$11="","",'Final Calculation Sheet'!$V$11)</f>
        <v/>
      </c>
      <c r="V29" s="314">
        <f>IF('Final Calculation Sheet'!$W$11="","",'Final Calculation Sheet'!$W$11)</f>
        <v/>
      </c>
      <c r="W29" s="314">
        <f>IF('Final Calculation Sheet'!$X$11="","",'Final Calculation Sheet'!$X$11)</f>
        <v/>
      </c>
      <c r="X29" s="316">
        <f>IF('Final Calculation Sheet'!$Y$11="","",'Final Calculation Sheet'!$Y$11)</f>
        <v/>
      </c>
      <c r="Y29" s="314">
        <f>IF('Final Calculation Sheet'!$Z$11="","",'Final Calculation Sheet'!$Z$11)</f>
        <v/>
      </c>
      <c r="Z29" s="314">
        <f>IF('Final Calculation Sheet'!$AA$11="","",'Final Calculation Sheet'!$AA$11)</f>
        <v/>
      </c>
      <c r="AA29" s="316">
        <f>IF('Final Calculation Sheet'!$AB$11="","",'Final Calculation Sheet'!$AB$11)</f>
        <v/>
      </c>
      <c r="AB29" s="314">
        <f>IF('Final Calculation Sheet'!$AC$11="","",'Final Calculation Sheet'!$AC$11)</f>
        <v/>
      </c>
      <c r="AC29" s="314">
        <f>IF('Final Calculation Sheet'!$AD$11="","",'Final Calculation Sheet'!$AD$11)</f>
        <v/>
      </c>
      <c r="AD29" s="316">
        <f>IF('Final Calculation Sheet'!$AD$11="","",IF('Final Calculation Sheet'!$AD$11&lt;=0,"SETTLED","OUTSTANDING"))</f>
        <v/>
      </c>
      <c r="AE29" s="316">
        <f>IF('Final Calculation Sheet'!$AE$11="","",'Final Calculation Sheet'!$AE$11)</f>
        <v/>
      </c>
      <c r="AF29" s="314">
        <f>IF('Final Calculation Sheet'!$AF$11="","",'Final Calculation Sheet'!$AF$11)</f>
        <v/>
      </c>
      <c r="AG29" s="316">
        <f>IF('Final Calculation Sheet'!$AG$11="","",'Final Calculation Sheet'!$AG$11)</f>
        <v/>
      </c>
    </row>
    <row r="30" outlineLevel="1" ht="15" customHeight="1">
      <c r="A30" s="320">
        <f>IF('Final Calculation Sheet'!$F$12="","",'Final Calculation Sheet'!$F$12)</f>
        <v/>
      </c>
      <c r="B30" s="319">
        <f>IF('Final Calculation Sheet'!$B$12="","",'Final Calculation Sheet'!$B$12)</f>
        <v/>
      </c>
      <c r="C30" s="320">
        <f>IF('Final Calculation Sheet'!$D$12="","",'Final Calculation Sheet'!$D$12)</f>
        <v/>
      </c>
      <c r="D30" s="321">
        <f>IF('Final Calculation Sheet'!$A$12="","",'Final Calculation Sheet'!$A$12)</f>
        <v/>
      </c>
      <c r="E30" s="322">
        <f>IF('Final Calculation Sheet'!$E$12="","",'Final Calculation Sheet'!$E$12)</f>
        <v/>
      </c>
      <c r="F30" s="320">
        <f>IF('Final Calculation Sheet'!$C$12="","",'Final Calculation Sheet'!$C$12)</f>
        <v/>
      </c>
      <c r="G30" s="320">
        <f>IF('Final Calculation Sheet'!$H$12="","",'Final Calculation Sheet'!$H$12)</f>
        <v/>
      </c>
      <c r="H30" s="320">
        <f>IF('Final Calculation Sheet'!$I$12="","",'Final Calculation Sheet'!$I$12)</f>
        <v/>
      </c>
      <c r="I30" s="320">
        <f>IF('Final Calculation Sheet'!$J$12="","",'Final Calculation Sheet'!$J$12)</f>
        <v/>
      </c>
      <c r="J30" s="320">
        <f>IF('Final Calculation Sheet'!$K$12="","",'Final Calculation Sheet'!$K$12)</f>
        <v/>
      </c>
      <c r="K30" s="323">
        <f>IF('Final Calculation Sheet'!$L$12="","",'Final Calculation Sheet'!$L$12)</f>
        <v/>
      </c>
      <c r="L30" s="323">
        <f>IF('Final Calculation Sheet'!$M$12="","",'Final Calculation Sheet'!$M$12)</f>
        <v/>
      </c>
      <c r="M30" s="323">
        <f>IF('Final Calculation Sheet'!$N$12="","",'Final Calculation Sheet'!$N$12)</f>
        <v/>
      </c>
      <c r="N30" s="323">
        <f>IF('Final Calculation Sheet'!$O$12="","",'Final Calculation Sheet'!$O$12)</f>
        <v/>
      </c>
      <c r="O30" s="320">
        <f>IF('Final Calculation Sheet'!$P$12="","",'Final Calculation Sheet'!$P$12)</f>
        <v/>
      </c>
      <c r="P30" s="324">
        <f>IF('Final Calculation Sheet'!$Q$12="","",'Final Calculation Sheet'!$Q$12)</f>
        <v/>
      </c>
      <c r="Q30" s="320">
        <f>IF('Final Calculation Sheet'!$R$12="","",'Final Calculation Sheet'!$R$12)</f>
        <v/>
      </c>
      <c r="R30" s="320">
        <f>IF('Final Calculation Sheet'!$S$12="","",'Final Calculation Sheet'!$S$12)</f>
        <v/>
      </c>
      <c r="S30" s="320">
        <f>IF('Final Calculation Sheet'!$T$12="","",'Final Calculation Sheet'!$T$12)</f>
        <v/>
      </c>
      <c r="T30" s="320">
        <f>IF('Final Calculation Sheet'!$U$12="","",'Final Calculation Sheet'!$U$12)</f>
        <v/>
      </c>
      <c r="U30" s="322">
        <f>IF('Final Calculation Sheet'!$V$12="","",'Final Calculation Sheet'!$V$12)</f>
        <v/>
      </c>
      <c r="V30" s="320">
        <f>IF('Final Calculation Sheet'!$W$12="","",'Final Calculation Sheet'!$W$12)</f>
        <v/>
      </c>
      <c r="W30" s="320">
        <f>IF('Final Calculation Sheet'!$X$12="","",'Final Calculation Sheet'!$X$12)</f>
        <v/>
      </c>
      <c r="X30" s="322">
        <f>IF('Final Calculation Sheet'!$Y$12="","",'Final Calculation Sheet'!$Y$12)</f>
        <v/>
      </c>
      <c r="Y30" s="320">
        <f>IF('Final Calculation Sheet'!$Z$12="","",'Final Calculation Sheet'!$Z$12)</f>
        <v/>
      </c>
      <c r="Z30" s="320">
        <f>IF('Final Calculation Sheet'!$AA$12="","",'Final Calculation Sheet'!$AA$12)</f>
        <v/>
      </c>
      <c r="AA30" s="322">
        <f>IF('Final Calculation Sheet'!$AB$12="","",'Final Calculation Sheet'!$AB$12)</f>
        <v/>
      </c>
      <c r="AB30" s="320">
        <f>IF('Final Calculation Sheet'!$AC$12="","",'Final Calculation Sheet'!$AC$12)</f>
        <v/>
      </c>
      <c r="AC30" s="320">
        <f>IF('Final Calculation Sheet'!$AD$12="","",'Final Calculation Sheet'!$AD$12)</f>
        <v/>
      </c>
      <c r="AD30" s="322">
        <f>IF('Final Calculation Sheet'!$AD$12="","",IF('Final Calculation Sheet'!$AD$12&lt;=0,"SETTLED","OUTSTANDING"))</f>
        <v/>
      </c>
      <c r="AE30" s="322">
        <f>IF('Final Calculation Sheet'!$AE$12="","",'Final Calculation Sheet'!$AE$12)</f>
        <v/>
      </c>
      <c r="AF30" s="320">
        <f>IF('Final Calculation Sheet'!$AF$12="","",'Final Calculation Sheet'!$AF$12)</f>
        <v/>
      </c>
      <c r="AG30" s="322">
        <f>IF('Final Calculation Sheet'!$AG$12="","",'Final Calculation Sheet'!$AG$12)</f>
        <v/>
      </c>
    </row>
    <row r="31" outlineLevel="1" ht="15" customHeight="1">
      <c r="A31" s="314">
        <f>IF('Final Calculation Sheet'!$F$18="","",'Final Calculation Sheet'!$F$18)</f>
        <v/>
      </c>
      <c r="B31" s="313">
        <f>IF('Final Calculation Sheet'!$B$18="","",'Final Calculation Sheet'!$B$18)</f>
        <v/>
      </c>
      <c r="C31" s="314">
        <f>IF('Final Calculation Sheet'!$D$18="","",'Final Calculation Sheet'!$D$18)</f>
        <v/>
      </c>
      <c r="D31" s="315">
        <f>IF('Final Calculation Sheet'!$A$18="","",'Final Calculation Sheet'!$A$18)</f>
        <v/>
      </c>
      <c r="E31" s="316">
        <f>IF('Final Calculation Sheet'!$E$18="","",'Final Calculation Sheet'!$E$18)</f>
        <v/>
      </c>
      <c r="F31" s="314">
        <f>IF('Final Calculation Sheet'!$C$18="","",'Final Calculation Sheet'!$C$18)</f>
        <v/>
      </c>
      <c r="G31" s="314">
        <f>IF('Final Calculation Sheet'!$H$18="","",'Final Calculation Sheet'!$H$18)</f>
        <v/>
      </c>
      <c r="H31" s="314">
        <f>IF('Final Calculation Sheet'!$I$18="","",'Final Calculation Sheet'!$I$18)</f>
        <v/>
      </c>
      <c r="I31" s="314">
        <f>IF('Final Calculation Sheet'!$J$18="","",'Final Calculation Sheet'!$J$18)</f>
        <v/>
      </c>
      <c r="J31" s="314">
        <f>IF('Final Calculation Sheet'!$K$18="","",'Final Calculation Sheet'!$K$18)</f>
        <v/>
      </c>
      <c r="K31" s="317">
        <f>IF('Final Calculation Sheet'!$L$18="","",'Final Calculation Sheet'!$L$18)</f>
        <v/>
      </c>
      <c r="L31" s="317">
        <f>IF('Final Calculation Sheet'!$M$18="","",'Final Calculation Sheet'!$M$18)</f>
        <v/>
      </c>
      <c r="M31" s="317">
        <f>IF('Final Calculation Sheet'!$N$18="","",'Final Calculation Sheet'!$N$18)</f>
        <v/>
      </c>
      <c r="N31" s="317">
        <f>IF('Final Calculation Sheet'!$O$18="","",'Final Calculation Sheet'!$O$18)</f>
        <v/>
      </c>
      <c r="O31" s="314">
        <f>IF('Final Calculation Sheet'!$P$18="","",'Final Calculation Sheet'!$P$18)</f>
        <v/>
      </c>
      <c r="P31" s="318">
        <f>IF('Final Calculation Sheet'!$Q$18="","",'Final Calculation Sheet'!$Q$18)</f>
        <v/>
      </c>
      <c r="Q31" s="314">
        <f>IF('Final Calculation Sheet'!$R$18="","",'Final Calculation Sheet'!$R$18)</f>
        <v/>
      </c>
      <c r="R31" s="314">
        <f>IF('Final Calculation Sheet'!$S$18="","",'Final Calculation Sheet'!$S$18)</f>
        <v/>
      </c>
      <c r="S31" s="314">
        <f>IF('Final Calculation Sheet'!$T$18="","",'Final Calculation Sheet'!$T$18)</f>
        <v/>
      </c>
      <c r="T31" s="314">
        <f>IF('Final Calculation Sheet'!$U$18="","",'Final Calculation Sheet'!$U$18)</f>
        <v/>
      </c>
      <c r="U31" s="316">
        <f>IF('Final Calculation Sheet'!$V$18="","",'Final Calculation Sheet'!$V$18)</f>
        <v/>
      </c>
      <c r="V31" s="314">
        <f>IF('Final Calculation Sheet'!$W$18="","",'Final Calculation Sheet'!$W$18)</f>
        <v/>
      </c>
      <c r="W31" s="314">
        <f>IF('Final Calculation Sheet'!$X$18="","",'Final Calculation Sheet'!$X$18)</f>
        <v/>
      </c>
      <c r="X31" s="316">
        <f>IF('Final Calculation Sheet'!$Y$18="","",'Final Calculation Sheet'!$Y$18)</f>
        <v/>
      </c>
      <c r="Y31" s="314">
        <f>IF('Final Calculation Sheet'!$Z$18="","",'Final Calculation Sheet'!$Z$18)</f>
        <v/>
      </c>
      <c r="Z31" s="314">
        <f>IF('Final Calculation Sheet'!$AA$18="","",'Final Calculation Sheet'!$AA$18)</f>
        <v/>
      </c>
      <c r="AA31" s="316">
        <f>IF('Final Calculation Sheet'!$AB$18="","",'Final Calculation Sheet'!$AB$18)</f>
        <v/>
      </c>
      <c r="AB31" s="314">
        <f>IF('Final Calculation Sheet'!$AC$18="","",'Final Calculation Sheet'!$AC$18)</f>
        <v/>
      </c>
      <c r="AC31" s="314">
        <f>IF('Final Calculation Sheet'!$AD$18="","",'Final Calculation Sheet'!$AD$18)</f>
        <v/>
      </c>
      <c r="AD31" s="316">
        <f>IF('Final Calculation Sheet'!$AD$18="","",IF('Final Calculation Sheet'!$AD$18&lt;=0,"SETTLED","OUTSTANDING"))</f>
        <v/>
      </c>
      <c r="AE31" s="316">
        <f>IF('Final Calculation Sheet'!$AE$18="","",'Final Calculation Sheet'!$AE$18)</f>
        <v/>
      </c>
      <c r="AF31" s="314">
        <f>IF('Final Calculation Sheet'!$AF$18="","",'Final Calculation Sheet'!$AF$18)</f>
        <v/>
      </c>
      <c r="AG31" s="316">
        <f>IF('Final Calculation Sheet'!$AG$18="","",'Final Calculation Sheet'!$AG$18)</f>
        <v/>
      </c>
    </row>
    <row r="32" outlineLevel="1" ht="15" customHeight="1">
      <c r="A32" s="320">
        <f>IF('Final Calculation Sheet'!$F$19="","",'Final Calculation Sheet'!$F$19)</f>
        <v/>
      </c>
      <c r="B32" s="319">
        <f>IF('Final Calculation Sheet'!$B$19="","",'Final Calculation Sheet'!$B$19)</f>
        <v/>
      </c>
      <c r="C32" s="320">
        <f>IF('Final Calculation Sheet'!$D$19="","",'Final Calculation Sheet'!$D$19)</f>
        <v/>
      </c>
      <c r="D32" s="321">
        <f>IF('Final Calculation Sheet'!$A$19="","",'Final Calculation Sheet'!$A$19)</f>
        <v/>
      </c>
      <c r="E32" s="322">
        <f>IF('Final Calculation Sheet'!$E$19="","",'Final Calculation Sheet'!$E$19)</f>
        <v/>
      </c>
      <c r="F32" s="320">
        <f>IF('Final Calculation Sheet'!$C$19="","",'Final Calculation Sheet'!$C$19)</f>
        <v/>
      </c>
      <c r="G32" s="320">
        <f>IF('Final Calculation Sheet'!$H$19="","",'Final Calculation Sheet'!$H$19)</f>
        <v/>
      </c>
      <c r="H32" s="320">
        <f>IF('Final Calculation Sheet'!$I$19="","",'Final Calculation Sheet'!$I$19)</f>
        <v/>
      </c>
      <c r="I32" s="320">
        <f>IF('Final Calculation Sheet'!$J$19="","",'Final Calculation Sheet'!$J$19)</f>
        <v/>
      </c>
      <c r="J32" s="320">
        <f>IF('Final Calculation Sheet'!$K$19="","",'Final Calculation Sheet'!$K$19)</f>
        <v/>
      </c>
      <c r="K32" s="323">
        <f>IF('Final Calculation Sheet'!$L$19="","",'Final Calculation Sheet'!$L$19)</f>
        <v/>
      </c>
      <c r="L32" s="323">
        <f>IF('Final Calculation Sheet'!$M$19="","",'Final Calculation Sheet'!$M$19)</f>
        <v/>
      </c>
      <c r="M32" s="323">
        <f>IF('Final Calculation Sheet'!$N$19="","",'Final Calculation Sheet'!$N$19)</f>
        <v/>
      </c>
      <c r="N32" s="323">
        <f>IF('Final Calculation Sheet'!$O$19="","",'Final Calculation Sheet'!$O$19)</f>
        <v/>
      </c>
      <c r="O32" s="320">
        <f>IF('Final Calculation Sheet'!$P$19="","",'Final Calculation Sheet'!$P$19)</f>
        <v/>
      </c>
      <c r="P32" s="324">
        <f>IF('Final Calculation Sheet'!$Q$19="","",'Final Calculation Sheet'!$Q$19)</f>
        <v/>
      </c>
      <c r="Q32" s="320">
        <f>IF('Final Calculation Sheet'!$R$19="","",'Final Calculation Sheet'!$R$19)</f>
        <v/>
      </c>
      <c r="R32" s="320">
        <f>IF('Final Calculation Sheet'!$S$19="","",'Final Calculation Sheet'!$S$19)</f>
        <v/>
      </c>
      <c r="S32" s="320">
        <f>IF('Final Calculation Sheet'!$T$19="","",'Final Calculation Sheet'!$T$19)</f>
        <v/>
      </c>
      <c r="T32" s="320">
        <f>IF('Final Calculation Sheet'!$U$19="","",'Final Calculation Sheet'!$U$19)</f>
        <v/>
      </c>
      <c r="U32" s="322">
        <f>IF('Final Calculation Sheet'!$V$19="","",'Final Calculation Sheet'!$V$19)</f>
        <v/>
      </c>
      <c r="V32" s="320">
        <f>IF('Final Calculation Sheet'!$W$19="","",'Final Calculation Sheet'!$W$19)</f>
        <v/>
      </c>
      <c r="W32" s="320">
        <f>IF('Final Calculation Sheet'!$X$19="","",'Final Calculation Sheet'!$X$19)</f>
        <v/>
      </c>
      <c r="X32" s="322">
        <f>IF('Final Calculation Sheet'!$Y$19="","",'Final Calculation Sheet'!$Y$19)</f>
        <v/>
      </c>
      <c r="Y32" s="320">
        <f>IF('Final Calculation Sheet'!$Z$19="","",'Final Calculation Sheet'!$Z$19)</f>
        <v/>
      </c>
      <c r="Z32" s="320">
        <f>IF('Final Calculation Sheet'!$AA$19="","",'Final Calculation Sheet'!$AA$19)</f>
        <v/>
      </c>
      <c r="AA32" s="322">
        <f>IF('Final Calculation Sheet'!$AB$19="","",'Final Calculation Sheet'!$AB$19)</f>
        <v/>
      </c>
      <c r="AB32" s="320">
        <f>IF('Final Calculation Sheet'!$AC$19="","",'Final Calculation Sheet'!$AC$19)</f>
        <v/>
      </c>
      <c r="AC32" s="320">
        <f>IF('Final Calculation Sheet'!$AD$19="","",'Final Calculation Sheet'!$AD$19)</f>
        <v/>
      </c>
      <c r="AD32" s="322">
        <f>IF('Final Calculation Sheet'!$AD$19="","",IF('Final Calculation Sheet'!$AD$19&lt;=0,"SETTLED","OUTSTANDING"))</f>
        <v/>
      </c>
      <c r="AE32" s="322">
        <f>IF('Final Calculation Sheet'!$AE$19="","",'Final Calculation Sheet'!$AE$19)</f>
        <v/>
      </c>
      <c r="AF32" s="320">
        <f>IF('Final Calculation Sheet'!$AF$19="","",'Final Calculation Sheet'!$AF$19)</f>
        <v/>
      </c>
      <c r="AG32" s="322">
        <f>IF('Final Calculation Sheet'!$AG$19="","",'Final Calculation Sheet'!$AG$19)</f>
        <v/>
      </c>
    </row>
    <row r="33" outlineLevel="1" ht="15" customHeight="1">
      <c r="A33" s="314">
        <f>IF('Final Calculation Sheet'!$F$22="","",'Final Calculation Sheet'!$F$22)</f>
        <v/>
      </c>
      <c r="B33" s="313">
        <f>IF('Final Calculation Sheet'!$B$22="","",'Final Calculation Sheet'!$B$22)</f>
        <v/>
      </c>
      <c r="C33" s="314">
        <f>IF('Final Calculation Sheet'!$D$22="","",'Final Calculation Sheet'!$D$22)</f>
        <v/>
      </c>
      <c r="D33" s="315">
        <f>IF('Final Calculation Sheet'!$A$22="","",'Final Calculation Sheet'!$A$22)</f>
        <v/>
      </c>
      <c r="E33" s="316">
        <f>IF('Final Calculation Sheet'!$E$22="","",'Final Calculation Sheet'!$E$22)</f>
        <v/>
      </c>
      <c r="F33" s="314">
        <f>IF('Final Calculation Sheet'!$C$22="","",'Final Calculation Sheet'!$C$22)</f>
        <v/>
      </c>
      <c r="G33" s="314">
        <f>IF('Final Calculation Sheet'!$H$22="","",'Final Calculation Sheet'!$H$22)</f>
        <v/>
      </c>
      <c r="H33" s="314">
        <f>IF('Final Calculation Sheet'!$I$22="","",'Final Calculation Sheet'!$I$22)</f>
        <v/>
      </c>
      <c r="I33" s="314">
        <f>IF('Final Calculation Sheet'!$J$22="","",'Final Calculation Sheet'!$J$22)</f>
        <v/>
      </c>
      <c r="J33" s="314">
        <f>IF('Final Calculation Sheet'!$K$22="","",'Final Calculation Sheet'!$K$22)</f>
        <v/>
      </c>
      <c r="K33" s="317">
        <f>IF('Final Calculation Sheet'!$L$22="","",'Final Calculation Sheet'!$L$22)</f>
        <v/>
      </c>
      <c r="L33" s="317">
        <f>IF('Final Calculation Sheet'!$M$22="","",'Final Calculation Sheet'!$M$22)</f>
        <v/>
      </c>
      <c r="M33" s="317">
        <f>IF('Final Calculation Sheet'!$N$22="","",'Final Calculation Sheet'!$N$22)</f>
        <v/>
      </c>
      <c r="N33" s="317">
        <f>IF('Final Calculation Sheet'!$O$22="","",'Final Calculation Sheet'!$O$22)</f>
        <v/>
      </c>
      <c r="O33" s="314">
        <f>IF('Final Calculation Sheet'!$P$22="","",'Final Calculation Sheet'!$P$22)</f>
        <v/>
      </c>
      <c r="P33" s="318">
        <f>IF('Final Calculation Sheet'!$Q$22="","",'Final Calculation Sheet'!$Q$22)</f>
        <v/>
      </c>
      <c r="Q33" s="314">
        <f>IF('Final Calculation Sheet'!$R$22="","",'Final Calculation Sheet'!$R$22)</f>
        <v/>
      </c>
      <c r="R33" s="314">
        <f>IF('Final Calculation Sheet'!$S$22="","",'Final Calculation Sheet'!$S$22)</f>
        <v/>
      </c>
      <c r="S33" s="314">
        <f>IF('Final Calculation Sheet'!$T$22="","",'Final Calculation Sheet'!$T$22)</f>
        <v/>
      </c>
      <c r="T33" s="314">
        <f>IF('Final Calculation Sheet'!$U$22="","",'Final Calculation Sheet'!$U$22)</f>
        <v/>
      </c>
      <c r="U33" s="316">
        <f>IF('Final Calculation Sheet'!$V$22="","",'Final Calculation Sheet'!$V$22)</f>
        <v/>
      </c>
      <c r="V33" s="314">
        <f>IF('Final Calculation Sheet'!$W$22="","",'Final Calculation Sheet'!$W$22)</f>
        <v/>
      </c>
      <c r="W33" s="314">
        <f>IF('Final Calculation Sheet'!$X$22="","",'Final Calculation Sheet'!$X$22)</f>
        <v/>
      </c>
      <c r="X33" s="316">
        <f>IF('Final Calculation Sheet'!$Y$22="","",'Final Calculation Sheet'!$Y$22)</f>
        <v/>
      </c>
      <c r="Y33" s="314">
        <f>IF('Final Calculation Sheet'!$Z$22="","",'Final Calculation Sheet'!$Z$22)</f>
        <v/>
      </c>
      <c r="Z33" s="314">
        <f>IF('Final Calculation Sheet'!$AA$22="","",'Final Calculation Sheet'!$AA$22)</f>
        <v/>
      </c>
      <c r="AA33" s="316">
        <f>IF('Final Calculation Sheet'!$AB$22="","",'Final Calculation Sheet'!$AB$22)</f>
        <v/>
      </c>
      <c r="AB33" s="314">
        <f>IF('Final Calculation Sheet'!$AC$22="","",'Final Calculation Sheet'!$AC$22)</f>
        <v/>
      </c>
      <c r="AC33" s="314">
        <f>IF('Final Calculation Sheet'!$AD$22="","",'Final Calculation Sheet'!$AD$22)</f>
        <v/>
      </c>
      <c r="AD33" s="316">
        <f>IF('Final Calculation Sheet'!$AD$22="","",IF('Final Calculation Sheet'!$AD$22&lt;=0,"SETTLED","OUTSTANDING"))</f>
        <v/>
      </c>
      <c r="AE33" s="316">
        <f>IF('Final Calculation Sheet'!$AE$22="","",'Final Calculation Sheet'!$AE$22)</f>
        <v/>
      </c>
      <c r="AF33" s="314">
        <f>IF('Final Calculation Sheet'!$AF$22="","",'Final Calculation Sheet'!$AF$22)</f>
        <v/>
      </c>
      <c r="AG33" s="316">
        <f>IF('Final Calculation Sheet'!$AG$22="","",'Final Calculation Sheet'!$AG$22)</f>
        <v/>
      </c>
    </row>
    <row r="34" outlineLevel="1" ht="15" customHeight="1">
      <c r="A34" s="320">
        <f>IF('Final Calculation Sheet'!$F$24="","",'Final Calculation Sheet'!$F$24)</f>
        <v/>
      </c>
      <c r="B34" s="319">
        <f>IF('Final Calculation Sheet'!$B$24="","",'Final Calculation Sheet'!$B$24)</f>
        <v/>
      </c>
      <c r="C34" s="320">
        <f>IF('Final Calculation Sheet'!$D$24="","",'Final Calculation Sheet'!$D$24)</f>
        <v/>
      </c>
      <c r="D34" s="321">
        <f>IF('Final Calculation Sheet'!$A$24="","",'Final Calculation Sheet'!$A$24)</f>
        <v/>
      </c>
      <c r="E34" s="322">
        <f>IF('Final Calculation Sheet'!$E$24="","",'Final Calculation Sheet'!$E$24)</f>
        <v/>
      </c>
      <c r="F34" s="320">
        <f>IF('Final Calculation Sheet'!$C$24="","",'Final Calculation Sheet'!$C$24)</f>
        <v/>
      </c>
      <c r="G34" s="320">
        <f>IF('Final Calculation Sheet'!$H$24="","",'Final Calculation Sheet'!$H$24)</f>
        <v/>
      </c>
      <c r="H34" s="320">
        <f>IF('Final Calculation Sheet'!$I$24="","",'Final Calculation Sheet'!$I$24)</f>
        <v/>
      </c>
      <c r="I34" s="320">
        <f>IF('Final Calculation Sheet'!$J$24="","",'Final Calculation Sheet'!$J$24)</f>
        <v/>
      </c>
      <c r="J34" s="320">
        <f>IF('Final Calculation Sheet'!$K$24="","",'Final Calculation Sheet'!$K$24)</f>
        <v/>
      </c>
      <c r="K34" s="323">
        <f>IF('Final Calculation Sheet'!$L$24="","",'Final Calculation Sheet'!$L$24)</f>
        <v/>
      </c>
      <c r="L34" s="323">
        <f>IF('Final Calculation Sheet'!$M$24="","",'Final Calculation Sheet'!$M$24)</f>
        <v/>
      </c>
      <c r="M34" s="323">
        <f>IF('Final Calculation Sheet'!$N$24="","",'Final Calculation Sheet'!$N$24)</f>
        <v/>
      </c>
      <c r="N34" s="323">
        <f>IF('Final Calculation Sheet'!$O$24="","",'Final Calculation Sheet'!$O$24)</f>
        <v/>
      </c>
      <c r="O34" s="320">
        <f>IF('Final Calculation Sheet'!$P$24="","",'Final Calculation Sheet'!$P$24)</f>
        <v/>
      </c>
      <c r="P34" s="324">
        <f>IF('Final Calculation Sheet'!$Q$24="","",'Final Calculation Sheet'!$Q$24)</f>
        <v/>
      </c>
      <c r="Q34" s="320">
        <f>IF('Final Calculation Sheet'!$R$24="","",'Final Calculation Sheet'!$R$24)</f>
        <v/>
      </c>
      <c r="R34" s="320">
        <f>IF('Final Calculation Sheet'!$S$24="","",'Final Calculation Sheet'!$S$24)</f>
        <v/>
      </c>
      <c r="S34" s="320">
        <f>IF('Final Calculation Sheet'!$T$24="","",'Final Calculation Sheet'!$T$24)</f>
        <v/>
      </c>
      <c r="T34" s="320">
        <f>IF('Final Calculation Sheet'!$U$24="","",'Final Calculation Sheet'!$U$24)</f>
        <v/>
      </c>
      <c r="U34" s="322">
        <f>IF('Final Calculation Sheet'!$V$24="","",'Final Calculation Sheet'!$V$24)</f>
        <v/>
      </c>
      <c r="V34" s="320">
        <f>IF('Final Calculation Sheet'!$W$24="","",'Final Calculation Sheet'!$W$24)</f>
        <v/>
      </c>
      <c r="W34" s="320">
        <f>IF('Final Calculation Sheet'!$X$24="","",'Final Calculation Sheet'!$X$24)</f>
        <v/>
      </c>
      <c r="X34" s="322">
        <f>IF('Final Calculation Sheet'!$Y$24="","",'Final Calculation Sheet'!$Y$24)</f>
        <v/>
      </c>
      <c r="Y34" s="320">
        <f>IF('Final Calculation Sheet'!$Z$24="","",'Final Calculation Sheet'!$Z$24)</f>
        <v/>
      </c>
      <c r="Z34" s="320">
        <f>IF('Final Calculation Sheet'!$AA$24="","",'Final Calculation Sheet'!$AA$24)</f>
        <v/>
      </c>
      <c r="AA34" s="322">
        <f>IF('Final Calculation Sheet'!$AB$24="","",'Final Calculation Sheet'!$AB$24)</f>
        <v/>
      </c>
      <c r="AB34" s="320">
        <f>IF('Final Calculation Sheet'!$AC$24="","",'Final Calculation Sheet'!$AC$24)</f>
        <v/>
      </c>
      <c r="AC34" s="320">
        <f>IF('Final Calculation Sheet'!$AD$24="","",'Final Calculation Sheet'!$AD$24)</f>
        <v/>
      </c>
      <c r="AD34" s="322">
        <f>IF('Final Calculation Sheet'!$AD$24="","",IF('Final Calculation Sheet'!$AD$24&lt;=0,"SETTLED","OUTSTANDING"))</f>
        <v/>
      </c>
      <c r="AE34" s="322">
        <f>IF('Final Calculation Sheet'!$AE$24="","",'Final Calculation Sheet'!$AE$24)</f>
        <v/>
      </c>
      <c r="AF34" s="320">
        <f>IF('Final Calculation Sheet'!$AF$24="","",'Final Calculation Sheet'!$AF$24)</f>
        <v/>
      </c>
      <c r="AG34" s="322">
        <f>IF('Final Calculation Sheet'!$AG$24="","",'Final Calculation Sheet'!$AG$24)</f>
        <v/>
      </c>
    </row>
    <row r="35" outlineLevel="1" ht="15" customHeight="1">
      <c r="A35" s="314">
        <f>IF('Final Calculation Sheet'!$F$26="","",'Final Calculation Sheet'!$F$26)</f>
        <v/>
      </c>
      <c r="B35" s="313">
        <f>IF('Final Calculation Sheet'!$B$26="","",'Final Calculation Sheet'!$B$26)</f>
        <v/>
      </c>
      <c r="C35" s="314">
        <f>IF('Final Calculation Sheet'!$D$26="","",'Final Calculation Sheet'!$D$26)</f>
        <v/>
      </c>
      <c r="D35" s="315">
        <f>IF('Final Calculation Sheet'!$A$26="","",'Final Calculation Sheet'!$A$26)</f>
        <v/>
      </c>
      <c r="E35" s="316">
        <f>IF('Final Calculation Sheet'!$E$26="","",'Final Calculation Sheet'!$E$26)</f>
        <v/>
      </c>
      <c r="F35" s="314">
        <f>IF('Final Calculation Sheet'!$C$26="","",'Final Calculation Sheet'!$C$26)</f>
        <v/>
      </c>
      <c r="G35" s="314">
        <f>IF('Final Calculation Sheet'!$H$26="","",'Final Calculation Sheet'!$H$26)</f>
        <v/>
      </c>
      <c r="H35" s="314">
        <f>IF('Final Calculation Sheet'!$I$26="","",'Final Calculation Sheet'!$I$26)</f>
        <v/>
      </c>
      <c r="I35" s="314">
        <f>IF('Final Calculation Sheet'!$J$26="","",'Final Calculation Sheet'!$J$26)</f>
        <v/>
      </c>
      <c r="J35" s="314">
        <f>IF('Final Calculation Sheet'!$K$26="","",'Final Calculation Sheet'!$K$26)</f>
        <v/>
      </c>
      <c r="K35" s="317">
        <f>IF('Final Calculation Sheet'!$L$26="","",'Final Calculation Sheet'!$L$26)</f>
        <v/>
      </c>
      <c r="L35" s="317">
        <f>IF('Final Calculation Sheet'!$M$26="","",'Final Calculation Sheet'!$M$26)</f>
        <v/>
      </c>
      <c r="M35" s="317">
        <f>IF('Final Calculation Sheet'!$N$26="","",'Final Calculation Sheet'!$N$26)</f>
        <v/>
      </c>
      <c r="N35" s="317">
        <f>IF('Final Calculation Sheet'!$O$26="","",'Final Calculation Sheet'!$O$26)</f>
        <v/>
      </c>
      <c r="O35" s="314">
        <f>IF('Final Calculation Sheet'!$P$26="","",'Final Calculation Sheet'!$P$26)</f>
        <v/>
      </c>
      <c r="P35" s="318">
        <f>IF('Final Calculation Sheet'!$Q$26="","",'Final Calculation Sheet'!$Q$26)</f>
        <v/>
      </c>
      <c r="Q35" s="314">
        <f>IF('Final Calculation Sheet'!$R$26="","",'Final Calculation Sheet'!$R$26)</f>
        <v/>
      </c>
      <c r="R35" s="314">
        <f>IF('Final Calculation Sheet'!$S$26="","",'Final Calculation Sheet'!$S$26)</f>
        <v/>
      </c>
      <c r="S35" s="314">
        <f>IF('Final Calculation Sheet'!$T$26="","",'Final Calculation Sheet'!$T$26)</f>
        <v/>
      </c>
      <c r="T35" s="314">
        <f>IF('Final Calculation Sheet'!$U$26="","",'Final Calculation Sheet'!$U$26)</f>
        <v/>
      </c>
      <c r="U35" s="316">
        <f>IF('Final Calculation Sheet'!$V$26="","",'Final Calculation Sheet'!$V$26)</f>
        <v/>
      </c>
      <c r="V35" s="314">
        <f>IF('Final Calculation Sheet'!$W$26="","",'Final Calculation Sheet'!$W$26)</f>
        <v/>
      </c>
      <c r="W35" s="314">
        <f>IF('Final Calculation Sheet'!$X$26="","",'Final Calculation Sheet'!$X$26)</f>
        <v/>
      </c>
      <c r="X35" s="316">
        <f>IF('Final Calculation Sheet'!$Y$26="","",'Final Calculation Sheet'!$Y$26)</f>
        <v/>
      </c>
      <c r="Y35" s="314">
        <f>IF('Final Calculation Sheet'!$Z$26="","",'Final Calculation Sheet'!$Z$26)</f>
        <v/>
      </c>
      <c r="Z35" s="314">
        <f>IF('Final Calculation Sheet'!$AA$26="","",'Final Calculation Sheet'!$AA$26)</f>
        <v/>
      </c>
      <c r="AA35" s="316">
        <f>IF('Final Calculation Sheet'!$AB$26="","",'Final Calculation Sheet'!$AB$26)</f>
        <v/>
      </c>
      <c r="AB35" s="314">
        <f>IF('Final Calculation Sheet'!$AC$26="","",'Final Calculation Sheet'!$AC$26)</f>
        <v/>
      </c>
      <c r="AC35" s="314">
        <f>IF('Final Calculation Sheet'!$AD$26="","",'Final Calculation Sheet'!$AD$26)</f>
        <v/>
      </c>
      <c r="AD35" s="316">
        <f>IF('Final Calculation Sheet'!$AD$26="","",IF('Final Calculation Sheet'!$AD$26&lt;=0,"SETTLED","OUTSTANDING"))</f>
        <v/>
      </c>
      <c r="AE35" s="316">
        <f>IF('Final Calculation Sheet'!$AE$26="","",'Final Calculation Sheet'!$AE$26)</f>
        <v/>
      </c>
      <c r="AF35" s="314">
        <f>IF('Final Calculation Sheet'!$AF$26="","",'Final Calculation Sheet'!$AF$26)</f>
        <v/>
      </c>
      <c r="AG35" s="316">
        <f>IF('Final Calculation Sheet'!$AG$26="","",'Final Calculation Sheet'!$AG$26)</f>
        <v/>
      </c>
    </row>
    <row r="36" outlineLevel="1" ht="15" customHeight="1">
      <c r="A36" s="320">
        <f>IF('Final Calculation Sheet'!$F$30="","",'Final Calculation Sheet'!$F$30)</f>
        <v/>
      </c>
      <c r="B36" s="319">
        <f>IF('Final Calculation Sheet'!$B$30="","",'Final Calculation Sheet'!$B$30)</f>
        <v/>
      </c>
      <c r="C36" s="320">
        <f>IF('Final Calculation Sheet'!$D$30="","",'Final Calculation Sheet'!$D$30)</f>
        <v/>
      </c>
      <c r="D36" s="321">
        <f>IF('Final Calculation Sheet'!$A$30="","",'Final Calculation Sheet'!$A$30)</f>
        <v/>
      </c>
      <c r="E36" s="322">
        <f>IF('Final Calculation Sheet'!$E$30="","",'Final Calculation Sheet'!$E$30)</f>
        <v/>
      </c>
      <c r="F36" s="320">
        <f>IF('Final Calculation Sheet'!$C$30="","",'Final Calculation Sheet'!$C$30)</f>
        <v/>
      </c>
      <c r="G36" s="320">
        <f>IF('Final Calculation Sheet'!$H$30="","",'Final Calculation Sheet'!$H$30)</f>
        <v/>
      </c>
      <c r="H36" s="320">
        <f>IF('Final Calculation Sheet'!$I$30="","",'Final Calculation Sheet'!$I$30)</f>
        <v/>
      </c>
      <c r="I36" s="320">
        <f>IF('Final Calculation Sheet'!$J$30="","",'Final Calculation Sheet'!$J$30)</f>
        <v/>
      </c>
      <c r="J36" s="320">
        <f>IF('Final Calculation Sheet'!$K$30="","",'Final Calculation Sheet'!$K$30)</f>
        <v/>
      </c>
      <c r="K36" s="323">
        <f>IF('Final Calculation Sheet'!$L$30="","",'Final Calculation Sheet'!$L$30)</f>
        <v/>
      </c>
      <c r="L36" s="323">
        <f>IF('Final Calculation Sheet'!$M$30="","",'Final Calculation Sheet'!$M$30)</f>
        <v/>
      </c>
      <c r="M36" s="323">
        <f>IF('Final Calculation Sheet'!$N$30="","",'Final Calculation Sheet'!$N$30)</f>
        <v/>
      </c>
      <c r="N36" s="323">
        <f>IF('Final Calculation Sheet'!$O$30="","",'Final Calculation Sheet'!$O$30)</f>
        <v/>
      </c>
      <c r="O36" s="320">
        <f>IF('Final Calculation Sheet'!$P$30="","",'Final Calculation Sheet'!$P$30)</f>
        <v/>
      </c>
      <c r="P36" s="324">
        <f>IF('Final Calculation Sheet'!$Q$30="","",'Final Calculation Sheet'!$Q$30)</f>
        <v/>
      </c>
      <c r="Q36" s="320">
        <f>IF('Final Calculation Sheet'!$R$30="","",'Final Calculation Sheet'!$R$30)</f>
        <v/>
      </c>
      <c r="R36" s="320">
        <f>IF('Final Calculation Sheet'!$S$30="","",'Final Calculation Sheet'!$S$30)</f>
        <v/>
      </c>
      <c r="S36" s="320">
        <f>IF('Final Calculation Sheet'!$T$30="","",'Final Calculation Sheet'!$T$30)</f>
        <v/>
      </c>
      <c r="T36" s="320">
        <f>IF('Final Calculation Sheet'!$U$30="","",'Final Calculation Sheet'!$U$30)</f>
        <v/>
      </c>
      <c r="U36" s="322">
        <f>IF('Final Calculation Sheet'!$V$30="","",'Final Calculation Sheet'!$V$30)</f>
        <v/>
      </c>
      <c r="V36" s="320">
        <f>IF('Final Calculation Sheet'!$W$30="","",'Final Calculation Sheet'!$W$30)</f>
        <v/>
      </c>
      <c r="W36" s="320">
        <f>IF('Final Calculation Sheet'!$X$30="","",'Final Calculation Sheet'!$X$30)</f>
        <v/>
      </c>
      <c r="X36" s="322">
        <f>IF('Final Calculation Sheet'!$Y$30="","",'Final Calculation Sheet'!$Y$30)</f>
        <v/>
      </c>
      <c r="Y36" s="320">
        <f>IF('Final Calculation Sheet'!$Z$30="","",'Final Calculation Sheet'!$Z$30)</f>
        <v/>
      </c>
      <c r="Z36" s="320">
        <f>IF('Final Calculation Sheet'!$AA$30="","",'Final Calculation Sheet'!$AA$30)</f>
        <v/>
      </c>
      <c r="AA36" s="322">
        <f>IF('Final Calculation Sheet'!$AB$30="","",'Final Calculation Sheet'!$AB$30)</f>
        <v/>
      </c>
      <c r="AB36" s="320">
        <f>IF('Final Calculation Sheet'!$AC$30="","",'Final Calculation Sheet'!$AC$30)</f>
        <v/>
      </c>
      <c r="AC36" s="320">
        <f>IF('Final Calculation Sheet'!$AD$30="","",'Final Calculation Sheet'!$AD$30)</f>
        <v/>
      </c>
      <c r="AD36" s="322">
        <f>IF('Final Calculation Sheet'!$AD$30="","",IF('Final Calculation Sheet'!$AD$30&lt;=0,"SETTLED","OUTSTANDING"))</f>
        <v/>
      </c>
      <c r="AE36" s="322">
        <f>IF('Final Calculation Sheet'!$AE$30="","",'Final Calculation Sheet'!$AE$30)</f>
        <v/>
      </c>
      <c r="AF36" s="320">
        <f>IF('Final Calculation Sheet'!$AF$30="","",'Final Calculation Sheet'!$AF$30)</f>
        <v/>
      </c>
      <c r="AG36" s="322">
        <f>IF('Final Calculation Sheet'!$AG$30="","",'Final Calculation Sheet'!$AG$30)</f>
        <v/>
      </c>
    </row>
    <row r="37" outlineLevel="1" ht="15" customHeight="1">
      <c r="A37" s="314">
        <f>IF('Final Calculation Sheet'!$F$32="","",'Final Calculation Sheet'!$F$32)</f>
        <v/>
      </c>
      <c r="B37" s="313">
        <f>IF('Final Calculation Sheet'!$B$32="","",'Final Calculation Sheet'!$B$32)</f>
        <v/>
      </c>
      <c r="C37" s="314">
        <f>IF('Final Calculation Sheet'!$D$32="","",'Final Calculation Sheet'!$D$32)</f>
        <v/>
      </c>
      <c r="D37" s="315">
        <f>IF('Final Calculation Sheet'!$A$32="","",'Final Calculation Sheet'!$A$32)</f>
        <v/>
      </c>
      <c r="E37" s="316">
        <f>IF('Final Calculation Sheet'!$E$32="","",'Final Calculation Sheet'!$E$32)</f>
        <v/>
      </c>
      <c r="F37" s="314">
        <f>IF('Final Calculation Sheet'!$C$32="","",'Final Calculation Sheet'!$C$32)</f>
        <v/>
      </c>
      <c r="G37" s="314">
        <f>IF('Final Calculation Sheet'!$H$32="","",'Final Calculation Sheet'!$H$32)</f>
        <v/>
      </c>
      <c r="H37" s="314">
        <f>IF('Final Calculation Sheet'!$I$32="","",'Final Calculation Sheet'!$I$32)</f>
        <v/>
      </c>
      <c r="I37" s="314">
        <f>IF('Final Calculation Sheet'!$J$32="","",'Final Calculation Sheet'!$J$32)</f>
        <v/>
      </c>
      <c r="J37" s="314">
        <f>IF('Final Calculation Sheet'!$K$32="","",'Final Calculation Sheet'!$K$32)</f>
        <v/>
      </c>
      <c r="K37" s="317">
        <f>IF('Final Calculation Sheet'!$L$32="","",'Final Calculation Sheet'!$L$32)</f>
        <v/>
      </c>
      <c r="L37" s="317">
        <f>IF('Final Calculation Sheet'!$M$32="","",'Final Calculation Sheet'!$M$32)</f>
        <v/>
      </c>
      <c r="M37" s="317">
        <f>IF('Final Calculation Sheet'!$N$32="","",'Final Calculation Sheet'!$N$32)</f>
        <v/>
      </c>
      <c r="N37" s="317">
        <f>IF('Final Calculation Sheet'!$O$32="","",'Final Calculation Sheet'!$O$32)</f>
        <v/>
      </c>
      <c r="O37" s="314">
        <f>IF('Final Calculation Sheet'!$P$32="","",'Final Calculation Sheet'!$P$32)</f>
        <v/>
      </c>
      <c r="P37" s="318">
        <f>IF('Final Calculation Sheet'!$Q$32="","",'Final Calculation Sheet'!$Q$32)</f>
        <v/>
      </c>
      <c r="Q37" s="314">
        <f>IF('Final Calculation Sheet'!$R$32="","",'Final Calculation Sheet'!$R$32)</f>
        <v/>
      </c>
      <c r="R37" s="314">
        <f>IF('Final Calculation Sheet'!$S$32="","",'Final Calculation Sheet'!$S$32)</f>
        <v/>
      </c>
      <c r="S37" s="314">
        <f>IF('Final Calculation Sheet'!$T$32="","",'Final Calculation Sheet'!$T$32)</f>
        <v/>
      </c>
      <c r="T37" s="314">
        <f>IF('Final Calculation Sheet'!$U$32="","",'Final Calculation Sheet'!$U$32)</f>
        <v/>
      </c>
      <c r="U37" s="316">
        <f>IF('Final Calculation Sheet'!$V$32="","",'Final Calculation Sheet'!$V$32)</f>
        <v/>
      </c>
      <c r="V37" s="314">
        <f>IF('Final Calculation Sheet'!$W$32="","",'Final Calculation Sheet'!$W$32)</f>
        <v/>
      </c>
      <c r="W37" s="314">
        <f>IF('Final Calculation Sheet'!$X$32="","",'Final Calculation Sheet'!$X$32)</f>
        <v/>
      </c>
      <c r="X37" s="316">
        <f>IF('Final Calculation Sheet'!$Y$32="","",'Final Calculation Sheet'!$Y$32)</f>
        <v/>
      </c>
      <c r="Y37" s="314">
        <f>IF('Final Calculation Sheet'!$Z$32="","",'Final Calculation Sheet'!$Z$32)</f>
        <v/>
      </c>
      <c r="Z37" s="314">
        <f>IF('Final Calculation Sheet'!$AA$32="","",'Final Calculation Sheet'!$AA$32)</f>
        <v/>
      </c>
      <c r="AA37" s="316">
        <f>IF('Final Calculation Sheet'!$AB$32="","",'Final Calculation Sheet'!$AB$32)</f>
        <v/>
      </c>
      <c r="AB37" s="314">
        <f>IF('Final Calculation Sheet'!$AC$32="","",'Final Calculation Sheet'!$AC$32)</f>
        <v/>
      </c>
      <c r="AC37" s="314">
        <f>IF('Final Calculation Sheet'!$AD$32="","",'Final Calculation Sheet'!$AD$32)</f>
        <v/>
      </c>
      <c r="AD37" s="316">
        <f>IF('Final Calculation Sheet'!$AD$32="","",IF('Final Calculation Sheet'!$AD$32&lt;=0,"SETTLED","OUTSTANDING"))</f>
        <v/>
      </c>
      <c r="AE37" s="316">
        <f>IF('Final Calculation Sheet'!$AE$32="","",'Final Calculation Sheet'!$AE$32)</f>
        <v/>
      </c>
      <c r="AF37" s="314">
        <f>IF('Final Calculation Sheet'!$AF$32="","",'Final Calculation Sheet'!$AF$32)</f>
        <v/>
      </c>
      <c r="AG37" s="316">
        <f>IF('Final Calculation Sheet'!$AG$32="","",'Final Calculation Sheet'!$AG$32)</f>
        <v/>
      </c>
    </row>
    <row r="38" outlineLevel="1" ht="15" customHeight="1">
      <c r="A38" s="320">
        <f>IF('Final Calculation Sheet'!$F$33="","",'Final Calculation Sheet'!$F$33)</f>
        <v/>
      </c>
      <c r="B38" s="319">
        <f>IF('Final Calculation Sheet'!$B$33="","",'Final Calculation Sheet'!$B$33)</f>
        <v/>
      </c>
      <c r="C38" s="320">
        <f>IF('Final Calculation Sheet'!$D$33="","",'Final Calculation Sheet'!$D$33)</f>
        <v/>
      </c>
      <c r="D38" s="321">
        <f>IF('Final Calculation Sheet'!$A$33="","",'Final Calculation Sheet'!$A$33)</f>
        <v/>
      </c>
      <c r="E38" s="322">
        <f>IF('Final Calculation Sheet'!$E$33="","",'Final Calculation Sheet'!$E$33)</f>
        <v/>
      </c>
      <c r="F38" s="320">
        <f>IF('Final Calculation Sheet'!$C$33="","",'Final Calculation Sheet'!$C$33)</f>
        <v/>
      </c>
      <c r="G38" s="320">
        <f>IF('Final Calculation Sheet'!$H$33="","",'Final Calculation Sheet'!$H$33)</f>
        <v/>
      </c>
      <c r="H38" s="320">
        <f>IF('Final Calculation Sheet'!$I$33="","",'Final Calculation Sheet'!$I$33)</f>
        <v/>
      </c>
      <c r="I38" s="320">
        <f>IF('Final Calculation Sheet'!$J$33="","",'Final Calculation Sheet'!$J$33)</f>
        <v/>
      </c>
      <c r="J38" s="320">
        <f>IF('Final Calculation Sheet'!$K$33="","",'Final Calculation Sheet'!$K$33)</f>
        <v/>
      </c>
      <c r="K38" s="323">
        <f>IF('Final Calculation Sheet'!$L$33="","",'Final Calculation Sheet'!$L$33)</f>
        <v/>
      </c>
      <c r="L38" s="323">
        <f>IF('Final Calculation Sheet'!$M$33="","",'Final Calculation Sheet'!$M$33)</f>
        <v/>
      </c>
      <c r="M38" s="323">
        <f>IF('Final Calculation Sheet'!$N$33="","",'Final Calculation Sheet'!$N$33)</f>
        <v/>
      </c>
      <c r="N38" s="323">
        <f>IF('Final Calculation Sheet'!$O$33="","",'Final Calculation Sheet'!$O$33)</f>
        <v/>
      </c>
      <c r="O38" s="320">
        <f>IF('Final Calculation Sheet'!$P$33="","",'Final Calculation Sheet'!$P$33)</f>
        <v/>
      </c>
      <c r="P38" s="324">
        <f>IF('Final Calculation Sheet'!$Q$33="","",'Final Calculation Sheet'!$Q$33)</f>
        <v/>
      </c>
      <c r="Q38" s="320">
        <f>IF('Final Calculation Sheet'!$R$33="","",'Final Calculation Sheet'!$R$33)</f>
        <v/>
      </c>
      <c r="R38" s="320">
        <f>IF('Final Calculation Sheet'!$S$33="","",'Final Calculation Sheet'!$S$33)</f>
        <v/>
      </c>
      <c r="S38" s="320">
        <f>IF('Final Calculation Sheet'!$T$33="","",'Final Calculation Sheet'!$T$33)</f>
        <v/>
      </c>
      <c r="T38" s="320">
        <f>IF('Final Calculation Sheet'!$U$33="","",'Final Calculation Sheet'!$U$33)</f>
        <v/>
      </c>
      <c r="U38" s="322">
        <f>IF('Final Calculation Sheet'!$V$33="","",'Final Calculation Sheet'!$V$33)</f>
        <v/>
      </c>
      <c r="V38" s="320">
        <f>IF('Final Calculation Sheet'!$W$33="","",'Final Calculation Sheet'!$W$33)</f>
        <v/>
      </c>
      <c r="W38" s="320">
        <f>IF('Final Calculation Sheet'!$X$33="","",'Final Calculation Sheet'!$X$33)</f>
        <v/>
      </c>
      <c r="X38" s="322">
        <f>IF('Final Calculation Sheet'!$Y$33="","",'Final Calculation Sheet'!$Y$33)</f>
        <v/>
      </c>
      <c r="Y38" s="320">
        <f>IF('Final Calculation Sheet'!$Z$33="","",'Final Calculation Sheet'!$Z$33)</f>
        <v/>
      </c>
      <c r="Z38" s="320">
        <f>IF('Final Calculation Sheet'!$AA$33="","",'Final Calculation Sheet'!$AA$33)</f>
        <v/>
      </c>
      <c r="AA38" s="322">
        <f>IF('Final Calculation Sheet'!$AB$33="","",'Final Calculation Sheet'!$AB$33)</f>
        <v/>
      </c>
      <c r="AB38" s="320">
        <f>IF('Final Calculation Sheet'!$AC$33="","",'Final Calculation Sheet'!$AC$33)</f>
        <v/>
      </c>
      <c r="AC38" s="320">
        <f>IF('Final Calculation Sheet'!$AD$33="","",'Final Calculation Sheet'!$AD$33)</f>
        <v/>
      </c>
      <c r="AD38" s="322">
        <f>IF('Final Calculation Sheet'!$AD$33="","",IF('Final Calculation Sheet'!$AD$33&lt;=0,"SETTLED","OUTSTANDING"))</f>
        <v/>
      </c>
      <c r="AE38" s="322">
        <f>IF('Final Calculation Sheet'!$AE$33="","",'Final Calculation Sheet'!$AE$33)</f>
        <v/>
      </c>
      <c r="AF38" s="320">
        <f>IF('Final Calculation Sheet'!$AF$33="","",'Final Calculation Sheet'!$AF$33)</f>
        <v/>
      </c>
      <c r="AG38" s="322">
        <f>IF('Final Calculation Sheet'!$AG$33="","",'Final Calculation Sheet'!$AG$33)</f>
        <v/>
      </c>
    </row>
    <row r="39" outlineLevel="1" ht="15" customHeight="1">
      <c r="A39" s="314">
        <f>IF('Final Calculation Sheet'!$F$37="","",'Final Calculation Sheet'!$F$37)</f>
        <v/>
      </c>
      <c r="B39" s="313">
        <f>IF('Final Calculation Sheet'!$B$37="","",'Final Calculation Sheet'!$B$37)</f>
        <v/>
      </c>
      <c r="C39" s="314">
        <f>IF('Final Calculation Sheet'!$D$37="","",'Final Calculation Sheet'!$D$37)</f>
        <v/>
      </c>
      <c r="D39" s="315">
        <f>IF('Final Calculation Sheet'!$A$37="","",'Final Calculation Sheet'!$A$37)</f>
        <v/>
      </c>
      <c r="E39" s="316">
        <f>IF('Final Calculation Sheet'!$E$37="","",'Final Calculation Sheet'!$E$37)</f>
        <v/>
      </c>
      <c r="F39" s="314">
        <f>IF('Final Calculation Sheet'!$C$37="","",'Final Calculation Sheet'!$C$37)</f>
        <v/>
      </c>
      <c r="G39" s="314">
        <f>IF('Final Calculation Sheet'!$H$37="","",'Final Calculation Sheet'!$H$37)</f>
        <v/>
      </c>
      <c r="H39" s="314">
        <f>IF('Final Calculation Sheet'!$I$37="","",'Final Calculation Sheet'!$I$37)</f>
        <v/>
      </c>
      <c r="I39" s="314">
        <f>IF('Final Calculation Sheet'!$J$37="","",'Final Calculation Sheet'!$J$37)</f>
        <v/>
      </c>
      <c r="J39" s="314">
        <f>IF('Final Calculation Sheet'!$K$37="","",'Final Calculation Sheet'!$K$37)</f>
        <v/>
      </c>
      <c r="K39" s="317">
        <f>IF('Final Calculation Sheet'!$L$37="","",'Final Calculation Sheet'!$L$37)</f>
        <v/>
      </c>
      <c r="L39" s="317">
        <f>IF('Final Calculation Sheet'!$M$37="","",'Final Calculation Sheet'!$M$37)</f>
        <v/>
      </c>
      <c r="M39" s="317">
        <f>IF('Final Calculation Sheet'!$N$37="","",'Final Calculation Sheet'!$N$37)</f>
        <v/>
      </c>
      <c r="N39" s="317">
        <f>IF('Final Calculation Sheet'!$O$37="","",'Final Calculation Sheet'!$O$37)</f>
        <v/>
      </c>
      <c r="O39" s="314">
        <f>IF('Final Calculation Sheet'!$P$37="","",'Final Calculation Sheet'!$P$37)</f>
        <v/>
      </c>
      <c r="P39" s="318">
        <f>IF('Final Calculation Sheet'!$Q$37="","",'Final Calculation Sheet'!$Q$37)</f>
        <v/>
      </c>
      <c r="Q39" s="314">
        <f>IF('Final Calculation Sheet'!$R$37="","",'Final Calculation Sheet'!$R$37)</f>
        <v/>
      </c>
      <c r="R39" s="314">
        <f>IF('Final Calculation Sheet'!$S$37="","",'Final Calculation Sheet'!$S$37)</f>
        <v/>
      </c>
      <c r="S39" s="314">
        <f>IF('Final Calculation Sheet'!$T$37="","",'Final Calculation Sheet'!$T$37)</f>
        <v/>
      </c>
      <c r="T39" s="314">
        <f>IF('Final Calculation Sheet'!$U$37="","",'Final Calculation Sheet'!$U$37)</f>
        <v/>
      </c>
      <c r="U39" s="316">
        <f>IF('Final Calculation Sheet'!$V$37="","",'Final Calculation Sheet'!$V$37)</f>
        <v/>
      </c>
      <c r="V39" s="314">
        <f>IF('Final Calculation Sheet'!$W$37="","",'Final Calculation Sheet'!$W$37)</f>
        <v/>
      </c>
      <c r="W39" s="314">
        <f>IF('Final Calculation Sheet'!$X$37="","",'Final Calculation Sheet'!$X$37)</f>
        <v/>
      </c>
      <c r="X39" s="316">
        <f>IF('Final Calculation Sheet'!$Y$37="","",'Final Calculation Sheet'!$Y$37)</f>
        <v/>
      </c>
      <c r="Y39" s="314">
        <f>IF('Final Calculation Sheet'!$Z$37="","",'Final Calculation Sheet'!$Z$37)</f>
        <v/>
      </c>
      <c r="Z39" s="314">
        <f>IF('Final Calculation Sheet'!$AA$37="","",'Final Calculation Sheet'!$AA$37)</f>
        <v/>
      </c>
      <c r="AA39" s="316">
        <f>IF('Final Calculation Sheet'!$AB$37="","",'Final Calculation Sheet'!$AB$37)</f>
        <v/>
      </c>
      <c r="AB39" s="314">
        <f>IF('Final Calculation Sheet'!$AC$37="","",'Final Calculation Sheet'!$AC$37)</f>
        <v/>
      </c>
      <c r="AC39" s="314">
        <f>IF('Final Calculation Sheet'!$AD$37="","",'Final Calculation Sheet'!$AD$37)</f>
        <v/>
      </c>
      <c r="AD39" s="316">
        <f>IF('Final Calculation Sheet'!$AD$37="","",IF('Final Calculation Sheet'!$AD$37&lt;=0,"SETTLED","OUTSTANDING"))</f>
        <v/>
      </c>
      <c r="AE39" s="316">
        <f>IF('Final Calculation Sheet'!$AE$37="","",'Final Calculation Sheet'!$AE$37)</f>
        <v/>
      </c>
      <c r="AF39" s="314">
        <f>IF('Final Calculation Sheet'!$AF$37="","",'Final Calculation Sheet'!$AF$37)</f>
        <v/>
      </c>
      <c r="AG39" s="316">
        <f>IF('Final Calculation Sheet'!$AG$37="","",'Final Calculation Sheet'!$AG$37)</f>
        <v/>
      </c>
    </row>
    <row r="40" ht="20" customHeight="1">
      <c r="A40" s="307" t="inlineStr">
        <is>
          <t>∑  NATIONAL ENTERPRISES — TOTALS</t>
        </is>
      </c>
      <c r="B40" s="396" t="inlineStr">
        <is>
          <t>–</t>
        </is>
      </c>
      <c r="C40" s="396" t="inlineStr">
        <is>
          <t>–</t>
        </is>
      </c>
      <c r="D40" s="310">
        <f>SUM(D27:D39)</f>
        <v/>
      </c>
      <c r="E40" s="396" t="inlineStr">
        <is>
          <t>–</t>
        </is>
      </c>
      <c r="F40" s="396" t="inlineStr">
        <is>
          <t>–</t>
        </is>
      </c>
      <c r="G40" s="311">
        <f>SUM(G27:G39)</f>
        <v/>
      </c>
      <c r="H40" s="311">
        <f>SUM(H27:H39)</f>
        <v/>
      </c>
      <c r="I40" s="311">
        <f>SUM(I27:I39)</f>
        <v/>
      </c>
      <c r="J40" s="311">
        <f>SUM(J27:J39)</f>
        <v/>
      </c>
      <c r="K40" s="312">
        <f>SUM(K27:K39)</f>
        <v/>
      </c>
      <c r="L40" s="312">
        <f>SUM(L27:L39)</f>
        <v/>
      </c>
      <c r="M40" s="312">
        <f>SUM(M27:M39)</f>
        <v/>
      </c>
      <c r="N40" s="312">
        <f>SUM(N27:N39)</f>
        <v/>
      </c>
      <c r="O40" s="311">
        <f>SUM(O27:O39)</f>
        <v/>
      </c>
      <c r="P40" s="396" t="inlineStr">
        <is>
          <t>–</t>
        </is>
      </c>
      <c r="Q40" s="311">
        <f>SUM(Q27:Q39)</f>
        <v/>
      </c>
      <c r="R40" s="311">
        <f>SUM(R27:R39)</f>
        <v/>
      </c>
      <c r="S40" s="311">
        <f>SUM(S27:S39)</f>
        <v/>
      </c>
      <c r="T40" s="311">
        <f>SUM(T27:T39)</f>
        <v/>
      </c>
      <c r="U40" s="396" t="inlineStr">
        <is>
          <t>–</t>
        </is>
      </c>
      <c r="V40" s="311">
        <f>SUM(V27:V39)</f>
        <v/>
      </c>
      <c r="W40" s="311">
        <f>SUM(W27:W39)</f>
        <v/>
      </c>
      <c r="X40" s="396" t="inlineStr">
        <is>
          <t>–</t>
        </is>
      </c>
      <c r="Y40" s="311">
        <f>SUM(Y27:Y39)</f>
        <v/>
      </c>
      <c r="Z40" s="311">
        <f>SUM(Z27:Z39)</f>
        <v/>
      </c>
      <c r="AA40" s="396" t="inlineStr">
        <is>
          <t>–</t>
        </is>
      </c>
      <c r="AB40" s="311">
        <f>SUM(AB27:AB39)</f>
        <v/>
      </c>
      <c r="AC40" s="311">
        <f>SUM(AC27:AC39)</f>
        <v/>
      </c>
      <c r="AD40" s="396" t="inlineStr">
        <is>
          <t>–</t>
        </is>
      </c>
      <c r="AE40" s="396" t="inlineStr">
        <is>
          <t>–</t>
        </is>
      </c>
      <c r="AF40" s="396" t="inlineStr">
        <is>
          <t>–</t>
        </is>
      </c>
      <c r="AG40" s="396" t="inlineStr">
        <is>
          <t>–</t>
        </is>
      </c>
    </row>
    <row r="41" ht="7" customHeight="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</row>
    <row r="42" ht="24" customHeight="1">
      <c r="A4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332">
        <f>IF('Final Calculation Sheet'!$F$21="","",'Final Calculation Sheet'!$F$21)</f>
        <v/>
      </c>
      <c r="B43" s="331">
        <f>IF('Final Calculation Sheet'!$B$21="","",'Final Calculation Sheet'!$B$21)</f>
        <v/>
      </c>
      <c r="C43" s="332">
        <f>IF('Final Calculation Sheet'!$D$21="","",'Final Calculation Sheet'!$D$21)</f>
        <v/>
      </c>
      <c r="D43" s="333">
        <f>IF('Final Calculation Sheet'!$A$21="","",'Final Calculation Sheet'!$A$21)</f>
        <v/>
      </c>
      <c r="E43" s="334">
        <f>IF('Final Calculation Sheet'!$E$21="","",'Final Calculation Sheet'!$E$21)</f>
        <v/>
      </c>
      <c r="F43" s="332">
        <f>IF('Final Calculation Sheet'!$C$21="","",'Final Calculation Sheet'!$C$21)</f>
        <v/>
      </c>
      <c r="G43" s="332">
        <f>IF('Final Calculation Sheet'!$H$21="","",'Final Calculation Sheet'!$H$21)</f>
        <v/>
      </c>
      <c r="H43" s="332">
        <f>IF('Final Calculation Sheet'!$I$21="","",'Final Calculation Sheet'!$I$21)</f>
        <v/>
      </c>
      <c r="I43" s="332">
        <f>IF('Final Calculation Sheet'!$J$21="","",'Final Calculation Sheet'!$J$21)</f>
        <v/>
      </c>
      <c r="J43" s="332">
        <f>IF('Final Calculation Sheet'!$K$21="","",'Final Calculation Sheet'!$K$21)</f>
        <v/>
      </c>
      <c r="K43" s="335">
        <f>IF('Final Calculation Sheet'!$L$21="","",'Final Calculation Sheet'!$L$21)</f>
        <v/>
      </c>
      <c r="L43" s="335">
        <f>IF('Final Calculation Sheet'!$M$21="","",'Final Calculation Sheet'!$M$21)</f>
        <v/>
      </c>
      <c r="M43" s="335">
        <f>IF('Final Calculation Sheet'!$N$21="","",'Final Calculation Sheet'!$N$21)</f>
        <v/>
      </c>
      <c r="N43" s="335">
        <f>IF('Final Calculation Sheet'!$O$21="","",'Final Calculation Sheet'!$O$21)</f>
        <v/>
      </c>
      <c r="O43" s="332">
        <f>IF('Final Calculation Sheet'!$P$21="","",'Final Calculation Sheet'!$P$21)</f>
        <v/>
      </c>
      <c r="P43" s="336">
        <f>IF('Final Calculation Sheet'!$Q$21="","",'Final Calculation Sheet'!$Q$21)</f>
        <v/>
      </c>
      <c r="Q43" s="332">
        <f>IF('Final Calculation Sheet'!$R$21="","",'Final Calculation Sheet'!$R$21)</f>
        <v/>
      </c>
      <c r="R43" s="332">
        <f>IF('Final Calculation Sheet'!$S$21="","",'Final Calculation Sheet'!$S$21)</f>
        <v/>
      </c>
      <c r="S43" s="332">
        <f>IF('Final Calculation Sheet'!$T$21="","",'Final Calculation Sheet'!$T$21)</f>
        <v/>
      </c>
      <c r="T43" s="332">
        <f>IF('Final Calculation Sheet'!$U$21="","",'Final Calculation Sheet'!$U$21)</f>
        <v/>
      </c>
      <c r="U43" s="334">
        <f>IF('Final Calculation Sheet'!$V$21="","",'Final Calculation Sheet'!$V$21)</f>
        <v/>
      </c>
      <c r="V43" s="332">
        <f>IF('Final Calculation Sheet'!$W$21="","",'Final Calculation Sheet'!$W$21)</f>
        <v/>
      </c>
      <c r="W43" s="332">
        <f>IF('Final Calculation Sheet'!$X$21="","",'Final Calculation Sheet'!$X$21)</f>
        <v/>
      </c>
      <c r="X43" s="334">
        <f>IF('Final Calculation Sheet'!$Y$21="","",'Final Calculation Sheet'!$Y$21)</f>
        <v/>
      </c>
      <c r="Y43" s="332">
        <f>IF('Final Calculation Sheet'!$Z$21="","",'Final Calculation Sheet'!$Z$21)</f>
        <v/>
      </c>
      <c r="Z43" s="332">
        <f>IF('Final Calculation Sheet'!$AA$21="","",'Final Calculation Sheet'!$AA$21)</f>
        <v/>
      </c>
      <c r="AA43" s="334">
        <f>IF('Final Calculation Sheet'!$AB$21="","",'Final Calculation Sheet'!$AB$21)</f>
        <v/>
      </c>
      <c r="AB43" s="332">
        <f>IF('Final Calculation Sheet'!$AC$21="","",'Final Calculation Sheet'!$AC$21)</f>
        <v/>
      </c>
      <c r="AC43" s="332">
        <f>IF('Final Calculation Sheet'!$AD$21="","",'Final Calculation Sheet'!$AD$21)</f>
        <v/>
      </c>
      <c r="AD43" s="334">
        <f>IF('Final Calculation Sheet'!$AD$21="","",IF('Final Calculation Sheet'!$AD$21&lt;=0,"SETTLED","OUTSTANDING"))</f>
        <v/>
      </c>
      <c r="AE43" s="334">
        <f>IF('Final Calculation Sheet'!$AE$21="","",'Final Calculation Sheet'!$AE$21)</f>
        <v/>
      </c>
      <c r="AF43" s="332">
        <f>IF('Final Calculation Sheet'!$AF$21="","",'Final Calculation Sheet'!$AF$21)</f>
        <v/>
      </c>
      <c r="AG43" s="334">
        <f>IF('Final Calculation Sheet'!$AG$21="","",'Final Calculation Sheet'!$AG$21)</f>
        <v/>
      </c>
    </row>
    <row r="44" ht="20" customHeight="1">
      <c r="A44" s="325" t="inlineStr">
        <is>
          <t>∑  NATIONAL SCRAP AND BUILDING MATERIAL SUPPLIER — TOTALS</t>
        </is>
      </c>
      <c r="B44" s="397" t="inlineStr">
        <is>
          <t>–</t>
        </is>
      </c>
      <c r="C44" s="397" t="inlineStr">
        <is>
          <t>–</t>
        </is>
      </c>
      <c r="D44" s="328">
        <f>SUM(D43:D43)</f>
        <v/>
      </c>
      <c r="E44" s="397" t="inlineStr">
        <is>
          <t>–</t>
        </is>
      </c>
      <c r="F44" s="397" t="inlineStr">
        <is>
          <t>–</t>
        </is>
      </c>
      <c r="G44" s="329">
        <f>SUM(G43:G43)</f>
        <v/>
      </c>
      <c r="H44" s="329">
        <f>SUM(H43:H43)</f>
        <v/>
      </c>
      <c r="I44" s="329">
        <f>SUM(I43:I43)</f>
        <v/>
      </c>
      <c r="J44" s="329">
        <f>SUM(J43:J43)</f>
        <v/>
      </c>
      <c r="K44" s="330">
        <f>SUM(K43:K43)</f>
        <v/>
      </c>
      <c r="L44" s="330">
        <f>SUM(L43:L43)</f>
        <v/>
      </c>
      <c r="M44" s="330">
        <f>SUM(M43:M43)</f>
        <v/>
      </c>
      <c r="N44" s="330">
        <f>SUM(N43:N43)</f>
        <v/>
      </c>
      <c r="O44" s="329">
        <f>SUM(O43:O43)</f>
        <v/>
      </c>
      <c r="P44" s="397" t="inlineStr">
        <is>
          <t>–</t>
        </is>
      </c>
      <c r="Q44" s="329">
        <f>SUM(Q43:Q43)</f>
        <v/>
      </c>
      <c r="R44" s="329">
        <f>SUM(R43:R43)</f>
        <v/>
      </c>
      <c r="S44" s="329">
        <f>SUM(S43:S43)</f>
        <v/>
      </c>
      <c r="T44" s="329">
        <f>SUM(T43:T43)</f>
        <v/>
      </c>
      <c r="U44" s="397" t="inlineStr">
        <is>
          <t>–</t>
        </is>
      </c>
      <c r="V44" s="329">
        <f>SUM(V43:V43)</f>
        <v/>
      </c>
      <c r="W44" s="329">
        <f>SUM(W43:W43)</f>
        <v/>
      </c>
      <c r="X44" s="397" t="inlineStr">
        <is>
          <t>–</t>
        </is>
      </c>
      <c r="Y44" s="329">
        <f>SUM(Y43:Y43)</f>
        <v/>
      </c>
      <c r="Z44" s="329">
        <f>SUM(Z43:Z43)</f>
        <v/>
      </c>
      <c r="AA44" s="397" t="inlineStr">
        <is>
          <t>–</t>
        </is>
      </c>
      <c r="AB44" s="329">
        <f>SUM(AB43:AB43)</f>
        <v/>
      </c>
      <c r="AC44" s="329">
        <f>SUM(AC43:AC43)</f>
        <v/>
      </c>
      <c r="AD44" s="397" t="inlineStr">
        <is>
          <t>–</t>
        </is>
      </c>
      <c r="AE44" s="397" t="inlineStr">
        <is>
          <t>–</t>
        </is>
      </c>
      <c r="AF44" s="397" t="inlineStr">
        <is>
          <t>–</t>
        </is>
      </c>
      <c r="AG44" s="397" t="inlineStr">
        <is>
          <t>–</t>
        </is>
      </c>
    </row>
    <row r="45" ht="7" customHeight="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</row>
    <row r="46" ht="24" customHeight="1">
      <c r="A4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344">
        <f>IF('Final Calculation Sheet'!$F$8="","",'Final Calculation Sheet'!$F$8)</f>
        <v/>
      </c>
      <c r="B47" s="343">
        <f>IF('Final Calculation Sheet'!$B$8="","",'Final Calculation Sheet'!$B$8)</f>
        <v/>
      </c>
      <c r="C47" s="344">
        <f>IF('Final Calculation Sheet'!$D$8="","",'Final Calculation Sheet'!$D$8)</f>
        <v/>
      </c>
      <c r="D47" s="345">
        <f>IF('Final Calculation Sheet'!$A$8="","",'Final Calculation Sheet'!$A$8)</f>
        <v/>
      </c>
      <c r="E47" s="346">
        <f>IF('Final Calculation Sheet'!$E$8="","",'Final Calculation Sheet'!$E$8)</f>
        <v/>
      </c>
      <c r="F47" s="344">
        <f>IF('Final Calculation Sheet'!$C$8="","",'Final Calculation Sheet'!$C$8)</f>
        <v/>
      </c>
      <c r="G47" s="344">
        <f>IF('Final Calculation Sheet'!$H$8="","",'Final Calculation Sheet'!$H$8)</f>
        <v/>
      </c>
      <c r="H47" s="344">
        <f>IF('Final Calculation Sheet'!$I$8="","",'Final Calculation Sheet'!$I$8)</f>
        <v/>
      </c>
      <c r="I47" s="344">
        <f>IF('Final Calculation Sheet'!$J$8="","",'Final Calculation Sheet'!$J$8)</f>
        <v/>
      </c>
      <c r="J47" s="344">
        <f>IF('Final Calculation Sheet'!$K$8="","",'Final Calculation Sheet'!$K$8)</f>
        <v/>
      </c>
      <c r="K47" s="347">
        <f>IF('Final Calculation Sheet'!$L$8="","",'Final Calculation Sheet'!$L$8)</f>
        <v/>
      </c>
      <c r="L47" s="347">
        <f>IF('Final Calculation Sheet'!$M$8="","",'Final Calculation Sheet'!$M$8)</f>
        <v/>
      </c>
      <c r="M47" s="347">
        <f>IF('Final Calculation Sheet'!$N$8="","",'Final Calculation Sheet'!$N$8)</f>
        <v/>
      </c>
      <c r="N47" s="347">
        <f>IF('Final Calculation Sheet'!$O$8="","",'Final Calculation Sheet'!$O$8)</f>
        <v/>
      </c>
      <c r="O47" s="344">
        <f>IF('Final Calculation Sheet'!$P$8="","",'Final Calculation Sheet'!$P$8)</f>
        <v/>
      </c>
      <c r="P47" s="348">
        <f>IF('Final Calculation Sheet'!$Q$8="","",'Final Calculation Sheet'!$Q$8)</f>
        <v/>
      </c>
      <c r="Q47" s="344">
        <f>IF('Final Calculation Sheet'!$R$8="","",'Final Calculation Sheet'!$R$8)</f>
        <v/>
      </c>
      <c r="R47" s="344">
        <f>IF('Final Calculation Sheet'!$S$8="","",'Final Calculation Sheet'!$S$8)</f>
        <v/>
      </c>
      <c r="S47" s="344">
        <f>IF('Final Calculation Sheet'!$T$8="","",'Final Calculation Sheet'!$T$8)</f>
        <v/>
      </c>
      <c r="T47" s="344">
        <f>IF('Final Calculation Sheet'!$U$8="","",'Final Calculation Sheet'!$U$8)</f>
        <v/>
      </c>
      <c r="U47" s="346">
        <f>IF('Final Calculation Sheet'!$V$8="","",'Final Calculation Sheet'!$V$8)</f>
        <v/>
      </c>
      <c r="V47" s="344">
        <f>IF('Final Calculation Sheet'!$W$8="","",'Final Calculation Sheet'!$W$8)</f>
        <v/>
      </c>
      <c r="W47" s="344">
        <f>IF('Final Calculation Sheet'!$X$8="","",'Final Calculation Sheet'!$X$8)</f>
        <v/>
      </c>
      <c r="X47" s="346">
        <f>IF('Final Calculation Sheet'!$Y$8="","",'Final Calculation Sheet'!$Y$8)</f>
        <v/>
      </c>
      <c r="Y47" s="344">
        <f>IF('Final Calculation Sheet'!$Z$8="","",'Final Calculation Sheet'!$Z$8)</f>
        <v/>
      </c>
      <c r="Z47" s="344">
        <f>IF('Final Calculation Sheet'!$AA$8="","",'Final Calculation Sheet'!$AA$8)</f>
        <v/>
      </c>
      <c r="AA47" s="346">
        <f>IF('Final Calculation Sheet'!$AB$8="","",'Final Calculation Sheet'!$AB$8)</f>
        <v/>
      </c>
      <c r="AB47" s="344">
        <f>IF('Final Calculation Sheet'!$AC$8="","",'Final Calculation Sheet'!$AC$8)</f>
        <v/>
      </c>
      <c r="AC47" s="344">
        <f>IF('Final Calculation Sheet'!$AD$8="","",'Final Calculation Sheet'!$AD$8)</f>
        <v/>
      </c>
      <c r="AD47" s="346">
        <f>IF('Final Calculation Sheet'!$AD$8="","",IF('Final Calculation Sheet'!$AD$8&lt;=0,"SETTLED","OUTSTANDING"))</f>
        <v/>
      </c>
      <c r="AE47" s="346">
        <f>IF('Final Calculation Sheet'!$AE$8="","",'Final Calculation Sheet'!$AE$8)</f>
        <v/>
      </c>
      <c r="AF47" s="344">
        <f>IF('Final Calculation Sheet'!$AF$8="","",'Final Calculation Sheet'!$AF$8)</f>
        <v/>
      </c>
      <c r="AG47" s="346">
        <f>IF('Final Calculation Sheet'!$AG$8="","",'Final Calculation Sheet'!$AG$8)</f>
        <v/>
      </c>
    </row>
    <row r="48" outlineLevel="1" ht="15" customHeight="1">
      <c r="A48" s="350">
        <f>IF('Final Calculation Sheet'!$F$20="","",'Final Calculation Sheet'!$F$20)</f>
        <v/>
      </c>
      <c r="B48" s="349">
        <f>IF('Final Calculation Sheet'!$B$20="","",'Final Calculation Sheet'!$B$20)</f>
        <v/>
      </c>
      <c r="C48" s="350">
        <f>IF('Final Calculation Sheet'!$D$20="","",'Final Calculation Sheet'!$D$20)</f>
        <v/>
      </c>
      <c r="D48" s="351">
        <f>IF('Final Calculation Sheet'!$A$20="","",'Final Calculation Sheet'!$A$20)</f>
        <v/>
      </c>
      <c r="E48" s="352">
        <f>IF('Final Calculation Sheet'!$E$20="","",'Final Calculation Sheet'!$E$20)</f>
        <v/>
      </c>
      <c r="F48" s="350">
        <f>IF('Final Calculation Sheet'!$C$20="","",'Final Calculation Sheet'!$C$20)</f>
        <v/>
      </c>
      <c r="G48" s="350">
        <f>IF('Final Calculation Sheet'!$H$20="","",'Final Calculation Sheet'!$H$20)</f>
        <v/>
      </c>
      <c r="H48" s="350">
        <f>IF('Final Calculation Sheet'!$I$20="","",'Final Calculation Sheet'!$I$20)</f>
        <v/>
      </c>
      <c r="I48" s="350">
        <f>IF('Final Calculation Sheet'!$J$20="","",'Final Calculation Sheet'!$J$20)</f>
        <v/>
      </c>
      <c r="J48" s="350">
        <f>IF('Final Calculation Sheet'!$K$20="","",'Final Calculation Sheet'!$K$20)</f>
        <v/>
      </c>
      <c r="K48" s="353">
        <f>IF('Final Calculation Sheet'!$L$20="","",'Final Calculation Sheet'!$L$20)</f>
        <v/>
      </c>
      <c r="L48" s="353">
        <f>IF('Final Calculation Sheet'!$M$20="","",'Final Calculation Sheet'!$M$20)</f>
        <v/>
      </c>
      <c r="M48" s="353">
        <f>IF('Final Calculation Sheet'!$N$20="","",'Final Calculation Sheet'!$N$20)</f>
        <v/>
      </c>
      <c r="N48" s="353">
        <f>IF('Final Calculation Sheet'!$O$20="","",'Final Calculation Sheet'!$O$20)</f>
        <v/>
      </c>
      <c r="O48" s="350">
        <f>IF('Final Calculation Sheet'!$P$20="","",'Final Calculation Sheet'!$P$20)</f>
        <v/>
      </c>
      <c r="P48" s="354">
        <f>IF('Final Calculation Sheet'!$Q$20="","",'Final Calculation Sheet'!$Q$20)</f>
        <v/>
      </c>
      <c r="Q48" s="350">
        <f>IF('Final Calculation Sheet'!$R$20="","",'Final Calculation Sheet'!$R$20)</f>
        <v/>
      </c>
      <c r="R48" s="350">
        <f>IF('Final Calculation Sheet'!$S$20="","",'Final Calculation Sheet'!$S$20)</f>
        <v/>
      </c>
      <c r="S48" s="350">
        <f>IF('Final Calculation Sheet'!$T$20="","",'Final Calculation Sheet'!$T$20)</f>
        <v/>
      </c>
      <c r="T48" s="350">
        <f>IF('Final Calculation Sheet'!$U$20="","",'Final Calculation Sheet'!$U$20)</f>
        <v/>
      </c>
      <c r="U48" s="352">
        <f>IF('Final Calculation Sheet'!$V$20="","",'Final Calculation Sheet'!$V$20)</f>
        <v/>
      </c>
      <c r="V48" s="350">
        <f>IF('Final Calculation Sheet'!$W$20="","",'Final Calculation Sheet'!$W$20)</f>
        <v/>
      </c>
      <c r="W48" s="350">
        <f>IF('Final Calculation Sheet'!$X$20="","",'Final Calculation Sheet'!$X$20)</f>
        <v/>
      </c>
      <c r="X48" s="352">
        <f>IF('Final Calculation Sheet'!$Y$20="","",'Final Calculation Sheet'!$Y$20)</f>
        <v/>
      </c>
      <c r="Y48" s="350">
        <f>IF('Final Calculation Sheet'!$Z$20="","",'Final Calculation Sheet'!$Z$20)</f>
        <v/>
      </c>
      <c r="Z48" s="350">
        <f>IF('Final Calculation Sheet'!$AA$20="","",'Final Calculation Sheet'!$AA$20)</f>
        <v/>
      </c>
      <c r="AA48" s="352">
        <f>IF('Final Calculation Sheet'!$AB$20="","",'Final Calculation Sheet'!$AB$20)</f>
        <v/>
      </c>
      <c r="AB48" s="350">
        <f>IF('Final Calculation Sheet'!$AC$20="","",'Final Calculation Sheet'!$AC$20)</f>
        <v/>
      </c>
      <c r="AC48" s="350">
        <f>IF('Final Calculation Sheet'!$AD$20="","",'Final Calculation Sheet'!$AD$20)</f>
        <v/>
      </c>
      <c r="AD48" s="352">
        <f>IF('Final Calculation Sheet'!$AD$20="","",IF('Final Calculation Sheet'!$AD$20&lt;=0,"SETTLED","OUTSTANDING"))</f>
        <v/>
      </c>
      <c r="AE48" s="352">
        <f>IF('Final Calculation Sheet'!$AE$20="","",'Final Calculation Sheet'!$AE$20)</f>
        <v/>
      </c>
      <c r="AF48" s="350">
        <f>IF('Final Calculation Sheet'!$AF$20="","",'Final Calculation Sheet'!$AF$20)</f>
        <v/>
      </c>
      <c r="AG48" s="352">
        <f>IF('Final Calculation Sheet'!$AG$20="","",'Final Calculation Sheet'!$AG$20)</f>
        <v/>
      </c>
    </row>
    <row r="49" ht="20" customHeight="1">
      <c r="A49" s="337" t="inlineStr">
        <is>
          <t>∑  OMKAR STEELS — TOTALS</t>
        </is>
      </c>
      <c r="B49" s="398" t="inlineStr">
        <is>
          <t>–</t>
        </is>
      </c>
      <c r="C49" s="398" t="inlineStr">
        <is>
          <t>–</t>
        </is>
      </c>
      <c r="D49" s="340">
        <f>SUM(D47:D48)</f>
        <v/>
      </c>
      <c r="E49" s="398" t="inlineStr">
        <is>
          <t>–</t>
        </is>
      </c>
      <c r="F49" s="398" t="inlineStr">
        <is>
          <t>–</t>
        </is>
      </c>
      <c r="G49" s="341">
        <f>SUM(G47:G48)</f>
        <v/>
      </c>
      <c r="H49" s="341">
        <f>SUM(H47:H48)</f>
        <v/>
      </c>
      <c r="I49" s="341">
        <f>SUM(I47:I48)</f>
        <v/>
      </c>
      <c r="J49" s="341">
        <f>SUM(J47:J48)</f>
        <v/>
      </c>
      <c r="K49" s="342">
        <f>SUM(K47:K48)</f>
        <v/>
      </c>
      <c r="L49" s="342">
        <f>SUM(L47:L48)</f>
        <v/>
      </c>
      <c r="M49" s="342">
        <f>SUM(M47:M48)</f>
        <v/>
      </c>
      <c r="N49" s="342">
        <f>SUM(N47:N48)</f>
        <v/>
      </c>
      <c r="O49" s="341">
        <f>SUM(O47:O48)</f>
        <v/>
      </c>
      <c r="P49" s="398" t="inlineStr">
        <is>
          <t>–</t>
        </is>
      </c>
      <c r="Q49" s="341">
        <f>SUM(Q47:Q48)</f>
        <v/>
      </c>
      <c r="R49" s="341">
        <f>SUM(R47:R48)</f>
        <v/>
      </c>
      <c r="S49" s="341">
        <f>SUM(S47:S48)</f>
        <v/>
      </c>
      <c r="T49" s="341">
        <f>SUM(T47:T48)</f>
        <v/>
      </c>
      <c r="U49" s="398" t="inlineStr">
        <is>
          <t>–</t>
        </is>
      </c>
      <c r="V49" s="341">
        <f>SUM(V47:V48)</f>
        <v/>
      </c>
      <c r="W49" s="341">
        <f>SUM(W47:W48)</f>
        <v/>
      </c>
      <c r="X49" s="398" t="inlineStr">
        <is>
          <t>–</t>
        </is>
      </c>
      <c r="Y49" s="341">
        <f>SUM(Y47:Y48)</f>
        <v/>
      </c>
      <c r="Z49" s="341">
        <f>SUM(Z47:Z48)</f>
        <v/>
      </c>
      <c r="AA49" s="398" t="inlineStr">
        <is>
          <t>–</t>
        </is>
      </c>
      <c r="AB49" s="341">
        <f>SUM(AB47:AB48)</f>
        <v/>
      </c>
      <c r="AC49" s="341">
        <f>SUM(AC47:AC48)</f>
        <v/>
      </c>
      <c r="AD49" s="398" t="inlineStr">
        <is>
          <t>–</t>
        </is>
      </c>
      <c r="AE49" s="398" t="inlineStr">
        <is>
          <t>–</t>
        </is>
      </c>
      <c r="AF49" s="398" t="inlineStr">
        <is>
          <t>–</t>
        </is>
      </c>
      <c r="AG49" s="398" t="inlineStr">
        <is>
          <t>–</t>
        </is>
      </c>
    </row>
    <row r="50" ht="7" customHeight="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</row>
    <row r="51" ht="24" customHeight="1">
      <c r="A5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248">
        <f>IF('Final Calculation Sheet'!$F$39="","",'Final Calculation Sheet'!$F$39)</f>
        <v/>
      </c>
      <c r="B52" s="247">
        <f>IF('Final Calculation Sheet'!$B$39="","",'Final Calculation Sheet'!$B$39)</f>
        <v/>
      </c>
      <c r="C52" s="248">
        <f>IF('Final Calculation Sheet'!$D$39="","",'Final Calculation Sheet'!$D$39)</f>
        <v/>
      </c>
      <c r="D52" s="249">
        <f>IF('Final Calculation Sheet'!$A$39="","",'Final Calculation Sheet'!$A$39)</f>
        <v/>
      </c>
      <c r="E52" s="250">
        <f>IF('Final Calculation Sheet'!$E$39="","",'Final Calculation Sheet'!$E$39)</f>
        <v/>
      </c>
      <c r="F52" s="248">
        <f>IF('Final Calculation Sheet'!$C$39="","",'Final Calculation Sheet'!$C$39)</f>
        <v/>
      </c>
      <c r="G52" s="248">
        <f>IF('Final Calculation Sheet'!$H$39="","",'Final Calculation Sheet'!$H$39)</f>
        <v/>
      </c>
      <c r="H52" s="248">
        <f>IF('Final Calculation Sheet'!$I$39="","",'Final Calculation Sheet'!$I$39)</f>
        <v/>
      </c>
      <c r="I52" s="248">
        <f>IF('Final Calculation Sheet'!$J$39="","",'Final Calculation Sheet'!$J$39)</f>
        <v/>
      </c>
      <c r="J52" s="248">
        <f>IF('Final Calculation Sheet'!$K$39="","",'Final Calculation Sheet'!$K$39)</f>
        <v/>
      </c>
      <c r="K52" s="251">
        <f>IF('Final Calculation Sheet'!$L$39="","",'Final Calculation Sheet'!$L$39)</f>
        <v/>
      </c>
      <c r="L52" s="251">
        <f>IF('Final Calculation Sheet'!$M$39="","",'Final Calculation Sheet'!$M$39)</f>
        <v/>
      </c>
      <c r="M52" s="251">
        <f>IF('Final Calculation Sheet'!$N$39="","",'Final Calculation Sheet'!$N$39)</f>
        <v/>
      </c>
      <c r="N52" s="251">
        <f>IF('Final Calculation Sheet'!$O$39="","",'Final Calculation Sheet'!$O$39)</f>
        <v/>
      </c>
      <c r="O52" s="248">
        <f>IF('Final Calculation Sheet'!$P$39="","",'Final Calculation Sheet'!$P$39)</f>
        <v/>
      </c>
      <c r="P52" s="252">
        <f>IF('Final Calculation Sheet'!$Q$39="","",'Final Calculation Sheet'!$Q$39)</f>
        <v/>
      </c>
      <c r="Q52" s="248">
        <f>IF('Final Calculation Sheet'!$R$39="","",'Final Calculation Sheet'!$R$39)</f>
        <v/>
      </c>
      <c r="R52" s="248">
        <f>IF('Final Calculation Sheet'!$S$39="","",'Final Calculation Sheet'!$S$39)</f>
        <v/>
      </c>
      <c r="S52" s="248">
        <f>IF('Final Calculation Sheet'!$T$39="","",'Final Calculation Sheet'!$T$39)</f>
        <v/>
      </c>
      <c r="T52" s="248">
        <f>IF('Final Calculation Sheet'!$U$39="","",'Final Calculation Sheet'!$U$39)</f>
        <v/>
      </c>
      <c r="U52" s="250">
        <f>IF('Final Calculation Sheet'!$V$39="","",'Final Calculation Sheet'!$V$39)</f>
        <v/>
      </c>
      <c r="V52" s="248">
        <f>IF('Final Calculation Sheet'!$W$39="","",'Final Calculation Sheet'!$W$39)</f>
        <v/>
      </c>
      <c r="W52" s="248">
        <f>IF('Final Calculation Sheet'!$X$39="","",'Final Calculation Sheet'!$X$39)</f>
        <v/>
      </c>
      <c r="X52" s="250">
        <f>IF('Final Calculation Sheet'!$Y$39="","",'Final Calculation Sheet'!$Y$39)</f>
        <v/>
      </c>
      <c r="Y52" s="248">
        <f>IF('Final Calculation Sheet'!$Z$39="","",'Final Calculation Sheet'!$Z$39)</f>
        <v/>
      </c>
      <c r="Z52" s="248">
        <f>IF('Final Calculation Sheet'!$AA$39="","",'Final Calculation Sheet'!$AA$39)</f>
        <v/>
      </c>
      <c r="AA52" s="250">
        <f>IF('Final Calculation Sheet'!$AB$39="","",'Final Calculation Sheet'!$AB$39)</f>
        <v/>
      </c>
      <c r="AB52" s="248">
        <f>IF('Final Calculation Sheet'!$AC$39="","",'Final Calculation Sheet'!$AC$39)</f>
        <v/>
      </c>
      <c r="AC52" s="248">
        <f>IF('Final Calculation Sheet'!$AD$39="","",'Final Calculation Sheet'!$AD$39)</f>
        <v/>
      </c>
      <c r="AD52" s="250">
        <f>IF('Final Calculation Sheet'!$AD$39="","",IF('Final Calculation Sheet'!$AD$39&lt;=0,"SETTLED","OUTSTANDING"))</f>
        <v/>
      </c>
      <c r="AE52" s="250">
        <f>IF('Final Calculation Sheet'!$AE$39="","",'Final Calculation Sheet'!$AE$39)</f>
        <v/>
      </c>
      <c r="AF52" s="248">
        <f>IF('Final Calculation Sheet'!$AF$39="","",'Final Calculation Sheet'!$AF$39)</f>
        <v/>
      </c>
      <c r="AG52" s="250">
        <f>IF('Final Calculation Sheet'!$AG$39="","",'Final Calculation Sheet'!$AG$39)</f>
        <v/>
      </c>
    </row>
    <row r="53" outlineLevel="1" ht="15" customHeight="1">
      <c r="A53" s="356">
        <f>IF('Final Calculation Sheet'!$F$40="","",'Final Calculation Sheet'!$F$40)</f>
        <v/>
      </c>
      <c r="B53" s="355">
        <f>IF('Final Calculation Sheet'!$B$40="","",'Final Calculation Sheet'!$B$40)</f>
        <v/>
      </c>
      <c r="C53" s="356">
        <f>IF('Final Calculation Sheet'!$D$40="","",'Final Calculation Sheet'!$D$40)</f>
        <v/>
      </c>
      <c r="D53" s="357">
        <f>IF('Final Calculation Sheet'!$A$40="","",'Final Calculation Sheet'!$A$40)</f>
        <v/>
      </c>
      <c r="E53" s="358">
        <f>IF('Final Calculation Sheet'!$E$40="","",'Final Calculation Sheet'!$E$40)</f>
        <v/>
      </c>
      <c r="F53" s="356">
        <f>IF('Final Calculation Sheet'!$C$40="","",'Final Calculation Sheet'!$C$40)</f>
        <v/>
      </c>
      <c r="G53" s="356">
        <f>IF('Final Calculation Sheet'!$H$40="","",'Final Calculation Sheet'!$H$40)</f>
        <v/>
      </c>
      <c r="H53" s="356">
        <f>IF('Final Calculation Sheet'!$I$40="","",'Final Calculation Sheet'!$I$40)</f>
        <v/>
      </c>
      <c r="I53" s="356">
        <f>IF('Final Calculation Sheet'!$J$40="","",'Final Calculation Sheet'!$J$40)</f>
        <v/>
      </c>
      <c r="J53" s="356">
        <f>IF('Final Calculation Sheet'!$K$40="","",'Final Calculation Sheet'!$K$40)</f>
        <v/>
      </c>
      <c r="K53" s="359">
        <f>IF('Final Calculation Sheet'!$L$40="","",'Final Calculation Sheet'!$L$40)</f>
        <v/>
      </c>
      <c r="L53" s="359">
        <f>IF('Final Calculation Sheet'!$M$40="","",'Final Calculation Sheet'!$M$40)</f>
        <v/>
      </c>
      <c r="M53" s="359">
        <f>IF('Final Calculation Sheet'!$N$40="","",'Final Calculation Sheet'!$N$40)</f>
        <v/>
      </c>
      <c r="N53" s="359">
        <f>IF('Final Calculation Sheet'!$O$40="","",'Final Calculation Sheet'!$O$40)</f>
        <v/>
      </c>
      <c r="O53" s="356">
        <f>IF('Final Calculation Sheet'!$P$40="","",'Final Calculation Sheet'!$P$40)</f>
        <v/>
      </c>
      <c r="P53" s="360">
        <f>IF('Final Calculation Sheet'!$Q$40="","",'Final Calculation Sheet'!$Q$40)</f>
        <v/>
      </c>
      <c r="Q53" s="356">
        <f>IF('Final Calculation Sheet'!$R$40="","",'Final Calculation Sheet'!$R$40)</f>
        <v/>
      </c>
      <c r="R53" s="356">
        <f>IF('Final Calculation Sheet'!$S$40="","",'Final Calculation Sheet'!$S$40)</f>
        <v/>
      </c>
      <c r="S53" s="356">
        <f>IF('Final Calculation Sheet'!$T$40="","",'Final Calculation Sheet'!$T$40)</f>
        <v/>
      </c>
      <c r="T53" s="356">
        <f>IF('Final Calculation Sheet'!$U$40="","",'Final Calculation Sheet'!$U$40)</f>
        <v/>
      </c>
      <c r="U53" s="358">
        <f>IF('Final Calculation Sheet'!$V$40="","",'Final Calculation Sheet'!$V$40)</f>
        <v/>
      </c>
      <c r="V53" s="356">
        <f>IF('Final Calculation Sheet'!$W$40="","",'Final Calculation Sheet'!$W$40)</f>
        <v/>
      </c>
      <c r="W53" s="356">
        <f>IF('Final Calculation Sheet'!$X$40="","",'Final Calculation Sheet'!$X$40)</f>
        <v/>
      </c>
      <c r="X53" s="358">
        <f>IF('Final Calculation Sheet'!$Y$40="","",'Final Calculation Sheet'!$Y$40)</f>
        <v/>
      </c>
      <c r="Y53" s="356">
        <f>IF('Final Calculation Sheet'!$Z$40="","",'Final Calculation Sheet'!$Z$40)</f>
        <v/>
      </c>
      <c r="Z53" s="356">
        <f>IF('Final Calculation Sheet'!$AA$40="","",'Final Calculation Sheet'!$AA$40)</f>
        <v/>
      </c>
      <c r="AA53" s="358">
        <f>IF('Final Calculation Sheet'!$AB$40="","",'Final Calculation Sheet'!$AB$40)</f>
        <v/>
      </c>
      <c r="AB53" s="356">
        <f>IF('Final Calculation Sheet'!$AC$40="","",'Final Calculation Sheet'!$AC$40)</f>
        <v/>
      </c>
      <c r="AC53" s="356">
        <f>IF('Final Calculation Sheet'!$AD$40="","",'Final Calculation Sheet'!$AD$40)</f>
        <v/>
      </c>
      <c r="AD53" s="358">
        <f>IF('Final Calculation Sheet'!$AD$40="","",IF('Final Calculation Sheet'!$AD$40&lt;=0,"SETTLED","OUTSTANDING"))</f>
        <v/>
      </c>
      <c r="AE53" s="358">
        <f>IF('Final Calculation Sheet'!$AE$40="","",'Final Calculation Sheet'!$AE$40)</f>
        <v/>
      </c>
      <c r="AF53" s="356">
        <f>IF('Final Calculation Sheet'!$AF$40="","",'Final Calculation Sheet'!$AF$40)</f>
        <v/>
      </c>
      <c r="AG53" s="358">
        <f>IF('Final Calculation Sheet'!$AG$40="","",'Final Calculation Sheet'!$AG$40)</f>
        <v/>
      </c>
    </row>
    <row r="54" ht="20" customHeight="1">
      <c r="A54" s="241" t="inlineStr">
        <is>
          <t>∑  S M ENTERPRISES — TOTALS</t>
        </is>
      </c>
      <c r="B54" s="391" t="inlineStr">
        <is>
          <t>–</t>
        </is>
      </c>
      <c r="C54" s="391" t="inlineStr">
        <is>
          <t>–</t>
        </is>
      </c>
      <c r="D54" s="244">
        <f>SUM(D52:D53)</f>
        <v/>
      </c>
      <c r="E54" s="391" t="inlineStr">
        <is>
          <t>–</t>
        </is>
      </c>
      <c r="F54" s="391" t="inlineStr">
        <is>
          <t>–</t>
        </is>
      </c>
      <c r="G54" s="245">
        <f>SUM(G52:G53)</f>
        <v/>
      </c>
      <c r="H54" s="245">
        <f>SUM(H52:H53)</f>
        <v/>
      </c>
      <c r="I54" s="245">
        <f>SUM(I52:I53)</f>
        <v/>
      </c>
      <c r="J54" s="245">
        <f>SUM(J52:J53)</f>
        <v/>
      </c>
      <c r="K54" s="246">
        <f>SUM(K52:K53)</f>
        <v/>
      </c>
      <c r="L54" s="246">
        <f>SUM(L52:L53)</f>
        <v/>
      </c>
      <c r="M54" s="246">
        <f>SUM(M52:M53)</f>
        <v/>
      </c>
      <c r="N54" s="246">
        <f>SUM(N52:N53)</f>
        <v/>
      </c>
      <c r="O54" s="245">
        <f>SUM(O52:O53)</f>
        <v/>
      </c>
      <c r="P54" s="391" t="inlineStr">
        <is>
          <t>–</t>
        </is>
      </c>
      <c r="Q54" s="245">
        <f>SUM(Q52:Q53)</f>
        <v/>
      </c>
      <c r="R54" s="245">
        <f>SUM(R52:R53)</f>
        <v/>
      </c>
      <c r="S54" s="245">
        <f>SUM(S52:S53)</f>
        <v/>
      </c>
      <c r="T54" s="245">
        <f>SUM(T52:T53)</f>
        <v/>
      </c>
      <c r="U54" s="391" t="inlineStr">
        <is>
          <t>–</t>
        </is>
      </c>
      <c r="V54" s="245">
        <f>SUM(V52:V53)</f>
        <v/>
      </c>
      <c r="W54" s="245">
        <f>SUM(W52:W53)</f>
        <v/>
      </c>
      <c r="X54" s="391" t="inlineStr">
        <is>
          <t>–</t>
        </is>
      </c>
      <c r="Y54" s="245">
        <f>SUM(Y52:Y53)</f>
        <v/>
      </c>
      <c r="Z54" s="245">
        <f>SUM(Z52:Z53)</f>
        <v/>
      </c>
      <c r="AA54" s="391" t="inlineStr">
        <is>
          <t>–</t>
        </is>
      </c>
      <c r="AB54" s="245">
        <f>SUM(AB52:AB53)</f>
        <v/>
      </c>
      <c r="AC54" s="245">
        <f>SUM(AC52:AC53)</f>
        <v/>
      </c>
      <c r="AD54" s="391" t="inlineStr">
        <is>
          <t>–</t>
        </is>
      </c>
      <c r="AE54" s="391" t="inlineStr">
        <is>
          <t>–</t>
        </is>
      </c>
      <c r="AF54" s="391" t="inlineStr">
        <is>
          <t>–</t>
        </is>
      </c>
      <c r="AG54" s="391" t="inlineStr">
        <is>
          <t>–</t>
        </is>
      </c>
    </row>
    <row r="55" ht="7" customHeight="1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</row>
    <row r="56" ht="24" customHeight="1">
      <c r="A5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260">
        <f>IF('Final Calculation Sheet'!$F$31="","",'Final Calculation Sheet'!$F$31)</f>
        <v/>
      </c>
      <c r="B57" s="259">
        <f>IF('Final Calculation Sheet'!$B$31="","",'Final Calculation Sheet'!$B$31)</f>
        <v/>
      </c>
      <c r="C57" s="260">
        <f>IF('Final Calculation Sheet'!$D$31="","",'Final Calculation Sheet'!$D$31)</f>
        <v/>
      </c>
      <c r="D57" s="261">
        <f>IF('Final Calculation Sheet'!$A$31="","",'Final Calculation Sheet'!$A$31)</f>
        <v/>
      </c>
      <c r="E57" s="262">
        <f>IF('Final Calculation Sheet'!$E$31="","",'Final Calculation Sheet'!$E$31)</f>
        <v/>
      </c>
      <c r="F57" s="260">
        <f>IF('Final Calculation Sheet'!$C$31="","",'Final Calculation Sheet'!$C$31)</f>
        <v/>
      </c>
      <c r="G57" s="260">
        <f>IF('Final Calculation Sheet'!$H$31="","",'Final Calculation Sheet'!$H$31)</f>
        <v/>
      </c>
      <c r="H57" s="260">
        <f>IF('Final Calculation Sheet'!$I$31="","",'Final Calculation Sheet'!$I$31)</f>
        <v/>
      </c>
      <c r="I57" s="260">
        <f>IF('Final Calculation Sheet'!$J$31="","",'Final Calculation Sheet'!$J$31)</f>
        <v/>
      </c>
      <c r="J57" s="260">
        <f>IF('Final Calculation Sheet'!$K$31="","",'Final Calculation Sheet'!$K$31)</f>
        <v/>
      </c>
      <c r="K57" s="263">
        <f>IF('Final Calculation Sheet'!$L$31="","",'Final Calculation Sheet'!$L$31)</f>
        <v/>
      </c>
      <c r="L57" s="263">
        <f>IF('Final Calculation Sheet'!$M$31="","",'Final Calculation Sheet'!$M$31)</f>
        <v/>
      </c>
      <c r="M57" s="263">
        <f>IF('Final Calculation Sheet'!$N$31="","",'Final Calculation Sheet'!$N$31)</f>
        <v/>
      </c>
      <c r="N57" s="263">
        <f>IF('Final Calculation Sheet'!$O$31="","",'Final Calculation Sheet'!$O$31)</f>
        <v/>
      </c>
      <c r="O57" s="260">
        <f>IF('Final Calculation Sheet'!$P$31="","",'Final Calculation Sheet'!$P$31)</f>
        <v/>
      </c>
      <c r="P57" s="264">
        <f>IF('Final Calculation Sheet'!$Q$31="","",'Final Calculation Sheet'!$Q$31)</f>
        <v/>
      </c>
      <c r="Q57" s="260">
        <f>IF('Final Calculation Sheet'!$R$31="","",'Final Calculation Sheet'!$R$31)</f>
        <v/>
      </c>
      <c r="R57" s="260">
        <f>IF('Final Calculation Sheet'!$S$31="","",'Final Calculation Sheet'!$S$31)</f>
        <v/>
      </c>
      <c r="S57" s="260">
        <f>IF('Final Calculation Sheet'!$T$31="","",'Final Calculation Sheet'!$T$31)</f>
        <v/>
      </c>
      <c r="T57" s="260">
        <f>IF('Final Calculation Sheet'!$U$31="","",'Final Calculation Sheet'!$U$31)</f>
        <v/>
      </c>
      <c r="U57" s="262">
        <f>IF('Final Calculation Sheet'!$V$31="","",'Final Calculation Sheet'!$V$31)</f>
        <v/>
      </c>
      <c r="V57" s="260">
        <f>IF('Final Calculation Sheet'!$W$31="","",'Final Calculation Sheet'!$W$31)</f>
        <v/>
      </c>
      <c r="W57" s="260">
        <f>IF('Final Calculation Sheet'!$X$31="","",'Final Calculation Sheet'!$X$31)</f>
        <v/>
      </c>
      <c r="X57" s="262">
        <f>IF('Final Calculation Sheet'!$Y$31="","",'Final Calculation Sheet'!$Y$31)</f>
        <v/>
      </c>
      <c r="Y57" s="260">
        <f>IF('Final Calculation Sheet'!$Z$31="","",'Final Calculation Sheet'!$Z$31)</f>
        <v/>
      </c>
      <c r="Z57" s="260">
        <f>IF('Final Calculation Sheet'!$AA$31="","",'Final Calculation Sheet'!$AA$31)</f>
        <v/>
      </c>
      <c r="AA57" s="262">
        <f>IF('Final Calculation Sheet'!$AB$31="","",'Final Calculation Sheet'!$AB$31)</f>
        <v/>
      </c>
      <c r="AB57" s="260">
        <f>IF('Final Calculation Sheet'!$AC$31="","",'Final Calculation Sheet'!$AC$31)</f>
        <v/>
      </c>
      <c r="AC57" s="260">
        <f>IF('Final Calculation Sheet'!$AD$31="","",'Final Calculation Sheet'!$AD$31)</f>
        <v/>
      </c>
      <c r="AD57" s="262">
        <f>IF('Final Calculation Sheet'!$AD$31="","",IF('Final Calculation Sheet'!$AD$31&lt;=0,"SETTLED","OUTSTANDING"))</f>
        <v/>
      </c>
      <c r="AE57" s="262">
        <f>IF('Final Calculation Sheet'!$AE$31="","",'Final Calculation Sheet'!$AE$31)</f>
        <v/>
      </c>
      <c r="AF57" s="260">
        <f>IF('Final Calculation Sheet'!$AF$31="","",'Final Calculation Sheet'!$AF$31)</f>
        <v/>
      </c>
      <c r="AG57" s="262">
        <f>IF('Final Calculation Sheet'!$AG$31="","",'Final Calculation Sheet'!$AG$31)</f>
        <v/>
      </c>
    </row>
    <row r="58" ht="20" customHeight="1">
      <c r="A58" s="253" t="inlineStr">
        <is>
          <t>∑  SAHARA ENTERPRISES — TOTALS</t>
        </is>
      </c>
      <c r="B58" s="392" t="inlineStr">
        <is>
          <t>–</t>
        </is>
      </c>
      <c r="C58" s="392" t="inlineStr">
        <is>
          <t>–</t>
        </is>
      </c>
      <c r="D58" s="256">
        <f>SUM(D57:D57)</f>
        <v/>
      </c>
      <c r="E58" s="392" t="inlineStr">
        <is>
          <t>–</t>
        </is>
      </c>
      <c r="F58" s="392" t="inlineStr">
        <is>
          <t>–</t>
        </is>
      </c>
      <c r="G58" s="257">
        <f>SUM(G57:G57)</f>
        <v/>
      </c>
      <c r="H58" s="257">
        <f>SUM(H57:H57)</f>
        <v/>
      </c>
      <c r="I58" s="257">
        <f>SUM(I57:I57)</f>
        <v/>
      </c>
      <c r="J58" s="257">
        <f>SUM(J57:J57)</f>
        <v/>
      </c>
      <c r="K58" s="258">
        <f>SUM(K57:K57)</f>
        <v/>
      </c>
      <c r="L58" s="258">
        <f>SUM(L57:L57)</f>
        <v/>
      </c>
      <c r="M58" s="258">
        <f>SUM(M57:M57)</f>
        <v/>
      </c>
      <c r="N58" s="258">
        <f>SUM(N57:N57)</f>
        <v/>
      </c>
      <c r="O58" s="257">
        <f>SUM(O57:O57)</f>
        <v/>
      </c>
      <c r="P58" s="392" t="inlineStr">
        <is>
          <t>–</t>
        </is>
      </c>
      <c r="Q58" s="257">
        <f>SUM(Q57:Q57)</f>
        <v/>
      </c>
      <c r="R58" s="257">
        <f>SUM(R57:R57)</f>
        <v/>
      </c>
      <c r="S58" s="257">
        <f>SUM(S57:S57)</f>
        <v/>
      </c>
      <c r="T58" s="257">
        <f>SUM(T57:T57)</f>
        <v/>
      </c>
      <c r="U58" s="392" t="inlineStr">
        <is>
          <t>–</t>
        </is>
      </c>
      <c r="V58" s="257">
        <f>SUM(V57:V57)</f>
        <v/>
      </c>
      <c r="W58" s="257">
        <f>SUM(W57:W57)</f>
        <v/>
      </c>
      <c r="X58" s="392" t="inlineStr">
        <is>
          <t>–</t>
        </is>
      </c>
      <c r="Y58" s="257">
        <f>SUM(Y57:Y57)</f>
        <v/>
      </c>
      <c r="Z58" s="257">
        <f>SUM(Z57:Z57)</f>
        <v/>
      </c>
      <c r="AA58" s="392" t="inlineStr">
        <is>
          <t>–</t>
        </is>
      </c>
      <c r="AB58" s="257">
        <f>SUM(AB57:AB57)</f>
        <v/>
      </c>
      <c r="AC58" s="257">
        <f>SUM(AC57:AC57)</f>
        <v/>
      </c>
      <c r="AD58" s="392" t="inlineStr">
        <is>
          <t>–</t>
        </is>
      </c>
      <c r="AE58" s="392" t="inlineStr">
        <is>
          <t>–</t>
        </is>
      </c>
      <c r="AF58" s="392" t="inlineStr">
        <is>
          <t>–</t>
        </is>
      </c>
      <c r="AG58" s="392" t="inlineStr">
        <is>
          <t>–</t>
        </is>
      </c>
    </row>
    <row r="59" ht="7" customHeight="1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</row>
    <row r="60" ht="24" customHeight="1">
      <c r="A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278">
        <f>IF('Final Calculation Sheet'!$F$9="","",'Final Calculation Sheet'!$F$9)</f>
        <v/>
      </c>
      <c r="B61" s="277">
        <f>IF('Final Calculation Sheet'!$B$9="","",'Final Calculation Sheet'!$B$9)</f>
        <v/>
      </c>
      <c r="C61" s="278">
        <f>IF('Final Calculation Sheet'!$D$9="","",'Final Calculation Sheet'!$D$9)</f>
        <v/>
      </c>
      <c r="D61" s="279">
        <f>IF('Final Calculation Sheet'!$A$9="","",'Final Calculation Sheet'!$A$9)</f>
        <v/>
      </c>
      <c r="E61" s="280">
        <f>IF('Final Calculation Sheet'!$E$9="","",'Final Calculation Sheet'!$E$9)</f>
        <v/>
      </c>
      <c r="F61" s="278">
        <f>IF('Final Calculation Sheet'!$C$9="","",'Final Calculation Sheet'!$C$9)</f>
        <v/>
      </c>
      <c r="G61" s="278">
        <f>IF('Final Calculation Sheet'!$H$9="","",'Final Calculation Sheet'!$H$9)</f>
        <v/>
      </c>
      <c r="H61" s="278">
        <f>IF('Final Calculation Sheet'!$I$9="","",'Final Calculation Sheet'!$I$9)</f>
        <v/>
      </c>
      <c r="I61" s="278">
        <f>IF('Final Calculation Sheet'!$J$9="","",'Final Calculation Sheet'!$J$9)</f>
        <v/>
      </c>
      <c r="J61" s="278">
        <f>IF('Final Calculation Sheet'!$K$9="","",'Final Calculation Sheet'!$K$9)</f>
        <v/>
      </c>
      <c r="K61" s="281">
        <f>IF('Final Calculation Sheet'!$L$9="","",'Final Calculation Sheet'!$L$9)</f>
        <v/>
      </c>
      <c r="L61" s="281">
        <f>IF('Final Calculation Sheet'!$M$9="","",'Final Calculation Sheet'!$M$9)</f>
        <v/>
      </c>
      <c r="M61" s="281">
        <f>IF('Final Calculation Sheet'!$N$9="","",'Final Calculation Sheet'!$N$9)</f>
        <v/>
      </c>
      <c r="N61" s="281">
        <f>IF('Final Calculation Sheet'!$O$9="","",'Final Calculation Sheet'!$O$9)</f>
        <v/>
      </c>
      <c r="O61" s="278">
        <f>IF('Final Calculation Sheet'!$P$9="","",'Final Calculation Sheet'!$P$9)</f>
        <v/>
      </c>
      <c r="P61" s="282">
        <f>IF('Final Calculation Sheet'!$Q$9="","",'Final Calculation Sheet'!$Q$9)</f>
        <v/>
      </c>
      <c r="Q61" s="278">
        <f>IF('Final Calculation Sheet'!$R$9="","",'Final Calculation Sheet'!$R$9)</f>
        <v/>
      </c>
      <c r="R61" s="278">
        <f>IF('Final Calculation Sheet'!$S$9="","",'Final Calculation Sheet'!$S$9)</f>
        <v/>
      </c>
      <c r="S61" s="278">
        <f>IF('Final Calculation Sheet'!$T$9="","",'Final Calculation Sheet'!$T$9)</f>
        <v/>
      </c>
      <c r="T61" s="278">
        <f>IF('Final Calculation Sheet'!$U$9="","",'Final Calculation Sheet'!$U$9)</f>
        <v/>
      </c>
      <c r="U61" s="280">
        <f>IF('Final Calculation Sheet'!$V$9="","",'Final Calculation Sheet'!$V$9)</f>
        <v/>
      </c>
      <c r="V61" s="278">
        <f>IF('Final Calculation Sheet'!$W$9="","",'Final Calculation Sheet'!$W$9)</f>
        <v/>
      </c>
      <c r="W61" s="278">
        <f>IF('Final Calculation Sheet'!$X$9="","",'Final Calculation Sheet'!$X$9)</f>
        <v/>
      </c>
      <c r="X61" s="280">
        <f>IF('Final Calculation Sheet'!$Y$9="","",'Final Calculation Sheet'!$Y$9)</f>
        <v/>
      </c>
      <c r="Y61" s="278">
        <f>IF('Final Calculation Sheet'!$Z$9="","",'Final Calculation Sheet'!$Z$9)</f>
        <v/>
      </c>
      <c r="Z61" s="278">
        <f>IF('Final Calculation Sheet'!$AA$9="","",'Final Calculation Sheet'!$AA$9)</f>
        <v/>
      </c>
      <c r="AA61" s="280">
        <f>IF('Final Calculation Sheet'!$AB$9="","",'Final Calculation Sheet'!$AB$9)</f>
        <v/>
      </c>
      <c r="AB61" s="278">
        <f>IF('Final Calculation Sheet'!$AC$9="","",'Final Calculation Sheet'!$AC$9)</f>
        <v/>
      </c>
      <c r="AC61" s="278">
        <f>IF('Final Calculation Sheet'!$AD$9="","",'Final Calculation Sheet'!$AD$9)</f>
        <v/>
      </c>
      <c r="AD61" s="280">
        <f>IF('Final Calculation Sheet'!$AD$9="","",IF('Final Calculation Sheet'!$AD$9&lt;=0,"SETTLED","OUTSTANDING"))</f>
        <v/>
      </c>
      <c r="AE61" s="280">
        <f>IF('Final Calculation Sheet'!$AE$9="","",'Final Calculation Sheet'!$AE$9)</f>
        <v/>
      </c>
      <c r="AF61" s="278">
        <f>IF('Final Calculation Sheet'!$AF$9="","",'Final Calculation Sheet'!$AF$9)</f>
        <v/>
      </c>
      <c r="AG61" s="280">
        <f>IF('Final Calculation Sheet'!$AG$9="","",'Final Calculation Sheet'!$AG$9)</f>
        <v/>
      </c>
    </row>
    <row r="62" outlineLevel="1" ht="15" customHeight="1">
      <c r="A62" s="362">
        <f>IF('Final Calculation Sheet'!$F$14="","",'Final Calculation Sheet'!$F$14)</f>
        <v/>
      </c>
      <c r="B62" s="361">
        <f>IF('Final Calculation Sheet'!$B$14="","",'Final Calculation Sheet'!$B$14)</f>
        <v/>
      </c>
      <c r="C62" s="362">
        <f>IF('Final Calculation Sheet'!$D$14="","",'Final Calculation Sheet'!$D$14)</f>
        <v/>
      </c>
      <c r="D62" s="363">
        <f>IF('Final Calculation Sheet'!$A$14="","",'Final Calculation Sheet'!$A$14)</f>
        <v/>
      </c>
      <c r="E62" s="364">
        <f>IF('Final Calculation Sheet'!$E$14="","",'Final Calculation Sheet'!$E$14)</f>
        <v/>
      </c>
      <c r="F62" s="362">
        <f>IF('Final Calculation Sheet'!$C$14="","",'Final Calculation Sheet'!$C$14)</f>
        <v/>
      </c>
      <c r="G62" s="362">
        <f>IF('Final Calculation Sheet'!$H$14="","",'Final Calculation Sheet'!$H$14)</f>
        <v/>
      </c>
      <c r="H62" s="362">
        <f>IF('Final Calculation Sheet'!$I$14="","",'Final Calculation Sheet'!$I$14)</f>
        <v/>
      </c>
      <c r="I62" s="362">
        <f>IF('Final Calculation Sheet'!$J$14="","",'Final Calculation Sheet'!$J$14)</f>
        <v/>
      </c>
      <c r="J62" s="362">
        <f>IF('Final Calculation Sheet'!$K$14="","",'Final Calculation Sheet'!$K$14)</f>
        <v/>
      </c>
      <c r="K62" s="365">
        <f>IF('Final Calculation Sheet'!$L$14="","",'Final Calculation Sheet'!$L$14)</f>
        <v/>
      </c>
      <c r="L62" s="365">
        <f>IF('Final Calculation Sheet'!$M$14="","",'Final Calculation Sheet'!$M$14)</f>
        <v/>
      </c>
      <c r="M62" s="365">
        <f>IF('Final Calculation Sheet'!$N$14="","",'Final Calculation Sheet'!$N$14)</f>
        <v/>
      </c>
      <c r="N62" s="365">
        <f>IF('Final Calculation Sheet'!$O$14="","",'Final Calculation Sheet'!$O$14)</f>
        <v/>
      </c>
      <c r="O62" s="362">
        <f>IF('Final Calculation Sheet'!$P$14="","",'Final Calculation Sheet'!$P$14)</f>
        <v/>
      </c>
      <c r="P62" s="366">
        <f>IF('Final Calculation Sheet'!$Q$14="","",'Final Calculation Sheet'!$Q$14)</f>
        <v/>
      </c>
      <c r="Q62" s="362">
        <f>IF('Final Calculation Sheet'!$R$14="","",'Final Calculation Sheet'!$R$14)</f>
        <v/>
      </c>
      <c r="R62" s="362">
        <f>IF('Final Calculation Sheet'!$S$14="","",'Final Calculation Sheet'!$S$14)</f>
        <v/>
      </c>
      <c r="S62" s="362">
        <f>IF('Final Calculation Sheet'!$T$14="","",'Final Calculation Sheet'!$T$14)</f>
        <v/>
      </c>
      <c r="T62" s="362">
        <f>IF('Final Calculation Sheet'!$U$14="","",'Final Calculation Sheet'!$U$14)</f>
        <v/>
      </c>
      <c r="U62" s="364">
        <f>IF('Final Calculation Sheet'!$V$14="","",'Final Calculation Sheet'!$V$14)</f>
        <v/>
      </c>
      <c r="V62" s="362">
        <f>IF('Final Calculation Sheet'!$W$14="","",'Final Calculation Sheet'!$W$14)</f>
        <v/>
      </c>
      <c r="W62" s="362">
        <f>IF('Final Calculation Sheet'!$X$14="","",'Final Calculation Sheet'!$X$14)</f>
        <v/>
      </c>
      <c r="X62" s="364">
        <f>IF('Final Calculation Sheet'!$Y$14="","",'Final Calculation Sheet'!$Y$14)</f>
        <v/>
      </c>
      <c r="Y62" s="362">
        <f>IF('Final Calculation Sheet'!$Z$14="","",'Final Calculation Sheet'!$Z$14)</f>
        <v/>
      </c>
      <c r="Z62" s="362">
        <f>IF('Final Calculation Sheet'!$AA$14="","",'Final Calculation Sheet'!$AA$14)</f>
        <v/>
      </c>
      <c r="AA62" s="364">
        <f>IF('Final Calculation Sheet'!$AB$14="","",'Final Calculation Sheet'!$AB$14)</f>
        <v/>
      </c>
      <c r="AB62" s="362">
        <f>IF('Final Calculation Sheet'!$AC$14="","",'Final Calculation Sheet'!$AC$14)</f>
        <v/>
      </c>
      <c r="AC62" s="362">
        <f>IF('Final Calculation Sheet'!$AD$14="","",'Final Calculation Sheet'!$AD$14)</f>
        <v/>
      </c>
      <c r="AD62" s="364">
        <f>IF('Final Calculation Sheet'!$AD$14="","",IF('Final Calculation Sheet'!$AD$14&lt;=0,"SETTLED","OUTSTANDING"))</f>
        <v/>
      </c>
      <c r="AE62" s="364">
        <f>IF('Final Calculation Sheet'!$AE$14="","",'Final Calculation Sheet'!$AE$14)</f>
        <v/>
      </c>
      <c r="AF62" s="362">
        <f>IF('Final Calculation Sheet'!$AF$14="","",'Final Calculation Sheet'!$AF$14)</f>
        <v/>
      </c>
      <c r="AG62" s="364">
        <f>IF('Final Calculation Sheet'!$AG$14="","",'Final Calculation Sheet'!$AG$14)</f>
        <v/>
      </c>
    </row>
    <row r="63" ht="20" customHeight="1">
      <c r="A63" s="271" t="inlineStr">
        <is>
          <t>∑  SHAR JAHAN TRADERS — TOTALS</t>
        </is>
      </c>
      <c r="B63" s="393" t="inlineStr">
        <is>
          <t>–</t>
        </is>
      </c>
      <c r="C63" s="393" t="inlineStr">
        <is>
          <t>–</t>
        </is>
      </c>
      <c r="D63" s="274">
        <f>SUM(D61:D62)</f>
        <v/>
      </c>
      <c r="E63" s="393" t="inlineStr">
        <is>
          <t>–</t>
        </is>
      </c>
      <c r="F63" s="393" t="inlineStr">
        <is>
          <t>–</t>
        </is>
      </c>
      <c r="G63" s="275">
        <f>SUM(G61:G62)</f>
        <v/>
      </c>
      <c r="H63" s="275">
        <f>SUM(H61:H62)</f>
        <v/>
      </c>
      <c r="I63" s="275">
        <f>SUM(I61:I62)</f>
        <v/>
      </c>
      <c r="J63" s="275">
        <f>SUM(J61:J62)</f>
        <v/>
      </c>
      <c r="K63" s="276">
        <f>SUM(K61:K62)</f>
        <v/>
      </c>
      <c r="L63" s="276">
        <f>SUM(L61:L62)</f>
        <v/>
      </c>
      <c r="M63" s="276">
        <f>SUM(M61:M62)</f>
        <v/>
      </c>
      <c r="N63" s="276">
        <f>SUM(N61:N62)</f>
        <v/>
      </c>
      <c r="O63" s="275">
        <f>SUM(O61:O62)</f>
        <v/>
      </c>
      <c r="P63" s="393" t="inlineStr">
        <is>
          <t>–</t>
        </is>
      </c>
      <c r="Q63" s="275">
        <f>SUM(Q61:Q62)</f>
        <v/>
      </c>
      <c r="R63" s="275">
        <f>SUM(R61:R62)</f>
        <v/>
      </c>
      <c r="S63" s="275">
        <f>SUM(S61:S62)</f>
        <v/>
      </c>
      <c r="T63" s="275">
        <f>SUM(T61:T62)</f>
        <v/>
      </c>
      <c r="U63" s="393" t="inlineStr">
        <is>
          <t>–</t>
        </is>
      </c>
      <c r="V63" s="275">
        <f>SUM(V61:V62)</f>
        <v/>
      </c>
      <c r="W63" s="275">
        <f>SUM(W61:W62)</f>
        <v/>
      </c>
      <c r="X63" s="393" t="inlineStr">
        <is>
          <t>–</t>
        </is>
      </c>
      <c r="Y63" s="275">
        <f>SUM(Y61:Y62)</f>
        <v/>
      </c>
      <c r="Z63" s="275">
        <f>SUM(Z61:Z62)</f>
        <v/>
      </c>
      <c r="AA63" s="393" t="inlineStr">
        <is>
          <t>–</t>
        </is>
      </c>
      <c r="AB63" s="275">
        <f>SUM(AB61:AB62)</f>
        <v/>
      </c>
      <c r="AC63" s="275">
        <f>SUM(AC61:AC62)</f>
        <v/>
      </c>
      <c r="AD63" s="393" t="inlineStr">
        <is>
          <t>–</t>
        </is>
      </c>
      <c r="AE63" s="393" t="inlineStr">
        <is>
          <t>–</t>
        </is>
      </c>
      <c r="AF63" s="393" t="inlineStr">
        <is>
          <t>–</t>
        </is>
      </c>
      <c r="AG63" s="393" t="inlineStr">
        <is>
          <t>–</t>
        </is>
      </c>
    </row>
    <row r="64" ht="7" customHeight="1">
      <c r="A64" s="82" t="n"/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</row>
    <row r="65" ht="24" customHeight="1">
      <c r="A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290">
        <f>IF('Final Calculation Sheet'!$F$13="","",'Final Calculation Sheet'!$F$13)</f>
        <v/>
      </c>
      <c r="B66" s="289">
        <f>IF('Final Calculation Sheet'!$B$13="","",'Final Calculation Sheet'!$B$13)</f>
        <v/>
      </c>
      <c r="C66" s="290">
        <f>IF('Final Calculation Sheet'!$D$13="","",'Final Calculation Sheet'!$D$13)</f>
        <v/>
      </c>
      <c r="D66" s="291">
        <f>IF('Final Calculation Sheet'!$A$13="","",'Final Calculation Sheet'!$A$13)</f>
        <v/>
      </c>
      <c r="E66" s="292">
        <f>IF('Final Calculation Sheet'!$E$13="","",'Final Calculation Sheet'!$E$13)</f>
        <v/>
      </c>
      <c r="F66" s="290">
        <f>IF('Final Calculation Sheet'!$C$13="","",'Final Calculation Sheet'!$C$13)</f>
        <v/>
      </c>
      <c r="G66" s="290">
        <f>IF('Final Calculation Sheet'!$H$13="","",'Final Calculation Sheet'!$H$13)</f>
        <v/>
      </c>
      <c r="H66" s="290">
        <f>IF('Final Calculation Sheet'!$I$13="","",'Final Calculation Sheet'!$I$13)</f>
        <v/>
      </c>
      <c r="I66" s="290">
        <f>IF('Final Calculation Sheet'!$J$13="","",'Final Calculation Sheet'!$J$13)</f>
        <v/>
      </c>
      <c r="J66" s="290">
        <f>IF('Final Calculation Sheet'!$K$13="","",'Final Calculation Sheet'!$K$13)</f>
        <v/>
      </c>
      <c r="K66" s="293">
        <f>IF('Final Calculation Sheet'!$L$13="","",'Final Calculation Sheet'!$L$13)</f>
        <v/>
      </c>
      <c r="L66" s="293">
        <f>IF('Final Calculation Sheet'!$M$13="","",'Final Calculation Sheet'!$M$13)</f>
        <v/>
      </c>
      <c r="M66" s="293">
        <f>IF('Final Calculation Sheet'!$N$13="","",'Final Calculation Sheet'!$N$13)</f>
        <v/>
      </c>
      <c r="N66" s="293">
        <f>IF('Final Calculation Sheet'!$O$13="","",'Final Calculation Sheet'!$O$13)</f>
        <v/>
      </c>
      <c r="O66" s="290">
        <f>IF('Final Calculation Sheet'!$P$13="","",'Final Calculation Sheet'!$P$13)</f>
        <v/>
      </c>
      <c r="P66" s="294">
        <f>IF('Final Calculation Sheet'!$Q$13="","",'Final Calculation Sheet'!$Q$13)</f>
        <v/>
      </c>
      <c r="Q66" s="290">
        <f>IF('Final Calculation Sheet'!$R$13="","",'Final Calculation Sheet'!$R$13)</f>
        <v/>
      </c>
      <c r="R66" s="290">
        <f>IF('Final Calculation Sheet'!$S$13="","",'Final Calculation Sheet'!$S$13)</f>
        <v/>
      </c>
      <c r="S66" s="290">
        <f>IF('Final Calculation Sheet'!$T$13="","",'Final Calculation Sheet'!$T$13)</f>
        <v/>
      </c>
      <c r="T66" s="290">
        <f>IF('Final Calculation Sheet'!$U$13="","",'Final Calculation Sheet'!$U$13)</f>
        <v/>
      </c>
      <c r="U66" s="292">
        <f>IF('Final Calculation Sheet'!$V$13="","",'Final Calculation Sheet'!$V$13)</f>
        <v/>
      </c>
      <c r="V66" s="290">
        <f>IF('Final Calculation Sheet'!$W$13="","",'Final Calculation Sheet'!$W$13)</f>
        <v/>
      </c>
      <c r="W66" s="290">
        <f>IF('Final Calculation Sheet'!$X$13="","",'Final Calculation Sheet'!$X$13)</f>
        <v/>
      </c>
      <c r="X66" s="292">
        <f>IF('Final Calculation Sheet'!$Y$13="","",'Final Calculation Sheet'!$Y$13)</f>
        <v/>
      </c>
      <c r="Y66" s="290">
        <f>IF('Final Calculation Sheet'!$Z$13="","",'Final Calculation Sheet'!$Z$13)</f>
        <v/>
      </c>
      <c r="Z66" s="290">
        <f>IF('Final Calculation Sheet'!$AA$13="","",'Final Calculation Sheet'!$AA$13)</f>
        <v/>
      </c>
      <c r="AA66" s="292">
        <f>IF('Final Calculation Sheet'!$AB$13="","",'Final Calculation Sheet'!$AB$13)</f>
        <v/>
      </c>
      <c r="AB66" s="290">
        <f>IF('Final Calculation Sheet'!$AC$13="","",'Final Calculation Sheet'!$AC$13)</f>
        <v/>
      </c>
      <c r="AC66" s="290">
        <f>IF('Final Calculation Sheet'!$AD$13="","",'Final Calculation Sheet'!$AD$13)</f>
        <v/>
      </c>
      <c r="AD66" s="292">
        <f>IF('Final Calculation Sheet'!$AD$13="","",IF('Final Calculation Sheet'!$AD$13&lt;=0,"SETTLED","OUTSTANDING"))</f>
        <v/>
      </c>
      <c r="AE66" s="292">
        <f>IF('Final Calculation Sheet'!$AE$13="","",'Final Calculation Sheet'!$AE$13)</f>
        <v/>
      </c>
      <c r="AF66" s="290">
        <f>IF('Final Calculation Sheet'!$AF$13="","",'Final Calculation Sheet'!$AF$13)</f>
        <v/>
      </c>
      <c r="AG66" s="292">
        <f>IF('Final Calculation Sheet'!$AG$13="","",'Final Calculation Sheet'!$AG$13)</f>
        <v/>
      </c>
    </row>
    <row r="67" outlineLevel="1" ht="15" customHeight="1">
      <c r="A67" s="368">
        <f>IF('Final Calculation Sheet'!$F$16="","",'Final Calculation Sheet'!$F$16)</f>
        <v/>
      </c>
      <c r="B67" s="367">
        <f>IF('Final Calculation Sheet'!$B$16="","",'Final Calculation Sheet'!$B$16)</f>
        <v/>
      </c>
      <c r="C67" s="368">
        <f>IF('Final Calculation Sheet'!$D$16="","",'Final Calculation Sheet'!$D$16)</f>
        <v/>
      </c>
      <c r="D67" s="369">
        <f>IF('Final Calculation Sheet'!$A$16="","",'Final Calculation Sheet'!$A$16)</f>
        <v/>
      </c>
      <c r="E67" s="370">
        <f>IF('Final Calculation Sheet'!$E$16="","",'Final Calculation Sheet'!$E$16)</f>
        <v/>
      </c>
      <c r="F67" s="368">
        <f>IF('Final Calculation Sheet'!$C$16="","",'Final Calculation Sheet'!$C$16)</f>
        <v/>
      </c>
      <c r="G67" s="368">
        <f>IF('Final Calculation Sheet'!$H$16="","",'Final Calculation Sheet'!$H$16)</f>
        <v/>
      </c>
      <c r="H67" s="368">
        <f>IF('Final Calculation Sheet'!$I$16="","",'Final Calculation Sheet'!$I$16)</f>
        <v/>
      </c>
      <c r="I67" s="368">
        <f>IF('Final Calculation Sheet'!$J$16="","",'Final Calculation Sheet'!$J$16)</f>
        <v/>
      </c>
      <c r="J67" s="368">
        <f>IF('Final Calculation Sheet'!$K$16="","",'Final Calculation Sheet'!$K$16)</f>
        <v/>
      </c>
      <c r="K67" s="371">
        <f>IF('Final Calculation Sheet'!$L$16="","",'Final Calculation Sheet'!$L$16)</f>
        <v/>
      </c>
      <c r="L67" s="371">
        <f>IF('Final Calculation Sheet'!$M$16="","",'Final Calculation Sheet'!$M$16)</f>
        <v/>
      </c>
      <c r="M67" s="371">
        <f>IF('Final Calculation Sheet'!$N$16="","",'Final Calculation Sheet'!$N$16)</f>
        <v/>
      </c>
      <c r="N67" s="371">
        <f>IF('Final Calculation Sheet'!$O$16="","",'Final Calculation Sheet'!$O$16)</f>
        <v/>
      </c>
      <c r="O67" s="368">
        <f>IF('Final Calculation Sheet'!$P$16="","",'Final Calculation Sheet'!$P$16)</f>
        <v/>
      </c>
      <c r="P67" s="372">
        <f>IF('Final Calculation Sheet'!$Q$16="","",'Final Calculation Sheet'!$Q$16)</f>
        <v/>
      </c>
      <c r="Q67" s="368">
        <f>IF('Final Calculation Sheet'!$R$16="","",'Final Calculation Sheet'!$R$16)</f>
        <v/>
      </c>
      <c r="R67" s="368">
        <f>IF('Final Calculation Sheet'!$S$16="","",'Final Calculation Sheet'!$S$16)</f>
        <v/>
      </c>
      <c r="S67" s="368">
        <f>IF('Final Calculation Sheet'!$T$16="","",'Final Calculation Sheet'!$T$16)</f>
        <v/>
      </c>
      <c r="T67" s="368">
        <f>IF('Final Calculation Sheet'!$U$16="","",'Final Calculation Sheet'!$U$16)</f>
        <v/>
      </c>
      <c r="U67" s="370">
        <f>IF('Final Calculation Sheet'!$V$16="","",'Final Calculation Sheet'!$V$16)</f>
        <v/>
      </c>
      <c r="V67" s="368">
        <f>IF('Final Calculation Sheet'!$W$16="","",'Final Calculation Sheet'!$W$16)</f>
        <v/>
      </c>
      <c r="W67" s="368">
        <f>IF('Final Calculation Sheet'!$X$16="","",'Final Calculation Sheet'!$X$16)</f>
        <v/>
      </c>
      <c r="X67" s="370">
        <f>IF('Final Calculation Sheet'!$Y$16="","",'Final Calculation Sheet'!$Y$16)</f>
        <v/>
      </c>
      <c r="Y67" s="368">
        <f>IF('Final Calculation Sheet'!$Z$16="","",'Final Calculation Sheet'!$Z$16)</f>
        <v/>
      </c>
      <c r="Z67" s="368">
        <f>IF('Final Calculation Sheet'!$AA$16="","",'Final Calculation Sheet'!$AA$16)</f>
        <v/>
      </c>
      <c r="AA67" s="370">
        <f>IF('Final Calculation Sheet'!$AB$16="","",'Final Calculation Sheet'!$AB$16)</f>
        <v/>
      </c>
      <c r="AB67" s="368">
        <f>IF('Final Calculation Sheet'!$AC$16="","",'Final Calculation Sheet'!$AC$16)</f>
        <v/>
      </c>
      <c r="AC67" s="368">
        <f>IF('Final Calculation Sheet'!$AD$16="","",'Final Calculation Sheet'!$AD$16)</f>
        <v/>
      </c>
      <c r="AD67" s="370">
        <f>IF('Final Calculation Sheet'!$AD$16="","",IF('Final Calculation Sheet'!$AD$16&lt;=0,"SETTLED","OUTSTANDING"))</f>
        <v/>
      </c>
      <c r="AE67" s="370">
        <f>IF('Final Calculation Sheet'!$AE$16="","",'Final Calculation Sheet'!$AE$16)</f>
        <v/>
      </c>
      <c r="AF67" s="368">
        <f>IF('Final Calculation Sheet'!$AF$16="","",'Final Calculation Sheet'!$AF$16)</f>
        <v/>
      </c>
      <c r="AG67" s="370">
        <f>IF('Final Calculation Sheet'!$AG$16="","",'Final Calculation Sheet'!$AG$16)</f>
        <v/>
      </c>
    </row>
    <row r="68" outlineLevel="1" ht="15" customHeight="1">
      <c r="A68" s="290">
        <f>IF('Final Calculation Sheet'!$F$17="","",'Final Calculation Sheet'!$F$17)</f>
        <v/>
      </c>
      <c r="B68" s="289">
        <f>IF('Final Calculation Sheet'!$B$17="","",'Final Calculation Sheet'!$B$17)</f>
        <v/>
      </c>
      <c r="C68" s="290">
        <f>IF('Final Calculation Sheet'!$D$17="","",'Final Calculation Sheet'!$D$17)</f>
        <v/>
      </c>
      <c r="D68" s="291">
        <f>IF('Final Calculation Sheet'!$A$17="","",'Final Calculation Sheet'!$A$17)</f>
        <v/>
      </c>
      <c r="E68" s="292">
        <f>IF('Final Calculation Sheet'!$E$17="","",'Final Calculation Sheet'!$E$17)</f>
        <v/>
      </c>
      <c r="F68" s="290">
        <f>IF('Final Calculation Sheet'!$C$17="","",'Final Calculation Sheet'!$C$17)</f>
        <v/>
      </c>
      <c r="G68" s="290">
        <f>IF('Final Calculation Sheet'!$H$17="","",'Final Calculation Sheet'!$H$17)</f>
        <v/>
      </c>
      <c r="H68" s="290">
        <f>IF('Final Calculation Sheet'!$I$17="","",'Final Calculation Sheet'!$I$17)</f>
        <v/>
      </c>
      <c r="I68" s="290">
        <f>IF('Final Calculation Sheet'!$J$17="","",'Final Calculation Sheet'!$J$17)</f>
        <v/>
      </c>
      <c r="J68" s="290">
        <f>IF('Final Calculation Sheet'!$K$17="","",'Final Calculation Sheet'!$K$17)</f>
        <v/>
      </c>
      <c r="K68" s="293">
        <f>IF('Final Calculation Sheet'!$L$17="","",'Final Calculation Sheet'!$L$17)</f>
        <v/>
      </c>
      <c r="L68" s="293">
        <f>IF('Final Calculation Sheet'!$M$17="","",'Final Calculation Sheet'!$M$17)</f>
        <v/>
      </c>
      <c r="M68" s="293">
        <f>IF('Final Calculation Sheet'!$N$17="","",'Final Calculation Sheet'!$N$17)</f>
        <v/>
      </c>
      <c r="N68" s="293">
        <f>IF('Final Calculation Sheet'!$O$17="","",'Final Calculation Sheet'!$O$17)</f>
        <v/>
      </c>
      <c r="O68" s="290">
        <f>IF('Final Calculation Sheet'!$P$17="","",'Final Calculation Sheet'!$P$17)</f>
        <v/>
      </c>
      <c r="P68" s="294">
        <f>IF('Final Calculation Sheet'!$Q$17="","",'Final Calculation Sheet'!$Q$17)</f>
        <v/>
      </c>
      <c r="Q68" s="290">
        <f>IF('Final Calculation Sheet'!$R$17="","",'Final Calculation Sheet'!$R$17)</f>
        <v/>
      </c>
      <c r="R68" s="290">
        <f>IF('Final Calculation Sheet'!$S$17="","",'Final Calculation Sheet'!$S$17)</f>
        <v/>
      </c>
      <c r="S68" s="290">
        <f>IF('Final Calculation Sheet'!$T$17="","",'Final Calculation Sheet'!$T$17)</f>
        <v/>
      </c>
      <c r="T68" s="290">
        <f>IF('Final Calculation Sheet'!$U$17="","",'Final Calculation Sheet'!$U$17)</f>
        <v/>
      </c>
      <c r="U68" s="292">
        <f>IF('Final Calculation Sheet'!$V$17="","",'Final Calculation Sheet'!$V$17)</f>
        <v/>
      </c>
      <c r="V68" s="290">
        <f>IF('Final Calculation Sheet'!$W$17="","",'Final Calculation Sheet'!$W$17)</f>
        <v/>
      </c>
      <c r="W68" s="290">
        <f>IF('Final Calculation Sheet'!$X$17="","",'Final Calculation Sheet'!$X$17)</f>
        <v/>
      </c>
      <c r="X68" s="292">
        <f>IF('Final Calculation Sheet'!$Y$17="","",'Final Calculation Sheet'!$Y$17)</f>
        <v/>
      </c>
      <c r="Y68" s="290">
        <f>IF('Final Calculation Sheet'!$Z$17="","",'Final Calculation Sheet'!$Z$17)</f>
        <v/>
      </c>
      <c r="Z68" s="290">
        <f>IF('Final Calculation Sheet'!$AA$17="","",'Final Calculation Sheet'!$AA$17)</f>
        <v/>
      </c>
      <c r="AA68" s="292">
        <f>IF('Final Calculation Sheet'!$AB$17="","",'Final Calculation Sheet'!$AB$17)</f>
        <v/>
      </c>
      <c r="AB68" s="290">
        <f>IF('Final Calculation Sheet'!$AC$17="","",'Final Calculation Sheet'!$AC$17)</f>
        <v/>
      </c>
      <c r="AC68" s="290">
        <f>IF('Final Calculation Sheet'!$AD$17="","",'Final Calculation Sheet'!$AD$17)</f>
        <v/>
      </c>
      <c r="AD68" s="292">
        <f>IF('Final Calculation Sheet'!$AD$17="","",IF('Final Calculation Sheet'!$AD$17&lt;=0,"SETTLED","OUTSTANDING"))</f>
        <v/>
      </c>
      <c r="AE68" s="292">
        <f>IF('Final Calculation Sheet'!$AE$17="","",'Final Calculation Sheet'!$AE$17)</f>
        <v/>
      </c>
      <c r="AF68" s="290">
        <f>IF('Final Calculation Sheet'!$AF$17="","",'Final Calculation Sheet'!$AF$17)</f>
        <v/>
      </c>
      <c r="AG68" s="292">
        <f>IF('Final Calculation Sheet'!$AG$17="","",'Final Calculation Sheet'!$AG$17)</f>
        <v/>
      </c>
    </row>
    <row r="69" outlineLevel="1" ht="15" customHeight="1">
      <c r="A69" s="368">
        <f>IF('Final Calculation Sheet'!$F$23="","",'Final Calculation Sheet'!$F$23)</f>
        <v/>
      </c>
      <c r="B69" s="367">
        <f>IF('Final Calculation Sheet'!$B$23="","",'Final Calculation Sheet'!$B$23)</f>
        <v/>
      </c>
      <c r="C69" s="368">
        <f>IF('Final Calculation Sheet'!$D$23="","",'Final Calculation Sheet'!$D$23)</f>
        <v/>
      </c>
      <c r="D69" s="369">
        <f>IF('Final Calculation Sheet'!$A$23="","",'Final Calculation Sheet'!$A$23)</f>
        <v/>
      </c>
      <c r="E69" s="370">
        <f>IF('Final Calculation Sheet'!$E$23="","",'Final Calculation Sheet'!$E$23)</f>
        <v/>
      </c>
      <c r="F69" s="368">
        <f>IF('Final Calculation Sheet'!$C$23="","",'Final Calculation Sheet'!$C$23)</f>
        <v/>
      </c>
      <c r="G69" s="368">
        <f>IF('Final Calculation Sheet'!$H$23="","",'Final Calculation Sheet'!$H$23)</f>
        <v/>
      </c>
      <c r="H69" s="368">
        <f>IF('Final Calculation Sheet'!$I$23="","",'Final Calculation Sheet'!$I$23)</f>
        <v/>
      </c>
      <c r="I69" s="368">
        <f>IF('Final Calculation Sheet'!$J$23="","",'Final Calculation Sheet'!$J$23)</f>
        <v/>
      </c>
      <c r="J69" s="368">
        <f>IF('Final Calculation Sheet'!$K$23="","",'Final Calculation Sheet'!$K$23)</f>
        <v/>
      </c>
      <c r="K69" s="371">
        <f>IF('Final Calculation Sheet'!$L$23="","",'Final Calculation Sheet'!$L$23)</f>
        <v/>
      </c>
      <c r="L69" s="371">
        <f>IF('Final Calculation Sheet'!$M$23="","",'Final Calculation Sheet'!$M$23)</f>
        <v/>
      </c>
      <c r="M69" s="371">
        <f>IF('Final Calculation Sheet'!$N$23="","",'Final Calculation Sheet'!$N$23)</f>
        <v/>
      </c>
      <c r="N69" s="371">
        <f>IF('Final Calculation Sheet'!$O$23="","",'Final Calculation Sheet'!$O$23)</f>
        <v/>
      </c>
      <c r="O69" s="368">
        <f>IF('Final Calculation Sheet'!$P$23="","",'Final Calculation Sheet'!$P$23)</f>
        <v/>
      </c>
      <c r="P69" s="372">
        <f>IF('Final Calculation Sheet'!$Q$23="","",'Final Calculation Sheet'!$Q$23)</f>
        <v/>
      </c>
      <c r="Q69" s="368">
        <f>IF('Final Calculation Sheet'!$R$23="","",'Final Calculation Sheet'!$R$23)</f>
        <v/>
      </c>
      <c r="R69" s="368">
        <f>IF('Final Calculation Sheet'!$S$23="","",'Final Calculation Sheet'!$S$23)</f>
        <v/>
      </c>
      <c r="S69" s="368">
        <f>IF('Final Calculation Sheet'!$T$23="","",'Final Calculation Sheet'!$T$23)</f>
        <v/>
      </c>
      <c r="T69" s="368">
        <f>IF('Final Calculation Sheet'!$U$23="","",'Final Calculation Sheet'!$U$23)</f>
        <v/>
      </c>
      <c r="U69" s="370">
        <f>IF('Final Calculation Sheet'!$V$23="","",'Final Calculation Sheet'!$V$23)</f>
        <v/>
      </c>
      <c r="V69" s="368">
        <f>IF('Final Calculation Sheet'!$W$23="","",'Final Calculation Sheet'!$W$23)</f>
        <v/>
      </c>
      <c r="W69" s="368">
        <f>IF('Final Calculation Sheet'!$X$23="","",'Final Calculation Sheet'!$X$23)</f>
        <v/>
      </c>
      <c r="X69" s="370">
        <f>IF('Final Calculation Sheet'!$Y$23="","",'Final Calculation Sheet'!$Y$23)</f>
        <v/>
      </c>
      <c r="Y69" s="368">
        <f>IF('Final Calculation Sheet'!$Z$23="","",'Final Calculation Sheet'!$Z$23)</f>
        <v/>
      </c>
      <c r="Z69" s="368">
        <f>IF('Final Calculation Sheet'!$AA$23="","",'Final Calculation Sheet'!$AA$23)</f>
        <v/>
      </c>
      <c r="AA69" s="370">
        <f>IF('Final Calculation Sheet'!$AB$23="","",'Final Calculation Sheet'!$AB$23)</f>
        <v/>
      </c>
      <c r="AB69" s="368">
        <f>IF('Final Calculation Sheet'!$AC$23="","",'Final Calculation Sheet'!$AC$23)</f>
        <v/>
      </c>
      <c r="AC69" s="368">
        <f>IF('Final Calculation Sheet'!$AD$23="","",'Final Calculation Sheet'!$AD$23)</f>
        <v/>
      </c>
      <c r="AD69" s="370">
        <f>IF('Final Calculation Sheet'!$AD$23="","",IF('Final Calculation Sheet'!$AD$23&lt;=0,"SETTLED","OUTSTANDING"))</f>
        <v/>
      </c>
      <c r="AE69" s="370">
        <f>IF('Final Calculation Sheet'!$AE$23="","",'Final Calculation Sheet'!$AE$23)</f>
        <v/>
      </c>
      <c r="AF69" s="368">
        <f>IF('Final Calculation Sheet'!$AF$23="","",'Final Calculation Sheet'!$AF$23)</f>
        <v/>
      </c>
      <c r="AG69" s="370">
        <f>IF('Final Calculation Sheet'!$AG$23="","",'Final Calculation Sheet'!$AG$23)</f>
        <v/>
      </c>
    </row>
    <row r="70" outlineLevel="1" ht="15" customHeight="1">
      <c r="A70" s="290">
        <f>IF('Final Calculation Sheet'!$F$29="","",'Final Calculation Sheet'!$F$29)</f>
        <v/>
      </c>
      <c r="B70" s="289">
        <f>IF('Final Calculation Sheet'!$B$29="","",'Final Calculation Sheet'!$B$29)</f>
        <v/>
      </c>
      <c r="C70" s="290">
        <f>IF('Final Calculation Sheet'!$D$29="","",'Final Calculation Sheet'!$D$29)</f>
        <v/>
      </c>
      <c r="D70" s="291">
        <f>IF('Final Calculation Sheet'!$A$29="","",'Final Calculation Sheet'!$A$29)</f>
        <v/>
      </c>
      <c r="E70" s="292">
        <f>IF('Final Calculation Sheet'!$E$29="","",'Final Calculation Sheet'!$E$29)</f>
        <v/>
      </c>
      <c r="F70" s="290">
        <f>IF('Final Calculation Sheet'!$C$29="","",'Final Calculation Sheet'!$C$29)</f>
        <v/>
      </c>
      <c r="G70" s="290">
        <f>IF('Final Calculation Sheet'!$H$29="","",'Final Calculation Sheet'!$H$29)</f>
        <v/>
      </c>
      <c r="H70" s="290">
        <f>IF('Final Calculation Sheet'!$I$29="","",'Final Calculation Sheet'!$I$29)</f>
        <v/>
      </c>
      <c r="I70" s="290">
        <f>IF('Final Calculation Sheet'!$J$29="","",'Final Calculation Sheet'!$J$29)</f>
        <v/>
      </c>
      <c r="J70" s="290">
        <f>IF('Final Calculation Sheet'!$K$29="","",'Final Calculation Sheet'!$K$29)</f>
        <v/>
      </c>
      <c r="K70" s="293">
        <f>IF('Final Calculation Sheet'!$L$29="","",'Final Calculation Sheet'!$L$29)</f>
        <v/>
      </c>
      <c r="L70" s="293">
        <f>IF('Final Calculation Sheet'!$M$29="","",'Final Calculation Sheet'!$M$29)</f>
        <v/>
      </c>
      <c r="M70" s="293">
        <f>IF('Final Calculation Sheet'!$N$29="","",'Final Calculation Sheet'!$N$29)</f>
        <v/>
      </c>
      <c r="N70" s="293">
        <f>IF('Final Calculation Sheet'!$O$29="","",'Final Calculation Sheet'!$O$29)</f>
        <v/>
      </c>
      <c r="O70" s="290">
        <f>IF('Final Calculation Sheet'!$P$29="","",'Final Calculation Sheet'!$P$29)</f>
        <v/>
      </c>
      <c r="P70" s="294">
        <f>IF('Final Calculation Sheet'!$Q$29="","",'Final Calculation Sheet'!$Q$29)</f>
        <v/>
      </c>
      <c r="Q70" s="290">
        <f>IF('Final Calculation Sheet'!$R$29="","",'Final Calculation Sheet'!$R$29)</f>
        <v/>
      </c>
      <c r="R70" s="290">
        <f>IF('Final Calculation Sheet'!$S$29="","",'Final Calculation Sheet'!$S$29)</f>
        <v/>
      </c>
      <c r="S70" s="290">
        <f>IF('Final Calculation Sheet'!$T$29="","",'Final Calculation Sheet'!$T$29)</f>
        <v/>
      </c>
      <c r="T70" s="290">
        <f>IF('Final Calculation Sheet'!$U$29="","",'Final Calculation Sheet'!$U$29)</f>
        <v/>
      </c>
      <c r="U70" s="292">
        <f>IF('Final Calculation Sheet'!$V$29="","",'Final Calculation Sheet'!$V$29)</f>
        <v/>
      </c>
      <c r="V70" s="290">
        <f>IF('Final Calculation Sheet'!$W$29="","",'Final Calculation Sheet'!$W$29)</f>
        <v/>
      </c>
      <c r="W70" s="290">
        <f>IF('Final Calculation Sheet'!$X$29="","",'Final Calculation Sheet'!$X$29)</f>
        <v/>
      </c>
      <c r="X70" s="292">
        <f>IF('Final Calculation Sheet'!$Y$29="","",'Final Calculation Sheet'!$Y$29)</f>
        <v/>
      </c>
      <c r="Y70" s="290">
        <f>IF('Final Calculation Sheet'!$Z$29="","",'Final Calculation Sheet'!$Z$29)</f>
        <v/>
      </c>
      <c r="Z70" s="290">
        <f>IF('Final Calculation Sheet'!$AA$29="","",'Final Calculation Sheet'!$AA$29)</f>
        <v/>
      </c>
      <c r="AA70" s="292">
        <f>IF('Final Calculation Sheet'!$AB$29="","",'Final Calculation Sheet'!$AB$29)</f>
        <v/>
      </c>
      <c r="AB70" s="290">
        <f>IF('Final Calculation Sheet'!$AC$29="","",'Final Calculation Sheet'!$AC$29)</f>
        <v/>
      </c>
      <c r="AC70" s="290">
        <f>IF('Final Calculation Sheet'!$AD$29="","",'Final Calculation Sheet'!$AD$29)</f>
        <v/>
      </c>
      <c r="AD70" s="292">
        <f>IF('Final Calculation Sheet'!$AD$29="","",IF('Final Calculation Sheet'!$AD$29&lt;=0,"SETTLED","OUTSTANDING"))</f>
        <v/>
      </c>
      <c r="AE70" s="292">
        <f>IF('Final Calculation Sheet'!$AE$29="","",'Final Calculation Sheet'!$AE$29)</f>
        <v/>
      </c>
      <c r="AF70" s="290">
        <f>IF('Final Calculation Sheet'!$AF$29="","",'Final Calculation Sheet'!$AF$29)</f>
        <v/>
      </c>
      <c r="AG70" s="292">
        <f>IF('Final Calculation Sheet'!$AG$29="","",'Final Calculation Sheet'!$AG$29)</f>
        <v/>
      </c>
    </row>
    <row r="71" outlineLevel="1" ht="15" customHeight="1">
      <c r="A71" s="368">
        <f>IF('Final Calculation Sheet'!$F$34="","",'Final Calculation Sheet'!$F$34)</f>
        <v/>
      </c>
      <c r="B71" s="367">
        <f>IF('Final Calculation Sheet'!$B$34="","",'Final Calculation Sheet'!$B$34)</f>
        <v/>
      </c>
      <c r="C71" s="368">
        <f>IF('Final Calculation Sheet'!$D$34="","",'Final Calculation Sheet'!$D$34)</f>
        <v/>
      </c>
      <c r="D71" s="369">
        <f>IF('Final Calculation Sheet'!$A$34="","",'Final Calculation Sheet'!$A$34)</f>
        <v/>
      </c>
      <c r="E71" s="370">
        <f>IF('Final Calculation Sheet'!$E$34="","",'Final Calculation Sheet'!$E$34)</f>
        <v/>
      </c>
      <c r="F71" s="368">
        <f>IF('Final Calculation Sheet'!$C$34="","",'Final Calculation Sheet'!$C$34)</f>
        <v/>
      </c>
      <c r="G71" s="368">
        <f>IF('Final Calculation Sheet'!$H$34="","",'Final Calculation Sheet'!$H$34)</f>
        <v/>
      </c>
      <c r="H71" s="368">
        <f>IF('Final Calculation Sheet'!$I$34="","",'Final Calculation Sheet'!$I$34)</f>
        <v/>
      </c>
      <c r="I71" s="368">
        <f>IF('Final Calculation Sheet'!$J$34="","",'Final Calculation Sheet'!$J$34)</f>
        <v/>
      </c>
      <c r="J71" s="368">
        <f>IF('Final Calculation Sheet'!$K$34="","",'Final Calculation Sheet'!$K$34)</f>
        <v/>
      </c>
      <c r="K71" s="371">
        <f>IF('Final Calculation Sheet'!$L$34="","",'Final Calculation Sheet'!$L$34)</f>
        <v/>
      </c>
      <c r="L71" s="371">
        <f>IF('Final Calculation Sheet'!$M$34="","",'Final Calculation Sheet'!$M$34)</f>
        <v/>
      </c>
      <c r="M71" s="371">
        <f>IF('Final Calculation Sheet'!$N$34="","",'Final Calculation Sheet'!$N$34)</f>
        <v/>
      </c>
      <c r="N71" s="371">
        <f>IF('Final Calculation Sheet'!$O$34="","",'Final Calculation Sheet'!$O$34)</f>
        <v/>
      </c>
      <c r="O71" s="368">
        <f>IF('Final Calculation Sheet'!$P$34="","",'Final Calculation Sheet'!$P$34)</f>
        <v/>
      </c>
      <c r="P71" s="372">
        <f>IF('Final Calculation Sheet'!$Q$34="","",'Final Calculation Sheet'!$Q$34)</f>
        <v/>
      </c>
      <c r="Q71" s="368">
        <f>IF('Final Calculation Sheet'!$R$34="","",'Final Calculation Sheet'!$R$34)</f>
        <v/>
      </c>
      <c r="R71" s="368">
        <f>IF('Final Calculation Sheet'!$S$34="","",'Final Calculation Sheet'!$S$34)</f>
        <v/>
      </c>
      <c r="S71" s="368">
        <f>IF('Final Calculation Sheet'!$T$34="","",'Final Calculation Sheet'!$T$34)</f>
        <v/>
      </c>
      <c r="T71" s="368">
        <f>IF('Final Calculation Sheet'!$U$34="","",'Final Calculation Sheet'!$U$34)</f>
        <v/>
      </c>
      <c r="U71" s="370">
        <f>IF('Final Calculation Sheet'!$V$34="","",'Final Calculation Sheet'!$V$34)</f>
        <v/>
      </c>
      <c r="V71" s="368">
        <f>IF('Final Calculation Sheet'!$W$34="","",'Final Calculation Sheet'!$W$34)</f>
        <v/>
      </c>
      <c r="W71" s="368">
        <f>IF('Final Calculation Sheet'!$X$34="","",'Final Calculation Sheet'!$X$34)</f>
        <v/>
      </c>
      <c r="X71" s="370">
        <f>IF('Final Calculation Sheet'!$Y$34="","",'Final Calculation Sheet'!$Y$34)</f>
        <v/>
      </c>
      <c r="Y71" s="368">
        <f>IF('Final Calculation Sheet'!$Z$34="","",'Final Calculation Sheet'!$Z$34)</f>
        <v/>
      </c>
      <c r="Z71" s="368">
        <f>IF('Final Calculation Sheet'!$AA$34="","",'Final Calculation Sheet'!$AA$34)</f>
        <v/>
      </c>
      <c r="AA71" s="370">
        <f>IF('Final Calculation Sheet'!$AB$34="","",'Final Calculation Sheet'!$AB$34)</f>
        <v/>
      </c>
      <c r="AB71" s="368">
        <f>IF('Final Calculation Sheet'!$AC$34="","",'Final Calculation Sheet'!$AC$34)</f>
        <v/>
      </c>
      <c r="AC71" s="368">
        <f>IF('Final Calculation Sheet'!$AD$34="","",'Final Calculation Sheet'!$AD$34)</f>
        <v/>
      </c>
      <c r="AD71" s="370">
        <f>IF('Final Calculation Sheet'!$AD$34="","",IF('Final Calculation Sheet'!$AD$34&lt;=0,"SETTLED","OUTSTANDING"))</f>
        <v/>
      </c>
      <c r="AE71" s="370">
        <f>IF('Final Calculation Sheet'!$AE$34="","",'Final Calculation Sheet'!$AE$34)</f>
        <v/>
      </c>
      <c r="AF71" s="368">
        <f>IF('Final Calculation Sheet'!$AF$34="","",'Final Calculation Sheet'!$AF$34)</f>
        <v/>
      </c>
      <c r="AG71" s="370">
        <f>IF('Final Calculation Sheet'!$AG$34="","",'Final Calculation Sheet'!$AG$34)</f>
        <v/>
      </c>
    </row>
    <row r="72" outlineLevel="1" ht="15" customHeight="1">
      <c r="A72" s="290">
        <f>IF('Final Calculation Sheet'!$F$36="","",'Final Calculation Sheet'!$F$36)</f>
        <v/>
      </c>
      <c r="B72" s="289">
        <f>IF('Final Calculation Sheet'!$B$36="","",'Final Calculation Sheet'!$B$36)</f>
        <v/>
      </c>
      <c r="C72" s="290">
        <f>IF('Final Calculation Sheet'!$D$36="","",'Final Calculation Sheet'!$D$36)</f>
        <v/>
      </c>
      <c r="D72" s="291">
        <f>IF('Final Calculation Sheet'!$A$36="","",'Final Calculation Sheet'!$A$36)</f>
        <v/>
      </c>
      <c r="E72" s="292">
        <f>IF('Final Calculation Sheet'!$E$36="","",'Final Calculation Sheet'!$E$36)</f>
        <v/>
      </c>
      <c r="F72" s="290">
        <f>IF('Final Calculation Sheet'!$C$36="","",'Final Calculation Sheet'!$C$36)</f>
        <v/>
      </c>
      <c r="G72" s="290">
        <f>IF('Final Calculation Sheet'!$H$36="","",'Final Calculation Sheet'!$H$36)</f>
        <v/>
      </c>
      <c r="H72" s="290">
        <f>IF('Final Calculation Sheet'!$I$36="","",'Final Calculation Sheet'!$I$36)</f>
        <v/>
      </c>
      <c r="I72" s="290">
        <f>IF('Final Calculation Sheet'!$J$36="","",'Final Calculation Sheet'!$J$36)</f>
        <v/>
      </c>
      <c r="J72" s="290">
        <f>IF('Final Calculation Sheet'!$K$36="","",'Final Calculation Sheet'!$K$36)</f>
        <v/>
      </c>
      <c r="K72" s="293">
        <f>IF('Final Calculation Sheet'!$L$36="","",'Final Calculation Sheet'!$L$36)</f>
        <v/>
      </c>
      <c r="L72" s="293">
        <f>IF('Final Calculation Sheet'!$M$36="","",'Final Calculation Sheet'!$M$36)</f>
        <v/>
      </c>
      <c r="M72" s="293">
        <f>IF('Final Calculation Sheet'!$N$36="","",'Final Calculation Sheet'!$N$36)</f>
        <v/>
      </c>
      <c r="N72" s="293">
        <f>IF('Final Calculation Sheet'!$O$36="","",'Final Calculation Sheet'!$O$36)</f>
        <v/>
      </c>
      <c r="O72" s="290">
        <f>IF('Final Calculation Sheet'!$P$36="","",'Final Calculation Sheet'!$P$36)</f>
        <v/>
      </c>
      <c r="P72" s="294">
        <f>IF('Final Calculation Sheet'!$Q$36="","",'Final Calculation Sheet'!$Q$36)</f>
        <v/>
      </c>
      <c r="Q72" s="290">
        <f>IF('Final Calculation Sheet'!$R$36="","",'Final Calculation Sheet'!$R$36)</f>
        <v/>
      </c>
      <c r="R72" s="290">
        <f>IF('Final Calculation Sheet'!$S$36="","",'Final Calculation Sheet'!$S$36)</f>
        <v/>
      </c>
      <c r="S72" s="290">
        <f>IF('Final Calculation Sheet'!$T$36="","",'Final Calculation Sheet'!$T$36)</f>
        <v/>
      </c>
      <c r="T72" s="290">
        <f>IF('Final Calculation Sheet'!$U$36="","",'Final Calculation Sheet'!$U$36)</f>
        <v/>
      </c>
      <c r="U72" s="292">
        <f>IF('Final Calculation Sheet'!$V$36="","",'Final Calculation Sheet'!$V$36)</f>
        <v/>
      </c>
      <c r="V72" s="290">
        <f>IF('Final Calculation Sheet'!$W$36="","",'Final Calculation Sheet'!$W$36)</f>
        <v/>
      </c>
      <c r="W72" s="290">
        <f>IF('Final Calculation Sheet'!$X$36="","",'Final Calculation Sheet'!$X$36)</f>
        <v/>
      </c>
      <c r="X72" s="292">
        <f>IF('Final Calculation Sheet'!$Y$36="","",'Final Calculation Sheet'!$Y$36)</f>
        <v/>
      </c>
      <c r="Y72" s="290">
        <f>IF('Final Calculation Sheet'!$Z$36="","",'Final Calculation Sheet'!$Z$36)</f>
        <v/>
      </c>
      <c r="Z72" s="290">
        <f>IF('Final Calculation Sheet'!$AA$36="","",'Final Calculation Sheet'!$AA$36)</f>
        <v/>
      </c>
      <c r="AA72" s="292">
        <f>IF('Final Calculation Sheet'!$AB$36="","",'Final Calculation Sheet'!$AB$36)</f>
        <v/>
      </c>
      <c r="AB72" s="290">
        <f>IF('Final Calculation Sheet'!$AC$36="","",'Final Calculation Sheet'!$AC$36)</f>
        <v/>
      </c>
      <c r="AC72" s="290">
        <f>IF('Final Calculation Sheet'!$AD$36="","",'Final Calculation Sheet'!$AD$36)</f>
        <v/>
      </c>
      <c r="AD72" s="292">
        <f>IF('Final Calculation Sheet'!$AD$36="","",IF('Final Calculation Sheet'!$AD$36&lt;=0,"SETTLED","OUTSTANDING"))</f>
        <v/>
      </c>
      <c r="AE72" s="292">
        <f>IF('Final Calculation Sheet'!$AE$36="","",'Final Calculation Sheet'!$AE$36)</f>
        <v/>
      </c>
      <c r="AF72" s="290">
        <f>IF('Final Calculation Sheet'!$AF$36="","",'Final Calculation Sheet'!$AF$36)</f>
        <v/>
      </c>
      <c r="AG72" s="292">
        <f>IF('Final Calculation Sheet'!$AG$36="","",'Final Calculation Sheet'!$AG$36)</f>
        <v/>
      </c>
    </row>
    <row r="73" ht="20" customHeight="1">
      <c r="A73" s="283" t="inlineStr">
        <is>
          <t>∑  STERLING ENTERPRISES — TOTALS</t>
        </is>
      </c>
      <c r="B73" s="394" t="inlineStr">
        <is>
          <t>–</t>
        </is>
      </c>
      <c r="C73" s="394" t="inlineStr">
        <is>
          <t>–</t>
        </is>
      </c>
      <c r="D73" s="286">
        <f>SUM(D66:D72)</f>
        <v/>
      </c>
      <c r="E73" s="394" t="inlineStr">
        <is>
          <t>–</t>
        </is>
      </c>
      <c r="F73" s="394" t="inlineStr">
        <is>
          <t>–</t>
        </is>
      </c>
      <c r="G73" s="287">
        <f>SUM(G66:G72)</f>
        <v/>
      </c>
      <c r="H73" s="287">
        <f>SUM(H66:H72)</f>
        <v/>
      </c>
      <c r="I73" s="287">
        <f>SUM(I66:I72)</f>
        <v/>
      </c>
      <c r="J73" s="287">
        <f>SUM(J66:J72)</f>
        <v/>
      </c>
      <c r="K73" s="288">
        <f>SUM(K66:K72)</f>
        <v/>
      </c>
      <c r="L73" s="288">
        <f>SUM(L66:L72)</f>
        <v/>
      </c>
      <c r="M73" s="288">
        <f>SUM(M66:M72)</f>
        <v/>
      </c>
      <c r="N73" s="288">
        <f>SUM(N66:N72)</f>
        <v/>
      </c>
      <c r="O73" s="287">
        <f>SUM(O66:O72)</f>
        <v/>
      </c>
      <c r="P73" s="394" t="inlineStr">
        <is>
          <t>–</t>
        </is>
      </c>
      <c r="Q73" s="287">
        <f>SUM(Q66:Q72)</f>
        <v/>
      </c>
      <c r="R73" s="287">
        <f>SUM(R66:R72)</f>
        <v/>
      </c>
      <c r="S73" s="287">
        <f>SUM(S66:S72)</f>
        <v/>
      </c>
      <c r="T73" s="287">
        <f>SUM(T66:T72)</f>
        <v/>
      </c>
      <c r="U73" s="394" t="inlineStr">
        <is>
          <t>–</t>
        </is>
      </c>
      <c r="V73" s="287">
        <f>SUM(V66:V72)</f>
        <v/>
      </c>
      <c r="W73" s="287">
        <f>SUM(W66:W72)</f>
        <v/>
      </c>
      <c r="X73" s="394" t="inlineStr">
        <is>
          <t>–</t>
        </is>
      </c>
      <c r="Y73" s="287">
        <f>SUM(Y66:Y72)</f>
        <v/>
      </c>
      <c r="Z73" s="287">
        <f>SUM(Z66:Z72)</f>
        <v/>
      </c>
      <c r="AA73" s="394" t="inlineStr">
        <is>
          <t>–</t>
        </is>
      </c>
      <c r="AB73" s="287">
        <f>SUM(AB66:AB72)</f>
        <v/>
      </c>
      <c r="AC73" s="287">
        <f>SUM(AC66:AC72)</f>
        <v/>
      </c>
      <c r="AD73" s="394" t="inlineStr">
        <is>
          <t>–</t>
        </is>
      </c>
      <c r="AE73" s="394" t="inlineStr">
        <is>
          <t>–</t>
        </is>
      </c>
      <c r="AF73" s="394" t="inlineStr">
        <is>
          <t>–</t>
        </is>
      </c>
      <c r="AG73" s="394" t="inlineStr">
        <is>
          <t>–</t>
        </is>
      </c>
    </row>
    <row r="74" ht="7" customHeight="1">
      <c r="A74" s="82" t="n"/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</row>
    <row r="75" ht="24" customHeight="1">
      <c r="A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302">
        <f>IF('Final Calculation Sheet'!$F$25="","",'Final Calculation Sheet'!$F$25)</f>
        <v/>
      </c>
      <c r="B76" s="301">
        <f>IF('Final Calculation Sheet'!$B$25="","",'Final Calculation Sheet'!$B$25)</f>
        <v/>
      </c>
      <c r="C76" s="302">
        <f>IF('Final Calculation Sheet'!$D$25="","",'Final Calculation Sheet'!$D$25)</f>
        <v/>
      </c>
      <c r="D76" s="303">
        <f>IF('Final Calculation Sheet'!$A$25="","",'Final Calculation Sheet'!$A$25)</f>
        <v/>
      </c>
      <c r="E76" s="304">
        <f>IF('Final Calculation Sheet'!$E$25="","",'Final Calculation Sheet'!$E$25)</f>
        <v/>
      </c>
      <c r="F76" s="302">
        <f>IF('Final Calculation Sheet'!$C$25="","",'Final Calculation Sheet'!$C$25)</f>
        <v/>
      </c>
      <c r="G76" s="302">
        <f>IF('Final Calculation Sheet'!$H$25="","",'Final Calculation Sheet'!$H$25)</f>
        <v/>
      </c>
      <c r="H76" s="302">
        <f>IF('Final Calculation Sheet'!$I$25="","",'Final Calculation Sheet'!$I$25)</f>
        <v/>
      </c>
      <c r="I76" s="302">
        <f>IF('Final Calculation Sheet'!$J$25="","",'Final Calculation Sheet'!$J$25)</f>
        <v/>
      </c>
      <c r="J76" s="302">
        <f>IF('Final Calculation Sheet'!$K$25="","",'Final Calculation Sheet'!$K$25)</f>
        <v/>
      </c>
      <c r="K76" s="305">
        <f>IF('Final Calculation Sheet'!$L$25="","",'Final Calculation Sheet'!$L$25)</f>
        <v/>
      </c>
      <c r="L76" s="305">
        <f>IF('Final Calculation Sheet'!$M$25="","",'Final Calculation Sheet'!$M$25)</f>
        <v/>
      </c>
      <c r="M76" s="305">
        <f>IF('Final Calculation Sheet'!$N$25="","",'Final Calculation Sheet'!$N$25)</f>
        <v/>
      </c>
      <c r="N76" s="305">
        <f>IF('Final Calculation Sheet'!$O$25="","",'Final Calculation Sheet'!$O$25)</f>
        <v/>
      </c>
      <c r="O76" s="302">
        <f>IF('Final Calculation Sheet'!$P$25="","",'Final Calculation Sheet'!$P$25)</f>
        <v/>
      </c>
      <c r="P76" s="306">
        <f>IF('Final Calculation Sheet'!$Q$25="","",'Final Calculation Sheet'!$Q$25)</f>
        <v/>
      </c>
      <c r="Q76" s="302">
        <f>IF('Final Calculation Sheet'!$R$25="","",'Final Calculation Sheet'!$R$25)</f>
        <v/>
      </c>
      <c r="R76" s="302">
        <f>IF('Final Calculation Sheet'!$S$25="","",'Final Calculation Sheet'!$S$25)</f>
        <v/>
      </c>
      <c r="S76" s="302">
        <f>IF('Final Calculation Sheet'!$T$25="","",'Final Calculation Sheet'!$T$25)</f>
        <v/>
      </c>
      <c r="T76" s="302">
        <f>IF('Final Calculation Sheet'!$U$25="","",'Final Calculation Sheet'!$U$25)</f>
        <v/>
      </c>
      <c r="U76" s="304">
        <f>IF('Final Calculation Sheet'!$V$25="","",'Final Calculation Sheet'!$V$25)</f>
        <v/>
      </c>
      <c r="V76" s="302">
        <f>IF('Final Calculation Sheet'!$W$25="","",'Final Calculation Sheet'!$W$25)</f>
        <v/>
      </c>
      <c r="W76" s="302">
        <f>IF('Final Calculation Sheet'!$X$25="","",'Final Calculation Sheet'!$X$25)</f>
        <v/>
      </c>
      <c r="X76" s="304">
        <f>IF('Final Calculation Sheet'!$Y$25="","",'Final Calculation Sheet'!$Y$25)</f>
        <v/>
      </c>
      <c r="Y76" s="302">
        <f>IF('Final Calculation Sheet'!$Z$25="","",'Final Calculation Sheet'!$Z$25)</f>
        <v/>
      </c>
      <c r="Z76" s="302">
        <f>IF('Final Calculation Sheet'!$AA$25="","",'Final Calculation Sheet'!$AA$25)</f>
        <v/>
      </c>
      <c r="AA76" s="304">
        <f>IF('Final Calculation Sheet'!$AB$25="","",'Final Calculation Sheet'!$AB$25)</f>
        <v/>
      </c>
      <c r="AB76" s="302">
        <f>IF('Final Calculation Sheet'!$AC$25="","",'Final Calculation Sheet'!$AC$25)</f>
        <v/>
      </c>
      <c r="AC76" s="302">
        <f>IF('Final Calculation Sheet'!$AD$25="","",'Final Calculation Sheet'!$AD$25)</f>
        <v/>
      </c>
      <c r="AD76" s="304">
        <f>IF('Final Calculation Sheet'!$AD$25="","",IF('Final Calculation Sheet'!$AD$25&lt;=0,"SETTLED","OUTSTANDING"))</f>
        <v/>
      </c>
      <c r="AE76" s="304">
        <f>IF('Final Calculation Sheet'!$AE$25="","",'Final Calculation Sheet'!$AE$25)</f>
        <v/>
      </c>
      <c r="AF76" s="302">
        <f>IF('Final Calculation Sheet'!$AF$25="","",'Final Calculation Sheet'!$AF$25)</f>
        <v/>
      </c>
      <c r="AG76" s="304">
        <f>IF('Final Calculation Sheet'!$AG$25="","",'Final Calculation Sheet'!$AG$25)</f>
        <v/>
      </c>
    </row>
    <row r="77" outlineLevel="1" ht="15" customHeight="1">
      <c r="A77" s="374">
        <f>IF('Final Calculation Sheet'!$F$28="","",'Final Calculation Sheet'!$F$28)</f>
        <v/>
      </c>
      <c r="B77" s="373">
        <f>IF('Final Calculation Sheet'!$B$28="","",'Final Calculation Sheet'!$B$28)</f>
        <v/>
      </c>
      <c r="C77" s="374">
        <f>IF('Final Calculation Sheet'!$D$28="","",'Final Calculation Sheet'!$D$28)</f>
        <v/>
      </c>
      <c r="D77" s="375">
        <f>IF('Final Calculation Sheet'!$A$28="","",'Final Calculation Sheet'!$A$28)</f>
        <v/>
      </c>
      <c r="E77" s="376">
        <f>IF('Final Calculation Sheet'!$E$28="","",'Final Calculation Sheet'!$E$28)</f>
        <v/>
      </c>
      <c r="F77" s="374">
        <f>IF('Final Calculation Sheet'!$C$28="","",'Final Calculation Sheet'!$C$28)</f>
        <v/>
      </c>
      <c r="G77" s="374">
        <f>IF('Final Calculation Sheet'!$H$28="","",'Final Calculation Sheet'!$H$28)</f>
        <v/>
      </c>
      <c r="H77" s="374">
        <f>IF('Final Calculation Sheet'!$I$28="","",'Final Calculation Sheet'!$I$28)</f>
        <v/>
      </c>
      <c r="I77" s="374">
        <f>IF('Final Calculation Sheet'!$J$28="","",'Final Calculation Sheet'!$J$28)</f>
        <v/>
      </c>
      <c r="J77" s="374">
        <f>IF('Final Calculation Sheet'!$K$28="","",'Final Calculation Sheet'!$K$28)</f>
        <v/>
      </c>
      <c r="K77" s="377">
        <f>IF('Final Calculation Sheet'!$L$28="","",'Final Calculation Sheet'!$L$28)</f>
        <v/>
      </c>
      <c r="L77" s="377">
        <f>IF('Final Calculation Sheet'!$M$28="","",'Final Calculation Sheet'!$M$28)</f>
        <v/>
      </c>
      <c r="M77" s="377">
        <f>IF('Final Calculation Sheet'!$N$28="","",'Final Calculation Sheet'!$N$28)</f>
        <v/>
      </c>
      <c r="N77" s="377">
        <f>IF('Final Calculation Sheet'!$O$28="","",'Final Calculation Sheet'!$O$28)</f>
        <v/>
      </c>
      <c r="O77" s="374">
        <f>IF('Final Calculation Sheet'!$P$28="","",'Final Calculation Sheet'!$P$28)</f>
        <v/>
      </c>
      <c r="P77" s="378">
        <f>IF('Final Calculation Sheet'!$Q$28="","",'Final Calculation Sheet'!$Q$28)</f>
        <v/>
      </c>
      <c r="Q77" s="374">
        <f>IF('Final Calculation Sheet'!$R$28="","",'Final Calculation Sheet'!$R$28)</f>
        <v/>
      </c>
      <c r="R77" s="374">
        <f>IF('Final Calculation Sheet'!$S$28="","",'Final Calculation Sheet'!$S$28)</f>
        <v/>
      </c>
      <c r="S77" s="374">
        <f>IF('Final Calculation Sheet'!$T$28="","",'Final Calculation Sheet'!$T$28)</f>
        <v/>
      </c>
      <c r="T77" s="374">
        <f>IF('Final Calculation Sheet'!$U$28="","",'Final Calculation Sheet'!$U$28)</f>
        <v/>
      </c>
      <c r="U77" s="376">
        <f>IF('Final Calculation Sheet'!$V$28="","",'Final Calculation Sheet'!$V$28)</f>
        <v/>
      </c>
      <c r="V77" s="374">
        <f>IF('Final Calculation Sheet'!$W$28="","",'Final Calculation Sheet'!$W$28)</f>
        <v/>
      </c>
      <c r="W77" s="374">
        <f>IF('Final Calculation Sheet'!$X$28="","",'Final Calculation Sheet'!$X$28)</f>
        <v/>
      </c>
      <c r="X77" s="376">
        <f>IF('Final Calculation Sheet'!$Y$28="","",'Final Calculation Sheet'!$Y$28)</f>
        <v/>
      </c>
      <c r="Y77" s="374">
        <f>IF('Final Calculation Sheet'!$Z$28="","",'Final Calculation Sheet'!$Z$28)</f>
        <v/>
      </c>
      <c r="Z77" s="374">
        <f>IF('Final Calculation Sheet'!$AA$28="","",'Final Calculation Sheet'!$AA$28)</f>
        <v/>
      </c>
      <c r="AA77" s="376">
        <f>IF('Final Calculation Sheet'!$AB$28="","",'Final Calculation Sheet'!$AB$28)</f>
        <v/>
      </c>
      <c r="AB77" s="374">
        <f>IF('Final Calculation Sheet'!$AC$28="","",'Final Calculation Sheet'!$AC$28)</f>
        <v/>
      </c>
      <c r="AC77" s="374">
        <f>IF('Final Calculation Sheet'!$AD$28="","",'Final Calculation Sheet'!$AD$28)</f>
        <v/>
      </c>
      <c r="AD77" s="376">
        <f>IF('Final Calculation Sheet'!$AD$28="","",IF('Final Calculation Sheet'!$AD$28&lt;=0,"SETTLED","OUTSTANDING"))</f>
        <v/>
      </c>
      <c r="AE77" s="376">
        <f>IF('Final Calculation Sheet'!$AE$28="","",'Final Calculation Sheet'!$AE$28)</f>
        <v/>
      </c>
      <c r="AF77" s="374">
        <f>IF('Final Calculation Sheet'!$AF$28="","",'Final Calculation Sheet'!$AF$28)</f>
        <v/>
      </c>
      <c r="AG77" s="376">
        <f>IF('Final Calculation Sheet'!$AG$28="","",'Final Calculation Sheet'!$AG$28)</f>
        <v/>
      </c>
    </row>
    <row r="78" outlineLevel="1" ht="15" customHeight="1">
      <c r="A78" s="302">
        <f>IF('Final Calculation Sheet'!$F$35="","",'Final Calculation Sheet'!$F$35)</f>
        <v/>
      </c>
      <c r="B78" s="301">
        <f>IF('Final Calculation Sheet'!$B$35="","",'Final Calculation Sheet'!$B$35)</f>
        <v/>
      </c>
      <c r="C78" s="302">
        <f>IF('Final Calculation Sheet'!$D$35="","",'Final Calculation Sheet'!$D$35)</f>
        <v/>
      </c>
      <c r="D78" s="303">
        <f>IF('Final Calculation Sheet'!$A$35="","",'Final Calculation Sheet'!$A$35)</f>
        <v/>
      </c>
      <c r="E78" s="304">
        <f>IF('Final Calculation Sheet'!$E$35="","",'Final Calculation Sheet'!$E$35)</f>
        <v/>
      </c>
      <c r="F78" s="302">
        <f>IF('Final Calculation Sheet'!$C$35="","",'Final Calculation Sheet'!$C$35)</f>
        <v/>
      </c>
      <c r="G78" s="302">
        <f>IF('Final Calculation Sheet'!$H$35="","",'Final Calculation Sheet'!$H$35)</f>
        <v/>
      </c>
      <c r="H78" s="302">
        <f>IF('Final Calculation Sheet'!$I$35="","",'Final Calculation Sheet'!$I$35)</f>
        <v/>
      </c>
      <c r="I78" s="302">
        <f>IF('Final Calculation Sheet'!$J$35="","",'Final Calculation Sheet'!$J$35)</f>
        <v/>
      </c>
      <c r="J78" s="302">
        <f>IF('Final Calculation Sheet'!$K$35="","",'Final Calculation Sheet'!$K$35)</f>
        <v/>
      </c>
      <c r="K78" s="305">
        <f>IF('Final Calculation Sheet'!$L$35="","",'Final Calculation Sheet'!$L$35)</f>
        <v/>
      </c>
      <c r="L78" s="305">
        <f>IF('Final Calculation Sheet'!$M$35="","",'Final Calculation Sheet'!$M$35)</f>
        <v/>
      </c>
      <c r="M78" s="305">
        <f>IF('Final Calculation Sheet'!$N$35="","",'Final Calculation Sheet'!$N$35)</f>
        <v/>
      </c>
      <c r="N78" s="305">
        <f>IF('Final Calculation Sheet'!$O$35="","",'Final Calculation Sheet'!$O$35)</f>
        <v/>
      </c>
      <c r="O78" s="302">
        <f>IF('Final Calculation Sheet'!$P$35="","",'Final Calculation Sheet'!$P$35)</f>
        <v/>
      </c>
      <c r="P78" s="306">
        <f>IF('Final Calculation Sheet'!$Q$35="","",'Final Calculation Sheet'!$Q$35)</f>
        <v/>
      </c>
      <c r="Q78" s="302">
        <f>IF('Final Calculation Sheet'!$R$35="","",'Final Calculation Sheet'!$R$35)</f>
        <v/>
      </c>
      <c r="R78" s="302">
        <f>IF('Final Calculation Sheet'!$S$35="","",'Final Calculation Sheet'!$S$35)</f>
        <v/>
      </c>
      <c r="S78" s="302">
        <f>IF('Final Calculation Sheet'!$T$35="","",'Final Calculation Sheet'!$T$35)</f>
        <v/>
      </c>
      <c r="T78" s="302">
        <f>IF('Final Calculation Sheet'!$U$35="","",'Final Calculation Sheet'!$U$35)</f>
        <v/>
      </c>
      <c r="U78" s="304">
        <f>IF('Final Calculation Sheet'!$V$35="","",'Final Calculation Sheet'!$V$35)</f>
        <v/>
      </c>
      <c r="V78" s="302">
        <f>IF('Final Calculation Sheet'!$W$35="","",'Final Calculation Sheet'!$W$35)</f>
        <v/>
      </c>
      <c r="W78" s="302">
        <f>IF('Final Calculation Sheet'!$X$35="","",'Final Calculation Sheet'!$X$35)</f>
        <v/>
      </c>
      <c r="X78" s="304">
        <f>IF('Final Calculation Sheet'!$Y$35="","",'Final Calculation Sheet'!$Y$35)</f>
        <v/>
      </c>
      <c r="Y78" s="302">
        <f>IF('Final Calculation Sheet'!$Z$35="","",'Final Calculation Sheet'!$Z$35)</f>
        <v/>
      </c>
      <c r="Z78" s="302">
        <f>IF('Final Calculation Sheet'!$AA$35="","",'Final Calculation Sheet'!$AA$35)</f>
        <v/>
      </c>
      <c r="AA78" s="304">
        <f>IF('Final Calculation Sheet'!$AB$35="","",'Final Calculation Sheet'!$AB$35)</f>
        <v/>
      </c>
      <c r="AB78" s="302">
        <f>IF('Final Calculation Sheet'!$AC$35="","",'Final Calculation Sheet'!$AC$35)</f>
        <v/>
      </c>
      <c r="AC78" s="302">
        <f>IF('Final Calculation Sheet'!$AD$35="","",'Final Calculation Sheet'!$AD$35)</f>
        <v/>
      </c>
      <c r="AD78" s="304">
        <f>IF('Final Calculation Sheet'!$AD$35="","",IF('Final Calculation Sheet'!$AD$35&lt;=0,"SETTLED","OUTSTANDING"))</f>
        <v/>
      </c>
      <c r="AE78" s="304">
        <f>IF('Final Calculation Sheet'!$AE$35="","",'Final Calculation Sheet'!$AE$35)</f>
        <v/>
      </c>
      <c r="AF78" s="302">
        <f>IF('Final Calculation Sheet'!$AF$35="","",'Final Calculation Sheet'!$AF$35)</f>
        <v/>
      </c>
      <c r="AG78" s="304">
        <f>IF('Final Calculation Sheet'!$AG$35="","",'Final Calculation Sheet'!$AG$35)</f>
        <v/>
      </c>
    </row>
    <row r="79" ht="20" customHeight="1">
      <c r="A79" s="295" t="inlineStr">
        <is>
          <t>∑  WATAN SCRAP TRADERS — TOTALS</t>
        </is>
      </c>
      <c r="B79" s="395" t="inlineStr">
        <is>
          <t>–</t>
        </is>
      </c>
      <c r="C79" s="395" t="inlineStr">
        <is>
          <t>–</t>
        </is>
      </c>
      <c r="D79" s="298">
        <f>SUM(D76:D78)</f>
        <v/>
      </c>
      <c r="E79" s="395" t="inlineStr">
        <is>
          <t>–</t>
        </is>
      </c>
      <c r="F79" s="395" t="inlineStr">
        <is>
          <t>–</t>
        </is>
      </c>
      <c r="G79" s="299">
        <f>SUM(G76:G78)</f>
        <v/>
      </c>
      <c r="H79" s="299">
        <f>SUM(H76:H78)</f>
        <v/>
      </c>
      <c r="I79" s="299">
        <f>SUM(I76:I78)</f>
        <v/>
      </c>
      <c r="J79" s="299">
        <f>SUM(J76:J78)</f>
        <v/>
      </c>
      <c r="K79" s="300">
        <f>SUM(K76:K78)</f>
        <v/>
      </c>
      <c r="L79" s="300">
        <f>SUM(L76:L78)</f>
        <v/>
      </c>
      <c r="M79" s="300">
        <f>SUM(M76:M78)</f>
        <v/>
      </c>
      <c r="N79" s="300">
        <f>SUM(N76:N78)</f>
        <v/>
      </c>
      <c r="O79" s="299">
        <f>SUM(O76:O78)</f>
        <v/>
      </c>
      <c r="P79" s="395" t="inlineStr">
        <is>
          <t>–</t>
        </is>
      </c>
      <c r="Q79" s="299">
        <f>SUM(Q76:Q78)</f>
        <v/>
      </c>
      <c r="R79" s="299">
        <f>SUM(R76:R78)</f>
        <v/>
      </c>
      <c r="S79" s="299">
        <f>SUM(S76:S78)</f>
        <v/>
      </c>
      <c r="T79" s="299">
        <f>SUM(T76:T78)</f>
        <v/>
      </c>
      <c r="U79" s="395" t="inlineStr">
        <is>
          <t>–</t>
        </is>
      </c>
      <c r="V79" s="299">
        <f>SUM(V76:V78)</f>
        <v/>
      </c>
      <c r="W79" s="299">
        <f>SUM(W76:W78)</f>
        <v/>
      </c>
      <c r="X79" s="395" t="inlineStr">
        <is>
          <t>–</t>
        </is>
      </c>
      <c r="Y79" s="299">
        <f>SUM(Y76:Y78)</f>
        <v/>
      </c>
      <c r="Z79" s="299">
        <f>SUM(Z76:Z78)</f>
        <v/>
      </c>
      <c r="AA79" s="395" t="inlineStr">
        <is>
          <t>–</t>
        </is>
      </c>
      <c r="AB79" s="299">
        <f>SUM(AB76:AB78)</f>
        <v/>
      </c>
      <c r="AC79" s="299">
        <f>SUM(AC76:AC78)</f>
        <v/>
      </c>
      <c r="AD79" s="395" t="inlineStr">
        <is>
          <t>–</t>
        </is>
      </c>
      <c r="AE79" s="395" t="inlineStr">
        <is>
          <t>–</t>
        </is>
      </c>
      <c r="AF79" s="395" t="inlineStr">
        <is>
          <t>–</t>
        </is>
      </c>
      <c r="AG79" s="395" t="inlineStr">
        <is>
          <t>–</t>
        </is>
      </c>
    </row>
    <row r="80" ht="7" customHeight="1">
      <c r="A80" s="82" t="n"/>
      <c r="B80" s="82" t="n"/>
      <c r="C80" s="82" t="n"/>
      <c r="D80" s="82" t="n"/>
      <c r="E80" s="82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1">
      <formula>0</formula>
    </cfRule>
  </conditionalFormatting>
  <conditionalFormatting sqref="AD6:AD80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E6:AE80">
    <cfRule type="expression" priority="4" dxfId="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1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399" t="inlineStr">
        <is>
          <t>BUYER  →</t>
        </is>
      </c>
      <c r="B3" s="233" t="inlineStr">
        <is>
          <t>AL HAMD TRADE CORPORATION  (1)</t>
        </is>
      </c>
      <c r="C3" s="234" t="inlineStr">
        <is>
          <t>F R KHANS ENTERPRISES  (2)</t>
        </is>
      </c>
      <c r="D3" s="385" t="n"/>
      <c r="E3" s="235" t="inlineStr">
        <is>
          <t>HIND TRADERS  (1)</t>
        </is>
      </c>
      <c r="F3" s="236" t="inlineStr">
        <is>
          <t>KASHYAP TRADING CO  (1)</t>
        </is>
      </c>
      <c r="G3" s="238" t="inlineStr">
        <is>
          <t>M I SCRAP TRADERS  (1)</t>
        </is>
      </c>
      <c r="H3" s="237" t="inlineStr">
        <is>
          <t>NATIONAL ENTERPRISES  (13)</t>
        </is>
      </c>
      <c r="I3" s="388" t="n"/>
      <c r="J3" s="388" t="n"/>
      <c r="K3" s="388" t="n"/>
      <c r="L3" s="388" t="n"/>
      <c r="M3" s="388" t="n"/>
      <c r="N3" s="388" t="n"/>
      <c r="O3" s="388" t="n"/>
      <c r="P3" s="388" t="n"/>
      <c r="Q3" s="388" t="n"/>
      <c r="R3" s="388" t="n"/>
      <c r="S3" s="388" t="n"/>
      <c r="T3" s="388" t="n"/>
      <c r="U3" s="239" t="inlineStr">
        <is>
          <t>NATIONAL SCRAP AND BUILDING MATERIAL SUPPLIER  (1)</t>
        </is>
      </c>
      <c r="V3" s="400" t="inlineStr">
        <is>
          <t>OMKAR STEELS  (2)</t>
        </is>
      </c>
      <c r="W3" s="401" t="n"/>
      <c r="X3" s="233" t="inlineStr">
        <is>
          <t>S M ENTERPRISES  (2)</t>
        </is>
      </c>
      <c r="Y3" s="384" t="n"/>
      <c r="Z3" s="234" t="inlineStr">
        <is>
          <t>SAHARA ENTERPRISES  (1)</t>
        </is>
      </c>
      <c r="AA3" s="235" t="inlineStr">
        <is>
          <t>SHAR JAHAN TRADERS  (2)</t>
        </is>
      </c>
      <c r="AB3" s="386" t="n"/>
      <c r="AC3" s="236" t="inlineStr">
        <is>
          <t>STERLING ENTERPRISES  (7)</t>
        </is>
      </c>
      <c r="AD3" s="387" t="n"/>
      <c r="AE3" s="387" t="n"/>
      <c r="AF3" s="387" t="n"/>
      <c r="AG3" s="387" t="n"/>
      <c r="AH3" s="387" t="n"/>
      <c r="AI3" s="387" t="n"/>
      <c r="AJ3" s="238" t="inlineStr">
        <is>
          <t>WATAN SCRAP TRADERS  (3)</t>
        </is>
      </c>
      <c r="AK3" s="389" t="n"/>
      <c r="AL3" s="389" t="n"/>
      <c r="AM3" s="402" t="n"/>
    </row>
    <row r="4" ht="18" customHeight="1">
      <c r="A4" s="403" t="inlineStr">
        <is>
          <t>LOT NO.  →</t>
        </is>
      </c>
      <c r="B4" s="404">
        <f>IF('Final Calculation Sheet'!$F$4="","",'Final Calculation Sheet'!$F$4)</f>
        <v/>
      </c>
      <c r="C4" s="404">
        <f>IF('Final Calculation Sheet'!$F$6="","",'Final Calculation Sheet'!$F$6)</f>
        <v/>
      </c>
      <c r="D4" s="404">
        <f>IF('Final Calculation Sheet'!$F$7="","",'Final Calculation Sheet'!$F$7)</f>
        <v/>
      </c>
      <c r="E4" s="404">
        <f>IF('Final Calculation Sheet'!$F$15="","",'Final Calculation Sheet'!$F$15)</f>
        <v/>
      </c>
      <c r="F4" s="404">
        <f>IF('Final Calculation Sheet'!$F$38="","",'Final Calculation Sheet'!$F$38)</f>
        <v/>
      </c>
      <c r="G4" s="404">
        <f>IF('Final Calculation Sheet'!$F$27="","",'Final Calculation Sheet'!$F$27)</f>
        <v/>
      </c>
      <c r="H4" s="404">
        <f>IF('Final Calculation Sheet'!$F$5="","",'Final Calculation Sheet'!$F$5)</f>
        <v/>
      </c>
      <c r="I4" s="404">
        <f>IF('Final Calculation Sheet'!$F$10="","",'Final Calculation Sheet'!$F$10)</f>
        <v/>
      </c>
      <c r="J4" s="404">
        <f>IF('Final Calculation Sheet'!$F$11="","",'Final Calculation Sheet'!$F$11)</f>
        <v/>
      </c>
      <c r="K4" s="404">
        <f>IF('Final Calculation Sheet'!$F$12="","",'Final Calculation Sheet'!$F$12)</f>
        <v/>
      </c>
      <c r="L4" s="404">
        <f>IF('Final Calculation Sheet'!$F$18="","",'Final Calculation Sheet'!$F$18)</f>
        <v/>
      </c>
      <c r="M4" s="404">
        <f>IF('Final Calculation Sheet'!$F$19="","",'Final Calculation Sheet'!$F$19)</f>
        <v/>
      </c>
      <c r="N4" s="404">
        <f>IF('Final Calculation Sheet'!$F$22="","",'Final Calculation Sheet'!$F$22)</f>
        <v/>
      </c>
      <c r="O4" s="404">
        <f>IF('Final Calculation Sheet'!$F$24="","",'Final Calculation Sheet'!$F$24)</f>
        <v/>
      </c>
      <c r="P4" s="404">
        <f>IF('Final Calculation Sheet'!$F$26="","",'Final Calculation Sheet'!$F$26)</f>
        <v/>
      </c>
      <c r="Q4" s="404">
        <f>IF('Final Calculation Sheet'!$F$30="","",'Final Calculation Sheet'!$F$30)</f>
        <v/>
      </c>
      <c r="R4" s="404">
        <f>IF('Final Calculation Sheet'!$F$32="","",'Final Calculation Sheet'!$F$32)</f>
        <v/>
      </c>
      <c r="S4" s="404">
        <f>IF('Final Calculation Sheet'!$F$33="","",'Final Calculation Sheet'!$F$33)</f>
        <v/>
      </c>
      <c r="T4" s="404">
        <f>IF('Final Calculation Sheet'!$F$37="","",'Final Calculation Sheet'!$F$37)</f>
        <v/>
      </c>
      <c r="U4" s="404">
        <f>IF('Final Calculation Sheet'!$F$21="","",'Final Calculation Sheet'!$F$21)</f>
        <v/>
      </c>
      <c r="V4" s="404">
        <f>IF('Final Calculation Sheet'!$F$8="","",'Final Calculation Sheet'!$F$8)</f>
        <v/>
      </c>
      <c r="W4" s="404">
        <f>IF('Final Calculation Sheet'!$F$20="","",'Final Calculation Sheet'!$F$20)</f>
        <v/>
      </c>
      <c r="X4" s="404">
        <f>IF('Final Calculation Sheet'!$F$39="","",'Final Calculation Sheet'!$F$39)</f>
        <v/>
      </c>
      <c r="Y4" s="404">
        <f>IF('Final Calculation Sheet'!$F$40="","",'Final Calculation Sheet'!$F$40)</f>
        <v/>
      </c>
      <c r="Z4" s="404">
        <f>IF('Final Calculation Sheet'!$F$31="","",'Final Calculation Sheet'!$F$31)</f>
        <v/>
      </c>
      <c r="AA4" s="404">
        <f>IF('Final Calculation Sheet'!$F$9="","",'Final Calculation Sheet'!$F$9)</f>
        <v/>
      </c>
      <c r="AB4" s="404">
        <f>IF('Final Calculation Sheet'!$F$14="","",'Final Calculation Sheet'!$F$14)</f>
        <v/>
      </c>
      <c r="AC4" s="404">
        <f>IF('Final Calculation Sheet'!$F$13="","",'Final Calculation Sheet'!$F$13)</f>
        <v/>
      </c>
      <c r="AD4" s="404">
        <f>IF('Final Calculation Sheet'!$F$16="","",'Final Calculation Sheet'!$F$16)</f>
        <v/>
      </c>
      <c r="AE4" s="404">
        <f>IF('Final Calculation Sheet'!$F$17="","",'Final Calculation Sheet'!$F$17)</f>
        <v/>
      </c>
      <c r="AF4" s="404">
        <f>IF('Final Calculation Sheet'!$F$23="","",'Final Calculation Sheet'!$F$23)</f>
        <v/>
      </c>
      <c r="AG4" s="404">
        <f>IF('Final Calculation Sheet'!$F$29="","",'Final Calculation Sheet'!$F$29)</f>
        <v/>
      </c>
      <c r="AH4" s="404">
        <f>IF('Final Calculation Sheet'!$F$34="","",'Final Calculation Sheet'!$F$34)</f>
        <v/>
      </c>
      <c r="AI4" s="404">
        <f>IF('Final Calculation Sheet'!$F$36="","",'Final Calculation Sheet'!$F$36)</f>
        <v/>
      </c>
      <c r="AJ4" s="404">
        <f>IF('Final Calculation Sheet'!$F$25="","",'Final Calculation Sheet'!$F$25)</f>
        <v/>
      </c>
      <c r="AK4" s="404">
        <f>IF('Final Calculation Sheet'!$F$28="","",'Final Calculation Sheet'!$F$28)</f>
        <v/>
      </c>
      <c r="AL4" s="404">
        <f>IF('Final Calculation Sheet'!$F$35="","",'Final Calculation Sheet'!$F$35)</f>
        <v/>
      </c>
      <c r="AM4" s="405" t="inlineStr">
        <is>
          <t>∑ ALL</t>
        </is>
      </c>
    </row>
    <row r="5" ht="26" customHeight="1">
      <c r="A5" s="406" t="inlineStr">
        <is>
          <t>FIELD  ▸</t>
        </is>
      </c>
      <c r="B5" s="406" t="inlineStr">
        <is>
          <t>LOT 1</t>
        </is>
      </c>
      <c r="C5" s="406" t="inlineStr">
        <is>
          <t>LOT 2</t>
        </is>
      </c>
      <c r="D5" s="406" t="inlineStr">
        <is>
          <t>LOT 3</t>
        </is>
      </c>
      <c r="E5" s="406" t="inlineStr">
        <is>
          <t>LOT 4</t>
        </is>
      </c>
      <c r="F5" s="406" t="inlineStr">
        <is>
          <t>LOT 5</t>
        </is>
      </c>
      <c r="G5" s="406" t="inlineStr">
        <is>
          <t>LOT 6</t>
        </is>
      </c>
      <c r="H5" s="406" t="inlineStr">
        <is>
          <t>LOT 7</t>
        </is>
      </c>
      <c r="I5" s="406" t="inlineStr">
        <is>
          <t>LOT 8</t>
        </is>
      </c>
      <c r="J5" s="406" t="inlineStr">
        <is>
          <t>LOT 9</t>
        </is>
      </c>
      <c r="K5" s="406" t="inlineStr">
        <is>
          <t>LOT 10</t>
        </is>
      </c>
      <c r="L5" s="406" t="inlineStr">
        <is>
          <t>LOT 11</t>
        </is>
      </c>
      <c r="M5" s="406" t="inlineStr">
        <is>
          <t>LOT 12</t>
        </is>
      </c>
      <c r="N5" s="406" t="inlineStr">
        <is>
          <t>LOT 13</t>
        </is>
      </c>
      <c r="O5" s="406" t="inlineStr">
        <is>
          <t>LOT 14</t>
        </is>
      </c>
      <c r="P5" s="406" t="inlineStr">
        <is>
          <t>LOT 15</t>
        </is>
      </c>
      <c r="Q5" s="406" t="inlineStr">
        <is>
          <t>LOT 16</t>
        </is>
      </c>
      <c r="R5" s="406" t="inlineStr">
        <is>
          <t>LOT 17</t>
        </is>
      </c>
      <c r="S5" s="406" t="inlineStr">
        <is>
          <t>LOT 18</t>
        </is>
      </c>
      <c r="T5" s="406" t="inlineStr">
        <is>
          <t>LOT 19</t>
        </is>
      </c>
      <c r="U5" s="406" t="inlineStr">
        <is>
          <t>LOT 20</t>
        </is>
      </c>
      <c r="V5" s="406" t="inlineStr">
        <is>
          <t>LOT 21</t>
        </is>
      </c>
      <c r="W5" s="406" t="inlineStr">
        <is>
          <t>LOT 22</t>
        </is>
      </c>
      <c r="X5" s="406" t="inlineStr">
        <is>
          <t>LOT 23</t>
        </is>
      </c>
      <c r="Y5" s="406" t="inlineStr">
        <is>
          <t>LOT 24</t>
        </is>
      </c>
      <c r="Z5" s="406" t="inlineStr">
        <is>
          <t>LOT 25</t>
        </is>
      </c>
      <c r="AA5" s="406" t="inlineStr">
        <is>
          <t>LOT 26</t>
        </is>
      </c>
      <c r="AB5" s="406" t="inlineStr">
        <is>
          <t>LOT 27</t>
        </is>
      </c>
      <c r="AC5" s="406" t="inlineStr">
        <is>
          <t>LOT 28</t>
        </is>
      </c>
      <c r="AD5" s="406" t="inlineStr">
        <is>
          <t>LOT 29</t>
        </is>
      </c>
      <c r="AE5" s="406" t="inlineStr">
        <is>
          <t>LOT 30</t>
        </is>
      </c>
      <c r="AF5" s="406" t="inlineStr">
        <is>
          <t>LOT 31</t>
        </is>
      </c>
      <c r="AG5" s="406" t="inlineStr">
        <is>
          <t>LOT 32</t>
        </is>
      </c>
      <c r="AH5" s="406" t="inlineStr">
        <is>
          <t>LOT 33</t>
        </is>
      </c>
      <c r="AI5" s="406" t="inlineStr">
        <is>
          <t>LOT 34</t>
        </is>
      </c>
      <c r="AJ5" s="406" t="inlineStr">
        <is>
          <t>LOT 35</t>
        </is>
      </c>
      <c r="AK5" s="406" t="inlineStr">
        <is>
          <t>LOT 36</t>
        </is>
      </c>
      <c r="AL5" s="406" t="inlineStr">
        <is>
          <t>LOT 37</t>
        </is>
      </c>
      <c r="AM5" s="406" t="inlineStr">
        <is>
          <t>TOTAL</t>
        </is>
      </c>
    </row>
    <row r="6" ht="17" customHeight="1">
      <c r="A6" s="407" t="inlineStr">
        <is>
          <t xml:space="preserve">  ▸ LOT INFORMATION</t>
        </is>
      </c>
      <c r="B6" s="384" t="n"/>
      <c r="C6" s="384" t="n"/>
      <c r="D6" s="384" t="n"/>
      <c r="E6" s="384" t="n"/>
      <c r="F6" s="384" t="n"/>
      <c r="G6" s="384" t="n"/>
      <c r="H6" s="38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384" t="n"/>
      <c r="AF6" s="384" t="n"/>
      <c r="AG6" s="384" t="n"/>
      <c r="AH6" s="384" t="n"/>
      <c r="AI6" s="384" t="n"/>
      <c r="AJ6" s="384" t="n"/>
      <c r="AK6" s="384" t="n"/>
      <c r="AL6" s="384" t="n"/>
      <c r="AM6" s="384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408">
        <f>IF('Final Calculation Sheet'!$F$6="","",'Final Calculation Sheet'!$F$6)</f>
        <v/>
      </c>
      <c r="D7" s="70">
        <f>IF('Final Calculation Sheet'!$F$7="","",'Final Calculation Sheet'!$F$7)</f>
        <v/>
      </c>
      <c r="E7" s="408">
        <f>IF('Final Calculation Sheet'!$F$15="","",'Final Calculation Sheet'!$F$15)</f>
        <v/>
      </c>
      <c r="F7" s="70">
        <f>IF('Final Calculation Sheet'!$F$38="","",'Final Calculation Sheet'!$F$38)</f>
        <v/>
      </c>
      <c r="G7" s="408">
        <f>IF('Final Calculation Sheet'!$F$27="","",'Final Calculation Sheet'!$F$27)</f>
        <v/>
      </c>
      <c r="H7" s="70">
        <f>IF('Final Calculation Sheet'!$F$5="","",'Final Calculation Sheet'!$F$5)</f>
        <v/>
      </c>
      <c r="I7" s="408">
        <f>IF('Final Calculation Sheet'!$F$10="","",'Final Calculation Sheet'!$F$10)</f>
        <v/>
      </c>
      <c r="J7" s="70">
        <f>IF('Final Calculation Sheet'!$F$11="","",'Final Calculation Sheet'!$F$11)</f>
        <v/>
      </c>
      <c r="K7" s="408">
        <f>IF('Final Calculation Sheet'!$F$12="","",'Final Calculation Sheet'!$F$12)</f>
        <v/>
      </c>
      <c r="L7" s="70">
        <f>IF('Final Calculation Sheet'!$F$18="","",'Final Calculation Sheet'!$F$18)</f>
        <v/>
      </c>
      <c r="M7" s="408">
        <f>IF('Final Calculation Sheet'!$F$19="","",'Final Calculation Sheet'!$F$19)</f>
        <v/>
      </c>
      <c r="N7" s="70">
        <f>IF('Final Calculation Sheet'!$F$22="","",'Final Calculation Sheet'!$F$22)</f>
        <v/>
      </c>
      <c r="O7" s="408">
        <f>IF('Final Calculation Sheet'!$F$24="","",'Final Calculation Sheet'!$F$24)</f>
        <v/>
      </c>
      <c r="P7" s="70">
        <f>IF('Final Calculation Sheet'!$F$26="","",'Final Calculation Sheet'!$F$26)</f>
        <v/>
      </c>
      <c r="Q7" s="408">
        <f>IF('Final Calculation Sheet'!$F$30="","",'Final Calculation Sheet'!$F$30)</f>
        <v/>
      </c>
      <c r="R7" s="70">
        <f>IF('Final Calculation Sheet'!$F$32="","",'Final Calculation Sheet'!$F$32)</f>
        <v/>
      </c>
      <c r="S7" s="408">
        <f>IF('Final Calculation Sheet'!$F$33="","",'Final Calculation Sheet'!$F$33)</f>
        <v/>
      </c>
      <c r="T7" s="70">
        <f>IF('Final Calculation Sheet'!$F$37="","",'Final Calculation Sheet'!$F$37)</f>
        <v/>
      </c>
      <c r="U7" s="408">
        <f>IF('Final Calculation Sheet'!$F$21="","",'Final Calculation Sheet'!$F$21)</f>
        <v/>
      </c>
      <c r="V7" s="70">
        <f>IF('Final Calculation Sheet'!$F$8="","",'Final Calculation Sheet'!$F$8)</f>
        <v/>
      </c>
      <c r="W7" s="408">
        <f>IF('Final Calculation Sheet'!$F$20="","",'Final Calculation Sheet'!$F$20)</f>
        <v/>
      </c>
      <c r="X7" s="70">
        <f>IF('Final Calculation Sheet'!$F$39="","",'Final Calculation Sheet'!$F$39)</f>
        <v/>
      </c>
      <c r="Y7" s="408">
        <f>IF('Final Calculation Sheet'!$F$40="","",'Final Calculation Sheet'!$F$40)</f>
        <v/>
      </c>
      <c r="Z7" s="70">
        <f>IF('Final Calculation Sheet'!$F$31="","",'Final Calculation Sheet'!$F$31)</f>
        <v/>
      </c>
      <c r="AA7" s="408">
        <f>IF('Final Calculation Sheet'!$F$9="","",'Final Calculation Sheet'!$F$9)</f>
        <v/>
      </c>
      <c r="AB7" s="70">
        <f>IF('Final Calculation Sheet'!$F$14="","",'Final Calculation Sheet'!$F$14)</f>
        <v/>
      </c>
      <c r="AC7" s="408">
        <f>IF('Final Calculation Sheet'!$F$13="","",'Final Calculation Sheet'!$F$13)</f>
        <v/>
      </c>
      <c r="AD7" s="70">
        <f>IF('Final Calculation Sheet'!$F$16="","",'Final Calculation Sheet'!$F$16)</f>
        <v/>
      </c>
      <c r="AE7" s="408">
        <f>IF('Final Calculation Sheet'!$F$17="","",'Final Calculation Sheet'!$F$17)</f>
        <v/>
      </c>
      <c r="AF7" s="70">
        <f>IF('Final Calculation Sheet'!$F$23="","",'Final Calculation Sheet'!$F$23)</f>
        <v/>
      </c>
      <c r="AG7" s="408">
        <f>IF('Final Calculation Sheet'!$F$29="","",'Final Calculation Sheet'!$F$29)</f>
        <v/>
      </c>
      <c r="AH7" s="70">
        <f>IF('Final Calculation Sheet'!$F$34="","",'Final Calculation Sheet'!$F$34)</f>
        <v/>
      </c>
      <c r="AI7" s="408">
        <f>IF('Final Calculation Sheet'!$F$36="","",'Final Calculation Sheet'!$F$36)</f>
        <v/>
      </c>
      <c r="AJ7" s="70">
        <f>IF('Final Calculation Sheet'!$F$25="","",'Final Calculation Sheet'!$F$25)</f>
        <v/>
      </c>
      <c r="AK7" s="408">
        <f>IF('Final Calculation Sheet'!$F$28="","",'Final Calculation Sheet'!$F$28)</f>
        <v/>
      </c>
      <c r="AL7" s="70">
        <f>IF('Final Calculation Sheet'!$F$35="","",'Final Calculation Sheet'!$F$35)</f>
        <v/>
      </c>
      <c r="AM7" s="72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409">
        <f>IF('Final Calculation Sheet'!$B$6="","",'Final Calculation Sheet'!$B$6)</f>
        <v/>
      </c>
      <c r="D8" s="73">
        <f>IF('Final Calculation Sheet'!$B$7="","",'Final Calculation Sheet'!$B$7)</f>
        <v/>
      </c>
      <c r="E8" s="409">
        <f>IF('Final Calculation Sheet'!$B$15="","",'Final Calculation Sheet'!$B$15)</f>
        <v/>
      </c>
      <c r="F8" s="73">
        <f>IF('Final Calculation Sheet'!$B$38="","",'Final Calculation Sheet'!$B$38)</f>
        <v/>
      </c>
      <c r="G8" s="409">
        <f>IF('Final Calculation Sheet'!$B$27="","",'Final Calculation Sheet'!$B$27)</f>
        <v/>
      </c>
      <c r="H8" s="73">
        <f>IF('Final Calculation Sheet'!$B$5="","",'Final Calculation Sheet'!$B$5)</f>
        <v/>
      </c>
      <c r="I8" s="409">
        <f>IF('Final Calculation Sheet'!$B$10="","",'Final Calculation Sheet'!$B$10)</f>
        <v/>
      </c>
      <c r="J8" s="73">
        <f>IF('Final Calculation Sheet'!$B$11="","",'Final Calculation Sheet'!$B$11)</f>
        <v/>
      </c>
      <c r="K8" s="409">
        <f>IF('Final Calculation Sheet'!$B$12="","",'Final Calculation Sheet'!$B$12)</f>
        <v/>
      </c>
      <c r="L8" s="73">
        <f>IF('Final Calculation Sheet'!$B$18="","",'Final Calculation Sheet'!$B$18)</f>
        <v/>
      </c>
      <c r="M8" s="409">
        <f>IF('Final Calculation Sheet'!$B$19="","",'Final Calculation Sheet'!$B$19)</f>
        <v/>
      </c>
      <c r="N8" s="73">
        <f>IF('Final Calculation Sheet'!$B$22="","",'Final Calculation Sheet'!$B$22)</f>
        <v/>
      </c>
      <c r="O8" s="409">
        <f>IF('Final Calculation Sheet'!$B$24="","",'Final Calculation Sheet'!$B$24)</f>
        <v/>
      </c>
      <c r="P8" s="73">
        <f>IF('Final Calculation Sheet'!$B$26="","",'Final Calculation Sheet'!$B$26)</f>
        <v/>
      </c>
      <c r="Q8" s="409">
        <f>IF('Final Calculation Sheet'!$B$30="","",'Final Calculation Sheet'!$B$30)</f>
        <v/>
      </c>
      <c r="R8" s="73">
        <f>IF('Final Calculation Sheet'!$B$32="","",'Final Calculation Sheet'!$B$32)</f>
        <v/>
      </c>
      <c r="S8" s="409">
        <f>IF('Final Calculation Sheet'!$B$33="","",'Final Calculation Sheet'!$B$33)</f>
        <v/>
      </c>
      <c r="T8" s="73">
        <f>IF('Final Calculation Sheet'!$B$37="","",'Final Calculation Sheet'!$B$37)</f>
        <v/>
      </c>
      <c r="U8" s="409">
        <f>IF('Final Calculation Sheet'!$B$21="","",'Final Calculation Sheet'!$B$21)</f>
        <v/>
      </c>
      <c r="V8" s="73">
        <f>IF('Final Calculation Sheet'!$B$8="","",'Final Calculation Sheet'!$B$8)</f>
        <v/>
      </c>
      <c r="W8" s="409">
        <f>IF('Final Calculation Sheet'!$B$20="","",'Final Calculation Sheet'!$B$20)</f>
        <v/>
      </c>
      <c r="X8" s="73">
        <f>IF('Final Calculation Sheet'!$B$39="","",'Final Calculation Sheet'!$B$39)</f>
        <v/>
      </c>
      <c r="Y8" s="409">
        <f>IF('Final Calculation Sheet'!$B$40="","",'Final Calculation Sheet'!$B$40)</f>
        <v/>
      </c>
      <c r="Z8" s="73">
        <f>IF('Final Calculation Sheet'!$B$31="","",'Final Calculation Sheet'!$B$31)</f>
        <v/>
      </c>
      <c r="AA8" s="409">
        <f>IF('Final Calculation Sheet'!$B$9="","",'Final Calculation Sheet'!$B$9)</f>
        <v/>
      </c>
      <c r="AB8" s="73">
        <f>IF('Final Calculation Sheet'!$B$14="","",'Final Calculation Sheet'!$B$14)</f>
        <v/>
      </c>
      <c r="AC8" s="409">
        <f>IF('Final Calculation Sheet'!$B$13="","",'Final Calculation Sheet'!$B$13)</f>
        <v/>
      </c>
      <c r="AD8" s="73">
        <f>IF('Final Calculation Sheet'!$B$16="","",'Final Calculation Sheet'!$B$16)</f>
        <v/>
      </c>
      <c r="AE8" s="409">
        <f>IF('Final Calculation Sheet'!$B$17="","",'Final Calculation Sheet'!$B$17)</f>
        <v/>
      </c>
      <c r="AF8" s="73">
        <f>IF('Final Calculation Sheet'!$B$23="","",'Final Calculation Sheet'!$B$23)</f>
        <v/>
      </c>
      <c r="AG8" s="409">
        <f>IF('Final Calculation Sheet'!$B$29="","",'Final Calculation Sheet'!$B$29)</f>
        <v/>
      </c>
      <c r="AH8" s="73">
        <f>IF('Final Calculation Sheet'!$B$34="","",'Final Calculation Sheet'!$B$34)</f>
        <v/>
      </c>
      <c r="AI8" s="409">
        <f>IF('Final Calculation Sheet'!$B$36="","",'Final Calculation Sheet'!$B$36)</f>
        <v/>
      </c>
      <c r="AJ8" s="73">
        <f>IF('Final Calculation Sheet'!$B$25="","",'Final Calculation Sheet'!$B$25)</f>
        <v/>
      </c>
      <c r="AK8" s="409">
        <f>IF('Final Calculation Sheet'!$B$28="","",'Final Calculation Sheet'!$B$28)</f>
        <v/>
      </c>
      <c r="AL8" s="73">
        <f>IF('Final Calculation Sheet'!$B$35="","",'Final Calculation Sheet'!$B$35)</f>
        <v/>
      </c>
      <c r="AM8" s="72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408">
        <f>IF('Final Calculation Sheet'!$D$6="","",'Final Calculation Sheet'!$D$6)</f>
        <v/>
      </c>
      <c r="D9" s="70">
        <f>IF('Final Calculation Sheet'!$D$7="","",'Final Calculation Sheet'!$D$7)</f>
        <v/>
      </c>
      <c r="E9" s="408">
        <f>IF('Final Calculation Sheet'!$D$15="","",'Final Calculation Sheet'!$D$15)</f>
        <v/>
      </c>
      <c r="F9" s="70">
        <f>IF('Final Calculation Sheet'!$D$38="","",'Final Calculation Sheet'!$D$38)</f>
        <v/>
      </c>
      <c r="G9" s="408">
        <f>IF('Final Calculation Sheet'!$D$27="","",'Final Calculation Sheet'!$D$27)</f>
        <v/>
      </c>
      <c r="H9" s="70">
        <f>IF('Final Calculation Sheet'!$D$5="","",'Final Calculation Sheet'!$D$5)</f>
        <v/>
      </c>
      <c r="I9" s="408">
        <f>IF('Final Calculation Sheet'!$D$10="","",'Final Calculation Sheet'!$D$10)</f>
        <v/>
      </c>
      <c r="J9" s="70">
        <f>IF('Final Calculation Sheet'!$D$11="","",'Final Calculation Sheet'!$D$11)</f>
        <v/>
      </c>
      <c r="K9" s="408">
        <f>IF('Final Calculation Sheet'!$D$12="","",'Final Calculation Sheet'!$D$12)</f>
        <v/>
      </c>
      <c r="L9" s="70">
        <f>IF('Final Calculation Sheet'!$D$18="","",'Final Calculation Sheet'!$D$18)</f>
        <v/>
      </c>
      <c r="M9" s="408">
        <f>IF('Final Calculation Sheet'!$D$19="","",'Final Calculation Sheet'!$D$19)</f>
        <v/>
      </c>
      <c r="N9" s="70">
        <f>IF('Final Calculation Sheet'!$D$22="","",'Final Calculation Sheet'!$D$22)</f>
        <v/>
      </c>
      <c r="O9" s="408">
        <f>IF('Final Calculation Sheet'!$D$24="","",'Final Calculation Sheet'!$D$24)</f>
        <v/>
      </c>
      <c r="P9" s="70">
        <f>IF('Final Calculation Sheet'!$D$26="","",'Final Calculation Sheet'!$D$26)</f>
        <v/>
      </c>
      <c r="Q9" s="408">
        <f>IF('Final Calculation Sheet'!$D$30="","",'Final Calculation Sheet'!$D$30)</f>
        <v/>
      </c>
      <c r="R9" s="70">
        <f>IF('Final Calculation Sheet'!$D$32="","",'Final Calculation Sheet'!$D$32)</f>
        <v/>
      </c>
      <c r="S9" s="408">
        <f>IF('Final Calculation Sheet'!$D$33="","",'Final Calculation Sheet'!$D$33)</f>
        <v/>
      </c>
      <c r="T9" s="70">
        <f>IF('Final Calculation Sheet'!$D$37="","",'Final Calculation Sheet'!$D$37)</f>
        <v/>
      </c>
      <c r="U9" s="408">
        <f>IF('Final Calculation Sheet'!$D$21="","",'Final Calculation Sheet'!$D$21)</f>
        <v/>
      </c>
      <c r="V9" s="70">
        <f>IF('Final Calculation Sheet'!$D$8="","",'Final Calculation Sheet'!$D$8)</f>
        <v/>
      </c>
      <c r="W9" s="408">
        <f>IF('Final Calculation Sheet'!$D$20="","",'Final Calculation Sheet'!$D$20)</f>
        <v/>
      </c>
      <c r="X9" s="70">
        <f>IF('Final Calculation Sheet'!$D$39="","",'Final Calculation Sheet'!$D$39)</f>
        <v/>
      </c>
      <c r="Y9" s="408">
        <f>IF('Final Calculation Sheet'!$D$40="","",'Final Calculation Sheet'!$D$40)</f>
        <v/>
      </c>
      <c r="Z9" s="70">
        <f>IF('Final Calculation Sheet'!$D$31="","",'Final Calculation Sheet'!$D$31)</f>
        <v/>
      </c>
      <c r="AA9" s="408">
        <f>IF('Final Calculation Sheet'!$D$9="","",'Final Calculation Sheet'!$D$9)</f>
        <v/>
      </c>
      <c r="AB9" s="70">
        <f>IF('Final Calculation Sheet'!$D$14="","",'Final Calculation Sheet'!$D$14)</f>
        <v/>
      </c>
      <c r="AC9" s="408">
        <f>IF('Final Calculation Sheet'!$D$13="","",'Final Calculation Sheet'!$D$13)</f>
        <v/>
      </c>
      <c r="AD9" s="70">
        <f>IF('Final Calculation Sheet'!$D$16="","",'Final Calculation Sheet'!$D$16)</f>
        <v/>
      </c>
      <c r="AE9" s="408">
        <f>IF('Final Calculation Sheet'!$D$17="","",'Final Calculation Sheet'!$D$17)</f>
        <v/>
      </c>
      <c r="AF9" s="70">
        <f>IF('Final Calculation Sheet'!$D$23="","",'Final Calculation Sheet'!$D$23)</f>
        <v/>
      </c>
      <c r="AG9" s="408">
        <f>IF('Final Calculation Sheet'!$D$29="","",'Final Calculation Sheet'!$D$29)</f>
        <v/>
      </c>
      <c r="AH9" s="70">
        <f>IF('Final Calculation Sheet'!$D$34="","",'Final Calculation Sheet'!$D$34)</f>
        <v/>
      </c>
      <c r="AI9" s="408">
        <f>IF('Final Calculation Sheet'!$D$36="","",'Final Calculation Sheet'!$D$36)</f>
        <v/>
      </c>
      <c r="AJ9" s="70">
        <f>IF('Final Calculation Sheet'!$D$25="","",'Final Calculation Sheet'!$D$25)</f>
        <v/>
      </c>
      <c r="AK9" s="408">
        <f>IF('Final Calculation Sheet'!$D$28="","",'Final Calculation Sheet'!$D$28)</f>
        <v/>
      </c>
      <c r="AL9" s="70">
        <f>IF('Final Calculation Sheet'!$D$35="","",'Final Calculation Sheet'!$D$35)</f>
        <v/>
      </c>
      <c r="AM9" s="72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410">
        <f>IF('Final Calculation Sheet'!$A$6="","",'Final Calculation Sheet'!$A$6)</f>
        <v/>
      </c>
      <c r="D10" s="74">
        <f>IF('Final Calculation Sheet'!$A$7="","",'Final Calculation Sheet'!$A$7)</f>
        <v/>
      </c>
      <c r="E10" s="410">
        <f>IF('Final Calculation Sheet'!$A$15="","",'Final Calculation Sheet'!$A$15)</f>
        <v/>
      </c>
      <c r="F10" s="74">
        <f>IF('Final Calculation Sheet'!$A$38="","",'Final Calculation Sheet'!$A$38)</f>
        <v/>
      </c>
      <c r="G10" s="410">
        <f>IF('Final Calculation Sheet'!$A$27="","",'Final Calculation Sheet'!$A$27)</f>
        <v/>
      </c>
      <c r="H10" s="74">
        <f>IF('Final Calculation Sheet'!$A$5="","",'Final Calculation Sheet'!$A$5)</f>
        <v/>
      </c>
      <c r="I10" s="410">
        <f>IF('Final Calculation Sheet'!$A$10="","",'Final Calculation Sheet'!$A$10)</f>
        <v/>
      </c>
      <c r="J10" s="74">
        <f>IF('Final Calculation Sheet'!$A$11="","",'Final Calculation Sheet'!$A$11)</f>
        <v/>
      </c>
      <c r="K10" s="410">
        <f>IF('Final Calculation Sheet'!$A$12="","",'Final Calculation Sheet'!$A$12)</f>
        <v/>
      </c>
      <c r="L10" s="74">
        <f>IF('Final Calculation Sheet'!$A$18="","",'Final Calculation Sheet'!$A$18)</f>
        <v/>
      </c>
      <c r="M10" s="410">
        <f>IF('Final Calculation Sheet'!$A$19="","",'Final Calculation Sheet'!$A$19)</f>
        <v/>
      </c>
      <c r="N10" s="74">
        <f>IF('Final Calculation Sheet'!$A$22="","",'Final Calculation Sheet'!$A$22)</f>
        <v/>
      </c>
      <c r="O10" s="410">
        <f>IF('Final Calculation Sheet'!$A$24="","",'Final Calculation Sheet'!$A$24)</f>
        <v/>
      </c>
      <c r="P10" s="74">
        <f>IF('Final Calculation Sheet'!$A$26="","",'Final Calculation Sheet'!$A$26)</f>
        <v/>
      </c>
      <c r="Q10" s="410">
        <f>IF('Final Calculation Sheet'!$A$30="","",'Final Calculation Sheet'!$A$30)</f>
        <v/>
      </c>
      <c r="R10" s="74">
        <f>IF('Final Calculation Sheet'!$A$32="","",'Final Calculation Sheet'!$A$32)</f>
        <v/>
      </c>
      <c r="S10" s="410">
        <f>IF('Final Calculation Sheet'!$A$33="","",'Final Calculation Sheet'!$A$33)</f>
        <v/>
      </c>
      <c r="T10" s="74">
        <f>IF('Final Calculation Sheet'!$A$37="","",'Final Calculation Sheet'!$A$37)</f>
        <v/>
      </c>
      <c r="U10" s="410">
        <f>IF('Final Calculation Sheet'!$A$21="","",'Final Calculation Sheet'!$A$21)</f>
        <v/>
      </c>
      <c r="V10" s="74">
        <f>IF('Final Calculation Sheet'!$A$8="","",'Final Calculation Sheet'!$A$8)</f>
        <v/>
      </c>
      <c r="W10" s="410">
        <f>IF('Final Calculation Sheet'!$A$20="","",'Final Calculation Sheet'!$A$20)</f>
        <v/>
      </c>
      <c r="X10" s="74">
        <f>IF('Final Calculation Sheet'!$A$39="","",'Final Calculation Sheet'!$A$39)</f>
        <v/>
      </c>
      <c r="Y10" s="410">
        <f>IF('Final Calculation Sheet'!$A$40="","",'Final Calculation Sheet'!$A$40)</f>
        <v/>
      </c>
      <c r="Z10" s="74">
        <f>IF('Final Calculation Sheet'!$A$31="","",'Final Calculation Sheet'!$A$31)</f>
        <v/>
      </c>
      <c r="AA10" s="410">
        <f>IF('Final Calculation Sheet'!$A$9="","",'Final Calculation Sheet'!$A$9)</f>
        <v/>
      </c>
      <c r="AB10" s="74">
        <f>IF('Final Calculation Sheet'!$A$14="","",'Final Calculation Sheet'!$A$14)</f>
        <v/>
      </c>
      <c r="AC10" s="410">
        <f>IF('Final Calculation Sheet'!$A$13="","",'Final Calculation Sheet'!$A$13)</f>
        <v/>
      </c>
      <c r="AD10" s="74">
        <f>IF('Final Calculation Sheet'!$A$16="","",'Final Calculation Sheet'!$A$16)</f>
        <v/>
      </c>
      <c r="AE10" s="410">
        <f>IF('Final Calculation Sheet'!$A$17="","",'Final Calculation Sheet'!$A$17)</f>
        <v/>
      </c>
      <c r="AF10" s="74">
        <f>IF('Final Calculation Sheet'!$A$23="","",'Final Calculation Sheet'!$A$23)</f>
        <v/>
      </c>
      <c r="AG10" s="410">
        <f>IF('Final Calculation Sheet'!$A$29="","",'Final Calculation Sheet'!$A$29)</f>
        <v/>
      </c>
      <c r="AH10" s="74">
        <f>IF('Final Calculation Sheet'!$A$34="","",'Final Calculation Sheet'!$A$34)</f>
        <v/>
      </c>
      <c r="AI10" s="410">
        <f>IF('Final Calculation Sheet'!$A$36="","",'Final Calculation Sheet'!$A$36)</f>
        <v/>
      </c>
      <c r="AJ10" s="74">
        <f>IF('Final Calculation Sheet'!$A$25="","",'Final Calculation Sheet'!$A$25)</f>
        <v/>
      </c>
      <c r="AK10" s="410">
        <f>IF('Final Calculation Sheet'!$A$28="","",'Final Calculation Sheet'!$A$28)</f>
        <v/>
      </c>
      <c r="AL10" s="74">
        <f>IF('Final Calculation Sheet'!$A$35="","",'Final Calculation Sheet'!$A$35)</f>
        <v/>
      </c>
      <c r="AM10" s="411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412">
        <f>IF('Final Calculation Sheet'!$E$6="","",'Final Calculation Sheet'!$E$6)</f>
        <v/>
      </c>
      <c r="D11" s="76">
        <f>IF('Final Calculation Sheet'!$E$7="","",'Final Calculation Sheet'!$E$7)</f>
        <v/>
      </c>
      <c r="E11" s="412">
        <f>IF('Final Calculation Sheet'!$E$15="","",'Final Calculation Sheet'!$E$15)</f>
        <v/>
      </c>
      <c r="F11" s="76">
        <f>IF('Final Calculation Sheet'!$E$38="","",'Final Calculation Sheet'!$E$38)</f>
        <v/>
      </c>
      <c r="G11" s="412">
        <f>IF('Final Calculation Sheet'!$E$27="","",'Final Calculation Sheet'!$E$27)</f>
        <v/>
      </c>
      <c r="H11" s="76">
        <f>IF('Final Calculation Sheet'!$E$5="","",'Final Calculation Sheet'!$E$5)</f>
        <v/>
      </c>
      <c r="I11" s="412">
        <f>IF('Final Calculation Sheet'!$E$10="","",'Final Calculation Sheet'!$E$10)</f>
        <v/>
      </c>
      <c r="J11" s="76">
        <f>IF('Final Calculation Sheet'!$E$11="","",'Final Calculation Sheet'!$E$11)</f>
        <v/>
      </c>
      <c r="K11" s="412">
        <f>IF('Final Calculation Sheet'!$E$12="","",'Final Calculation Sheet'!$E$12)</f>
        <v/>
      </c>
      <c r="L11" s="76">
        <f>IF('Final Calculation Sheet'!$E$18="","",'Final Calculation Sheet'!$E$18)</f>
        <v/>
      </c>
      <c r="M11" s="412">
        <f>IF('Final Calculation Sheet'!$E$19="","",'Final Calculation Sheet'!$E$19)</f>
        <v/>
      </c>
      <c r="N11" s="76">
        <f>IF('Final Calculation Sheet'!$E$22="","",'Final Calculation Sheet'!$E$22)</f>
        <v/>
      </c>
      <c r="O11" s="412">
        <f>IF('Final Calculation Sheet'!$E$24="","",'Final Calculation Sheet'!$E$24)</f>
        <v/>
      </c>
      <c r="P11" s="76">
        <f>IF('Final Calculation Sheet'!$E$26="","",'Final Calculation Sheet'!$E$26)</f>
        <v/>
      </c>
      <c r="Q11" s="412">
        <f>IF('Final Calculation Sheet'!$E$30="","",'Final Calculation Sheet'!$E$30)</f>
        <v/>
      </c>
      <c r="R11" s="76">
        <f>IF('Final Calculation Sheet'!$E$32="","",'Final Calculation Sheet'!$E$32)</f>
        <v/>
      </c>
      <c r="S11" s="412">
        <f>IF('Final Calculation Sheet'!$E$33="","",'Final Calculation Sheet'!$E$33)</f>
        <v/>
      </c>
      <c r="T11" s="76">
        <f>IF('Final Calculation Sheet'!$E$37="","",'Final Calculation Sheet'!$E$37)</f>
        <v/>
      </c>
      <c r="U11" s="412">
        <f>IF('Final Calculation Sheet'!$E$21="","",'Final Calculation Sheet'!$E$21)</f>
        <v/>
      </c>
      <c r="V11" s="76">
        <f>IF('Final Calculation Sheet'!$E$8="","",'Final Calculation Sheet'!$E$8)</f>
        <v/>
      </c>
      <c r="W11" s="412">
        <f>IF('Final Calculation Sheet'!$E$20="","",'Final Calculation Sheet'!$E$20)</f>
        <v/>
      </c>
      <c r="X11" s="76">
        <f>IF('Final Calculation Sheet'!$E$39="","",'Final Calculation Sheet'!$E$39)</f>
        <v/>
      </c>
      <c r="Y11" s="412">
        <f>IF('Final Calculation Sheet'!$E$40="","",'Final Calculation Sheet'!$E$40)</f>
        <v/>
      </c>
      <c r="Z11" s="76">
        <f>IF('Final Calculation Sheet'!$E$31="","",'Final Calculation Sheet'!$E$31)</f>
        <v/>
      </c>
      <c r="AA11" s="412">
        <f>IF('Final Calculation Sheet'!$E$9="","",'Final Calculation Sheet'!$E$9)</f>
        <v/>
      </c>
      <c r="AB11" s="76">
        <f>IF('Final Calculation Sheet'!$E$14="","",'Final Calculation Sheet'!$E$14)</f>
        <v/>
      </c>
      <c r="AC11" s="412">
        <f>IF('Final Calculation Sheet'!$E$13="","",'Final Calculation Sheet'!$E$13)</f>
        <v/>
      </c>
      <c r="AD11" s="76">
        <f>IF('Final Calculation Sheet'!$E$16="","",'Final Calculation Sheet'!$E$16)</f>
        <v/>
      </c>
      <c r="AE11" s="412">
        <f>IF('Final Calculation Sheet'!$E$17="","",'Final Calculation Sheet'!$E$17)</f>
        <v/>
      </c>
      <c r="AF11" s="76">
        <f>IF('Final Calculation Sheet'!$E$23="","",'Final Calculation Sheet'!$E$23)</f>
        <v/>
      </c>
      <c r="AG11" s="412">
        <f>IF('Final Calculation Sheet'!$E$29="","",'Final Calculation Sheet'!$E$29)</f>
        <v/>
      </c>
      <c r="AH11" s="76">
        <f>IF('Final Calculation Sheet'!$E$34="","",'Final Calculation Sheet'!$E$34)</f>
        <v/>
      </c>
      <c r="AI11" s="412">
        <f>IF('Final Calculation Sheet'!$E$36="","",'Final Calculation Sheet'!$E$36)</f>
        <v/>
      </c>
      <c r="AJ11" s="76">
        <f>IF('Final Calculation Sheet'!$E$25="","",'Final Calculation Sheet'!$E$25)</f>
        <v/>
      </c>
      <c r="AK11" s="412">
        <f>IF('Final Calculation Sheet'!$E$28="","",'Final Calculation Sheet'!$E$28)</f>
        <v/>
      </c>
      <c r="AL11" s="76">
        <f>IF('Final Calculation Sheet'!$E$35="","",'Final Calculation Sheet'!$E$35)</f>
        <v/>
      </c>
      <c r="AM11" s="72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408">
        <f>IF('Final Calculation Sheet'!$C$6="","",'Final Calculation Sheet'!$C$6)</f>
        <v/>
      </c>
      <c r="D12" s="70">
        <f>IF('Final Calculation Sheet'!$C$7="","",'Final Calculation Sheet'!$C$7)</f>
        <v/>
      </c>
      <c r="E12" s="408">
        <f>IF('Final Calculation Sheet'!$C$15="","",'Final Calculation Sheet'!$C$15)</f>
        <v/>
      </c>
      <c r="F12" s="70">
        <f>IF('Final Calculation Sheet'!$C$38="","",'Final Calculation Sheet'!$C$38)</f>
        <v/>
      </c>
      <c r="G12" s="408">
        <f>IF('Final Calculation Sheet'!$C$27="","",'Final Calculation Sheet'!$C$27)</f>
        <v/>
      </c>
      <c r="H12" s="70">
        <f>IF('Final Calculation Sheet'!$C$5="","",'Final Calculation Sheet'!$C$5)</f>
        <v/>
      </c>
      <c r="I12" s="408">
        <f>IF('Final Calculation Sheet'!$C$10="","",'Final Calculation Sheet'!$C$10)</f>
        <v/>
      </c>
      <c r="J12" s="70">
        <f>IF('Final Calculation Sheet'!$C$11="","",'Final Calculation Sheet'!$C$11)</f>
        <v/>
      </c>
      <c r="K12" s="408">
        <f>IF('Final Calculation Sheet'!$C$12="","",'Final Calculation Sheet'!$C$12)</f>
        <v/>
      </c>
      <c r="L12" s="70">
        <f>IF('Final Calculation Sheet'!$C$18="","",'Final Calculation Sheet'!$C$18)</f>
        <v/>
      </c>
      <c r="M12" s="408">
        <f>IF('Final Calculation Sheet'!$C$19="","",'Final Calculation Sheet'!$C$19)</f>
        <v/>
      </c>
      <c r="N12" s="70">
        <f>IF('Final Calculation Sheet'!$C$22="","",'Final Calculation Sheet'!$C$22)</f>
        <v/>
      </c>
      <c r="O12" s="408">
        <f>IF('Final Calculation Sheet'!$C$24="","",'Final Calculation Sheet'!$C$24)</f>
        <v/>
      </c>
      <c r="P12" s="70">
        <f>IF('Final Calculation Sheet'!$C$26="","",'Final Calculation Sheet'!$C$26)</f>
        <v/>
      </c>
      <c r="Q12" s="408">
        <f>IF('Final Calculation Sheet'!$C$30="","",'Final Calculation Sheet'!$C$30)</f>
        <v/>
      </c>
      <c r="R12" s="70">
        <f>IF('Final Calculation Sheet'!$C$32="","",'Final Calculation Sheet'!$C$32)</f>
        <v/>
      </c>
      <c r="S12" s="408">
        <f>IF('Final Calculation Sheet'!$C$33="","",'Final Calculation Sheet'!$C$33)</f>
        <v/>
      </c>
      <c r="T12" s="70">
        <f>IF('Final Calculation Sheet'!$C$37="","",'Final Calculation Sheet'!$C$37)</f>
        <v/>
      </c>
      <c r="U12" s="408">
        <f>IF('Final Calculation Sheet'!$C$21="","",'Final Calculation Sheet'!$C$21)</f>
        <v/>
      </c>
      <c r="V12" s="70">
        <f>IF('Final Calculation Sheet'!$C$8="","",'Final Calculation Sheet'!$C$8)</f>
        <v/>
      </c>
      <c r="W12" s="408">
        <f>IF('Final Calculation Sheet'!$C$20="","",'Final Calculation Sheet'!$C$20)</f>
        <v/>
      </c>
      <c r="X12" s="70">
        <f>IF('Final Calculation Sheet'!$C$39="","",'Final Calculation Sheet'!$C$39)</f>
        <v/>
      </c>
      <c r="Y12" s="408">
        <f>IF('Final Calculation Sheet'!$C$40="","",'Final Calculation Sheet'!$C$40)</f>
        <v/>
      </c>
      <c r="Z12" s="70">
        <f>IF('Final Calculation Sheet'!$C$31="","",'Final Calculation Sheet'!$C$31)</f>
        <v/>
      </c>
      <c r="AA12" s="408">
        <f>IF('Final Calculation Sheet'!$C$9="","",'Final Calculation Sheet'!$C$9)</f>
        <v/>
      </c>
      <c r="AB12" s="70">
        <f>IF('Final Calculation Sheet'!$C$14="","",'Final Calculation Sheet'!$C$14)</f>
        <v/>
      </c>
      <c r="AC12" s="408">
        <f>IF('Final Calculation Sheet'!$C$13="","",'Final Calculation Sheet'!$C$13)</f>
        <v/>
      </c>
      <c r="AD12" s="70">
        <f>IF('Final Calculation Sheet'!$C$16="","",'Final Calculation Sheet'!$C$16)</f>
        <v/>
      </c>
      <c r="AE12" s="408">
        <f>IF('Final Calculation Sheet'!$C$17="","",'Final Calculation Sheet'!$C$17)</f>
        <v/>
      </c>
      <c r="AF12" s="70">
        <f>IF('Final Calculation Sheet'!$C$23="","",'Final Calculation Sheet'!$C$23)</f>
        <v/>
      </c>
      <c r="AG12" s="408">
        <f>IF('Final Calculation Sheet'!$C$29="","",'Final Calculation Sheet'!$C$29)</f>
        <v/>
      </c>
      <c r="AH12" s="70">
        <f>IF('Final Calculation Sheet'!$C$34="","",'Final Calculation Sheet'!$C$34)</f>
        <v/>
      </c>
      <c r="AI12" s="408">
        <f>IF('Final Calculation Sheet'!$C$36="","",'Final Calculation Sheet'!$C$36)</f>
        <v/>
      </c>
      <c r="AJ12" s="70">
        <f>IF('Final Calculation Sheet'!$C$25="","",'Final Calculation Sheet'!$C$25)</f>
        <v/>
      </c>
      <c r="AK12" s="408">
        <f>IF('Final Calculation Sheet'!$C$28="","",'Final Calculation Sheet'!$C$28)</f>
        <v/>
      </c>
      <c r="AL12" s="70">
        <f>IF('Final Calculation Sheet'!$C$35="","",'Final Calculation Sheet'!$C$35)</f>
        <v/>
      </c>
      <c r="AM12" s="72" t="inlineStr">
        <is>
          <t>–</t>
        </is>
      </c>
    </row>
    <row r="13" ht="17" customHeight="1">
      <c r="A13" s="413" t="inlineStr">
        <is>
          <t xml:space="preserve">  ▸ FINANCIALS</t>
        </is>
      </c>
      <c r="B13" s="385" t="n"/>
      <c r="C13" s="385" t="n"/>
      <c r="D13" s="385" t="n"/>
      <c r="E13" s="385" t="n"/>
      <c r="F13" s="385" t="n"/>
      <c r="G13" s="385" t="n"/>
      <c r="H13" s="385" t="n"/>
      <c r="I13" s="385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  <c r="S13" s="385" t="n"/>
      <c r="T13" s="385" t="n"/>
      <c r="U13" s="385" t="n"/>
      <c r="V13" s="385" t="n"/>
      <c r="W13" s="385" t="n"/>
      <c r="X13" s="385" t="n"/>
      <c r="Y13" s="385" t="n"/>
      <c r="Z13" s="385" t="n"/>
      <c r="AA13" s="385" t="n"/>
      <c r="AB13" s="385" t="n"/>
      <c r="AC13" s="385" t="n"/>
      <c r="AD13" s="385" t="n"/>
      <c r="AE13" s="385" t="n"/>
      <c r="AF13" s="385" t="n"/>
      <c r="AG13" s="385" t="n"/>
      <c r="AH13" s="385" t="n"/>
      <c r="AI13" s="385" t="n"/>
      <c r="AJ13" s="385" t="n"/>
      <c r="AK13" s="385" t="n"/>
      <c r="AL13" s="385" t="n"/>
      <c r="AM13" s="385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408">
        <f>IF('Final Calculation Sheet'!$H$6="","",'Final Calculation Sheet'!$H$6)</f>
        <v/>
      </c>
      <c r="D14" s="70">
        <f>IF('Final Calculation Sheet'!$H$7="","",'Final Calculation Sheet'!$H$7)</f>
        <v/>
      </c>
      <c r="E14" s="408">
        <f>IF('Final Calculation Sheet'!$H$15="","",'Final Calculation Sheet'!$H$15)</f>
        <v/>
      </c>
      <c r="F14" s="70">
        <f>IF('Final Calculation Sheet'!$H$38="","",'Final Calculation Sheet'!$H$38)</f>
        <v/>
      </c>
      <c r="G14" s="408">
        <f>IF('Final Calculation Sheet'!$H$27="","",'Final Calculation Sheet'!$H$27)</f>
        <v/>
      </c>
      <c r="H14" s="70">
        <f>IF('Final Calculation Sheet'!$H$5="","",'Final Calculation Sheet'!$H$5)</f>
        <v/>
      </c>
      <c r="I14" s="408">
        <f>IF('Final Calculation Sheet'!$H$10="","",'Final Calculation Sheet'!$H$10)</f>
        <v/>
      </c>
      <c r="J14" s="70">
        <f>IF('Final Calculation Sheet'!$H$11="","",'Final Calculation Sheet'!$H$11)</f>
        <v/>
      </c>
      <c r="K14" s="408">
        <f>IF('Final Calculation Sheet'!$H$12="","",'Final Calculation Sheet'!$H$12)</f>
        <v/>
      </c>
      <c r="L14" s="70">
        <f>IF('Final Calculation Sheet'!$H$18="","",'Final Calculation Sheet'!$H$18)</f>
        <v/>
      </c>
      <c r="M14" s="408">
        <f>IF('Final Calculation Sheet'!$H$19="","",'Final Calculation Sheet'!$H$19)</f>
        <v/>
      </c>
      <c r="N14" s="70">
        <f>IF('Final Calculation Sheet'!$H$22="","",'Final Calculation Sheet'!$H$22)</f>
        <v/>
      </c>
      <c r="O14" s="408">
        <f>IF('Final Calculation Sheet'!$H$24="","",'Final Calculation Sheet'!$H$24)</f>
        <v/>
      </c>
      <c r="P14" s="70">
        <f>IF('Final Calculation Sheet'!$H$26="","",'Final Calculation Sheet'!$H$26)</f>
        <v/>
      </c>
      <c r="Q14" s="408">
        <f>IF('Final Calculation Sheet'!$H$30="","",'Final Calculation Sheet'!$H$30)</f>
        <v/>
      </c>
      <c r="R14" s="70">
        <f>IF('Final Calculation Sheet'!$H$32="","",'Final Calculation Sheet'!$H$32)</f>
        <v/>
      </c>
      <c r="S14" s="408">
        <f>IF('Final Calculation Sheet'!$H$33="","",'Final Calculation Sheet'!$H$33)</f>
        <v/>
      </c>
      <c r="T14" s="70">
        <f>IF('Final Calculation Sheet'!$H$37="","",'Final Calculation Sheet'!$H$37)</f>
        <v/>
      </c>
      <c r="U14" s="408">
        <f>IF('Final Calculation Sheet'!$H$21="","",'Final Calculation Sheet'!$H$21)</f>
        <v/>
      </c>
      <c r="V14" s="70">
        <f>IF('Final Calculation Sheet'!$H$8="","",'Final Calculation Sheet'!$H$8)</f>
        <v/>
      </c>
      <c r="W14" s="408">
        <f>IF('Final Calculation Sheet'!$H$20="","",'Final Calculation Sheet'!$H$20)</f>
        <v/>
      </c>
      <c r="X14" s="70">
        <f>IF('Final Calculation Sheet'!$H$39="","",'Final Calculation Sheet'!$H$39)</f>
        <v/>
      </c>
      <c r="Y14" s="408">
        <f>IF('Final Calculation Sheet'!$H$40="","",'Final Calculation Sheet'!$H$40)</f>
        <v/>
      </c>
      <c r="Z14" s="70">
        <f>IF('Final Calculation Sheet'!$H$31="","",'Final Calculation Sheet'!$H$31)</f>
        <v/>
      </c>
      <c r="AA14" s="408">
        <f>IF('Final Calculation Sheet'!$H$9="","",'Final Calculation Sheet'!$H$9)</f>
        <v/>
      </c>
      <c r="AB14" s="70">
        <f>IF('Final Calculation Sheet'!$H$14="","",'Final Calculation Sheet'!$H$14)</f>
        <v/>
      </c>
      <c r="AC14" s="408">
        <f>IF('Final Calculation Sheet'!$H$13="","",'Final Calculation Sheet'!$H$13)</f>
        <v/>
      </c>
      <c r="AD14" s="70">
        <f>IF('Final Calculation Sheet'!$H$16="","",'Final Calculation Sheet'!$H$16)</f>
        <v/>
      </c>
      <c r="AE14" s="408">
        <f>IF('Final Calculation Sheet'!$H$17="","",'Final Calculation Sheet'!$H$17)</f>
        <v/>
      </c>
      <c r="AF14" s="70">
        <f>IF('Final Calculation Sheet'!$H$23="","",'Final Calculation Sheet'!$H$23)</f>
        <v/>
      </c>
      <c r="AG14" s="408">
        <f>IF('Final Calculation Sheet'!$H$29="","",'Final Calculation Sheet'!$H$29)</f>
        <v/>
      </c>
      <c r="AH14" s="70">
        <f>IF('Final Calculation Sheet'!$H$34="","",'Final Calculation Sheet'!$H$34)</f>
        <v/>
      </c>
      <c r="AI14" s="408">
        <f>IF('Final Calculation Sheet'!$H$36="","",'Final Calculation Sheet'!$H$36)</f>
        <v/>
      </c>
      <c r="AJ14" s="70">
        <f>IF('Final Calculation Sheet'!$H$25="","",'Final Calculation Sheet'!$H$25)</f>
        <v/>
      </c>
      <c r="AK14" s="408">
        <f>IF('Final Calculation Sheet'!$H$28="","",'Final Calculation Sheet'!$H$28)</f>
        <v/>
      </c>
      <c r="AL14" s="70">
        <f>IF('Final Calculation Sheet'!$H$35="","",'Final Calculation Sheet'!$H$35)</f>
        <v/>
      </c>
      <c r="AM14" s="414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408">
        <f>IF('Final Calculation Sheet'!$I$6="","",'Final Calculation Sheet'!$I$6)</f>
        <v/>
      </c>
      <c r="D15" s="70">
        <f>IF('Final Calculation Sheet'!$I$7="","",'Final Calculation Sheet'!$I$7)</f>
        <v/>
      </c>
      <c r="E15" s="408">
        <f>IF('Final Calculation Sheet'!$I$15="","",'Final Calculation Sheet'!$I$15)</f>
        <v/>
      </c>
      <c r="F15" s="70">
        <f>IF('Final Calculation Sheet'!$I$38="","",'Final Calculation Sheet'!$I$38)</f>
        <v/>
      </c>
      <c r="G15" s="408">
        <f>IF('Final Calculation Sheet'!$I$27="","",'Final Calculation Sheet'!$I$27)</f>
        <v/>
      </c>
      <c r="H15" s="70">
        <f>IF('Final Calculation Sheet'!$I$5="","",'Final Calculation Sheet'!$I$5)</f>
        <v/>
      </c>
      <c r="I15" s="408">
        <f>IF('Final Calculation Sheet'!$I$10="","",'Final Calculation Sheet'!$I$10)</f>
        <v/>
      </c>
      <c r="J15" s="70">
        <f>IF('Final Calculation Sheet'!$I$11="","",'Final Calculation Sheet'!$I$11)</f>
        <v/>
      </c>
      <c r="K15" s="408">
        <f>IF('Final Calculation Sheet'!$I$12="","",'Final Calculation Sheet'!$I$12)</f>
        <v/>
      </c>
      <c r="L15" s="70">
        <f>IF('Final Calculation Sheet'!$I$18="","",'Final Calculation Sheet'!$I$18)</f>
        <v/>
      </c>
      <c r="M15" s="408">
        <f>IF('Final Calculation Sheet'!$I$19="","",'Final Calculation Sheet'!$I$19)</f>
        <v/>
      </c>
      <c r="N15" s="70">
        <f>IF('Final Calculation Sheet'!$I$22="","",'Final Calculation Sheet'!$I$22)</f>
        <v/>
      </c>
      <c r="O15" s="408">
        <f>IF('Final Calculation Sheet'!$I$24="","",'Final Calculation Sheet'!$I$24)</f>
        <v/>
      </c>
      <c r="P15" s="70">
        <f>IF('Final Calculation Sheet'!$I$26="","",'Final Calculation Sheet'!$I$26)</f>
        <v/>
      </c>
      <c r="Q15" s="408">
        <f>IF('Final Calculation Sheet'!$I$30="","",'Final Calculation Sheet'!$I$30)</f>
        <v/>
      </c>
      <c r="R15" s="70">
        <f>IF('Final Calculation Sheet'!$I$32="","",'Final Calculation Sheet'!$I$32)</f>
        <v/>
      </c>
      <c r="S15" s="408">
        <f>IF('Final Calculation Sheet'!$I$33="","",'Final Calculation Sheet'!$I$33)</f>
        <v/>
      </c>
      <c r="T15" s="70">
        <f>IF('Final Calculation Sheet'!$I$37="","",'Final Calculation Sheet'!$I$37)</f>
        <v/>
      </c>
      <c r="U15" s="408">
        <f>IF('Final Calculation Sheet'!$I$21="","",'Final Calculation Sheet'!$I$21)</f>
        <v/>
      </c>
      <c r="V15" s="70">
        <f>IF('Final Calculation Sheet'!$I$8="","",'Final Calculation Sheet'!$I$8)</f>
        <v/>
      </c>
      <c r="W15" s="408">
        <f>IF('Final Calculation Sheet'!$I$20="","",'Final Calculation Sheet'!$I$20)</f>
        <v/>
      </c>
      <c r="X15" s="70">
        <f>IF('Final Calculation Sheet'!$I$39="","",'Final Calculation Sheet'!$I$39)</f>
        <v/>
      </c>
      <c r="Y15" s="408">
        <f>IF('Final Calculation Sheet'!$I$40="","",'Final Calculation Sheet'!$I$40)</f>
        <v/>
      </c>
      <c r="Z15" s="70">
        <f>IF('Final Calculation Sheet'!$I$31="","",'Final Calculation Sheet'!$I$31)</f>
        <v/>
      </c>
      <c r="AA15" s="408">
        <f>IF('Final Calculation Sheet'!$I$9="","",'Final Calculation Sheet'!$I$9)</f>
        <v/>
      </c>
      <c r="AB15" s="70">
        <f>IF('Final Calculation Sheet'!$I$14="","",'Final Calculation Sheet'!$I$14)</f>
        <v/>
      </c>
      <c r="AC15" s="408">
        <f>IF('Final Calculation Sheet'!$I$13="","",'Final Calculation Sheet'!$I$13)</f>
        <v/>
      </c>
      <c r="AD15" s="70">
        <f>IF('Final Calculation Sheet'!$I$16="","",'Final Calculation Sheet'!$I$16)</f>
        <v/>
      </c>
      <c r="AE15" s="408">
        <f>IF('Final Calculation Sheet'!$I$17="","",'Final Calculation Sheet'!$I$17)</f>
        <v/>
      </c>
      <c r="AF15" s="70">
        <f>IF('Final Calculation Sheet'!$I$23="","",'Final Calculation Sheet'!$I$23)</f>
        <v/>
      </c>
      <c r="AG15" s="408">
        <f>IF('Final Calculation Sheet'!$I$29="","",'Final Calculation Sheet'!$I$29)</f>
        <v/>
      </c>
      <c r="AH15" s="70">
        <f>IF('Final Calculation Sheet'!$I$34="","",'Final Calculation Sheet'!$I$34)</f>
        <v/>
      </c>
      <c r="AI15" s="408">
        <f>IF('Final Calculation Sheet'!$I$36="","",'Final Calculation Sheet'!$I$36)</f>
        <v/>
      </c>
      <c r="AJ15" s="70">
        <f>IF('Final Calculation Sheet'!$I$25="","",'Final Calculation Sheet'!$I$25)</f>
        <v/>
      </c>
      <c r="AK15" s="408">
        <f>IF('Final Calculation Sheet'!$I$28="","",'Final Calculation Sheet'!$I$28)</f>
        <v/>
      </c>
      <c r="AL15" s="70">
        <f>IF('Final Calculation Sheet'!$I$35="","",'Final Calculation Sheet'!$I$35)</f>
        <v/>
      </c>
      <c r="AM15" s="414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408">
        <f>IF('Final Calculation Sheet'!$J$6="","",'Final Calculation Sheet'!$J$6)</f>
        <v/>
      </c>
      <c r="D16" s="70">
        <f>IF('Final Calculation Sheet'!$J$7="","",'Final Calculation Sheet'!$J$7)</f>
        <v/>
      </c>
      <c r="E16" s="408">
        <f>IF('Final Calculation Sheet'!$J$15="","",'Final Calculation Sheet'!$J$15)</f>
        <v/>
      </c>
      <c r="F16" s="70">
        <f>IF('Final Calculation Sheet'!$J$38="","",'Final Calculation Sheet'!$J$38)</f>
        <v/>
      </c>
      <c r="G16" s="408">
        <f>IF('Final Calculation Sheet'!$J$27="","",'Final Calculation Sheet'!$J$27)</f>
        <v/>
      </c>
      <c r="H16" s="70">
        <f>IF('Final Calculation Sheet'!$J$5="","",'Final Calculation Sheet'!$J$5)</f>
        <v/>
      </c>
      <c r="I16" s="408">
        <f>IF('Final Calculation Sheet'!$J$10="","",'Final Calculation Sheet'!$J$10)</f>
        <v/>
      </c>
      <c r="J16" s="70">
        <f>IF('Final Calculation Sheet'!$J$11="","",'Final Calculation Sheet'!$J$11)</f>
        <v/>
      </c>
      <c r="K16" s="408">
        <f>IF('Final Calculation Sheet'!$J$12="","",'Final Calculation Sheet'!$J$12)</f>
        <v/>
      </c>
      <c r="L16" s="70">
        <f>IF('Final Calculation Sheet'!$J$18="","",'Final Calculation Sheet'!$J$18)</f>
        <v/>
      </c>
      <c r="M16" s="408">
        <f>IF('Final Calculation Sheet'!$J$19="","",'Final Calculation Sheet'!$J$19)</f>
        <v/>
      </c>
      <c r="N16" s="70">
        <f>IF('Final Calculation Sheet'!$J$22="","",'Final Calculation Sheet'!$J$22)</f>
        <v/>
      </c>
      <c r="O16" s="408">
        <f>IF('Final Calculation Sheet'!$J$24="","",'Final Calculation Sheet'!$J$24)</f>
        <v/>
      </c>
      <c r="P16" s="70">
        <f>IF('Final Calculation Sheet'!$J$26="","",'Final Calculation Sheet'!$J$26)</f>
        <v/>
      </c>
      <c r="Q16" s="408">
        <f>IF('Final Calculation Sheet'!$J$30="","",'Final Calculation Sheet'!$J$30)</f>
        <v/>
      </c>
      <c r="R16" s="70">
        <f>IF('Final Calculation Sheet'!$J$32="","",'Final Calculation Sheet'!$J$32)</f>
        <v/>
      </c>
      <c r="S16" s="408">
        <f>IF('Final Calculation Sheet'!$J$33="","",'Final Calculation Sheet'!$J$33)</f>
        <v/>
      </c>
      <c r="T16" s="70">
        <f>IF('Final Calculation Sheet'!$J$37="","",'Final Calculation Sheet'!$J$37)</f>
        <v/>
      </c>
      <c r="U16" s="408">
        <f>IF('Final Calculation Sheet'!$J$21="","",'Final Calculation Sheet'!$J$21)</f>
        <v/>
      </c>
      <c r="V16" s="70">
        <f>IF('Final Calculation Sheet'!$J$8="","",'Final Calculation Sheet'!$J$8)</f>
        <v/>
      </c>
      <c r="W16" s="408">
        <f>IF('Final Calculation Sheet'!$J$20="","",'Final Calculation Sheet'!$J$20)</f>
        <v/>
      </c>
      <c r="X16" s="70">
        <f>IF('Final Calculation Sheet'!$J$39="","",'Final Calculation Sheet'!$J$39)</f>
        <v/>
      </c>
      <c r="Y16" s="408">
        <f>IF('Final Calculation Sheet'!$J$40="","",'Final Calculation Sheet'!$J$40)</f>
        <v/>
      </c>
      <c r="Z16" s="70">
        <f>IF('Final Calculation Sheet'!$J$31="","",'Final Calculation Sheet'!$J$31)</f>
        <v/>
      </c>
      <c r="AA16" s="408">
        <f>IF('Final Calculation Sheet'!$J$9="","",'Final Calculation Sheet'!$J$9)</f>
        <v/>
      </c>
      <c r="AB16" s="70">
        <f>IF('Final Calculation Sheet'!$J$14="","",'Final Calculation Sheet'!$J$14)</f>
        <v/>
      </c>
      <c r="AC16" s="408">
        <f>IF('Final Calculation Sheet'!$J$13="","",'Final Calculation Sheet'!$J$13)</f>
        <v/>
      </c>
      <c r="AD16" s="70">
        <f>IF('Final Calculation Sheet'!$J$16="","",'Final Calculation Sheet'!$J$16)</f>
        <v/>
      </c>
      <c r="AE16" s="408">
        <f>IF('Final Calculation Sheet'!$J$17="","",'Final Calculation Sheet'!$J$17)</f>
        <v/>
      </c>
      <c r="AF16" s="70">
        <f>IF('Final Calculation Sheet'!$J$23="","",'Final Calculation Sheet'!$J$23)</f>
        <v/>
      </c>
      <c r="AG16" s="408">
        <f>IF('Final Calculation Sheet'!$J$29="","",'Final Calculation Sheet'!$J$29)</f>
        <v/>
      </c>
      <c r="AH16" s="70">
        <f>IF('Final Calculation Sheet'!$J$34="","",'Final Calculation Sheet'!$J$34)</f>
        <v/>
      </c>
      <c r="AI16" s="408">
        <f>IF('Final Calculation Sheet'!$J$36="","",'Final Calculation Sheet'!$J$36)</f>
        <v/>
      </c>
      <c r="AJ16" s="70">
        <f>IF('Final Calculation Sheet'!$J$25="","",'Final Calculation Sheet'!$J$25)</f>
        <v/>
      </c>
      <c r="AK16" s="408">
        <f>IF('Final Calculation Sheet'!$J$28="","",'Final Calculation Sheet'!$J$28)</f>
        <v/>
      </c>
      <c r="AL16" s="70">
        <f>IF('Final Calculation Sheet'!$J$35="","",'Final Calculation Sheet'!$J$35)</f>
        <v/>
      </c>
      <c r="AM16" s="414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408">
        <f>IF('Final Calculation Sheet'!$K$6="","",'Final Calculation Sheet'!$K$6)</f>
        <v/>
      </c>
      <c r="D17" s="70">
        <f>IF('Final Calculation Sheet'!$K$7="","",'Final Calculation Sheet'!$K$7)</f>
        <v/>
      </c>
      <c r="E17" s="408">
        <f>IF('Final Calculation Sheet'!$K$15="","",'Final Calculation Sheet'!$K$15)</f>
        <v/>
      </c>
      <c r="F17" s="70">
        <f>IF('Final Calculation Sheet'!$K$38="","",'Final Calculation Sheet'!$K$38)</f>
        <v/>
      </c>
      <c r="G17" s="408">
        <f>IF('Final Calculation Sheet'!$K$27="","",'Final Calculation Sheet'!$K$27)</f>
        <v/>
      </c>
      <c r="H17" s="70">
        <f>IF('Final Calculation Sheet'!$K$5="","",'Final Calculation Sheet'!$K$5)</f>
        <v/>
      </c>
      <c r="I17" s="408">
        <f>IF('Final Calculation Sheet'!$K$10="","",'Final Calculation Sheet'!$K$10)</f>
        <v/>
      </c>
      <c r="J17" s="70">
        <f>IF('Final Calculation Sheet'!$K$11="","",'Final Calculation Sheet'!$K$11)</f>
        <v/>
      </c>
      <c r="K17" s="408">
        <f>IF('Final Calculation Sheet'!$K$12="","",'Final Calculation Sheet'!$K$12)</f>
        <v/>
      </c>
      <c r="L17" s="70">
        <f>IF('Final Calculation Sheet'!$K$18="","",'Final Calculation Sheet'!$K$18)</f>
        <v/>
      </c>
      <c r="M17" s="408">
        <f>IF('Final Calculation Sheet'!$K$19="","",'Final Calculation Sheet'!$K$19)</f>
        <v/>
      </c>
      <c r="N17" s="70">
        <f>IF('Final Calculation Sheet'!$K$22="","",'Final Calculation Sheet'!$K$22)</f>
        <v/>
      </c>
      <c r="O17" s="408">
        <f>IF('Final Calculation Sheet'!$K$24="","",'Final Calculation Sheet'!$K$24)</f>
        <v/>
      </c>
      <c r="P17" s="70">
        <f>IF('Final Calculation Sheet'!$K$26="","",'Final Calculation Sheet'!$K$26)</f>
        <v/>
      </c>
      <c r="Q17" s="408">
        <f>IF('Final Calculation Sheet'!$K$30="","",'Final Calculation Sheet'!$K$30)</f>
        <v/>
      </c>
      <c r="R17" s="70">
        <f>IF('Final Calculation Sheet'!$K$32="","",'Final Calculation Sheet'!$K$32)</f>
        <v/>
      </c>
      <c r="S17" s="408">
        <f>IF('Final Calculation Sheet'!$K$33="","",'Final Calculation Sheet'!$K$33)</f>
        <v/>
      </c>
      <c r="T17" s="70">
        <f>IF('Final Calculation Sheet'!$K$37="","",'Final Calculation Sheet'!$K$37)</f>
        <v/>
      </c>
      <c r="U17" s="408">
        <f>IF('Final Calculation Sheet'!$K$21="","",'Final Calculation Sheet'!$K$21)</f>
        <v/>
      </c>
      <c r="V17" s="70">
        <f>IF('Final Calculation Sheet'!$K$8="","",'Final Calculation Sheet'!$K$8)</f>
        <v/>
      </c>
      <c r="W17" s="408">
        <f>IF('Final Calculation Sheet'!$K$20="","",'Final Calculation Sheet'!$K$20)</f>
        <v/>
      </c>
      <c r="X17" s="70">
        <f>IF('Final Calculation Sheet'!$K$39="","",'Final Calculation Sheet'!$K$39)</f>
        <v/>
      </c>
      <c r="Y17" s="408">
        <f>IF('Final Calculation Sheet'!$K$40="","",'Final Calculation Sheet'!$K$40)</f>
        <v/>
      </c>
      <c r="Z17" s="70">
        <f>IF('Final Calculation Sheet'!$K$31="","",'Final Calculation Sheet'!$K$31)</f>
        <v/>
      </c>
      <c r="AA17" s="408">
        <f>IF('Final Calculation Sheet'!$K$9="","",'Final Calculation Sheet'!$K$9)</f>
        <v/>
      </c>
      <c r="AB17" s="70">
        <f>IF('Final Calculation Sheet'!$K$14="","",'Final Calculation Sheet'!$K$14)</f>
        <v/>
      </c>
      <c r="AC17" s="408">
        <f>IF('Final Calculation Sheet'!$K$13="","",'Final Calculation Sheet'!$K$13)</f>
        <v/>
      </c>
      <c r="AD17" s="70">
        <f>IF('Final Calculation Sheet'!$K$16="","",'Final Calculation Sheet'!$K$16)</f>
        <v/>
      </c>
      <c r="AE17" s="408">
        <f>IF('Final Calculation Sheet'!$K$17="","",'Final Calculation Sheet'!$K$17)</f>
        <v/>
      </c>
      <c r="AF17" s="70">
        <f>IF('Final Calculation Sheet'!$K$23="","",'Final Calculation Sheet'!$K$23)</f>
        <v/>
      </c>
      <c r="AG17" s="408">
        <f>IF('Final Calculation Sheet'!$K$29="","",'Final Calculation Sheet'!$K$29)</f>
        <v/>
      </c>
      <c r="AH17" s="70">
        <f>IF('Final Calculation Sheet'!$K$34="","",'Final Calculation Sheet'!$K$34)</f>
        <v/>
      </c>
      <c r="AI17" s="408">
        <f>IF('Final Calculation Sheet'!$K$36="","",'Final Calculation Sheet'!$K$36)</f>
        <v/>
      </c>
      <c r="AJ17" s="70">
        <f>IF('Final Calculation Sheet'!$K$25="","",'Final Calculation Sheet'!$K$25)</f>
        <v/>
      </c>
      <c r="AK17" s="408">
        <f>IF('Final Calculation Sheet'!$K$28="","",'Final Calculation Sheet'!$K$28)</f>
        <v/>
      </c>
      <c r="AL17" s="70">
        <f>IF('Final Calculation Sheet'!$K$35="","",'Final Calculation Sheet'!$K$35)</f>
        <v/>
      </c>
      <c r="AM17" s="414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415">
        <f>IF('Final Calculation Sheet'!$L$6="","",'Final Calculation Sheet'!$L$6)</f>
        <v/>
      </c>
      <c r="D18" s="78">
        <f>IF('Final Calculation Sheet'!$L$7="","",'Final Calculation Sheet'!$L$7)</f>
        <v/>
      </c>
      <c r="E18" s="415">
        <f>IF('Final Calculation Sheet'!$L$15="","",'Final Calculation Sheet'!$L$15)</f>
        <v/>
      </c>
      <c r="F18" s="78">
        <f>IF('Final Calculation Sheet'!$L$38="","",'Final Calculation Sheet'!$L$38)</f>
        <v/>
      </c>
      <c r="G18" s="415">
        <f>IF('Final Calculation Sheet'!$L$27="","",'Final Calculation Sheet'!$L$27)</f>
        <v/>
      </c>
      <c r="H18" s="78">
        <f>IF('Final Calculation Sheet'!$L$5="","",'Final Calculation Sheet'!$L$5)</f>
        <v/>
      </c>
      <c r="I18" s="415">
        <f>IF('Final Calculation Sheet'!$L$10="","",'Final Calculation Sheet'!$L$10)</f>
        <v/>
      </c>
      <c r="J18" s="78">
        <f>IF('Final Calculation Sheet'!$L$11="","",'Final Calculation Sheet'!$L$11)</f>
        <v/>
      </c>
      <c r="K18" s="415">
        <f>IF('Final Calculation Sheet'!$L$12="","",'Final Calculation Sheet'!$L$12)</f>
        <v/>
      </c>
      <c r="L18" s="78">
        <f>IF('Final Calculation Sheet'!$L$18="","",'Final Calculation Sheet'!$L$18)</f>
        <v/>
      </c>
      <c r="M18" s="415">
        <f>IF('Final Calculation Sheet'!$L$19="","",'Final Calculation Sheet'!$L$19)</f>
        <v/>
      </c>
      <c r="N18" s="78">
        <f>IF('Final Calculation Sheet'!$L$22="","",'Final Calculation Sheet'!$L$22)</f>
        <v/>
      </c>
      <c r="O18" s="415">
        <f>IF('Final Calculation Sheet'!$L$24="","",'Final Calculation Sheet'!$L$24)</f>
        <v/>
      </c>
      <c r="P18" s="78">
        <f>IF('Final Calculation Sheet'!$L$26="","",'Final Calculation Sheet'!$L$26)</f>
        <v/>
      </c>
      <c r="Q18" s="415">
        <f>IF('Final Calculation Sheet'!$L$30="","",'Final Calculation Sheet'!$L$30)</f>
        <v/>
      </c>
      <c r="R18" s="78">
        <f>IF('Final Calculation Sheet'!$L$32="","",'Final Calculation Sheet'!$L$32)</f>
        <v/>
      </c>
      <c r="S18" s="415">
        <f>IF('Final Calculation Sheet'!$L$33="","",'Final Calculation Sheet'!$L$33)</f>
        <v/>
      </c>
      <c r="T18" s="78">
        <f>IF('Final Calculation Sheet'!$L$37="","",'Final Calculation Sheet'!$L$37)</f>
        <v/>
      </c>
      <c r="U18" s="415">
        <f>IF('Final Calculation Sheet'!$L$21="","",'Final Calculation Sheet'!$L$21)</f>
        <v/>
      </c>
      <c r="V18" s="78">
        <f>IF('Final Calculation Sheet'!$L$8="","",'Final Calculation Sheet'!$L$8)</f>
        <v/>
      </c>
      <c r="W18" s="415">
        <f>IF('Final Calculation Sheet'!$L$20="","",'Final Calculation Sheet'!$L$20)</f>
        <v/>
      </c>
      <c r="X18" s="78">
        <f>IF('Final Calculation Sheet'!$L$39="","",'Final Calculation Sheet'!$L$39)</f>
        <v/>
      </c>
      <c r="Y18" s="415">
        <f>IF('Final Calculation Sheet'!$L$40="","",'Final Calculation Sheet'!$L$40)</f>
        <v/>
      </c>
      <c r="Z18" s="78">
        <f>IF('Final Calculation Sheet'!$L$31="","",'Final Calculation Sheet'!$L$31)</f>
        <v/>
      </c>
      <c r="AA18" s="415">
        <f>IF('Final Calculation Sheet'!$L$9="","",'Final Calculation Sheet'!$L$9)</f>
        <v/>
      </c>
      <c r="AB18" s="78">
        <f>IF('Final Calculation Sheet'!$L$14="","",'Final Calculation Sheet'!$L$14)</f>
        <v/>
      </c>
      <c r="AC18" s="415">
        <f>IF('Final Calculation Sheet'!$L$13="","",'Final Calculation Sheet'!$L$13)</f>
        <v/>
      </c>
      <c r="AD18" s="78">
        <f>IF('Final Calculation Sheet'!$L$16="","",'Final Calculation Sheet'!$L$16)</f>
        <v/>
      </c>
      <c r="AE18" s="415">
        <f>IF('Final Calculation Sheet'!$L$17="","",'Final Calculation Sheet'!$L$17)</f>
        <v/>
      </c>
      <c r="AF18" s="78">
        <f>IF('Final Calculation Sheet'!$L$23="","",'Final Calculation Sheet'!$L$23)</f>
        <v/>
      </c>
      <c r="AG18" s="415">
        <f>IF('Final Calculation Sheet'!$L$29="","",'Final Calculation Sheet'!$L$29)</f>
        <v/>
      </c>
      <c r="AH18" s="78">
        <f>IF('Final Calculation Sheet'!$L$34="","",'Final Calculation Sheet'!$L$34)</f>
        <v/>
      </c>
      <c r="AI18" s="415">
        <f>IF('Final Calculation Sheet'!$L$36="","",'Final Calculation Sheet'!$L$36)</f>
        <v/>
      </c>
      <c r="AJ18" s="78">
        <f>IF('Final Calculation Sheet'!$L$25="","",'Final Calculation Sheet'!$L$25)</f>
        <v/>
      </c>
      <c r="AK18" s="415">
        <f>IF('Final Calculation Sheet'!$L$28="","",'Final Calculation Sheet'!$L$28)</f>
        <v/>
      </c>
      <c r="AL18" s="78">
        <f>IF('Final Calculation Sheet'!$L$35="","",'Final Calculation Sheet'!$L$35)</f>
        <v/>
      </c>
      <c r="AM18" s="416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415">
        <f>IF('Final Calculation Sheet'!$M$6="","",'Final Calculation Sheet'!$M$6)</f>
        <v/>
      </c>
      <c r="D19" s="78">
        <f>IF('Final Calculation Sheet'!$M$7="","",'Final Calculation Sheet'!$M$7)</f>
        <v/>
      </c>
      <c r="E19" s="415">
        <f>IF('Final Calculation Sheet'!$M$15="","",'Final Calculation Sheet'!$M$15)</f>
        <v/>
      </c>
      <c r="F19" s="78">
        <f>IF('Final Calculation Sheet'!$M$38="","",'Final Calculation Sheet'!$M$38)</f>
        <v/>
      </c>
      <c r="G19" s="415">
        <f>IF('Final Calculation Sheet'!$M$27="","",'Final Calculation Sheet'!$M$27)</f>
        <v/>
      </c>
      <c r="H19" s="78">
        <f>IF('Final Calculation Sheet'!$M$5="","",'Final Calculation Sheet'!$M$5)</f>
        <v/>
      </c>
      <c r="I19" s="415">
        <f>IF('Final Calculation Sheet'!$M$10="","",'Final Calculation Sheet'!$M$10)</f>
        <v/>
      </c>
      <c r="J19" s="78">
        <f>IF('Final Calculation Sheet'!$M$11="","",'Final Calculation Sheet'!$M$11)</f>
        <v/>
      </c>
      <c r="K19" s="415">
        <f>IF('Final Calculation Sheet'!$M$12="","",'Final Calculation Sheet'!$M$12)</f>
        <v/>
      </c>
      <c r="L19" s="78">
        <f>IF('Final Calculation Sheet'!$M$18="","",'Final Calculation Sheet'!$M$18)</f>
        <v/>
      </c>
      <c r="M19" s="415">
        <f>IF('Final Calculation Sheet'!$M$19="","",'Final Calculation Sheet'!$M$19)</f>
        <v/>
      </c>
      <c r="N19" s="78">
        <f>IF('Final Calculation Sheet'!$M$22="","",'Final Calculation Sheet'!$M$22)</f>
        <v/>
      </c>
      <c r="O19" s="415">
        <f>IF('Final Calculation Sheet'!$M$24="","",'Final Calculation Sheet'!$M$24)</f>
        <v/>
      </c>
      <c r="P19" s="78">
        <f>IF('Final Calculation Sheet'!$M$26="","",'Final Calculation Sheet'!$M$26)</f>
        <v/>
      </c>
      <c r="Q19" s="415">
        <f>IF('Final Calculation Sheet'!$M$30="","",'Final Calculation Sheet'!$M$30)</f>
        <v/>
      </c>
      <c r="R19" s="78">
        <f>IF('Final Calculation Sheet'!$M$32="","",'Final Calculation Sheet'!$M$32)</f>
        <v/>
      </c>
      <c r="S19" s="415">
        <f>IF('Final Calculation Sheet'!$M$33="","",'Final Calculation Sheet'!$M$33)</f>
        <v/>
      </c>
      <c r="T19" s="78">
        <f>IF('Final Calculation Sheet'!$M$37="","",'Final Calculation Sheet'!$M$37)</f>
        <v/>
      </c>
      <c r="U19" s="415">
        <f>IF('Final Calculation Sheet'!$M$21="","",'Final Calculation Sheet'!$M$21)</f>
        <v/>
      </c>
      <c r="V19" s="78">
        <f>IF('Final Calculation Sheet'!$M$8="","",'Final Calculation Sheet'!$M$8)</f>
        <v/>
      </c>
      <c r="W19" s="415">
        <f>IF('Final Calculation Sheet'!$M$20="","",'Final Calculation Sheet'!$M$20)</f>
        <v/>
      </c>
      <c r="X19" s="78">
        <f>IF('Final Calculation Sheet'!$M$39="","",'Final Calculation Sheet'!$M$39)</f>
        <v/>
      </c>
      <c r="Y19" s="415">
        <f>IF('Final Calculation Sheet'!$M$40="","",'Final Calculation Sheet'!$M$40)</f>
        <v/>
      </c>
      <c r="Z19" s="78">
        <f>IF('Final Calculation Sheet'!$M$31="","",'Final Calculation Sheet'!$M$31)</f>
        <v/>
      </c>
      <c r="AA19" s="415">
        <f>IF('Final Calculation Sheet'!$M$9="","",'Final Calculation Sheet'!$M$9)</f>
        <v/>
      </c>
      <c r="AB19" s="78">
        <f>IF('Final Calculation Sheet'!$M$14="","",'Final Calculation Sheet'!$M$14)</f>
        <v/>
      </c>
      <c r="AC19" s="415">
        <f>IF('Final Calculation Sheet'!$M$13="","",'Final Calculation Sheet'!$M$13)</f>
        <v/>
      </c>
      <c r="AD19" s="78">
        <f>IF('Final Calculation Sheet'!$M$16="","",'Final Calculation Sheet'!$M$16)</f>
        <v/>
      </c>
      <c r="AE19" s="415">
        <f>IF('Final Calculation Sheet'!$M$17="","",'Final Calculation Sheet'!$M$17)</f>
        <v/>
      </c>
      <c r="AF19" s="78">
        <f>IF('Final Calculation Sheet'!$M$23="","",'Final Calculation Sheet'!$M$23)</f>
        <v/>
      </c>
      <c r="AG19" s="415">
        <f>IF('Final Calculation Sheet'!$M$29="","",'Final Calculation Sheet'!$M$29)</f>
        <v/>
      </c>
      <c r="AH19" s="78">
        <f>IF('Final Calculation Sheet'!$M$34="","",'Final Calculation Sheet'!$M$34)</f>
        <v/>
      </c>
      <c r="AI19" s="415">
        <f>IF('Final Calculation Sheet'!$M$36="","",'Final Calculation Sheet'!$M$36)</f>
        <v/>
      </c>
      <c r="AJ19" s="78">
        <f>IF('Final Calculation Sheet'!$M$25="","",'Final Calculation Sheet'!$M$25)</f>
        <v/>
      </c>
      <c r="AK19" s="415">
        <f>IF('Final Calculation Sheet'!$M$28="","",'Final Calculation Sheet'!$M$28)</f>
        <v/>
      </c>
      <c r="AL19" s="78">
        <f>IF('Final Calculation Sheet'!$M$35="","",'Final Calculation Sheet'!$M$35)</f>
        <v/>
      </c>
      <c r="AM19" s="416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415">
        <f>IF('Final Calculation Sheet'!$N$6="","",'Final Calculation Sheet'!$N$6)</f>
        <v/>
      </c>
      <c r="D20" s="78">
        <f>IF('Final Calculation Sheet'!$N$7="","",'Final Calculation Sheet'!$N$7)</f>
        <v/>
      </c>
      <c r="E20" s="415">
        <f>IF('Final Calculation Sheet'!$N$15="","",'Final Calculation Sheet'!$N$15)</f>
        <v/>
      </c>
      <c r="F20" s="78">
        <f>IF('Final Calculation Sheet'!$N$38="","",'Final Calculation Sheet'!$N$38)</f>
        <v/>
      </c>
      <c r="G20" s="415">
        <f>IF('Final Calculation Sheet'!$N$27="","",'Final Calculation Sheet'!$N$27)</f>
        <v/>
      </c>
      <c r="H20" s="78">
        <f>IF('Final Calculation Sheet'!$N$5="","",'Final Calculation Sheet'!$N$5)</f>
        <v/>
      </c>
      <c r="I20" s="415">
        <f>IF('Final Calculation Sheet'!$N$10="","",'Final Calculation Sheet'!$N$10)</f>
        <v/>
      </c>
      <c r="J20" s="78">
        <f>IF('Final Calculation Sheet'!$N$11="","",'Final Calculation Sheet'!$N$11)</f>
        <v/>
      </c>
      <c r="K20" s="415">
        <f>IF('Final Calculation Sheet'!$N$12="","",'Final Calculation Sheet'!$N$12)</f>
        <v/>
      </c>
      <c r="L20" s="78">
        <f>IF('Final Calculation Sheet'!$N$18="","",'Final Calculation Sheet'!$N$18)</f>
        <v/>
      </c>
      <c r="M20" s="415">
        <f>IF('Final Calculation Sheet'!$N$19="","",'Final Calculation Sheet'!$N$19)</f>
        <v/>
      </c>
      <c r="N20" s="78">
        <f>IF('Final Calculation Sheet'!$N$22="","",'Final Calculation Sheet'!$N$22)</f>
        <v/>
      </c>
      <c r="O20" s="415">
        <f>IF('Final Calculation Sheet'!$N$24="","",'Final Calculation Sheet'!$N$24)</f>
        <v/>
      </c>
      <c r="P20" s="78">
        <f>IF('Final Calculation Sheet'!$N$26="","",'Final Calculation Sheet'!$N$26)</f>
        <v/>
      </c>
      <c r="Q20" s="415">
        <f>IF('Final Calculation Sheet'!$N$30="","",'Final Calculation Sheet'!$N$30)</f>
        <v/>
      </c>
      <c r="R20" s="78">
        <f>IF('Final Calculation Sheet'!$N$32="","",'Final Calculation Sheet'!$N$32)</f>
        <v/>
      </c>
      <c r="S20" s="415">
        <f>IF('Final Calculation Sheet'!$N$33="","",'Final Calculation Sheet'!$N$33)</f>
        <v/>
      </c>
      <c r="T20" s="78">
        <f>IF('Final Calculation Sheet'!$N$37="","",'Final Calculation Sheet'!$N$37)</f>
        <v/>
      </c>
      <c r="U20" s="415">
        <f>IF('Final Calculation Sheet'!$N$21="","",'Final Calculation Sheet'!$N$21)</f>
        <v/>
      </c>
      <c r="V20" s="78">
        <f>IF('Final Calculation Sheet'!$N$8="","",'Final Calculation Sheet'!$N$8)</f>
        <v/>
      </c>
      <c r="W20" s="415">
        <f>IF('Final Calculation Sheet'!$N$20="","",'Final Calculation Sheet'!$N$20)</f>
        <v/>
      </c>
      <c r="X20" s="78">
        <f>IF('Final Calculation Sheet'!$N$39="","",'Final Calculation Sheet'!$N$39)</f>
        <v/>
      </c>
      <c r="Y20" s="415">
        <f>IF('Final Calculation Sheet'!$N$40="","",'Final Calculation Sheet'!$N$40)</f>
        <v/>
      </c>
      <c r="Z20" s="78">
        <f>IF('Final Calculation Sheet'!$N$31="","",'Final Calculation Sheet'!$N$31)</f>
        <v/>
      </c>
      <c r="AA20" s="415">
        <f>IF('Final Calculation Sheet'!$N$9="","",'Final Calculation Sheet'!$N$9)</f>
        <v/>
      </c>
      <c r="AB20" s="78">
        <f>IF('Final Calculation Sheet'!$N$14="","",'Final Calculation Sheet'!$N$14)</f>
        <v/>
      </c>
      <c r="AC20" s="415">
        <f>IF('Final Calculation Sheet'!$N$13="","",'Final Calculation Sheet'!$N$13)</f>
        <v/>
      </c>
      <c r="AD20" s="78">
        <f>IF('Final Calculation Sheet'!$N$16="","",'Final Calculation Sheet'!$N$16)</f>
        <v/>
      </c>
      <c r="AE20" s="415">
        <f>IF('Final Calculation Sheet'!$N$17="","",'Final Calculation Sheet'!$N$17)</f>
        <v/>
      </c>
      <c r="AF20" s="78">
        <f>IF('Final Calculation Sheet'!$N$23="","",'Final Calculation Sheet'!$N$23)</f>
        <v/>
      </c>
      <c r="AG20" s="415">
        <f>IF('Final Calculation Sheet'!$N$29="","",'Final Calculation Sheet'!$N$29)</f>
        <v/>
      </c>
      <c r="AH20" s="78">
        <f>IF('Final Calculation Sheet'!$N$34="","",'Final Calculation Sheet'!$N$34)</f>
        <v/>
      </c>
      <c r="AI20" s="415">
        <f>IF('Final Calculation Sheet'!$N$36="","",'Final Calculation Sheet'!$N$36)</f>
        <v/>
      </c>
      <c r="AJ20" s="78">
        <f>IF('Final Calculation Sheet'!$N$25="","",'Final Calculation Sheet'!$N$25)</f>
        <v/>
      </c>
      <c r="AK20" s="415">
        <f>IF('Final Calculation Sheet'!$N$28="","",'Final Calculation Sheet'!$N$28)</f>
        <v/>
      </c>
      <c r="AL20" s="78">
        <f>IF('Final Calculation Sheet'!$N$35="","",'Final Calculation Sheet'!$N$35)</f>
        <v/>
      </c>
      <c r="AM20" s="416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415">
        <f>IF('Final Calculation Sheet'!$O$6="","",'Final Calculation Sheet'!$O$6)</f>
        <v/>
      </c>
      <c r="D21" s="78">
        <f>IF('Final Calculation Sheet'!$O$7="","",'Final Calculation Sheet'!$O$7)</f>
        <v/>
      </c>
      <c r="E21" s="415">
        <f>IF('Final Calculation Sheet'!$O$15="","",'Final Calculation Sheet'!$O$15)</f>
        <v/>
      </c>
      <c r="F21" s="78">
        <f>IF('Final Calculation Sheet'!$O$38="","",'Final Calculation Sheet'!$O$38)</f>
        <v/>
      </c>
      <c r="G21" s="415">
        <f>IF('Final Calculation Sheet'!$O$27="","",'Final Calculation Sheet'!$O$27)</f>
        <v/>
      </c>
      <c r="H21" s="78">
        <f>IF('Final Calculation Sheet'!$O$5="","",'Final Calculation Sheet'!$O$5)</f>
        <v/>
      </c>
      <c r="I21" s="415">
        <f>IF('Final Calculation Sheet'!$O$10="","",'Final Calculation Sheet'!$O$10)</f>
        <v/>
      </c>
      <c r="J21" s="78">
        <f>IF('Final Calculation Sheet'!$O$11="","",'Final Calculation Sheet'!$O$11)</f>
        <v/>
      </c>
      <c r="K21" s="415">
        <f>IF('Final Calculation Sheet'!$O$12="","",'Final Calculation Sheet'!$O$12)</f>
        <v/>
      </c>
      <c r="L21" s="78">
        <f>IF('Final Calculation Sheet'!$O$18="","",'Final Calculation Sheet'!$O$18)</f>
        <v/>
      </c>
      <c r="M21" s="415">
        <f>IF('Final Calculation Sheet'!$O$19="","",'Final Calculation Sheet'!$O$19)</f>
        <v/>
      </c>
      <c r="N21" s="78">
        <f>IF('Final Calculation Sheet'!$O$22="","",'Final Calculation Sheet'!$O$22)</f>
        <v/>
      </c>
      <c r="O21" s="415">
        <f>IF('Final Calculation Sheet'!$O$24="","",'Final Calculation Sheet'!$O$24)</f>
        <v/>
      </c>
      <c r="P21" s="78">
        <f>IF('Final Calculation Sheet'!$O$26="","",'Final Calculation Sheet'!$O$26)</f>
        <v/>
      </c>
      <c r="Q21" s="415">
        <f>IF('Final Calculation Sheet'!$O$30="","",'Final Calculation Sheet'!$O$30)</f>
        <v/>
      </c>
      <c r="R21" s="78">
        <f>IF('Final Calculation Sheet'!$O$32="","",'Final Calculation Sheet'!$O$32)</f>
        <v/>
      </c>
      <c r="S21" s="415">
        <f>IF('Final Calculation Sheet'!$O$33="","",'Final Calculation Sheet'!$O$33)</f>
        <v/>
      </c>
      <c r="T21" s="78">
        <f>IF('Final Calculation Sheet'!$O$37="","",'Final Calculation Sheet'!$O$37)</f>
        <v/>
      </c>
      <c r="U21" s="415">
        <f>IF('Final Calculation Sheet'!$O$21="","",'Final Calculation Sheet'!$O$21)</f>
        <v/>
      </c>
      <c r="V21" s="78">
        <f>IF('Final Calculation Sheet'!$O$8="","",'Final Calculation Sheet'!$O$8)</f>
        <v/>
      </c>
      <c r="W21" s="415">
        <f>IF('Final Calculation Sheet'!$O$20="","",'Final Calculation Sheet'!$O$20)</f>
        <v/>
      </c>
      <c r="X21" s="78">
        <f>IF('Final Calculation Sheet'!$O$39="","",'Final Calculation Sheet'!$O$39)</f>
        <v/>
      </c>
      <c r="Y21" s="415">
        <f>IF('Final Calculation Sheet'!$O$40="","",'Final Calculation Sheet'!$O$40)</f>
        <v/>
      </c>
      <c r="Z21" s="78">
        <f>IF('Final Calculation Sheet'!$O$31="","",'Final Calculation Sheet'!$O$31)</f>
        <v/>
      </c>
      <c r="AA21" s="415">
        <f>IF('Final Calculation Sheet'!$O$9="","",'Final Calculation Sheet'!$O$9)</f>
        <v/>
      </c>
      <c r="AB21" s="78">
        <f>IF('Final Calculation Sheet'!$O$14="","",'Final Calculation Sheet'!$O$14)</f>
        <v/>
      </c>
      <c r="AC21" s="415">
        <f>IF('Final Calculation Sheet'!$O$13="","",'Final Calculation Sheet'!$O$13)</f>
        <v/>
      </c>
      <c r="AD21" s="78">
        <f>IF('Final Calculation Sheet'!$O$16="","",'Final Calculation Sheet'!$O$16)</f>
        <v/>
      </c>
      <c r="AE21" s="415">
        <f>IF('Final Calculation Sheet'!$O$17="","",'Final Calculation Sheet'!$O$17)</f>
        <v/>
      </c>
      <c r="AF21" s="78">
        <f>IF('Final Calculation Sheet'!$O$23="","",'Final Calculation Sheet'!$O$23)</f>
        <v/>
      </c>
      <c r="AG21" s="415">
        <f>IF('Final Calculation Sheet'!$O$29="","",'Final Calculation Sheet'!$O$29)</f>
        <v/>
      </c>
      <c r="AH21" s="78">
        <f>IF('Final Calculation Sheet'!$O$34="","",'Final Calculation Sheet'!$O$34)</f>
        <v/>
      </c>
      <c r="AI21" s="415">
        <f>IF('Final Calculation Sheet'!$O$36="","",'Final Calculation Sheet'!$O$36)</f>
        <v/>
      </c>
      <c r="AJ21" s="78">
        <f>IF('Final Calculation Sheet'!$O$25="","",'Final Calculation Sheet'!$O$25)</f>
        <v/>
      </c>
      <c r="AK21" s="415">
        <f>IF('Final Calculation Sheet'!$O$28="","",'Final Calculation Sheet'!$O$28)</f>
        <v/>
      </c>
      <c r="AL21" s="78">
        <f>IF('Final Calculation Sheet'!$O$35="","",'Final Calculation Sheet'!$O$35)</f>
        <v/>
      </c>
      <c r="AM21" s="416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408">
        <f>IF('Final Calculation Sheet'!$P$6="","",'Final Calculation Sheet'!$P$6)</f>
        <v/>
      </c>
      <c r="D22" s="70">
        <f>IF('Final Calculation Sheet'!$P$7="","",'Final Calculation Sheet'!$P$7)</f>
        <v/>
      </c>
      <c r="E22" s="408">
        <f>IF('Final Calculation Sheet'!$P$15="","",'Final Calculation Sheet'!$P$15)</f>
        <v/>
      </c>
      <c r="F22" s="70">
        <f>IF('Final Calculation Sheet'!$P$38="","",'Final Calculation Sheet'!$P$38)</f>
        <v/>
      </c>
      <c r="G22" s="408">
        <f>IF('Final Calculation Sheet'!$P$27="","",'Final Calculation Sheet'!$P$27)</f>
        <v/>
      </c>
      <c r="H22" s="70">
        <f>IF('Final Calculation Sheet'!$P$5="","",'Final Calculation Sheet'!$P$5)</f>
        <v/>
      </c>
      <c r="I22" s="408">
        <f>IF('Final Calculation Sheet'!$P$10="","",'Final Calculation Sheet'!$P$10)</f>
        <v/>
      </c>
      <c r="J22" s="70">
        <f>IF('Final Calculation Sheet'!$P$11="","",'Final Calculation Sheet'!$P$11)</f>
        <v/>
      </c>
      <c r="K22" s="408">
        <f>IF('Final Calculation Sheet'!$P$12="","",'Final Calculation Sheet'!$P$12)</f>
        <v/>
      </c>
      <c r="L22" s="70">
        <f>IF('Final Calculation Sheet'!$P$18="","",'Final Calculation Sheet'!$P$18)</f>
        <v/>
      </c>
      <c r="M22" s="408">
        <f>IF('Final Calculation Sheet'!$P$19="","",'Final Calculation Sheet'!$P$19)</f>
        <v/>
      </c>
      <c r="N22" s="70">
        <f>IF('Final Calculation Sheet'!$P$22="","",'Final Calculation Sheet'!$P$22)</f>
        <v/>
      </c>
      <c r="O22" s="408">
        <f>IF('Final Calculation Sheet'!$P$24="","",'Final Calculation Sheet'!$P$24)</f>
        <v/>
      </c>
      <c r="P22" s="70">
        <f>IF('Final Calculation Sheet'!$P$26="","",'Final Calculation Sheet'!$P$26)</f>
        <v/>
      </c>
      <c r="Q22" s="408">
        <f>IF('Final Calculation Sheet'!$P$30="","",'Final Calculation Sheet'!$P$30)</f>
        <v/>
      </c>
      <c r="R22" s="70">
        <f>IF('Final Calculation Sheet'!$P$32="","",'Final Calculation Sheet'!$P$32)</f>
        <v/>
      </c>
      <c r="S22" s="408">
        <f>IF('Final Calculation Sheet'!$P$33="","",'Final Calculation Sheet'!$P$33)</f>
        <v/>
      </c>
      <c r="T22" s="70">
        <f>IF('Final Calculation Sheet'!$P$37="","",'Final Calculation Sheet'!$P$37)</f>
        <v/>
      </c>
      <c r="U22" s="408">
        <f>IF('Final Calculation Sheet'!$P$21="","",'Final Calculation Sheet'!$P$21)</f>
        <v/>
      </c>
      <c r="V22" s="70">
        <f>IF('Final Calculation Sheet'!$P$8="","",'Final Calculation Sheet'!$P$8)</f>
        <v/>
      </c>
      <c r="W22" s="408">
        <f>IF('Final Calculation Sheet'!$P$20="","",'Final Calculation Sheet'!$P$20)</f>
        <v/>
      </c>
      <c r="X22" s="70">
        <f>IF('Final Calculation Sheet'!$P$39="","",'Final Calculation Sheet'!$P$39)</f>
        <v/>
      </c>
      <c r="Y22" s="408">
        <f>IF('Final Calculation Sheet'!$P$40="","",'Final Calculation Sheet'!$P$40)</f>
        <v/>
      </c>
      <c r="Z22" s="70">
        <f>IF('Final Calculation Sheet'!$P$31="","",'Final Calculation Sheet'!$P$31)</f>
        <v/>
      </c>
      <c r="AA22" s="408">
        <f>IF('Final Calculation Sheet'!$P$9="","",'Final Calculation Sheet'!$P$9)</f>
        <v/>
      </c>
      <c r="AB22" s="70">
        <f>IF('Final Calculation Sheet'!$P$14="","",'Final Calculation Sheet'!$P$14)</f>
        <v/>
      </c>
      <c r="AC22" s="408">
        <f>IF('Final Calculation Sheet'!$P$13="","",'Final Calculation Sheet'!$P$13)</f>
        <v/>
      </c>
      <c r="AD22" s="70">
        <f>IF('Final Calculation Sheet'!$P$16="","",'Final Calculation Sheet'!$P$16)</f>
        <v/>
      </c>
      <c r="AE22" s="408">
        <f>IF('Final Calculation Sheet'!$P$17="","",'Final Calculation Sheet'!$P$17)</f>
        <v/>
      </c>
      <c r="AF22" s="70">
        <f>IF('Final Calculation Sheet'!$P$23="","",'Final Calculation Sheet'!$P$23)</f>
        <v/>
      </c>
      <c r="AG22" s="408">
        <f>IF('Final Calculation Sheet'!$P$29="","",'Final Calculation Sheet'!$P$29)</f>
        <v/>
      </c>
      <c r="AH22" s="70">
        <f>IF('Final Calculation Sheet'!$P$34="","",'Final Calculation Sheet'!$P$34)</f>
        <v/>
      </c>
      <c r="AI22" s="408">
        <f>IF('Final Calculation Sheet'!$P$36="","",'Final Calculation Sheet'!$P$36)</f>
        <v/>
      </c>
      <c r="AJ22" s="70">
        <f>IF('Final Calculation Sheet'!$P$25="","",'Final Calculation Sheet'!$P$25)</f>
        <v/>
      </c>
      <c r="AK22" s="408">
        <f>IF('Final Calculation Sheet'!$P$28="","",'Final Calculation Sheet'!$P$28)</f>
        <v/>
      </c>
      <c r="AL22" s="70">
        <f>IF('Final Calculation Sheet'!$P$35="","",'Final Calculation Sheet'!$P$35)</f>
        <v/>
      </c>
      <c r="AM22" s="414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417">
        <f>IF('Final Calculation Sheet'!$Q$6="","",'Final Calculation Sheet'!$Q$6)</f>
        <v/>
      </c>
      <c r="D23" s="80">
        <f>IF('Final Calculation Sheet'!$Q$7="","",'Final Calculation Sheet'!$Q$7)</f>
        <v/>
      </c>
      <c r="E23" s="417">
        <f>IF('Final Calculation Sheet'!$Q$15="","",'Final Calculation Sheet'!$Q$15)</f>
        <v/>
      </c>
      <c r="F23" s="80">
        <f>IF('Final Calculation Sheet'!$Q$38="","",'Final Calculation Sheet'!$Q$38)</f>
        <v/>
      </c>
      <c r="G23" s="417">
        <f>IF('Final Calculation Sheet'!$Q$27="","",'Final Calculation Sheet'!$Q$27)</f>
        <v/>
      </c>
      <c r="H23" s="80">
        <f>IF('Final Calculation Sheet'!$Q$5="","",'Final Calculation Sheet'!$Q$5)</f>
        <v/>
      </c>
      <c r="I23" s="417">
        <f>IF('Final Calculation Sheet'!$Q$10="","",'Final Calculation Sheet'!$Q$10)</f>
        <v/>
      </c>
      <c r="J23" s="80">
        <f>IF('Final Calculation Sheet'!$Q$11="","",'Final Calculation Sheet'!$Q$11)</f>
        <v/>
      </c>
      <c r="K23" s="417">
        <f>IF('Final Calculation Sheet'!$Q$12="","",'Final Calculation Sheet'!$Q$12)</f>
        <v/>
      </c>
      <c r="L23" s="80">
        <f>IF('Final Calculation Sheet'!$Q$18="","",'Final Calculation Sheet'!$Q$18)</f>
        <v/>
      </c>
      <c r="M23" s="417">
        <f>IF('Final Calculation Sheet'!$Q$19="","",'Final Calculation Sheet'!$Q$19)</f>
        <v/>
      </c>
      <c r="N23" s="80">
        <f>IF('Final Calculation Sheet'!$Q$22="","",'Final Calculation Sheet'!$Q$22)</f>
        <v/>
      </c>
      <c r="O23" s="417">
        <f>IF('Final Calculation Sheet'!$Q$24="","",'Final Calculation Sheet'!$Q$24)</f>
        <v/>
      </c>
      <c r="P23" s="80">
        <f>IF('Final Calculation Sheet'!$Q$26="","",'Final Calculation Sheet'!$Q$26)</f>
        <v/>
      </c>
      <c r="Q23" s="417">
        <f>IF('Final Calculation Sheet'!$Q$30="","",'Final Calculation Sheet'!$Q$30)</f>
        <v/>
      </c>
      <c r="R23" s="80">
        <f>IF('Final Calculation Sheet'!$Q$32="","",'Final Calculation Sheet'!$Q$32)</f>
        <v/>
      </c>
      <c r="S23" s="417">
        <f>IF('Final Calculation Sheet'!$Q$33="","",'Final Calculation Sheet'!$Q$33)</f>
        <v/>
      </c>
      <c r="T23" s="80">
        <f>IF('Final Calculation Sheet'!$Q$37="","",'Final Calculation Sheet'!$Q$37)</f>
        <v/>
      </c>
      <c r="U23" s="417">
        <f>IF('Final Calculation Sheet'!$Q$21="","",'Final Calculation Sheet'!$Q$21)</f>
        <v/>
      </c>
      <c r="V23" s="80">
        <f>IF('Final Calculation Sheet'!$Q$8="","",'Final Calculation Sheet'!$Q$8)</f>
        <v/>
      </c>
      <c r="W23" s="417">
        <f>IF('Final Calculation Sheet'!$Q$20="","",'Final Calculation Sheet'!$Q$20)</f>
        <v/>
      </c>
      <c r="X23" s="80">
        <f>IF('Final Calculation Sheet'!$Q$39="","",'Final Calculation Sheet'!$Q$39)</f>
        <v/>
      </c>
      <c r="Y23" s="417">
        <f>IF('Final Calculation Sheet'!$Q$40="","",'Final Calculation Sheet'!$Q$40)</f>
        <v/>
      </c>
      <c r="Z23" s="80">
        <f>IF('Final Calculation Sheet'!$Q$31="","",'Final Calculation Sheet'!$Q$31)</f>
        <v/>
      </c>
      <c r="AA23" s="417">
        <f>IF('Final Calculation Sheet'!$Q$9="","",'Final Calculation Sheet'!$Q$9)</f>
        <v/>
      </c>
      <c r="AB23" s="80">
        <f>IF('Final Calculation Sheet'!$Q$14="","",'Final Calculation Sheet'!$Q$14)</f>
        <v/>
      </c>
      <c r="AC23" s="417">
        <f>IF('Final Calculation Sheet'!$Q$13="","",'Final Calculation Sheet'!$Q$13)</f>
        <v/>
      </c>
      <c r="AD23" s="80">
        <f>IF('Final Calculation Sheet'!$Q$16="","",'Final Calculation Sheet'!$Q$16)</f>
        <v/>
      </c>
      <c r="AE23" s="417">
        <f>IF('Final Calculation Sheet'!$Q$17="","",'Final Calculation Sheet'!$Q$17)</f>
        <v/>
      </c>
      <c r="AF23" s="80">
        <f>IF('Final Calculation Sheet'!$Q$23="","",'Final Calculation Sheet'!$Q$23)</f>
        <v/>
      </c>
      <c r="AG23" s="417">
        <f>IF('Final Calculation Sheet'!$Q$29="","",'Final Calculation Sheet'!$Q$29)</f>
        <v/>
      </c>
      <c r="AH23" s="80">
        <f>IF('Final Calculation Sheet'!$Q$34="","",'Final Calculation Sheet'!$Q$34)</f>
        <v/>
      </c>
      <c r="AI23" s="417">
        <f>IF('Final Calculation Sheet'!$Q$36="","",'Final Calculation Sheet'!$Q$36)</f>
        <v/>
      </c>
      <c r="AJ23" s="80">
        <f>IF('Final Calculation Sheet'!$Q$25="","",'Final Calculation Sheet'!$Q$25)</f>
        <v/>
      </c>
      <c r="AK23" s="417">
        <f>IF('Final Calculation Sheet'!$Q$28="","",'Final Calculation Sheet'!$Q$28)</f>
        <v/>
      </c>
      <c r="AL23" s="80">
        <f>IF('Final Calculation Sheet'!$Q$35="","",'Final Calculation Sheet'!$Q$35)</f>
        <v/>
      </c>
      <c r="AM23" s="72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408">
        <f>IF('Final Calculation Sheet'!$R$6="","",'Final Calculation Sheet'!$R$6)</f>
        <v/>
      </c>
      <c r="D24" s="70">
        <f>IF('Final Calculation Sheet'!$R$7="","",'Final Calculation Sheet'!$R$7)</f>
        <v/>
      </c>
      <c r="E24" s="408">
        <f>IF('Final Calculation Sheet'!$R$15="","",'Final Calculation Sheet'!$R$15)</f>
        <v/>
      </c>
      <c r="F24" s="70">
        <f>IF('Final Calculation Sheet'!$R$38="","",'Final Calculation Sheet'!$R$38)</f>
        <v/>
      </c>
      <c r="G24" s="408">
        <f>IF('Final Calculation Sheet'!$R$27="","",'Final Calculation Sheet'!$R$27)</f>
        <v/>
      </c>
      <c r="H24" s="70">
        <f>IF('Final Calculation Sheet'!$R$5="","",'Final Calculation Sheet'!$R$5)</f>
        <v/>
      </c>
      <c r="I24" s="408">
        <f>IF('Final Calculation Sheet'!$R$10="","",'Final Calculation Sheet'!$R$10)</f>
        <v/>
      </c>
      <c r="J24" s="70">
        <f>IF('Final Calculation Sheet'!$R$11="","",'Final Calculation Sheet'!$R$11)</f>
        <v/>
      </c>
      <c r="K24" s="408">
        <f>IF('Final Calculation Sheet'!$R$12="","",'Final Calculation Sheet'!$R$12)</f>
        <v/>
      </c>
      <c r="L24" s="70">
        <f>IF('Final Calculation Sheet'!$R$18="","",'Final Calculation Sheet'!$R$18)</f>
        <v/>
      </c>
      <c r="M24" s="408">
        <f>IF('Final Calculation Sheet'!$R$19="","",'Final Calculation Sheet'!$R$19)</f>
        <v/>
      </c>
      <c r="N24" s="70">
        <f>IF('Final Calculation Sheet'!$R$22="","",'Final Calculation Sheet'!$R$22)</f>
        <v/>
      </c>
      <c r="O24" s="408">
        <f>IF('Final Calculation Sheet'!$R$24="","",'Final Calculation Sheet'!$R$24)</f>
        <v/>
      </c>
      <c r="P24" s="70">
        <f>IF('Final Calculation Sheet'!$R$26="","",'Final Calculation Sheet'!$R$26)</f>
        <v/>
      </c>
      <c r="Q24" s="408">
        <f>IF('Final Calculation Sheet'!$R$30="","",'Final Calculation Sheet'!$R$30)</f>
        <v/>
      </c>
      <c r="R24" s="70">
        <f>IF('Final Calculation Sheet'!$R$32="","",'Final Calculation Sheet'!$R$32)</f>
        <v/>
      </c>
      <c r="S24" s="408">
        <f>IF('Final Calculation Sheet'!$R$33="","",'Final Calculation Sheet'!$R$33)</f>
        <v/>
      </c>
      <c r="T24" s="70">
        <f>IF('Final Calculation Sheet'!$R$37="","",'Final Calculation Sheet'!$R$37)</f>
        <v/>
      </c>
      <c r="U24" s="408">
        <f>IF('Final Calculation Sheet'!$R$21="","",'Final Calculation Sheet'!$R$21)</f>
        <v/>
      </c>
      <c r="V24" s="70">
        <f>IF('Final Calculation Sheet'!$R$8="","",'Final Calculation Sheet'!$R$8)</f>
        <v/>
      </c>
      <c r="W24" s="408">
        <f>IF('Final Calculation Sheet'!$R$20="","",'Final Calculation Sheet'!$R$20)</f>
        <v/>
      </c>
      <c r="X24" s="70">
        <f>IF('Final Calculation Sheet'!$R$39="","",'Final Calculation Sheet'!$R$39)</f>
        <v/>
      </c>
      <c r="Y24" s="408">
        <f>IF('Final Calculation Sheet'!$R$40="","",'Final Calculation Sheet'!$R$40)</f>
        <v/>
      </c>
      <c r="Z24" s="70">
        <f>IF('Final Calculation Sheet'!$R$31="","",'Final Calculation Sheet'!$R$31)</f>
        <v/>
      </c>
      <c r="AA24" s="408">
        <f>IF('Final Calculation Sheet'!$R$9="","",'Final Calculation Sheet'!$R$9)</f>
        <v/>
      </c>
      <c r="AB24" s="70">
        <f>IF('Final Calculation Sheet'!$R$14="","",'Final Calculation Sheet'!$R$14)</f>
        <v/>
      </c>
      <c r="AC24" s="408">
        <f>IF('Final Calculation Sheet'!$R$13="","",'Final Calculation Sheet'!$R$13)</f>
        <v/>
      </c>
      <c r="AD24" s="70">
        <f>IF('Final Calculation Sheet'!$R$16="","",'Final Calculation Sheet'!$R$16)</f>
        <v/>
      </c>
      <c r="AE24" s="408">
        <f>IF('Final Calculation Sheet'!$R$17="","",'Final Calculation Sheet'!$R$17)</f>
        <v/>
      </c>
      <c r="AF24" s="70">
        <f>IF('Final Calculation Sheet'!$R$23="","",'Final Calculation Sheet'!$R$23)</f>
        <v/>
      </c>
      <c r="AG24" s="408">
        <f>IF('Final Calculation Sheet'!$R$29="","",'Final Calculation Sheet'!$R$29)</f>
        <v/>
      </c>
      <c r="AH24" s="70">
        <f>IF('Final Calculation Sheet'!$R$34="","",'Final Calculation Sheet'!$R$34)</f>
        <v/>
      </c>
      <c r="AI24" s="408">
        <f>IF('Final Calculation Sheet'!$R$36="","",'Final Calculation Sheet'!$R$36)</f>
        <v/>
      </c>
      <c r="AJ24" s="70">
        <f>IF('Final Calculation Sheet'!$R$25="","",'Final Calculation Sheet'!$R$25)</f>
        <v/>
      </c>
      <c r="AK24" s="408">
        <f>IF('Final Calculation Sheet'!$R$28="","",'Final Calculation Sheet'!$R$28)</f>
        <v/>
      </c>
      <c r="AL24" s="70">
        <f>IF('Final Calculation Sheet'!$R$35="","",'Final Calculation Sheet'!$R$35)</f>
        <v/>
      </c>
      <c r="AM24" s="414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408">
        <f>IF('Final Calculation Sheet'!$S$6="","",'Final Calculation Sheet'!$S$6)</f>
        <v/>
      </c>
      <c r="D25" s="70">
        <f>IF('Final Calculation Sheet'!$S$7="","",'Final Calculation Sheet'!$S$7)</f>
        <v/>
      </c>
      <c r="E25" s="408">
        <f>IF('Final Calculation Sheet'!$S$15="","",'Final Calculation Sheet'!$S$15)</f>
        <v/>
      </c>
      <c r="F25" s="70">
        <f>IF('Final Calculation Sheet'!$S$38="","",'Final Calculation Sheet'!$S$38)</f>
        <v/>
      </c>
      <c r="G25" s="408">
        <f>IF('Final Calculation Sheet'!$S$27="","",'Final Calculation Sheet'!$S$27)</f>
        <v/>
      </c>
      <c r="H25" s="70">
        <f>IF('Final Calculation Sheet'!$S$5="","",'Final Calculation Sheet'!$S$5)</f>
        <v/>
      </c>
      <c r="I25" s="408">
        <f>IF('Final Calculation Sheet'!$S$10="","",'Final Calculation Sheet'!$S$10)</f>
        <v/>
      </c>
      <c r="J25" s="70">
        <f>IF('Final Calculation Sheet'!$S$11="","",'Final Calculation Sheet'!$S$11)</f>
        <v/>
      </c>
      <c r="K25" s="408">
        <f>IF('Final Calculation Sheet'!$S$12="","",'Final Calculation Sheet'!$S$12)</f>
        <v/>
      </c>
      <c r="L25" s="70">
        <f>IF('Final Calculation Sheet'!$S$18="","",'Final Calculation Sheet'!$S$18)</f>
        <v/>
      </c>
      <c r="M25" s="408">
        <f>IF('Final Calculation Sheet'!$S$19="","",'Final Calculation Sheet'!$S$19)</f>
        <v/>
      </c>
      <c r="N25" s="70">
        <f>IF('Final Calculation Sheet'!$S$22="","",'Final Calculation Sheet'!$S$22)</f>
        <v/>
      </c>
      <c r="O25" s="408">
        <f>IF('Final Calculation Sheet'!$S$24="","",'Final Calculation Sheet'!$S$24)</f>
        <v/>
      </c>
      <c r="P25" s="70">
        <f>IF('Final Calculation Sheet'!$S$26="","",'Final Calculation Sheet'!$S$26)</f>
        <v/>
      </c>
      <c r="Q25" s="408">
        <f>IF('Final Calculation Sheet'!$S$30="","",'Final Calculation Sheet'!$S$30)</f>
        <v/>
      </c>
      <c r="R25" s="70">
        <f>IF('Final Calculation Sheet'!$S$32="","",'Final Calculation Sheet'!$S$32)</f>
        <v/>
      </c>
      <c r="S25" s="408">
        <f>IF('Final Calculation Sheet'!$S$33="","",'Final Calculation Sheet'!$S$33)</f>
        <v/>
      </c>
      <c r="T25" s="70">
        <f>IF('Final Calculation Sheet'!$S$37="","",'Final Calculation Sheet'!$S$37)</f>
        <v/>
      </c>
      <c r="U25" s="408">
        <f>IF('Final Calculation Sheet'!$S$21="","",'Final Calculation Sheet'!$S$21)</f>
        <v/>
      </c>
      <c r="V25" s="70">
        <f>IF('Final Calculation Sheet'!$S$8="","",'Final Calculation Sheet'!$S$8)</f>
        <v/>
      </c>
      <c r="W25" s="408">
        <f>IF('Final Calculation Sheet'!$S$20="","",'Final Calculation Sheet'!$S$20)</f>
        <v/>
      </c>
      <c r="X25" s="70">
        <f>IF('Final Calculation Sheet'!$S$39="","",'Final Calculation Sheet'!$S$39)</f>
        <v/>
      </c>
      <c r="Y25" s="408">
        <f>IF('Final Calculation Sheet'!$S$40="","",'Final Calculation Sheet'!$S$40)</f>
        <v/>
      </c>
      <c r="Z25" s="70">
        <f>IF('Final Calculation Sheet'!$S$31="","",'Final Calculation Sheet'!$S$31)</f>
        <v/>
      </c>
      <c r="AA25" s="408">
        <f>IF('Final Calculation Sheet'!$S$9="","",'Final Calculation Sheet'!$S$9)</f>
        <v/>
      </c>
      <c r="AB25" s="70">
        <f>IF('Final Calculation Sheet'!$S$14="","",'Final Calculation Sheet'!$S$14)</f>
        <v/>
      </c>
      <c r="AC25" s="408">
        <f>IF('Final Calculation Sheet'!$S$13="","",'Final Calculation Sheet'!$S$13)</f>
        <v/>
      </c>
      <c r="AD25" s="70">
        <f>IF('Final Calculation Sheet'!$S$16="","",'Final Calculation Sheet'!$S$16)</f>
        <v/>
      </c>
      <c r="AE25" s="408">
        <f>IF('Final Calculation Sheet'!$S$17="","",'Final Calculation Sheet'!$S$17)</f>
        <v/>
      </c>
      <c r="AF25" s="70">
        <f>IF('Final Calculation Sheet'!$S$23="","",'Final Calculation Sheet'!$S$23)</f>
        <v/>
      </c>
      <c r="AG25" s="408">
        <f>IF('Final Calculation Sheet'!$S$29="","",'Final Calculation Sheet'!$S$29)</f>
        <v/>
      </c>
      <c r="AH25" s="70">
        <f>IF('Final Calculation Sheet'!$S$34="","",'Final Calculation Sheet'!$S$34)</f>
        <v/>
      </c>
      <c r="AI25" s="408">
        <f>IF('Final Calculation Sheet'!$S$36="","",'Final Calculation Sheet'!$S$36)</f>
        <v/>
      </c>
      <c r="AJ25" s="70">
        <f>IF('Final Calculation Sheet'!$S$25="","",'Final Calculation Sheet'!$S$25)</f>
        <v/>
      </c>
      <c r="AK25" s="408">
        <f>IF('Final Calculation Sheet'!$S$28="","",'Final Calculation Sheet'!$S$28)</f>
        <v/>
      </c>
      <c r="AL25" s="70">
        <f>IF('Final Calculation Sheet'!$S$35="","",'Final Calculation Sheet'!$S$35)</f>
        <v/>
      </c>
      <c r="AM25" s="414">
        <f>SUM(B25:AL25)</f>
        <v/>
      </c>
    </row>
    <row r="26" ht="17" customHeight="1">
      <c r="A26" s="418" t="inlineStr">
        <is>
          <t xml:space="preserve">  ▸ SECURITY DEPOSIT</t>
        </is>
      </c>
      <c r="B26" s="386" t="n"/>
      <c r="C26" s="386" t="n"/>
      <c r="D26" s="386" t="n"/>
      <c r="E26" s="386" t="n"/>
      <c r="F26" s="386" t="n"/>
      <c r="G26" s="386" t="n"/>
      <c r="H26" s="386" t="n"/>
      <c r="I26" s="386" t="n"/>
      <c r="J26" s="386" t="n"/>
      <c r="K26" s="386" t="n"/>
      <c r="L26" s="386" t="n"/>
      <c r="M26" s="386" t="n"/>
      <c r="N26" s="386" t="n"/>
      <c r="O26" s="386" t="n"/>
      <c r="P26" s="386" t="n"/>
      <c r="Q26" s="386" t="n"/>
      <c r="R26" s="386" t="n"/>
      <c r="S26" s="386" t="n"/>
      <c r="T26" s="386" t="n"/>
      <c r="U26" s="386" t="n"/>
      <c r="V26" s="386" t="n"/>
      <c r="W26" s="386" t="n"/>
      <c r="X26" s="386" t="n"/>
      <c r="Y26" s="386" t="n"/>
      <c r="Z26" s="386" t="n"/>
      <c r="AA26" s="386" t="n"/>
      <c r="AB26" s="386" t="n"/>
      <c r="AC26" s="386" t="n"/>
      <c r="AD26" s="386" t="n"/>
      <c r="AE26" s="386" t="n"/>
      <c r="AF26" s="386" t="n"/>
      <c r="AG26" s="386" t="n"/>
      <c r="AH26" s="386" t="n"/>
      <c r="AI26" s="386" t="n"/>
      <c r="AJ26" s="386" t="n"/>
      <c r="AK26" s="386" t="n"/>
      <c r="AL26" s="386" t="n"/>
      <c r="AM26" s="386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408">
        <f>IF('Final Calculation Sheet'!$T$6="","",'Final Calculation Sheet'!$T$6)</f>
        <v/>
      </c>
      <c r="D27" s="70">
        <f>IF('Final Calculation Sheet'!$T$7="","",'Final Calculation Sheet'!$T$7)</f>
        <v/>
      </c>
      <c r="E27" s="408">
        <f>IF('Final Calculation Sheet'!$T$15="","",'Final Calculation Sheet'!$T$15)</f>
        <v/>
      </c>
      <c r="F27" s="70">
        <f>IF('Final Calculation Sheet'!$T$38="","",'Final Calculation Sheet'!$T$38)</f>
        <v/>
      </c>
      <c r="G27" s="408">
        <f>IF('Final Calculation Sheet'!$T$27="","",'Final Calculation Sheet'!$T$27)</f>
        <v/>
      </c>
      <c r="H27" s="70">
        <f>IF('Final Calculation Sheet'!$T$5="","",'Final Calculation Sheet'!$T$5)</f>
        <v/>
      </c>
      <c r="I27" s="408">
        <f>IF('Final Calculation Sheet'!$T$10="","",'Final Calculation Sheet'!$T$10)</f>
        <v/>
      </c>
      <c r="J27" s="70">
        <f>IF('Final Calculation Sheet'!$T$11="","",'Final Calculation Sheet'!$T$11)</f>
        <v/>
      </c>
      <c r="K27" s="408">
        <f>IF('Final Calculation Sheet'!$T$12="","",'Final Calculation Sheet'!$T$12)</f>
        <v/>
      </c>
      <c r="L27" s="70">
        <f>IF('Final Calculation Sheet'!$T$18="","",'Final Calculation Sheet'!$T$18)</f>
        <v/>
      </c>
      <c r="M27" s="408">
        <f>IF('Final Calculation Sheet'!$T$19="","",'Final Calculation Sheet'!$T$19)</f>
        <v/>
      </c>
      <c r="N27" s="70">
        <f>IF('Final Calculation Sheet'!$T$22="","",'Final Calculation Sheet'!$T$22)</f>
        <v/>
      </c>
      <c r="O27" s="408">
        <f>IF('Final Calculation Sheet'!$T$24="","",'Final Calculation Sheet'!$T$24)</f>
        <v/>
      </c>
      <c r="P27" s="70">
        <f>IF('Final Calculation Sheet'!$T$26="","",'Final Calculation Sheet'!$T$26)</f>
        <v/>
      </c>
      <c r="Q27" s="408">
        <f>IF('Final Calculation Sheet'!$T$30="","",'Final Calculation Sheet'!$T$30)</f>
        <v/>
      </c>
      <c r="R27" s="70">
        <f>IF('Final Calculation Sheet'!$T$32="","",'Final Calculation Sheet'!$T$32)</f>
        <v/>
      </c>
      <c r="S27" s="408">
        <f>IF('Final Calculation Sheet'!$T$33="","",'Final Calculation Sheet'!$T$33)</f>
        <v/>
      </c>
      <c r="T27" s="70">
        <f>IF('Final Calculation Sheet'!$T$37="","",'Final Calculation Sheet'!$T$37)</f>
        <v/>
      </c>
      <c r="U27" s="408">
        <f>IF('Final Calculation Sheet'!$T$21="","",'Final Calculation Sheet'!$T$21)</f>
        <v/>
      </c>
      <c r="V27" s="70">
        <f>IF('Final Calculation Sheet'!$T$8="","",'Final Calculation Sheet'!$T$8)</f>
        <v/>
      </c>
      <c r="W27" s="408">
        <f>IF('Final Calculation Sheet'!$T$20="","",'Final Calculation Sheet'!$T$20)</f>
        <v/>
      </c>
      <c r="X27" s="70">
        <f>IF('Final Calculation Sheet'!$T$39="","",'Final Calculation Sheet'!$T$39)</f>
        <v/>
      </c>
      <c r="Y27" s="408">
        <f>IF('Final Calculation Sheet'!$T$40="","",'Final Calculation Sheet'!$T$40)</f>
        <v/>
      </c>
      <c r="Z27" s="70">
        <f>IF('Final Calculation Sheet'!$T$31="","",'Final Calculation Sheet'!$T$31)</f>
        <v/>
      </c>
      <c r="AA27" s="408">
        <f>IF('Final Calculation Sheet'!$T$9="","",'Final Calculation Sheet'!$T$9)</f>
        <v/>
      </c>
      <c r="AB27" s="70">
        <f>IF('Final Calculation Sheet'!$T$14="","",'Final Calculation Sheet'!$T$14)</f>
        <v/>
      </c>
      <c r="AC27" s="408">
        <f>IF('Final Calculation Sheet'!$T$13="","",'Final Calculation Sheet'!$T$13)</f>
        <v/>
      </c>
      <c r="AD27" s="70">
        <f>IF('Final Calculation Sheet'!$T$16="","",'Final Calculation Sheet'!$T$16)</f>
        <v/>
      </c>
      <c r="AE27" s="408">
        <f>IF('Final Calculation Sheet'!$T$17="","",'Final Calculation Sheet'!$T$17)</f>
        <v/>
      </c>
      <c r="AF27" s="70">
        <f>IF('Final Calculation Sheet'!$T$23="","",'Final Calculation Sheet'!$T$23)</f>
        <v/>
      </c>
      <c r="AG27" s="408">
        <f>IF('Final Calculation Sheet'!$T$29="","",'Final Calculation Sheet'!$T$29)</f>
        <v/>
      </c>
      <c r="AH27" s="70">
        <f>IF('Final Calculation Sheet'!$T$34="","",'Final Calculation Sheet'!$T$34)</f>
        <v/>
      </c>
      <c r="AI27" s="408">
        <f>IF('Final Calculation Sheet'!$T$36="","",'Final Calculation Sheet'!$T$36)</f>
        <v/>
      </c>
      <c r="AJ27" s="70">
        <f>IF('Final Calculation Sheet'!$T$25="","",'Final Calculation Sheet'!$T$25)</f>
        <v/>
      </c>
      <c r="AK27" s="408">
        <f>IF('Final Calculation Sheet'!$T$28="","",'Final Calculation Sheet'!$T$28)</f>
        <v/>
      </c>
      <c r="AL27" s="70">
        <f>IF('Final Calculation Sheet'!$T$35="","",'Final Calculation Sheet'!$T$35)</f>
        <v/>
      </c>
      <c r="AM27" s="414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408">
        <f>IF('Final Calculation Sheet'!$U$6="","",'Final Calculation Sheet'!$U$6)</f>
        <v/>
      </c>
      <c r="D28" s="70">
        <f>IF('Final Calculation Sheet'!$U$7="","",'Final Calculation Sheet'!$U$7)</f>
        <v/>
      </c>
      <c r="E28" s="408">
        <f>IF('Final Calculation Sheet'!$U$15="","",'Final Calculation Sheet'!$U$15)</f>
        <v/>
      </c>
      <c r="F28" s="70">
        <f>IF('Final Calculation Sheet'!$U$38="","",'Final Calculation Sheet'!$U$38)</f>
        <v/>
      </c>
      <c r="G28" s="408">
        <f>IF('Final Calculation Sheet'!$U$27="","",'Final Calculation Sheet'!$U$27)</f>
        <v/>
      </c>
      <c r="H28" s="70">
        <f>IF('Final Calculation Sheet'!$U$5="","",'Final Calculation Sheet'!$U$5)</f>
        <v/>
      </c>
      <c r="I28" s="408">
        <f>IF('Final Calculation Sheet'!$U$10="","",'Final Calculation Sheet'!$U$10)</f>
        <v/>
      </c>
      <c r="J28" s="70">
        <f>IF('Final Calculation Sheet'!$U$11="","",'Final Calculation Sheet'!$U$11)</f>
        <v/>
      </c>
      <c r="K28" s="408">
        <f>IF('Final Calculation Sheet'!$U$12="","",'Final Calculation Sheet'!$U$12)</f>
        <v/>
      </c>
      <c r="L28" s="70">
        <f>IF('Final Calculation Sheet'!$U$18="","",'Final Calculation Sheet'!$U$18)</f>
        <v/>
      </c>
      <c r="M28" s="408">
        <f>IF('Final Calculation Sheet'!$U$19="","",'Final Calculation Sheet'!$U$19)</f>
        <v/>
      </c>
      <c r="N28" s="70">
        <f>IF('Final Calculation Sheet'!$U$22="","",'Final Calculation Sheet'!$U$22)</f>
        <v/>
      </c>
      <c r="O28" s="408">
        <f>IF('Final Calculation Sheet'!$U$24="","",'Final Calculation Sheet'!$U$24)</f>
        <v/>
      </c>
      <c r="P28" s="70">
        <f>IF('Final Calculation Sheet'!$U$26="","",'Final Calculation Sheet'!$U$26)</f>
        <v/>
      </c>
      <c r="Q28" s="408">
        <f>IF('Final Calculation Sheet'!$U$30="","",'Final Calculation Sheet'!$U$30)</f>
        <v/>
      </c>
      <c r="R28" s="70">
        <f>IF('Final Calculation Sheet'!$U$32="","",'Final Calculation Sheet'!$U$32)</f>
        <v/>
      </c>
      <c r="S28" s="408">
        <f>IF('Final Calculation Sheet'!$U$33="","",'Final Calculation Sheet'!$U$33)</f>
        <v/>
      </c>
      <c r="T28" s="70">
        <f>IF('Final Calculation Sheet'!$U$37="","",'Final Calculation Sheet'!$U$37)</f>
        <v/>
      </c>
      <c r="U28" s="408">
        <f>IF('Final Calculation Sheet'!$U$21="","",'Final Calculation Sheet'!$U$21)</f>
        <v/>
      </c>
      <c r="V28" s="70">
        <f>IF('Final Calculation Sheet'!$U$8="","",'Final Calculation Sheet'!$U$8)</f>
        <v/>
      </c>
      <c r="W28" s="408">
        <f>IF('Final Calculation Sheet'!$U$20="","",'Final Calculation Sheet'!$U$20)</f>
        <v/>
      </c>
      <c r="X28" s="70">
        <f>IF('Final Calculation Sheet'!$U$39="","",'Final Calculation Sheet'!$U$39)</f>
        <v/>
      </c>
      <c r="Y28" s="408">
        <f>IF('Final Calculation Sheet'!$U$40="","",'Final Calculation Sheet'!$U$40)</f>
        <v/>
      </c>
      <c r="Z28" s="70">
        <f>IF('Final Calculation Sheet'!$U$31="","",'Final Calculation Sheet'!$U$31)</f>
        <v/>
      </c>
      <c r="AA28" s="408">
        <f>IF('Final Calculation Sheet'!$U$9="","",'Final Calculation Sheet'!$U$9)</f>
        <v/>
      </c>
      <c r="AB28" s="70">
        <f>IF('Final Calculation Sheet'!$U$14="","",'Final Calculation Sheet'!$U$14)</f>
        <v/>
      </c>
      <c r="AC28" s="408">
        <f>IF('Final Calculation Sheet'!$U$13="","",'Final Calculation Sheet'!$U$13)</f>
        <v/>
      </c>
      <c r="AD28" s="70">
        <f>IF('Final Calculation Sheet'!$U$16="","",'Final Calculation Sheet'!$U$16)</f>
        <v/>
      </c>
      <c r="AE28" s="408">
        <f>IF('Final Calculation Sheet'!$U$17="","",'Final Calculation Sheet'!$U$17)</f>
        <v/>
      </c>
      <c r="AF28" s="70">
        <f>IF('Final Calculation Sheet'!$U$23="","",'Final Calculation Sheet'!$U$23)</f>
        <v/>
      </c>
      <c r="AG28" s="408">
        <f>IF('Final Calculation Sheet'!$U$29="","",'Final Calculation Sheet'!$U$29)</f>
        <v/>
      </c>
      <c r="AH28" s="70">
        <f>IF('Final Calculation Sheet'!$U$34="","",'Final Calculation Sheet'!$U$34)</f>
        <v/>
      </c>
      <c r="AI28" s="408">
        <f>IF('Final Calculation Sheet'!$U$36="","",'Final Calculation Sheet'!$U$36)</f>
        <v/>
      </c>
      <c r="AJ28" s="70">
        <f>IF('Final Calculation Sheet'!$U$25="","",'Final Calculation Sheet'!$U$25)</f>
        <v/>
      </c>
      <c r="AK28" s="408">
        <f>IF('Final Calculation Sheet'!$U$28="","",'Final Calculation Sheet'!$U$28)</f>
        <v/>
      </c>
      <c r="AL28" s="70">
        <f>IF('Final Calculation Sheet'!$U$35="","",'Final Calculation Sheet'!$U$35)</f>
        <v/>
      </c>
      <c r="AM28" s="414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412">
        <f>IF('Final Calculation Sheet'!$V$6="","",'Final Calculation Sheet'!$V$6)</f>
        <v/>
      </c>
      <c r="D29" s="76">
        <f>IF('Final Calculation Sheet'!$V$7="","",'Final Calculation Sheet'!$V$7)</f>
        <v/>
      </c>
      <c r="E29" s="412">
        <f>IF('Final Calculation Sheet'!$V$15="","",'Final Calculation Sheet'!$V$15)</f>
        <v/>
      </c>
      <c r="F29" s="76">
        <f>IF('Final Calculation Sheet'!$V$38="","",'Final Calculation Sheet'!$V$38)</f>
        <v/>
      </c>
      <c r="G29" s="412">
        <f>IF('Final Calculation Sheet'!$V$27="","",'Final Calculation Sheet'!$V$27)</f>
        <v/>
      </c>
      <c r="H29" s="76">
        <f>IF('Final Calculation Sheet'!$V$5="","",'Final Calculation Sheet'!$V$5)</f>
        <v/>
      </c>
      <c r="I29" s="412">
        <f>IF('Final Calculation Sheet'!$V$10="","",'Final Calculation Sheet'!$V$10)</f>
        <v/>
      </c>
      <c r="J29" s="76">
        <f>IF('Final Calculation Sheet'!$V$11="","",'Final Calculation Sheet'!$V$11)</f>
        <v/>
      </c>
      <c r="K29" s="412">
        <f>IF('Final Calculation Sheet'!$V$12="","",'Final Calculation Sheet'!$V$12)</f>
        <v/>
      </c>
      <c r="L29" s="76">
        <f>IF('Final Calculation Sheet'!$V$18="","",'Final Calculation Sheet'!$V$18)</f>
        <v/>
      </c>
      <c r="M29" s="412">
        <f>IF('Final Calculation Sheet'!$V$19="","",'Final Calculation Sheet'!$V$19)</f>
        <v/>
      </c>
      <c r="N29" s="76">
        <f>IF('Final Calculation Sheet'!$V$22="","",'Final Calculation Sheet'!$V$22)</f>
        <v/>
      </c>
      <c r="O29" s="412">
        <f>IF('Final Calculation Sheet'!$V$24="","",'Final Calculation Sheet'!$V$24)</f>
        <v/>
      </c>
      <c r="P29" s="76">
        <f>IF('Final Calculation Sheet'!$V$26="","",'Final Calculation Sheet'!$V$26)</f>
        <v/>
      </c>
      <c r="Q29" s="412">
        <f>IF('Final Calculation Sheet'!$V$30="","",'Final Calculation Sheet'!$V$30)</f>
        <v/>
      </c>
      <c r="R29" s="76">
        <f>IF('Final Calculation Sheet'!$V$32="","",'Final Calculation Sheet'!$V$32)</f>
        <v/>
      </c>
      <c r="S29" s="412">
        <f>IF('Final Calculation Sheet'!$V$33="","",'Final Calculation Sheet'!$V$33)</f>
        <v/>
      </c>
      <c r="T29" s="76">
        <f>IF('Final Calculation Sheet'!$V$37="","",'Final Calculation Sheet'!$V$37)</f>
        <v/>
      </c>
      <c r="U29" s="412">
        <f>IF('Final Calculation Sheet'!$V$21="","",'Final Calculation Sheet'!$V$21)</f>
        <v/>
      </c>
      <c r="V29" s="76">
        <f>IF('Final Calculation Sheet'!$V$8="","",'Final Calculation Sheet'!$V$8)</f>
        <v/>
      </c>
      <c r="W29" s="412">
        <f>IF('Final Calculation Sheet'!$V$20="","",'Final Calculation Sheet'!$V$20)</f>
        <v/>
      </c>
      <c r="X29" s="76">
        <f>IF('Final Calculation Sheet'!$V$39="","",'Final Calculation Sheet'!$V$39)</f>
        <v/>
      </c>
      <c r="Y29" s="412">
        <f>IF('Final Calculation Sheet'!$V$40="","",'Final Calculation Sheet'!$V$40)</f>
        <v/>
      </c>
      <c r="Z29" s="76">
        <f>IF('Final Calculation Sheet'!$V$31="","",'Final Calculation Sheet'!$V$31)</f>
        <v/>
      </c>
      <c r="AA29" s="412">
        <f>IF('Final Calculation Sheet'!$V$9="","",'Final Calculation Sheet'!$V$9)</f>
        <v/>
      </c>
      <c r="AB29" s="76">
        <f>IF('Final Calculation Sheet'!$V$14="","",'Final Calculation Sheet'!$V$14)</f>
        <v/>
      </c>
      <c r="AC29" s="412">
        <f>IF('Final Calculation Sheet'!$V$13="","",'Final Calculation Sheet'!$V$13)</f>
        <v/>
      </c>
      <c r="AD29" s="76">
        <f>IF('Final Calculation Sheet'!$V$16="","",'Final Calculation Sheet'!$V$16)</f>
        <v/>
      </c>
      <c r="AE29" s="412">
        <f>IF('Final Calculation Sheet'!$V$17="","",'Final Calculation Sheet'!$V$17)</f>
        <v/>
      </c>
      <c r="AF29" s="76">
        <f>IF('Final Calculation Sheet'!$V$23="","",'Final Calculation Sheet'!$V$23)</f>
        <v/>
      </c>
      <c r="AG29" s="412">
        <f>IF('Final Calculation Sheet'!$V$29="","",'Final Calculation Sheet'!$V$29)</f>
        <v/>
      </c>
      <c r="AH29" s="76">
        <f>IF('Final Calculation Sheet'!$V$34="","",'Final Calculation Sheet'!$V$34)</f>
        <v/>
      </c>
      <c r="AI29" s="412">
        <f>IF('Final Calculation Sheet'!$V$36="","",'Final Calculation Sheet'!$V$36)</f>
        <v/>
      </c>
      <c r="AJ29" s="76">
        <f>IF('Final Calculation Sheet'!$V$25="","",'Final Calculation Sheet'!$V$25)</f>
        <v/>
      </c>
      <c r="AK29" s="412">
        <f>IF('Final Calculation Sheet'!$V$28="","",'Final Calculation Sheet'!$V$28)</f>
        <v/>
      </c>
      <c r="AL29" s="76">
        <f>IF('Final Calculation Sheet'!$V$35="","",'Final Calculation Sheet'!$V$35)</f>
        <v/>
      </c>
      <c r="AM29" s="72" t="inlineStr">
        <is>
          <t>–</t>
        </is>
      </c>
    </row>
    <row r="30" ht="17" customHeight="1">
      <c r="A30" s="419" t="inlineStr">
        <is>
          <t xml:space="preserve">  ▸ FINAL PAYMENT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7" t="n"/>
      <c r="K30" s="387" t="n"/>
      <c r="L30" s="387" t="n"/>
      <c r="M30" s="387" t="n"/>
      <c r="N30" s="387" t="n"/>
      <c r="O30" s="387" t="n"/>
      <c r="P30" s="387" t="n"/>
      <c r="Q30" s="387" t="n"/>
      <c r="R30" s="387" t="n"/>
      <c r="S30" s="387" t="n"/>
      <c r="T30" s="387" t="n"/>
      <c r="U30" s="387" t="n"/>
      <c r="V30" s="387" t="n"/>
      <c r="W30" s="387" t="n"/>
      <c r="X30" s="387" t="n"/>
      <c r="Y30" s="387" t="n"/>
      <c r="Z30" s="387" t="n"/>
      <c r="AA30" s="387" t="n"/>
      <c r="AB30" s="387" t="n"/>
      <c r="AC30" s="387" t="n"/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7" t="n"/>
      <c r="AM30" s="38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408">
        <f>IF('Final Calculation Sheet'!$W$6="","",'Final Calculation Sheet'!$W$6)</f>
        <v/>
      </c>
      <c r="D31" s="70">
        <f>IF('Final Calculation Sheet'!$W$7="","",'Final Calculation Sheet'!$W$7)</f>
        <v/>
      </c>
      <c r="E31" s="408">
        <f>IF('Final Calculation Sheet'!$W$15="","",'Final Calculation Sheet'!$W$15)</f>
        <v/>
      </c>
      <c r="F31" s="70">
        <f>IF('Final Calculation Sheet'!$W$38="","",'Final Calculation Sheet'!$W$38)</f>
        <v/>
      </c>
      <c r="G31" s="408">
        <f>IF('Final Calculation Sheet'!$W$27="","",'Final Calculation Sheet'!$W$27)</f>
        <v/>
      </c>
      <c r="H31" s="70">
        <f>IF('Final Calculation Sheet'!$W$5="","",'Final Calculation Sheet'!$W$5)</f>
        <v/>
      </c>
      <c r="I31" s="408">
        <f>IF('Final Calculation Sheet'!$W$10="","",'Final Calculation Sheet'!$W$10)</f>
        <v/>
      </c>
      <c r="J31" s="70">
        <f>IF('Final Calculation Sheet'!$W$11="","",'Final Calculation Sheet'!$W$11)</f>
        <v/>
      </c>
      <c r="K31" s="408">
        <f>IF('Final Calculation Sheet'!$W$12="","",'Final Calculation Sheet'!$W$12)</f>
        <v/>
      </c>
      <c r="L31" s="70">
        <f>IF('Final Calculation Sheet'!$W$18="","",'Final Calculation Sheet'!$W$18)</f>
        <v/>
      </c>
      <c r="M31" s="408">
        <f>IF('Final Calculation Sheet'!$W$19="","",'Final Calculation Sheet'!$W$19)</f>
        <v/>
      </c>
      <c r="N31" s="70">
        <f>IF('Final Calculation Sheet'!$W$22="","",'Final Calculation Sheet'!$W$22)</f>
        <v/>
      </c>
      <c r="O31" s="408">
        <f>IF('Final Calculation Sheet'!$W$24="","",'Final Calculation Sheet'!$W$24)</f>
        <v/>
      </c>
      <c r="P31" s="70">
        <f>IF('Final Calculation Sheet'!$W$26="","",'Final Calculation Sheet'!$W$26)</f>
        <v/>
      </c>
      <c r="Q31" s="408">
        <f>IF('Final Calculation Sheet'!$W$30="","",'Final Calculation Sheet'!$W$30)</f>
        <v/>
      </c>
      <c r="R31" s="70">
        <f>IF('Final Calculation Sheet'!$W$32="","",'Final Calculation Sheet'!$W$32)</f>
        <v/>
      </c>
      <c r="S31" s="408">
        <f>IF('Final Calculation Sheet'!$W$33="","",'Final Calculation Sheet'!$W$33)</f>
        <v/>
      </c>
      <c r="T31" s="70">
        <f>IF('Final Calculation Sheet'!$W$37="","",'Final Calculation Sheet'!$W$37)</f>
        <v/>
      </c>
      <c r="U31" s="408">
        <f>IF('Final Calculation Sheet'!$W$21="","",'Final Calculation Sheet'!$W$21)</f>
        <v/>
      </c>
      <c r="V31" s="70">
        <f>IF('Final Calculation Sheet'!$W$8="","",'Final Calculation Sheet'!$W$8)</f>
        <v/>
      </c>
      <c r="W31" s="408">
        <f>IF('Final Calculation Sheet'!$W$20="","",'Final Calculation Sheet'!$W$20)</f>
        <v/>
      </c>
      <c r="X31" s="70">
        <f>IF('Final Calculation Sheet'!$W$39="","",'Final Calculation Sheet'!$W$39)</f>
        <v/>
      </c>
      <c r="Y31" s="408">
        <f>IF('Final Calculation Sheet'!$W$40="","",'Final Calculation Sheet'!$W$40)</f>
        <v/>
      </c>
      <c r="Z31" s="70">
        <f>IF('Final Calculation Sheet'!$W$31="","",'Final Calculation Sheet'!$W$31)</f>
        <v/>
      </c>
      <c r="AA31" s="408">
        <f>IF('Final Calculation Sheet'!$W$9="","",'Final Calculation Sheet'!$W$9)</f>
        <v/>
      </c>
      <c r="AB31" s="70">
        <f>IF('Final Calculation Sheet'!$W$14="","",'Final Calculation Sheet'!$W$14)</f>
        <v/>
      </c>
      <c r="AC31" s="408">
        <f>IF('Final Calculation Sheet'!$W$13="","",'Final Calculation Sheet'!$W$13)</f>
        <v/>
      </c>
      <c r="AD31" s="70">
        <f>IF('Final Calculation Sheet'!$W$16="","",'Final Calculation Sheet'!$W$16)</f>
        <v/>
      </c>
      <c r="AE31" s="408">
        <f>IF('Final Calculation Sheet'!$W$17="","",'Final Calculation Sheet'!$W$17)</f>
        <v/>
      </c>
      <c r="AF31" s="70">
        <f>IF('Final Calculation Sheet'!$W$23="","",'Final Calculation Sheet'!$W$23)</f>
        <v/>
      </c>
      <c r="AG31" s="408">
        <f>IF('Final Calculation Sheet'!$W$29="","",'Final Calculation Sheet'!$W$29)</f>
        <v/>
      </c>
      <c r="AH31" s="70">
        <f>IF('Final Calculation Sheet'!$W$34="","",'Final Calculation Sheet'!$W$34)</f>
        <v/>
      </c>
      <c r="AI31" s="408">
        <f>IF('Final Calculation Sheet'!$W$36="","",'Final Calculation Sheet'!$W$36)</f>
        <v/>
      </c>
      <c r="AJ31" s="70">
        <f>IF('Final Calculation Sheet'!$W$25="","",'Final Calculation Sheet'!$W$25)</f>
        <v/>
      </c>
      <c r="AK31" s="408">
        <f>IF('Final Calculation Sheet'!$W$28="","",'Final Calculation Sheet'!$W$28)</f>
        <v/>
      </c>
      <c r="AL31" s="70">
        <f>IF('Final Calculation Sheet'!$W$35="","",'Final Calculation Sheet'!$W$35)</f>
        <v/>
      </c>
      <c r="AM31" s="414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408">
        <f>IF('Final Calculation Sheet'!$X$6="","",'Final Calculation Sheet'!$X$6)</f>
        <v/>
      </c>
      <c r="D32" s="70">
        <f>IF('Final Calculation Sheet'!$X$7="","",'Final Calculation Sheet'!$X$7)</f>
        <v/>
      </c>
      <c r="E32" s="408">
        <f>IF('Final Calculation Sheet'!$X$15="","",'Final Calculation Sheet'!$X$15)</f>
        <v/>
      </c>
      <c r="F32" s="70">
        <f>IF('Final Calculation Sheet'!$X$38="","",'Final Calculation Sheet'!$X$38)</f>
        <v/>
      </c>
      <c r="G32" s="408">
        <f>IF('Final Calculation Sheet'!$X$27="","",'Final Calculation Sheet'!$X$27)</f>
        <v/>
      </c>
      <c r="H32" s="70">
        <f>IF('Final Calculation Sheet'!$X$5="","",'Final Calculation Sheet'!$X$5)</f>
        <v/>
      </c>
      <c r="I32" s="408">
        <f>IF('Final Calculation Sheet'!$X$10="","",'Final Calculation Sheet'!$X$10)</f>
        <v/>
      </c>
      <c r="J32" s="70">
        <f>IF('Final Calculation Sheet'!$X$11="","",'Final Calculation Sheet'!$X$11)</f>
        <v/>
      </c>
      <c r="K32" s="408">
        <f>IF('Final Calculation Sheet'!$X$12="","",'Final Calculation Sheet'!$X$12)</f>
        <v/>
      </c>
      <c r="L32" s="70">
        <f>IF('Final Calculation Sheet'!$X$18="","",'Final Calculation Sheet'!$X$18)</f>
        <v/>
      </c>
      <c r="M32" s="408">
        <f>IF('Final Calculation Sheet'!$X$19="","",'Final Calculation Sheet'!$X$19)</f>
        <v/>
      </c>
      <c r="N32" s="70">
        <f>IF('Final Calculation Sheet'!$X$22="","",'Final Calculation Sheet'!$X$22)</f>
        <v/>
      </c>
      <c r="O32" s="408">
        <f>IF('Final Calculation Sheet'!$X$24="","",'Final Calculation Sheet'!$X$24)</f>
        <v/>
      </c>
      <c r="P32" s="70">
        <f>IF('Final Calculation Sheet'!$X$26="","",'Final Calculation Sheet'!$X$26)</f>
        <v/>
      </c>
      <c r="Q32" s="408">
        <f>IF('Final Calculation Sheet'!$X$30="","",'Final Calculation Sheet'!$X$30)</f>
        <v/>
      </c>
      <c r="R32" s="70">
        <f>IF('Final Calculation Sheet'!$X$32="","",'Final Calculation Sheet'!$X$32)</f>
        <v/>
      </c>
      <c r="S32" s="408">
        <f>IF('Final Calculation Sheet'!$X$33="","",'Final Calculation Sheet'!$X$33)</f>
        <v/>
      </c>
      <c r="T32" s="70">
        <f>IF('Final Calculation Sheet'!$X$37="","",'Final Calculation Sheet'!$X$37)</f>
        <v/>
      </c>
      <c r="U32" s="408">
        <f>IF('Final Calculation Sheet'!$X$21="","",'Final Calculation Sheet'!$X$21)</f>
        <v/>
      </c>
      <c r="V32" s="70">
        <f>IF('Final Calculation Sheet'!$X$8="","",'Final Calculation Sheet'!$X$8)</f>
        <v/>
      </c>
      <c r="W32" s="408">
        <f>IF('Final Calculation Sheet'!$X$20="","",'Final Calculation Sheet'!$X$20)</f>
        <v/>
      </c>
      <c r="X32" s="70">
        <f>IF('Final Calculation Sheet'!$X$39="","",'Final Calculation Sheet'!$X$39)</f>
        <v/>
      </c>
      <c r="Y32" s="408">
        <f>IF('Final Calculation Sheet'!$X$40="","",'Final Calculation Sheet'!$X$40)</f>
        <v/>
      </c>
      <c r="Z32" s="70">
        <f>IF('Final Calculation Sheet'!$X$31="","",'Final Calculation Sheet'!$X$31)</f>
        <v/>
      </c>
      <c r="AA32" s="408">
        <f>IF('Final Calculation Sheet'!$X$9="","",'Final Calculation Sheet'!$X$9)</f>
        <v/>
      </c>
      <c r="AB32" s="70">
        <f>IF('Final Calculation Sheet'!$X$14="","",'Final Calculation Sheet'!$X$14)</f>
        <v/>
      </c>
      <c r="AC32" s="408">
        <f>IF('Final Calculation Sheet'!$X$13="","",'Final Calculation Sheet'!$X$13)</f>
        <v/>
      </c>
      <c r="AD32" s="70">
        <f>IF('Final Calculation Sheet'!$X$16="","",'Final Calculation Sheet'!$X$16)</f>
        <v/>
      </c>
      <c r="AE32" s="408">
        <f>IF('Final Calculation Sheet'!$X$17="","",'Final Calculation Sheet'!$X$17)</f>
        <v/>
      </c>
      <c r="AF32" s="70">
        <f>IF('Final Calculation Sheet'!$X$23="","",'Final Calculation Sheet'!$X$23)</f>
        <v/>
      </c>
      <c r="AG32" s="408">
        <f>IF('Final Calculation Sheet'!$X$29="","",'Final Calculation Sheet'!$X$29)</f>
        <v/>
      </c>
      <c r="AH32" s="70">
        <f>IF('Final Calculation Sheet'!$X$34="","",'Final Calculation Sheet'!$X$34)</f>
        <v/>
      </c>
      <c r="AI32" s="408">
        <f>IF('Final Calculation Sheet'!$X$36="","",'Final Calculation Sheet'!$X$36)</f>
        <v/>
      </c>
      <c r="AJ32" s="70">
        <f>IF('Final Calculation Sheet'!$X$25="","",'Final Calculation Sheet'!$X$25)</f>
        <v/>
      </c>
      <c r="AK32" s="408">
        <f>IF('Final Calculation Sheet'!$X$28="","",'Final Calculation Sheet'!$X$28)</f>
        <v/>
      </c>
      <c r="AL32" s="70">
        <f>IF('Final Calculation Sheet'!$X$35="","",'Final Calculation Sheet'!$X$35)</f>
        <v/>
      </c>
      <c r="AM32" s="414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412">
        <f>IF('Final Calculation Sheet'!$Y$6="","",'Final Calculation Sheet'!$Y$6)</f>
        <v/>
      </c>
      <c r="D33" s="76">
        <f>IF('Final Calculation Sheet'!$Y$7="","",'Final Calculation Sheet'!$Y$7)</f>
        <v/>
      </c>
      <c r="E33" s="412">
        <f>IF('Final Calculation Sheet'!$Y$15="","",'Final Calculation Sheet'!$Y$15)</f>
        <v/>
      </c>
      <c r="F33" s="76">
        <f>IF('Final Calculation Sheet'!$Y$38="","",'Final Calculation Sheet'!$Y$38)</f>
        <v/>
      </c>
      <c r="G33" s="412">
        <f>IF('Final Calculation Sheet'!$Y$27="","",'Final Calculation Sheet'!$Y$27)</f>
        <v/>
      </c>
      <c r="H33" s="76">
        <f>IF('Final Calculation Sheet'!$Y$5="","",'Final Calculation Sheet'!$Y$5)</f>
        <v/>
      </c>
      <c r="I33" s="412">
        <f>IF('Final Calculation Sheet'!$Y$10="","",'Final Calculation Sheet'!$Y$10)</f>
        <v/>
      </c>
      <c r="J33" s="76">
        <f>IF('Final Calculation Sheet'!$Y$11="","",'Final Calculation Sheet'!$Y$11)</f>
        <v/>
      </c>
      <c r="K33" s="412">
        <f>IF('Final Calculation Sheet'!$Y$12="","",'Final Calculation Sheet'!$Y$12)</f>
        <v/>
      </c>
      <c r="L33" s="76">
        <f>IF('Final Calculation Sheet'!$Y$18="","",'Final Calculation Sheet'!$Y$18)</f>
        <v/>
      </c>
      <c r="M33" s="412">
        <f>IF('Final Calculation Sheet'!$Y$19="","",'Final Calculation Sheet'!$Y$19)</f>
        <v/>
      </c>
      <c r="N33" s="76">
        <f>IF('Final Calculation Sheet'!$Y$22="","",'Final Calculation Sheet'!$Y$22)</f>
        <v/>
      </c>
      <c r="O33" s="412">
        <f>IF('Final Calculation Sheet'!$Y$24="","",'Final Calculation Sheet'!$Y$24)</f>
        <v/>
      </c>
      <c r="P33" s="76">
        <f>IF('Final Calculation Sheet'!$Y$26="","",'Final Calculation Sheet'!$Y$26)</f>
        <v/>
      </c>
      <c r="Q33" s="412">
        <f>IF('Final Calculation Sheet'!$Y$30="","",'Final Calculation Sheet'!$Y$30)</f>
        <v/>
      </c>
      <c r="R33" s="76">
        <f>IF('Final Calculation Sheet'!$Y$32="","",'Final Calculation Sheet'!$Y$32)</f>
        <v/>
      </c>
      <c r="S33" s="412">
        <f>IF('Final Calculation Sheet'!$Y$33="","",'Final Calculation Sheet'!$Y$33)</f>
        <v/>
      </c>
      <c r="T33" s="76">
        <f>IF('Final Calculation Sheet'!$Y$37="","",'Final Calculation Sheet'!$Y$37)</f>
        <v/>
      </c>
      <c r="U33" s="412">
        <f>IF('Final Calculation Sheet'!$Y$21="","",'Final Calculation Sheet'!$Y$21)</f>
        <v/>
      </c>
      <c r="V33" s="76">
        <f>IF('Final Calculation Sheet'!$Y$8="","",'Final Calculation Sheet'!$Y$8)</f>
        <v/>
      </c>
      <c r="W33" s="412">
        <f>IF('Final Calculation Sheet'!$Y$20="","",'Final Calculation Sheet'!$Y$20)</f>
        <v/>
      </c>
      <c r="X33" s="76">
        <f>IF('Final Calculation Sheet'!$Y$39="","",'Final Calculation Sheet'!$Y$39)</f>
        <v/>
      </c>
      <c r="Y33" s="412">
        <f>IF('Final Calculation Sheet'!$Y$40="","",'Final Calculation Sheet'!$Y$40)</f>
        <v/>
      </c>
      <c r="Z33" s="76">
        <f>IF('Final Calculation Sheet'!$Y$31="","",'Final Calculation Sheet'!$Y$31)</f>
        <v/>
      </c>
      <c r="AA33" s="412">
        <f>IF('Final Calculation Sheet'!$Y$9="","",'Final Calculation Sheet'!$Y$9)</f>
        <v/>
      </c>
      <c r="AB33" s="76">
        <f>IF('Final Calculation Sheet'!$Y$14="","",'Final Calculation Sheet'!$Y$14)</f>
        <v/>
      </c>
      <c r="AC33" s="412">
        <f>IF('Final Calculation Sheet'!$Y$13="","",'Final Calculation Sheet'!$Y$13)</f>
        <v/>
      </c>
      <c r="AD33" s="76">
        <f>IF('Final Calculation Sheet'!$Y$16="","",'Final Calculation Sheet'!$Y$16)</f>
        <v/>
      </c>
      <c r="AE33" s="412">
        <f>IF('Final Calculation Sheet'!$Y$17="","",'Final Calculation Sheet'!$Y$17)</f>
        <v/>
      </c>
      <c r="AF33" s="76">
        <f>IF('Final Calculation Sheet'!$Y$23="","",'Final Calculation Sheet'!$Y$23)</f>
        <v/>
      </c>
      <c r="AG33" s="412">
        <f>IF('Final Calculation Sheet'!$Y$29="","",'Final Calculation Sheet'!$Y$29)</f>
        <v/>
      </c>
      <c r="AH33" s="76">
        <f>IF('Final Calculation Sheet'!$Y$34="","",'Final Calculation Sheet'!$Y$34)</f>
        <v/>
      </c>
      <c r="AI33" s="412">
        <f>IF('Final Calculation Sheet'!$Y$36="","",'Final Calculation Sheet'!$Y$36)</f>
        <v/>
      </c>
      <c r="AJ33" s="76">
        <f>IF('Final Calculation Sheet'!$Y$25="","",'Final Calculation Sheet'!$Y$25)</f>
        <v/>
      </c>
      <c r="AK33" s="412">
        <f>IF('Final Calculation Sheet'!$Y$28="","",'Final Calculation Sheet'!$Y$28)</f>
        <v/>
      </c>
      <c r="AL33" s="76">
        <f>IF('Final Calculation Sheet'!$Y$35="","",'Final Calculation Sheet'!$Y$35)</f>
        <v/>
      </c>
      <c r="AM33" s="72" t="inlineStr">
        <is>
          <t>–</t>
        </is>
      </c>
    </row>
    <row r="34" ht="17" customHeight="1">
      <c r="A34" s="420" t="inlineStr">
        <is>
          <t xml:space="preserve">  ▸ LPP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408">
        <f>IF('Final Calculation Sheet'!$Z$6="","",'Final Calculation Sheet'!$Z$6)</f>
        <v/>
      </c>
      <c r="D35" s="70">
        <f>IF('Final Calculation Sheet'!$Z$7="","",'Final Calculation Sheet'!$Z$7)</f>
        <v/>
      </c>
      <c r="E35" s="408">
        <f>IF('Final Calculation Sheet'!$Z$15="","",'Final Calculation Sheet'!$Z$15)</f>
        <v/>
      </c>
      <c r="F35" s="70">
        <f>IF('Final Calculation Sheet'!$Z$38="","",'Final Calculation Sheet'!$Z$38)</f>
        <v/>
      </c>
      <c r="G35" s="408">
        <f>IF('Final Calculation Sheet'!$Z$27="","",'Final Calculation Sheet'!$Z$27)</f>
        <v/>
      </c>
      <c r="H35" s="70">
        <f>IF('Final Calculation Sheet'!$Z$5="","",'Final Calculation Sheet'!$Z$5)</f>
        <v/>
      </c>
      <c r="I35" s="408">
        <f>IF('Final Calculation Sheet'!$Z$10="","",'Final Calculation Sheet'!$Z$10)</f>
        <v/>
      </c>
      <c r="J35" s="70">
        <f>IF('Final Calculation Sheet'!$Z$11="","",'Final Calculation Sheet'!$Z$11)</f>
        <v/>
      </c>
      <c r="K35" s="408">
        <f>IF('Final Calculation Sheet'!$Z$12="","",'Final Calculation Sheet'!$Z$12)</f>
        <v/>
      </c>
      <c r="L35" s="70">
        <f>IF('Final Calculation Sheet'!$Z$18="","",'Final Calculation Sheet'!$Z$18)</f>
        <v/>
      </c>
      <c r="M35" s="408">
        <f>IF('Final Calculation Sheet'!$Z$19="","",'Final Calculation Sheet'!$Z$19)</f>
        <v/>
      </c>
      <c r="N35" s="70">
        <f>IF('Final Calculation Sheet'!$Z$22="","",'Final Calculation Sheet'!$Z$22)</f>
        <v/>
      </c>
      <c r="O35" s="408">
        <f>IF('Final Calculation Sheet'!$Z$24="","",'Final Calculation Sheet'!$Z$24)</f>
        <v/>
      </c>
      <c r="P35" s="70">
        <f>IF('Final Calculation Sheet'!$Z$26="","",'Final Calculation Sheet'!$Z$26)</f>
        <v/>
      </c>
      <c r="Q35" s="408">
        <f>IF('Final Calculation Sheet'!$Z$30="","",'Final Calculation Sheet'!$Z$30)</f>
        <v/>
      </c>
      <c r="R35" s="70">
        <f>IF('Final Calculation Sheet'!$Z$32="","",'Final Calculation Sheet'!$Z$32)</f>
        <v/>
      </c>
      <c r="S35" s="408">
        <f>IF('Final Calculation Sheet'!$Z$33="","",'Final Calculation Sheet'!$Z$33)</f>
        <v/>
      </c>
      <c r="T35" s="70">
        <f>IF('Final Calculation Sheet'!$Z$37="","",'Final Calculation Sheet'!$Z$37)</f>
        <v/>
      </c>
      <c r="U35" s="408">
        <f>IF('Final Calculation Sheet'!$Z$21="","",'Final Calculation Sheet'!$Z$21)</f>
        <v/>
      </c>
      <c r="V35" s="70">
        <f>IF('Final Calculation Sheet'!$Z$8="","",'Final Calculation Sheet'!$Z$8)</f>
        <v/>
      </c>
      <c r="W35" s="408">
        <f>IF('Final Calculation Sheet'!$Z$20="","",'Final Calculation Sheet'!$Z$20)</f>
        <v/>
      </c>
      <c r="X35" s="70">
        <f>IF('Final Calculation Sheet'!$Z$39="","",'Final Calculation Sheet'!$Z$39)</f>
        <v/>
      </c>
      <c r="Y35" s="408">
        <f>IF('Final Calculation Sheet'!$Z$40="","",'Final Calculation Sheet'!$Z$40)</f>
        <v/>
      </c>
      <c r="Z35" s="70">
        <f>IF('Final Calculation Sheet'!$Z$31="","",'Final Calculation Sheet'!$Z$31)</f>
        <v/>
      </c>
      <c r="AA35" s="408">
        <f>IF('Final Calculation Sheet'!$Z$9="","",'Final Calculation Sheet'!$Z$9)</f>
        <v/>
      </c>
      <c r="AB35" s="70">
        <f>IF('Final Calculation Sheet'!$Z$14="","",'Final Calculation Sheet'!$Z$14)</f>
        <v/>
      </c>
      <c r="AC35" s="408">
        <f>IF('Final Calculation Sheet'!$Z$13="","",'Final Calculation Sheet'!$Z$13)</f>
        <v/>
      </c>
      <c r="AD35" s="70">
        <f>IF('Final Calculation Sheet'!$Z$16="","",'Final Calculation Sheet'!$Z$16)</f>
        <v/>
      </c>
      <c r="AE35" s="408">
        <f>IF('Final Calculation Sheet'!$Z$17="","",'Final Calculation Sheet'!$Z$17)</f>
        <v/>
      </c>
      <c r="AF35" s="70">
        <f>IF('Final Calculation Sheet'!$Z$23="","",'Final Calculation Sheet'!$Z$23)</f>
        <v/>
      </c>
      <c r="AG35" s="408">
        <f>IF('Final Calculation Sheet'!$Z$29="","",'Final Calculation Sheet'!$Z$29)</f>
        <v/>
      </c>
      <c r="AH35" s="70">
        <f>IF('Final Calculation Sheet'!$Z$34="","",'Final Calculation Sheet'!$Z$34)</f>
        <v/>
      </c>
      <c r="AI35" s="408">
        <f>IF('Final Calculation Sheet'!$Z$36="","",'Final Calculation Sheet'!$Z$36)</f>
        <v/>
      </c>
      <c r="AJ35" s="70">
        <f>IF('Final Calculation Sheet'!$Z$25="","",'Final Calculation Sheet'!$Z$25)</f>
        <v/>
      </c>
      <c r="AK35" s="408">
        <f>IF('Final Calculation Sheet'!$Z$28="","",'Final Calculation Sheet'!$Z$28)</f>
        <v/>
      </c>
      <c r="AL35" s="70">
        <f>IF('Final Calculation Sheet'!$Z$35="","",'Final Calculation Sheet'!$Z$35)</f>
        <v/>
      </c>
      <c r="AM35" s="414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408">
        <f>IF('Final Calculation Sheet'!$AA$6="","",'Final Calculation Sheet'!$AA$6)</f>
        <v/>
      </c>
      <c r="D36" s="70">
        <f>IF('Final Calculation Sheet'!$AA$7="","",'Final Calculation Sheet'!$AA$7)</f>
        <v/>
      </c>
      <c r="E36" s="4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408">
        <f>IF('Final Calculation Sheet'!$AA$27="","",'Final Calculation Sheet'!$AA$27)</f>
        <v/>
      </c>
      <c r="H36" s="70">
        <f>IF('Final Calculation Sheet'!$AA$5="","",'Final Calculation Sheet'!$AA$5)</f>
        <v/>
      </c>
      <c r="I36" s="4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4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4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4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4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4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408">
        <f>IF('Final Calculation Sheet'!$AA$21="","",'Final Calculation Sheet'!$AA$21)</f>
        <v/>
      </c>
      <c r="V36" s="70">
        <f>IF('Final Calculation Sheet'!$AA$8="","",'Final Calculation Sheet'!$AA$8)</f>
        <v/>
      </c>
      <c r="W36" s="4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4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4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4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4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4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4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4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414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412">
        <f>IF('Final Calculation Sheet'!$AB$6="","",'Final Calculation Sheet'!$AB$6)</f>
        <v/>
      </c>
      <c r="D37" s="76">
        <f>IF('Final Calculation Sheet'!$AB$7="","",'Final Calculation Sheet'!$AB$7)</f>
        <v/>
      </c>
      <c r="E37" s="412">
        <f>IF('Final Calculation Sheet'!$AB$15="","",'Final Calculation Sheet'!$AB$15)</f>
        <v/>
      </c>
      <c r="F37" s="76">
        <f>IF('Final Calculation Sheet'!$AB$38="","",'Final Calculation Sheet'!$AB$38)</f>
        <v/>
      </c>
      <c r="G37" s="412">
        <f>IF('Final Calculation Sheet'!$AB$27="","",'Final Calculation Sheet'!$AB$27)</f>
        <v/>
      </c>
      <c r="H37" s="76">
        <f>IF('Final Calculation Sheet'!$AB$5="","",'Final Calculation Sheet'!$AB$5)</f>
        <v/>
      </c>
      <c r="I37" s="412">
        <f>IF('Final Calculation Sheet'!$AB$10="","",'Final Calculation Sheet'!$AB$10)</f>
        <v/>
      </c>
      <c r="J37" s="76">
        <f>IF('Final Calculation Sheet'!$AB$11="","",'Final Calculation Sheet'!$AB$11)</f>
        <v/>
      </c>
      <c r="K37" s="412">
        <f>IF('Final Calculation Sheet'!$AB$12="","",'Final Calculation Sheet'!$AB$12)</f>
        <v/>
      </c>
      <c r="L37" s="76">
        <f>IF('Final Calculation Sheet'!$AB$18="","",'Final Calculation Sheet'!$AB$18)</f>
        <v/>
      </c>
      <c r="M37" s="412">
        <f>IF('Final Calculation Sheet'!$AB$19="","",'Final Calculation Sheet'!$AB$19)</f>
        <v/>
      </c>
      <c r="N37" s="76">
        <f>IF('Final Calculation Sheet'!$AB$22="","",'Final Calculation Sheet'!$AB$22)</f>
        <v/>
      </c>
      <c r="O37" s="412">
        <f>IF('Final Calculation Sheet'!$AB$24="","",'Final Calculation Sheet'!$AB$24)</f>
        <v/>
      </c>
      <c r="P37" s="76">
        <f>IF('Final Calculation Sheet'!$AB$26="","",'Final Calculation Sheet'!$AB$26)</f>
        <v/>
      </c>
      <c r="Q37" s="412">
        <f>IF('Final Calculation Sheet'!$AB$30="","",'Final Calculation Sheet'!$AB$30)</f>
        <v/>
      </c>
      <c r="R37" s="76">
        <f>IF('Final Calculation Sheet'!$AB$32="","",'Final Calculation Sheet'!$AB$32)</f>
        <v/>
      </c>
      <c r="S37" s="412">
        <f>IF('Final Calculation Sheet'!$AB$33="","",'Final Calculation Sheet'!$AB$33)</f>
        <v/>
      </c>
      <c r="T37" s="76">
        <f>IF('Final Calculation Sheet'!$AB$37="","",'Final Calculation Sheet'!$AB$37)</f>
        <v/>
      </c>
      <c r="U37" s="412">
        <f>IF('Final Calculation Sheet'!$AB$21="","",'Final Calculation Sheet'!$AB$21)</f>
        <v/>
      </c>
      <c r="V37" s="76">
        <f>IF('Final Calculation Sheet'!$AB$8="","",'Final Calculation Sheet'!$AB$8)</f>
        <v/>
      </c>
      <c r="W37" s="412">
        <f>IF('Final Calculation Sheet'!$AB$20="","",'Final Calculation Sheet'!$AB$20)</f>
        <v/>
      </c>
      <c r="X37" s="76">
        <f>IF('Final Calculation Sheet'!$AB$39="","",'Final Calculation Sheet'!$AB$39)</f>
        <v/>
      </c>
      <c r="Y37" s="412">
        <f>IF('Final Calculation Sheet'!$AB$40="","",'Final Calculation Sheet'!$AB$40)</f>
        <v/>
      </c>
      <c r="Z37" s="76">
        <f>IF('Final Calculation Sheet'!$AB$31="","",'Final Calculation Sheet'!$AB$31)</f>
        <v/>
      </c>
      <c r="AA37" s="412">
        <f>IF('Final Calculation Sheet'!$AB$9="","",'Final Calculation Sheet'!$AB$9)</f>
        <v/>
      </c>
      <c r="AB37" s="76">
        <f>IF('Final Calculation Sheet'!$AB$14="","",'Final Calculation Sheet'!$AB$14)</f>
        <v/>
      </c>
      <c r="AC37" s="412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412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412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412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412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72" t="inlineStr">
        <is>
          <t>–</t>
        </is>
      </c>
    </row>
    <row r="38" ht="17" customHeight="1">
      <c r="A38" s="421" t="inlineStr">
        <is>
          <t xml:space="preserve">  ▸ SUMMARY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408">
        <f>IF('Final Calculation Sheet'!$AC$6="","",'Final Calculation Sheet'!$AC$6)</f>
        <v/>
      </c>
      <c r="D39" s="70">
        <f>IF('Final Calculation Sheet'!$AC$7="","",'Final Calculation Sheet'!$AC$7)</f>
        <v/>
      </c>
      <c r="E39" s="4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408">
        <f>IF('Final Calculation Sheet'!$AC$27="","",'Final Calculation Sheet'!$AC$27)</f>
        <v/>
      </c>
      <c r="H39" s="70">
        <f>IF('Final Calculation Sheet'!$AC$5="","",'Final Calculation Sheet'!$AC$5)</f>
        <v/>
      </c>
      <c r="I39" s="4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4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4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4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4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4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408">
        <f>IF('Final Calculation Sheet'!$AC$21="","",'Final Calculation Sheet'!$AC$21)</f>
        <v/>
      </c>
      <c r="V39" s="70">
        <f>IF('Final Calculation Sheet'!$AC$8="","",'Final Calculation Sheet'!$AC$8)</f>
        <v/>
      </c>
      <c r="W39" s="4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4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4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4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4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4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4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4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414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408">
        <f>IF('Final Calculation Sheet'!$AD$6="","",'Final Calculation Sheet'!$AD$6)</f>
        <v/>
      </c>
      <c r="D40" s="70">
        <f>IF('Final Calculation Sheet'!$AD$7="","",'Final Calculation Sheet'!$AD$7)</f>
        <v/>
      </c>
      <c r="E40" s="4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408">
        <f>IF('Final Calculation Sheet'!$AD$27="","",'Final Calculation Sheet'!$AD$27)</f>
        <v/>
      </c>
      <c r="H40" s="70">
        <f>IF('Final Calculation Sheet'!$AD$5="","",'Final Calculation Sheet'!$AD$5)</f>
        <v/>
      </c>
      <c r="I40" s="4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4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4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4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4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4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408">
        <f>IF('Final Calculation Sheet'!$AD$21="","",'Final Calculation Sheet'!$AD$21)</f>
        <v/>
      </c>
      <c r="V40" s="70">
        <f>IF('Final Calculation Sheet'!$AD$8="","",'Final Calculation Sheet'!$AD$8)</f>
        <v/>
      </c>
      <c r="W40" s="4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4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4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4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4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4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4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4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414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422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422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422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422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422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422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422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422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422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422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422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422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422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422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422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422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422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422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72" t="inlineStr">
        <is>
          <t>–</t>
        </is>
      </c>
    </row>
    <row r="42" ht="17" customHeight="1">
      <c r="A42" s="423" t="inlineStr">
        <is>
          <t xml:space="preserve">  ▸ DOCUMENT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0" t="n"/>
      <c r="O42" s="390" t="n"/>
      <c r="P42" s="390" t="n"/>
      <c r="Q42" s="390" t="n"/>
      <c r="R42" s="390" t="n"/>
      <c r="S42" s="390" t="n"/>
      <c r="T42" s="390" t="n"/>
      <c r="U42" s="390" t="n"/>
      <c r="V42" s="390" t="n"/>
      <c r="W42" s="390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412">
        <f>IF('Final Calculation Sheet'!$AE$6="","",'Final Calculation Sheet'!$AE$6)</f>
        <v/>
      </c>
      <c r="D43" s="76">
        <f>IF('Final Calculation Sheet'!$AE$7="","",'Final Calculation Sheet'!$AE$7)</f>
        <v/>
      </c>
      <c r="E43" s="412">
        <f>IF('Final Calculation Sheet'!$AE$15="","",'Final Calculation Sheet'!$AE$15)</f>
        <v/>
      </c>
      <c r="F43" s="76">
        <f>IF('Final Calculation Sheet'!$AE$38="","",'Final Calculation Sheet'!$AE$38)</f>
        <v/>
      </c>
      <c r="G43" s="412">
        <f>IF('Final Calculation Sheet'!$AE$27="","",'Final Calculation Sheet'!$AE$27)</f>
        <v/>
      </c>
      <c r="H43" s="76">
        <f>IF('Final Calculation Sheet'!$AE$5="","",'Final Calculation Sheet'!$AE$5)</f>
        <v/>
      </c>
      <c r="I43" s="412">
        <f>IF('Final Calculation Sheet'!$AE$10="","",'Final Calculation Sheet'!$AE$10)</f>
        <v/>
      </c>
      <c r="J43" s="76">
        <f>IF('Final Calculation Sheet'!$AE$11="","",'Final Calculation Sheet'!$AE$11)</f>
        <v/>
      </c>
      <c r="K43" s="412">
        <f>IF('Final Calculation Sheet'!$AE$12="","",'Final Calculation Sheet'!$AE$12)</f>
        <v/>
      </c>
      <c r="L43" s="76">
        <f>IF('Final Calculation Sheet'!$AE$18="","",'Final Calculation Sheet'!$AE$18)</f>
        <v/>
      </c>
      <c r="M43" s="412">
        <f>IF('Final Calculation Sheet'!$AE$19="","",'Final Calculation Sheet'!$AE$19)</f>
        <v/>
      </c>
      <c r="N43" s="76">
        <f>IF('Final Calculation Sheet'!$AE$22="","",'Final Calculation Sheet'!$AE$22)</f>
        <v/>
      </c>
      <c r="O43" s="412">
        <f>IF('Final Calculation Sheet'!$AE$24="","",'Final Calculation Sheet'!$AE$24)</f>
        <v/>
      </c>
      <c r="P43" s="76">
        <f>IF('Final Calculation Sheet'!$AE$26="","",'Final Calculation Sheet'!$AE$26)</f>
        <v/>
      </c>
      <c r="Q43" s="412">
        <f>IF('Final Calculation Sheet'!$AE$30="","",'Final Calculation Sheet'!$AE$30)</f>
        <v/>
      </c>
      <c r="R43" s="76">
        <f>IF('Final Calculation Sheet'!$AE$32="","",'Final Calculation Sheet'!$AE$32)</f>
        <v/>
      </c>
      <c r="S43" s="412">
        <f>IF('Final Calculation Sheet'!$AE$33="","",'Final Calculation Sheet'!$AE$33)</f>
        <v/>
      </c>
      <c r="T43" s="76">
        <f>IF('Final Calculation Sheet'!$AE$37="","",'Final Calculation Sheet'!$AE$37)</f>
        <v/>
      </c>
      <c r="U43" s="412">
        <f>IF('Final Calculation Sheet'!$AE$21="","",'Final Calculation Sheet'!$AE$21)</f>
        <v/>
      </c>
      <c r="V43" s="76">
        <f>IF('Final Calculation Sheet'!$AE$8="","",'Final Calculation Sheet'!$AE$8)</f>
        <v/>
      </c>
      <c r="W43" s="412">
        <f>IF('Final Calculation Sheet'!$AE$20="","",'Final Calculation Sheet'!$AE$20)</f>
        <v/>
      </c>
      <c r="X43" s="76">
        <f>IF('Final Calculation Sheet'!$AE$39="","",'Final Calculation Sheet'!$AE$39)</f>
        <v/>
      </c>
      <c r="Y43" s="412">
        <f>IF('Final Calculation Sheet'!$AE$40="","",'Final Calculation Sheet'!$AE$40)</f>
        <v/>
      </c>
      <c r="Z43" s="76">
        <f>IF('Final Calculation Sheet'!$AE$31="","",'Final Calculation Sheet'!$AE$31)</f>
        <v/>
      </c>
      <c r="AA43" s="412">
        <f>IF('Final Calculation Sheet'!$AE$9="","",'Final Calculation Sheet'!$AE$9)</f>
        <v/>
      </c>
      <c r="AB43" s="76">
        <f>IF('Final Calculation Sheet'!$AE$14="","",'Final Calculation Sheet'!$AE$14)</f>
        <v/>
      </c>
      <c r="AC43" s="412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412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412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412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412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72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408">
        <f>IF('Final Calculation Sheet'!$AF$6="","",'Final Calculation Sheet'!$AF$6)</f>
        <v/>
      </c>
      <c r="D44" s="70">
        <f>IF('Final Calculation Sheet'!$AF$7="","",'Final Calculation Sheet'!$AF$7)</f>
        <v/>
      </c>
      <c r="E44" s="4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408">
        <f>IF('Final Calculation Sheet'!$AF$27="","",'Final Calculation Sheet'!$AF$27)</f>
        <v/>
      </c>
      <c r="H44" s="70">
        <f>IF('Final Calculation Sheet'!$AF$5="","",'Final Calculation Sheet'!$AF$5)</f>
        <v/>
      </c>
      <c r="I44" s="4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4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4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4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4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4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408">
        <f>IF('Final Calculation Sheet'!$AF$21="","",'Final Calculation Sheet'!$AF$21)</f>
        <v/>
      </c>
      <c r="V44" s="70">
        <f>IF('Final Calculation Sheet'!$AF$8="","",'Final Calculation Sheet'!$AF$8)</f>
        <v/>
      </c>
      <c r="W44" s="4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4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4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4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4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4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4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4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72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412">
        <f>IF('Final Calculation Sheet'!$AG$6="","",'Final Calculation Sheet'!$AG$6)</f>
        <v/>
      </c>
      <c r="D45" s="76">
        <f>IF('Final Calculation Sheet'!$AG$7="","",'Final Calculation Sheet'!$AG$7)</f>
        <v/>
      </c>
      <c r="E45" s="412">
        <f>IF('Final Calculation Sheet'!$AG$15="","",'Final Calculation Sheet'!$AG$15)</f>
        <v/>
      </c>
      <c r="F45" s="76">
        <f>IF('Final Calculation Sheet'!$AG$38="","",'Final Calculation Sheet'!$AG$38)</f>
        <v/>
      </c>
      <c r="G45" s="412">
        <f>IF('Final Calculation Sheet'!$AG$27="","",'Final Calculation Sheet'!$AG$27)</f>
        <v/>
      </c>
      <c r="H45" s="76">
        <f>IF('Final Calculation Sheet'!$AG$5="","",'Final Calculation Sheet'!$AG$5)</f>
        <v/>
      </c>
      <c r="I45" s="412">
        <f>IF('Final Calculation Sheet'!$AG$10="","",'Final Calculation Sheet'!$AG$10)</f>
        <v/>
      </c>
      <c r="J45" s="76">
        <f>IF('Final Calculation Sheet'!$AG$11="","",'Final Calculation Sheet'!$AG$11)</f>
        <v/>
      </c>
      <c r="K45" s="412">
        <f>IF('Final Calculation Sheet'!$AG$12="","",'Final Calculation Sheet'!$AG$12)</f>
        <v/>
      </c>
      <c r="L45" s="76">
        <f>IF('Final Calculation Sheet'!$AG$18="","",'Final Calculation Sheet'!$AG$18)</f>
        <v/>
      </c>
      <c r="M45" s="412">
        <f>IF('Final Calculation Sheet'!$AG$19="","",'Final Calculation Sheet'!$AG$19)</f>
        <v/>
      </c>
      <c r="N45" s="76">
        <f>IF('Final Calculation Sheet'!$AG$22="","",'Final Calculation Sheet'!$AG$22)</f>
        <v/>
      </c>
      <c r="O45" s="412">
        <f>IF('Final Calculation Sheet'!$AG$24="","",'Final Calculation Sheet'!$AG$24)</f>
        <v/>
      </c>
      <c r="P45" s="76">
        <f>IF('Final Calculation Sheet'!$AG$26="","",'Final Calculation Sheet'!$AG$26)</f>
        <v/>
      </c>
      <c r="Q45" s="412">
        <f>IF('Final Calculation Sheet'!$AG$30="","",'Final Calculation Sheet'!$AG$30)</f>
        <v/>
      </c>
      <c r="R45" s="76">
        <f>IF('Final Calculation Sheet'!$AG$32="","",'Final Calculation Sheet'!$AG$32)</f>
        <v/>
      </c>
      <c r="S45" s="412">
        <f>IF('Final Calculation Sheet'!$AG$33="","",'Final Calculation Sheet'!$AG$33)</f>
        <v/>
      </c>
      <c r="T45" s="76">
        <f>IF('Final Calculation Sheet'!$AG$37="","",'Final Calculation Sheet'!$AG$37)</f>
        <v/>
      </c>
      <c r="U45" s="412">
        <f>IF('Final Calculation Sheet'!$AG$21="","",'Final Calculation Sheet'!$AG$21)</f>
        <v/>
      </c>
      <c r="V45" s="76">
        <f>IF('Final Calculation Sheet'!$AG$8="","",'Final Calculation Sheet'!$AG$8)</f>
        <v/>
      </c>
      <c r="W45" s="412">
        <f>IF('Final Calculation Sheet'!$AG$20="","",'Final Calculation Sheet'!$AG$20)</f>
        <v/>
      </c>
      <c r="X45" s="76">
        <f>IF('Final Calculation Sheet'!$AG$39="","",'Final Calculation Sheet'!$AG$39)</f>
        <v/>
      </c>
      <c r="Y45" s="412">
        <f>IF('Final Calculation Sheet'!$AG$40="","",'Final Calculation Sheet'!$AG$40)</f>
        <v/>
      </c>
      <c r="Z45" s="76">
        <f>IF('Final Calculation Sheet'!$AG$31="","",'Final Calculation Sheet'!$AG$31)</f>
        <v/>
      </c>
      <c r="AA45" s="412">
        <f>IF('Final Calculation Sheet'!$AG$9="","",'Final Calculation Sheet'!$AG$9)</f>
        <v/>
      </c>
      <c r="AB45" s="76">
        <f>IF('Final Calculation Sheet'!$AG$14="","",'Final Calculation Sheet'!$AG$14)</f>
        <v/>
      </c>
      <c r="AC45" s="412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412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412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412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412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72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B43:AL43">
    <cfRule type="cellIs" priority="5" operator="equal" dxfId="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2026-09-07T04:21:53Z</dcterms:modified>
  <cp:lastModifiedBy>Piyush Prakash Dhabekar</cp:lastModifiedBy>
  <cp:revision>0</cp:revision>
</cp:coreProperties>
</file>