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500" firstSheet="0" activeTab="1" autoFilterDateGrouping="1"/>
  </bookViews>
  <sheets>
    <sheet name="Final Calculation Sheet" sheetId="1" state="visible" r:id="rId1"/>
    <sheet name="Live Search" sheetId="2" state="visible" r:id="rId2"/>
    <sheet name="Final Calc (Transposed)" sheetId="3" state="visible" r:id="rId3"/>
    <sheet name="Transposed + Field Filter" sheetId="4" state="visible" r:id="rId4"/>
    <sheet name="Transposed + Lot Folds" sheetId="5" state="visible" r:id="rId5"/>
    <sheet name="Transposed + Both Filters" sheetId="6" state="visible" r:id="rId6"/>
    <sheet name="Transposed - Pick a Buyer" sheetId="7" state="visible" r:id="rId7"/>
    <sheet name="Transposed - Filter Values" sheetId="8" state="visible" r:id="rId8"/>
    <sheet name="Buyer Pivot" sheetId="9" state="visible" r:id="rId9"/>
    <sheet name="Buyer Rows (Filter)" sheetId="10" state="visible" r:id="rId10"/>
    <sheet name="Lot-wise Vertical" sheetId="11" state="visible" r:id="rId11"/>
    <sheet name="Collapsible - Lots Across" sheetId="12" state="visible" r:id="rId12"/>
    <sheet name="Collapsible + Field Filter" sheetId="13" state="visible" r:id="rId13"/>
    <sheet name="Collapsible - Lots Down" sheetId="14" state="visible" r:id="rId14"/>
    <sheet name="Ledger Filter - Lots Down" sheetId="15" state="visible" r:id="rId15"/>
    <sheet name="Ledger Filter - Lots Across" sheetId="16" state="visible" r:id="rId16"/>
  </sheets>
  <definedNames>
    <definedName name="_xlnm._FilterDatabase" localSheetId="0" hidden="1">'Final Calculation Sheet'!$A$3:$AG$43</definedName>
    <definedName name="_xlnm.Print_Titles" localSheetId="1">'Live Search'!$4:$4</definedName>
    <definedName name="_xlnm._FilterDatabase" localSheetId="2" hidden="1">'Final Calc (Transposed)'!$A$3:$A$36</definedName>
    <definedName name="_xlnm.Print_Titles" localSheetId="2">'Final Calc (Transposed)'!$A:$A</definedName>
    <definedName name="_xlnm._FilterDatabase" localSheetId="3" hidden="1">'Transposed + Field Filter'!$A$3:$A$36</definedName>
    <definedName name="_xlnm.Print_Titles" localSheetId="3">'Transposed + Field Filter'!$A:$A</definedName>
    <definedName name="_xlnm.Print_Titles" localSheetId="4">'Transposed + Lot Folds'!$A:$A</definedName>
    <definedName name="_xlnm._FilterDatabase" localSheetId="5" hidden="1">'Transposed + Both Filters'!$A$5:$A$38</definedName>
    <definedName name="_xlnm.Print_Titles" localSheetId="5">'Transposed + Both Filters'!$A:$A</definedName>
    <definedName name="_xlnm._FilterDatabase" localSheetId="6" hidden="1">'Transposed - Pick a Buyer'!$A$4:$A$37</definedName>
    <definedName name="_xlnm.Print_Titles" localSheetId="6">'Transposed - Pick a Buyer'!$A:$A</definedName>
    <definedName name="_xlnm._FilterDatabase" localSheetId="7" hidden="1">'Transposed - Filter Values'!$A$4:$A$37</definedName>
    <definedName name="_xlnm.Print_Titles" localSheetId="7">'Transposed - Filter Values'!$A:$A</definedName>
    <definedName name="_xlnm._FilterDatabase" localSheetId="8" hidden="1">'Buyer Pivot'!$A$3:$O$41</definedName>
    <definedName name="_xlnm.Print_Titles" localSheetId="8">'Buyer Pivot'!$A:$A</definedName>
    <definedName name="_xlnm._FilterDatabase" localSheetId="9" hidden="1">'Buyer Rows (Filter)'!$A$4:$AE$17</definedName>
    <definedName name="_xlnm.Print_Titles" localSheetId="9">'Buyer Rows (Filter)'!$A:$A</definedName>
    <definedName name="_xlnm._FilterDatabase" localSheetId="12" hidden="1">'Collapsible + Field Filter'!$A$5:$A$563</definedName>
    <definedName name="_xlnm.Print_Titles" localSheetId="13">'Collapsible - Lots Down'!$4:$4</definedName>
    <definedName name="_xlnm._FilterDatabase" localSheetId="14" hidden="1">'Ledger Filter - Lots Down'!$A$5:$AI$55</definedName>
    <definedName name="_xlnm.Print_Titles" localSheetId="14">'Ledger Filter - Lots Down'!$5:$5</definedName>
    <definedName name="_xlnm._FilterDatabase" localSheetId="15" hidden="1">'Ledger Filter - Lots Across'!$A$5:$AM$45</definedName>
  </definedNames>
  <calcPr calcId="181029" fullCalcOnLoad="1" iterateDelta="0.0001"/>
</workbook>
</file>

<file path=xl/styles.xml><?xml version="1.0" encoding="utf-8"?>
<styleSheet xmlns="http://schemas.openxmlformats.org/spreadsheetml/2006/main">
  <numFmts count="4">
    <numFmt numFmtId="164" formatCode="#,##0;\(#,##0\)"/>
    <numFmt numFmtId="165" formatCode="_ * #,##0_ ;_ * \-#,##0_ ;_ * \-??_ ;_ @_ "/>
    <numFmt numFmtId="166" formatCode="#,##0.###"/>
    <numFmt numFmtId="167" formatCode="0.0%"/>
  </numFmts>
  <fonts count="45">
    <font>
      <name val="Calibri"/>
      <charset val="1"/>
      <family val="2"/>
      <color theme="1"/>
      <sz val="11"/>
    </font>
    <font>
      <name val="Arial"/>
      <charset val="1"/>
      <family val="2"/>
      <b val="1"/>
      <sz val="13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1"/>
      <sz val="9"/>
    </font>
    <font>
      <name val="Arial"/>
      <charset val="1"/>
      <family val="2"/>
      <b val="1"/>
      <color theme="1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b val="1"/>
      <color rgb="00FFFFFF"/>
      <sz val="15"/>
    </font>
    <font>
      <b val="1"/>
      <color rgb="00FFFFFF"/>
      <sz val="10"/>
    </font>
    <font>
      <i val="1"/>
      <color rgb="001F3864"/>
      <sz val="9"/>
    </font>
    <font>
      <b val="1"/>
      <color rgb="00FFFFFF"/>
      <sz val="12"/>
    </font>
    <font>
      <b val="1"/>
      <color rgb="001F4E79"/>
      <sz val="10"/>
    </font>
    <font>
      <color rgb="00333333"/>
      <sz val="10"/>
    </font>
    <font>
      <sz val="10"/>
    </font>
    <font>
      <color rgb="00808080"/>
      <sz val="10"/>
    </font>
    <font>
      <sz val="9"/>
    </font>
    <font>
      <b val="1"/>
      <sz val="10"/>
    </font>
    <font>
      <b val="1"/>
      <color rgb="00C55A11"/>
      <sz val="10"/>
    </font>
    <font>
      <b val="1"/>
      <color rgb="00548235"/>
      <sz val="10"/>
    </font>
    <font>
      <b val="1"/>
      <color rgb="007030A0"/>
      <sz val="10"/>
    </font>
    <font>
      <b val="1"/>
      <color rgb="00C00000"/>
      <sz val="10"/>
    </font>
    <font>
      <b val="1"/>
      <color rgb="0000838F"/>
      <sz val="10"/>
    </font>
    <font>
      <b val="1"/>
      <color rgb="00BF8F00"/>
      <sz val="10"/>
    </font>
    <font>
      <b val="1"/>
      <color rgb="00A51E4D"/>
      <sz val="10"/>
    </font>
    <font>
      <b val="1"/>
      <color rgb="000563C1"/>
      <sz val="10"/>
      <u val="single"/>
    </font>
    <font>
      <b val="1"/>
      <color rgb="00FFFFFF"/>
      <sz val="9"/>
    </font>
    <font>
      <color rgb="00333333"/>
      <sz val="9"/>
    </font>
    <font>
      <b val="1"/>
      <color rgb="00FFFFFF"/>
      <sz val="11"/>
    </font>
    <font>
      <b val="1"/>
      <color rgb="001F3864"/>
      <sz val="9"/>
    </font>
    <font>
      <b val="1"/>
      <color rgb="001F3864"/>
      <sz val="10"/>
    </font>
    <font>
      <b val="1"/>
      <color rgb="001F4E79"/>
      <sz val="11"/>
    </font>
    <font>
      <b val="1"/>
      <color rgb="00C55A11"/>
      <sz val="11"/>
    </font>
    <font>
      <b val="1"/>
      <color rgb="00548235"/>
      <sz val="11"/>
    </font>
    <font>
      <b val="1"/>
      <color rgb="007030A0"/>
      <sz val="11"/>
    </font>
    <font>
      <b val="1"/>
      <color rgb="00C00000"/>
      <sz val="11"/>
    </font>
    <font>
      <b val="1"/>
      <color rgb="0000838F"/>
      <sz val="11"/>
    </font>
    <font>
      <b val="1"/>
      <color rgb="00BF8F00"/>
      <sz val="11"/>
    </font>
    <font>
      <b val="1"/>
      <color rgb="00A51E4D"/>
      <sz val="11"/>
    </font>
    <font>
      <b val="1"/>
      <color rgb="00FFFFFF"/>
      <sz val="8"/>
    </font>
    <font>
      <b val="1"/>
      <color rgb="001F3864"/>
      <sz val="12"/>
    </font>
    <font>
      <i val="1"/>
      <color rgb="00808080"/>
      <sz val="8"/>
    </font>
    <font>
      <b val="1"/>
      <color rgb="001F3864"/>
      <sz val="11"/>
    </font>
    <font>
      <b val="1"/>
      <color rgb="001F3864"/>
      <sz val="13"/>
    </font>
    <font>
      <b val="1"/>
      <color rgb="00808080"/>
      <sz val="9"/>
    </font>
    <font>
      <b val="1"/>
      <color rgb="00333333"/>
      <sz val="10"/>
    </font>
  </fonts>
  <fills count="41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0.09997863704336681"/>
        <bgColor rgb="FFCCCCFF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C55A11"/>
      </patternFill>
    </fill>
    <fill>
      <patternFill patternType="solid">
        <fgColor rgb="00FCE4D6"/>
      </patternFill>
    </fill>
    <fill>
      <patternFill patternType="solid">
        <fgColor rgb="00FEF4EC"/>
      </patternFill>
    </fill>
    <fill>
      <patternFill patternType="solid">
        <fgColor rgb="00548235"/>
      </patternFill>
    </fill>
    <fill>
      <patternFill patternType="solid">
        <fgColor rgb="00E2EFDA"/>
      </patternFill>
    </fill>
    <fill>
      <patternFill patternType="solid">
        <fgColor rgb="007030A0"/>
      </patternFill>
    </fill>
    <fill>
      <patternFill patternType="solid">
        <fgColor rgb="00E6D9F2"/>
      </patternFill>
    </fill>
    <fill>
      <patternFill patternType="solid">
        <fgColor rgb="00C00000"/>
      </patternFill>
    </fill>
    <fill>
      <patternFill patternType="solid">
        <fgColor rgb="00FBE0E0"/>
      </patternFill>
    </fill>
    <fill>
      <patternFill patternType="solid">
        <fgColor rgb="0000838F"/>
      </patternFill>
    </fill>
    <fill>
      <patternFill patternType="solid">
        <fgColor rgb="00D7F0F2"/>
      </patternFill>
    </fill>
    <fill>
      <patternFill patternType="solid">
        <fgColor rgb="00EFF9FA"/>
      </patternFill>
    </fill>
    <fill>
      <patternFill patternType="solid">
        <fgColor rgb="00BF8F00"/>
      </patternFill>
    </fill>
    <fill>
      <patternFill patternType="solid">
        <fgColor rgb="00A51E4D"/>
      </patternFill>
    </fill>
    <fill>
      <patternFill patternType="solid">
        <fgColor rgb="00F8DCE6"/>
      </patternFill>
    </fill>
    <fill>
      <patternFill patternType="solid">
        <fgColor rgb="00FDF2F6"/>
      </patternFill>
    </fill>
    <fill>
      <patternFill patternType="solid">
        <fgColor rgb="00F4F9FD"/>
      </patternFill>
    </fill>
    <fill>
      <patternFill patternType="solid">
        <fgColor rgb="00F4FAF0"/>
      </patternFill>
    </fill>
    <fill>
      <patternFill patternType="solid">
        <fgColor rgb="00F6F1FB"/>
      </patternFill>
    </fill>
    <fill>
      <patternFill patternType="solid">
        <fgColor rgb="00FEF3F3"/>
      </patternFill>
    </fill>
    <fill>
      <patternFill patternType="solid">
        <fgColor rgb="00595959"/>
      </patternFill>
    </fill>
    <fill>
      <patternFill patternType="solid">
        <fgColor rgb="00808080"/>
      </patternFill>
    </fill>
    <fill>
      <patternFill patternType="solid">
        <fgColor rgb="009E4EA8"/>
      </patternFill>
    </fill>
    <fill>
      <patternFill patternType="solid">
        <fgColor rgb="00F7F7F7"/>
      </patternFill>
    </fill>
    <fill>
      <patternFill patternType="solid">
        <fgColor rgb="00FFFAE8"/>
      </patternFill>
    </fill>
    <fill>
      <patternFill patternType="solid">
        <fgColor rgb="00FFFFFF"/>
      </patternFill>
    </fill>
    <fill>
      <patternFill patternType="solid">
        <fgColor rgb="00FFE699"/>
      </patternFill>
    </fill>
    <fill>
      <patternFill patternType="solid">
        <fgColor rgb="00833C00"/>
      </patternFill>
    </fill>
    <fill>
      <patternFill patternType="solid">
        <fgColor rgb="00FFFF00"/>
      </patternFill>
    </fill>
    <fill>
      <patternFill patternType="solid">
        <fgColor rgb="00203864"/>
      </patternFill>
    </fill>
  </fills>
  <borders count="3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00D0D0D0"/>
      </left>
      <right style="thin">
        <color rgb="00D0D0D0"/>
      </right>
      <top style="medium">
        <color rgb="00808080"/>
      </top>
      <bottom style="medium">
        <color rgb="0080808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1F4E79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55A11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548235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7030A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000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00838F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8F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A51E4D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medium">
        <color rgb="00808080"/>
      </top>
      <bottom/>
      <diagonal/>
    </border>
    <border>
      <left/>
      <right style="thin">
        <color rgb="00D0D0D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thin">
        <color rgb="00D0D0D0"/>
      </right>
      <top style="medium">
        <color rgb="00808080"/>
      </top>
      <bottom style="medium">
        <color rgb="00808080"/>
      </bottom>
      <diagonal/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 style="medium">
        <color rgb="00808080"/>
      </right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65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1" fillId="0" borderId="0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left" vertical="center" wrapText="1"/>
    </xf>
    <xf numFmtId="164" fontId="5" fillId="0" borderId="5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164" fontId="5" fillId="0" borderId="5" applyAlignment="1" pivotButton="0" quotePrefix="0" xfId="0">
      <alignment horizontal="right" vertical="center" wrapText="1"/>
    </xf>
    <xf numFmtId="164" fontId="5" fillId="0" borderId="5" applyAlignment="1" pivotButton="0" quotePrefix="0" xfId="0">
      <alignment horizontal="right" vertical="center"/>
    </xf>
    <xf numFmtId="3" fontId="5" fillId="0" borderId="5" applyAlignment="1" pivotButton="0" quotePrefix="0" xfId="0">
      <alignment horizontal="right" vertical="center"/>
    </xf>
    <xf numFmtId="9" fontId="5" fillId="0" borderId="5" applyAlignment="1" pivotButton="0" quotePrefix="0" xfId="0">
      <alignment horizontal="right" vertical="center"/>
    </xf>
    <xf numFmtId="165" fontId="6" fillId="2" borderId="5" applyAlignment="1" pivotButton="0" quotePrefix="0" xfId="0">
      <alignment vertical="center"/>
    </xf>
    <xf numFmtId="164" fontId="5" fillId="2" borderId="5" applyAlignment="1" pivotButton="0" quotePrefix="0" xfId="0">
      <alignment horizontal="right" vertical="center"/>
    </xf>
    <xf numFmtId="164" fontId="5" fillId="2" borderId="6" applyAlignment="1" pivotButton="0" quotePrefix="0" xfId="0">
      <alignment horizontal="right" vertical="center"/>
    </xf>
    <xf numFmtId="1" fontId="5" fillId="2" borderId="6" applyAlignment="1" pivotButton="0" quotePrefix="0" xfId="0">
      <alignment horizontal="center" vertical="center"/>
    </xf>
    <xf numFmtId="164" fontId="5" fillId="2" borderId="7" applyAlignment="1" pivotButton="0" quotePrefix="0" xfId="0">
      <alignment horizontal="right" vertical="center"/>
    </xf>
    <xf numFmtId="0" fontId="5" fillId="0" borderId="8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/>
    </xf>
    <xf numFmtId="3" fontId="5" fillId="0" borderId="6" applyAlignment="1" pivotButton="0" quotePrefix="0" xfId="0">
      <alignment horizontal="right" vertical="center"/>
    </xf>
    <xf numFmtId="9" fontId="5" fillId="0" borderId="6" applyAlignment="1" pivotButton="0" quotePrefix="0" xfId="0">
      <alignment horizontal="right" vertical="center"/>
    </xf>
    <xf numFmtId="165" fontId="6" fillId="2" borderId="6" applyAlignment="1" pivotButton="0" quotePrefix="0" xfId="0">
      <alignment vertical="center"/>
    </xf>
    <xf numFmtId="0" fontId="5" fillId="0" borderId="9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 wrapText="1"/>
    </xf>
    <xf numFmtId="164" fontId="5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164" fontId="5" fillId="0" borderId="10" applyAlignment="1" pivotButton="0" quotePrefix="0" xfId="0">
      <alignment horizontal="right" vertical="center" wrapText="1"/>
    </xf>
    <xf numFmtId="164" fontId="5" fillId="0" borderId="10" applyAlignment="1" pivotButton="0" quotePrefix="0" xfId="0">
      <alignment horizontal="right" vertical="center"/>
    </xf>
    <xf numFmtId="3" fontId="5" fillId="0" borderId="10" applyAlignment="1" pivotButton="0" quotePrefix="0" xfId="0">
      <alignment horizontal="right" vertical="center"/>
    </xf>
    <xf numFmtId="9" fontId="5" fillId="0" borderId="10" applyAlignment="1" pivotButton="0" quotePrefix="0" xfId="0">
      <alignment horizontal="right" vertical="center"/>
    </xf>
    <xf numFmtId="165" fontId="6" fillId="2" borderId="1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0" borderId="12" applyAlignment="1" pivotButton="0" quotePrefix="0" xfId="0">
      <alignment horizontal="right" vertical="center" wrapText="1"/>
    </xf>
    <xf numFmtId="164" fontId="5" fillId="0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164" fontId="5" fillId="0" borderId="15" applyAlignment="1" pivotButton="0" quotePrefix="0" xfId="0">
      <alignment horizontal="right" vertical="center" wrapText="1"/>
    </xf>
    <xf numFmtId="164" fontId="5" fillId="0" borderId="15" applyAlignment="1" pivotButton="0" quotePrefix="0" xfId="0">
      <alignment horizontal="right" vertical="center"/>
    </xf>
    <xf numFmtId="3" fontId="5" fillId="0" borderId="15" applyAlignment="1" pivotButton="0" quotePrefix="0" xfId="0">
      <alignment horizontal="right" vertical="center"/>
    </xf>
    <xf numFmtId="164" fontId="6" fillId="0" borderId="15" pivotButton="0" quotePrefix="0" xfId="0"/>
    <xf numFmtId="165" fontId="6" fillId="2" borderId="15" applyAlignment="1" pivotButton="0" quotePrefix="0" xfId="0">
      <alignment horizontal="right" vertical="center"/>
    </xf>
    <xf numFmtId="164" fontId="0" fillId="0" borderId="15" pivotButton="0" quotePrefix="0" xfId="0"/>
    <xf numFmtId="0" fontId="0" fillId="0" borderId="16" pivotButton="0" quotePrefix="0" xfId="0"/>
    <xf numFmtId="164" fontId="0" fillId="0" borderId="0" pivotButton="0" quotePrefix="0" xfId="0"/>
    <xf numFmtId="0" fontId="0" fillId="2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64" fontId="0" fillId="2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8" fillId="5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wrapText="1"/>
    </xf>
    <xf numFmtId="0" fontId="8" fillId="7" borderId="17" applyAlignment="1" pivotButton="0" quotePrefix="0" xfId="0">
      <alignment horizontal="center" vertical="center" wrapText="1"/>
    </xf>
    <xf numFmtId="0" fontId="10" fillId="8" borderId="17" applyAlignment="1" pivotButton="0" quotePrefix="0" xfId="0">
      <alignment horizontal="left" vertical="center" indent="1"/>
    </xf>
    <xf numFmtId="0" fontId="0" fillId="0" borderId="17" pivotButton="0" quotePrefix="0" xfId="0"/>
    <xf numFmtId="0" fontId="11" fillId="9" borderId="18" applyAlignment="1" pivotButton="0" quotePrefix="0" xfId="0">
      <alignment horizontal="left" vertical="center"/>
    </xf>
    <xf numFmtId="3" fontId="11" fillId="9" borderId="18" applyAlignment="1" pivotButton="0" quotePrefix="0" xfId="0">
      <alignment horizontal="center" vertical="center" wrapText="1"/>
    </xf>
    <xf numFmtId="0" fontId="0" fillId="9" borderId="18" pivotButton="0" quotePrefix="0" xfId="0"/>
    <xf numFmtId="0" fontId="11" fillId="9" borderId="18" applyAlignment="1" pivotButton="0" quotePrefix="0" xfId="0">
      <alignment horizontal="center" vertical="center" wrapText="1"/>
    </xf>
    <xf numFmtId="0" fontId="12" fillId="0" borderId="18" applyAlignment="1" pivotButton="0" quotePrefix="0" xfId="0">
      <alignment horizontal="left" vertical="center"/>
    </xf>
    <xf numFmtId="3" fontId="13" fillId="0" borderId="18" applyAlignment="1" pivotButton="0" quotePrefix="0" xfId="0">
      <alignment horizontal="right" vertical="center"/>
    </xf>
    <xf numFmtId="0" fontId="0" fillId="0" borderId="18" pivotButton="0" quotePrefix="0" xfId="0"/>
    <xf numFmtId="0" fontId="14" fillId="9" borderId="19" applyAlignment="1" pivotButton="0" quotePrefix="0" xfId="0">
      <alignment horizontal="center" vertical="center" wrapText="1"/>
    </xf>
    <xf numFmtId="49" fontId="15" fillId="0" borderId="18" applyAlignment="1" pivotButton="0" quotePrefix="0" xfId="0">
      <alignment horizontal="left" vertical="center" wrapText="1"/>
    </xf>
    <xf numFmtId="166" fontId="13" fillId="0" borderId="18" applyAlignment="1" pivotButton="0" quotePrefix="0" xfId="0">
      <alignment horizontal="right" vertical="center"/>
    </xf>
    <xf numFmtId="166" fontId="11" fillId="9" borderId="19" applyAlignment="1" pivotButton="0" quotePrefix="0" xfId="0">
      <alignment horizontal="right" vertical="center"/>
    </xf>
    <xf numFmtId="49" fontId="13" fillId="0" borderId="18" applyAlignment="1" pivotButton="0" quotePrefix="0" xfId="0">
      <alignment horizontal="left" vertical="center"/>
    </xf>
    <xf numFmtId="3" fontId="11" fillId="9" borderId="19" applyAlignment="1" pivotButton="0" quotePrefix="0" xfId="0">
      <alignment horizontal="right" vertical="center"/>
    </xf>
    <xf numFmtId="4" fontId="13" fillId="0" borderId="18" applyAlignment="1" pivotButton="0" quotePrefix="0" xfId="0">
      <alignment horizontal="right" vertical="center"/>
    </xf>
    <xf numFmtId="4" fontId="11" fillId="9" borderId="19" applyAlignment="1" pivotButton="0" quotePrefix="0" xfId="0">
      <alignment horizontal="right" vertical="center"/>
    </xf>
    <xf numFmtId="9" fontId="13" fillId="0" borderId="18" applyAlignment="1" pivotButton="0" quotePrefix="0" xfId="0">
      <alignment horizontal="right" vertical="center"/>
    </xf>
    <xf numFmtId="49" fontId="16" fillId="0" borderId="18" applyAlignment="1" pivotButton="0" quotePrefix="0" xfId="0">
      <alignment horizontal="left" vertical="center"/>
    </xf>
    <xf numFmtId="0" fontId="0" fillId="10" borderId="0" pivotButton="0" quotePrefix="0" xfId="0"/>
    <xf numFmtId="0" fontId="10" fillId="11" borderId="17" applyAlignment="1" pivotButton="0" quotePrefix="0" xfId="0">
      <alignment horizontal="left" vertical="center" indent="1"/>
    </xf>
    <xf numFmtId="0" fontId="17" fillId="12" borderId="18" applyAlignment="1" pivotButton="0" quotePrefix="0" xfId="0">
      <alignment horizontal="left" vertical="center"/>
    </xf>
    <xf numFmtId="3" fontId="17" fillId="12" borderId="18" applyAlignment="1" pivotButton="0" quotePrefix="0" xfId="0">
      <alignment horizontal="center" vertical="center" wrapText="1"/>
    </xf>
    <xf numFmtId="0" fontId="0" fillId="12" borderId="18" pivotButton="0" quotePrefix="0" xfId="0"/>
    <xf numFmtId="0" fontId="17" fillId="12" borderId="18" applyAlignment="1" pivotButton="0" quotePrefix="0" xfId="0">
      <alignment horizontal="center" vertical="center" wrapText="1"/>
    </xf>
    <xf numFmtId="3" fontId="13" fillId="13" borderId="18" applyAlignment="1" pivotButton="0" quotePrefix="0" xfId="0">
      <alignment horizontal="right" vertical="center"/>
    </xf>
    <xf numFmtId="0" fontId="14" fillId="12" borderId="20" applyAlignment="1" pivotButton="0" quotePrefix="0" xfId="0">
      <alignment horizontal="center" vertical="center" wrapText="1"/>
    </xf>
    <xf numFmtId="49" fontId="15" fillId="13" borderId="18" applyAlignment="1" pivotButton="0" quotePrefix="0" xfId="0">
      <alignment horizontal="left" vertical="center" wrapText="1"/>
    </xf>
    <xf numFmtId="166" fontId="13" fillId="13" borderId="18" applyAlignment="1" pivotButton="0" quotePrefix="0" xfId="0">
      <alignment horizontal="right" vertical="center"/>
    </xf>
    <xf numFmtId="166" fontId="17" fillId="12" borderId="20" applyAlignment="1" pivotButton="0" quotePrefix="0" xfId="0">
      <alignment horizontal="right" vertical="center"/>
    </xf>
    <xf numFmtId="49" fontId="13" fillId="13" borderId="18" applyAlignment="1" pivotButton="0" quotePrefix="0" xfId="0">
      <alignment horizontal="left" vertical="center"/>
    </xf>
    <xf numFmtId="3" fontId="17" fillId="12" borderId="20" applyAlignment="1" pivotButton="0" quotePrefix="0" xfId="0">
      <alignment horizontal="right" vertical="center"/>
    </xf>
    <xf numFmtId="4" fontId="13" fillId="13" borderId="18" applyAlignment="1" pivotButton="0" quotePrefix="0" xfId="0">
      <alignment horizontal="right" vertical="center"/>
    </xf>
    <xf numFmtId="4" fontId="17" fillId="12" borderId="20" applyAlignment="1" pivotButton="0" quotePrefix="0" xfId="0">
      <alignment horizontal="right" vertical="center"/>
    </xf>
    <xf numFmtId="9" fontId="13" fillId="13" borderId="18" applyAlignment="1" pivotButton="0" quotePrefix="0" xfId="0">
      <alignment horizontal="right" vertical="center"/>
    </xf>
    <xf numFmtId="49" fontId="16" fillId="13" borderId="18" applyAlignment="1" pivotButton="0" quotePrefix="0" xfId="0">
      <alignment horizontal="left" vertical="center"/>
    </xf>
    <xf numFmtId="0" fontId="10" fillId="14" borderId="17" applyAlignment="1" pivotButton="0" quotePrefix="0" xfId="0">
      <alignment horizontal="left" vertical="center" indent="1"/>
    </xf>
    <xf numFmtId="0" fontId="18" fillId="15" borderId="18" applyAlignment="1" pivotButton="0" quotePrefix="0" xfId="0">
      <alignment horizontal="left" vertical="center"/>
    </xf>
    <xf numFmtId="3" fontId="18" fillId="15" borderId="18" applyAlignment="1" pivotButton="0" quotePrefix="0" xfId="0">
      <alignment horizontal="center" vertical="center" wrapText="1"/>
    </xf>
    <xf numFmtId="0" fontId="0" fillId="15" borderId="18" pivotButton="0" quotePrefix="0" xfId="0"/>
    <xf numFmtId="0" fontId="18" fillId="15" borderId="18" applyAlignment="1" pivotButton="0" quotePrefix="0" xfId="0">
      <alignment horizontal="center" vertical="center" wrapText="1"/>
    </xf>
    <xf numFmtId="0" fontId="14" fillId="15" borderId="21" applyAlignment="1" pivotButton="0" quotePrefix="0" xfId="0">
      <alignment horizontal="center" vertical="center" wrapText="1"/>
    </xf>
    <xf numFmtId="166" fontId="18" fillId="15" borderId="21" applyAlignment="1" pivotButton="0" quotePrefix="0" xfId="0">
      <alignment horizontal="right" vertical="center"/>
    </xf>
    <xf numFmtId="3" fontId="18" fillId="15" borderId="21" applyAlignment="1" pivotButton="0" quotePrefix="0" xfId="0">
      <alignment horizontal="right" vertical="center"/>
    </xf>
    <xf numFmtId="4" fontId="18" fillId="15" borderId="21" applyAlignment="1" pivotButton="0" quotePrefix="0" xfId="0">
      <alignment horizontal="right" vertical="center"/>
    </xf>
    <xf numFmtId="0" fontId="10" fillId="16" borderId="17" applyAlignment="1" pivotButton="0" quotePrefix="0" xfId="0">
      <alignment horizontal="left" vertical="center" indent="1"/>
    </xf>
    <xf numFmtId="0" fontId="19" fillId="17" borderId="18" applyAlignment="1" pivotButton="0" quotePrefix="0" xfId="0">
      <alignment horizontal="left" vertical="center"/>
    </xf>
    <xf numFmtId="3" fontId="19" fillId="17" borderId="18" applyAlignment="1" pivotButton="0" quotePrefix="0" xfId="0">
      <alignment horizontal="center" vertical="center" wrapText="1"/>
    </xf>
    <xf numFmtId="0" fontId="0" fillId="17" borderId="18" pivotButton="0" quotePrefix="0" xfId="0"/>
    <xf numFmtId="0" fontId="19" fillId="17" borderId="18" applyAlignment="1" pivotButton="0" quotePrefix="0" xfId="0">
      <alignment horizontal="center" vertical="center" wrapText="1"/>
    </xf>
    <xf numFmtId="0" fontId="14" fillId="17" borderId="22" applyAlignment="1" pivotButton="0" quotePrefix="0" xfId="0">
      <alignment horizontal="center" vertical="center" wrapText="1"/>
    </xf>
    <xf numFmtId="166" fontId="19" fillId="17" borderId="22" applyAlignment="1" pivotButton="0" quotePrefix="0" xfId="0">
      <alignment horizontal="right" vertical="center"/>
    </xf>
    <xf numFmtId="3" fontId="19" fillId="17" borderId="22" applyAlignment="1" pivotButton="0" quotePrefix="0" xfId="0">
      <alignment horizontal="right" vertical="center"/>
    </xf>
    <xf numFmtId="4" fontId="19" fillId="17" borderId="22" applyAlignment="1" pivotButton="0" quotePrefix="0" xfId="0">
      <alignment horizontal="right" vertical="center"/>
    </xf>
    <xf numFmtId="0" fontId="10" fillId="18" borderId="17" applyAlignment="1" pivotButton="0" quotePrefix="0" xfId="0">
      <alignment horizontal="left" vertical="center" indent="1"/>
    </xf>
    <xf numFmtId="0" fontId="20" fillId="19" borderId="18" applyAlignment="1" pivotButton="0" quotePrefix="0" xfId="0">
      <alignment horizontal="left" vertical="center"/>
    </xf>
    <xf numFmtId="3" fontId="20" fillId="19" borderId="18" applyAlignment="1" pivotButton="0" quotePrefix="0" xfId="0">
      <alignment horizontal="center" vertical="center" wrapText="1"/>
    </xf>
    <xf numFmtId="0" fontId="0" fillId="19" borderId="18" pivotButton="0" quotePrefix="0" xfId="0"/>
    <xf numFmtId="0" fontId="20" fillId="19" borderId="18" applyAlignment="1" pivotButton="0" quotePrefix="0" xfId="0">
      <alignment horizontal="center" vertical="center" wrapText="1"/>
    </xf>
    <xf numFmtId="0" fontId="14" fillId="19" borderId="23" applyAlignment="1" pivotButton="0" quotePrefix="0" xfId="0">
      <alignment horizontal="center" vertical="center" wrapText="1"/>
    </xf>
    <xf numFmtId="166" fontId="20" fillId="19" borderId="23" applyAlignment="1" pivotButton="0" quotePrefix="0" xfId="0">
      <alignment horizontal="right" vertical="center"/>
    </xf>
    <xf numFmtId="3" fontId="20" fillId="19" borderId="23" applyAlignment="1" pivotButton="0" quotePrefix="0" xfId="0">
      <alignment horizontal="right" vertical="center"/>
    </xf>
    <xf numFmtId="4" fontId="20" fillId="19" borderId="23" applyAlignment="1" pivotButton="0" quotePrefix="0" xfId="0">
      <alignment horizontal="right" vertical="center"/>
    </xf>
    <xf numFmtId="0" fontId="10" fillId="20" borderId="17" applyAlignment="1" pivotButton="0" quotePrefix="0" xfId="0">
      <alignment horizontal="left" vertical="center" indent="1"/>
    </xf>
    <xf numFmtId="0" fontId="21" fillId="21" borderId="18" applyAlignment="1" pivotButton="0" quotePrefix="0" xfId="0">
      <alignment horizontal="left" vertical="center"/>
    </xf>
    <xf numFmtId="3" fontId="21" fillId="21" borderId="18" applyAlignment="1" pivotButton="0" quotePrefix="0" xfId="0">
      <alignment horizontal="center" vertical="center" wrapText="1"/>
    </xf>
    <xf numFmtId="0" fontId="21" fillId="21" borderId="18" applyAlignment="1" pivotButton="0" quotePrefix="0" xfId="0">
      <alignment horizontal="center" vertical="center" wrapText="1"/>
    </xf>
    <xf numFmtId="0" fontId="0" fillId="21" borderId="18" pivotButton="0" quotePrefix="0" xfId="0"/>
    <xf numFmtId="3" fontId="13" fillId="22" borderId="18" applyAlignment="1" pivotButton="0" quotePrefix="0" xfId="0">
      <alignment horizontal="right" vertical="center"/>
    </xf>
    <xf numFmtId="0" fontId="14" fillId="21" borderId="24" applyAlignment="1" pivotButton="0" quotePrefix="0" xfId="0">
      <alignment horizontal="center" vertical="center" wrapText="1"/>
    </xf>
    <xf numFmtId="49" fontId="15" fillId="22" borderId="18" applyAlignment="1" pivotButton="0" quotePrefix="0" xfId="0">
      <alignment horizontal="left" vertical="center" wrapText="1"/>
    </xf>
    <xf numFmtId="166" fontId="13" fillId="22" borderId="18" applyAlignment="1" pivotButton="0" quotePrefix="0" xfId="0">
      <alignment horizontal="right" vertical="center"/>
    </xf>
    <xf numFmtId="166" fontId="21" fillId="21" borderId="24" applyAlignment="1" pivotButton="0" quotePrefix="0" xfId="0">
      <alignment horizontal="right" vertical="center"/>
    </xf>
    <xf numFmtId="49" fontId="13" fillId="22" borderId="18" applyAlignment="1" pivotButton="0" quotePrefix="0" xfId="0">
      <alignment horizontal="left" vertical="center"/>
    </xf>
    <xf numFmtId="3" fontId="21" fillId="21" borderId="24" applyAlignment="1" pivotButton="0" quotePrefix="0" xfId="0">
      <alignment horizontal="right" vertical="center"/>
    </xf>
    <xf numFmtId="4" fontId="13" fillId="22" borderId="18" applyAlignment="1" pivotButton="0" quotePrefix="0" xfId="0">
      <alignment horizontal="right" vertical="center"/>
    </xf>
    <xf numFmtId="4" fontId="21" fillId="21" borderId="24" applyAlignment="1" pivotButton="0" quotePrefix="0" xfId="0">
      <alignment horizontal="right" vertical="center"/>
    </xf>
    <xf numFmtId="9" fontId="13" fillId="22" borderId="18" applyAlignment="1" pivotButton="0" quotePrefix="0" xfId="0">
      <alignment horizontal="right" vertical="center"/>
    </xf>
    <xf numFmtId="49" fontId="16" fillId="22" borderId="18" applyAlignment="1" pivotButton="0" quotePrefix="0" xfId="0">
      <alignment horizontal="left" vertical="center"/>
    </xf>
    <xf numFmtId="0" fontId="10" fillId="23" borderId="17" applyAlignment="1" pivotButton="0" quotePrefix="0" xfId="0">
      <alignment horizontal="left" vertical="center" indent="1"/>
    </xf>
    <xf numFmtId="0" fontId="22" fillId="6" borderId="18" applyAlignment="1" pivotButton="0" quotePrefix="0" xfId="0">
      <alignment horizontal="left" vertical="center"/>
    </xf>
    <xf numFmtId="3" fontId="22" fillId="6" borderId="18" applyAlignment="1" pivotButton="0" quotePrefix="0" xfId="0">
      <alignment horizontal="center" vertical="center" wrapText="1"/>
    </xf>
    <xf numFmtId="0" fontId="0" fillId="6" borderId="18" pivotButton="0" quotePrefix="0" xfId="0"/>
    <xf numFmtId="0" fontId="22" fillId="6" borderId="18" applyAlignment="1" pivotButton="0" quotePrefix="0" xfId="0">
      <alignment horizontal="center" vertical="center" wrapText="1"/>
    </xf>
    <xf numFmtId="0" fontId="14" fillId="6" borderId="25" applyAlignment="1" pivotButton="0" quotePrefix="0" xfId="0">
      <alignment horizontal="center" vertical="center" wrapText="1"/>
    </xf>
    <xf numFmtId="166" fontId="22" fillId="6" borderId="25" applyAlignment="1" pivotButton="0" quotePrefix="0" xfId="0">
      <alignment horizontal="right" vertical="center"/>
    </xf>
    <xf numFmtId="3" fontId="22" fillId="6" borderId="25" applyAlignment="1" pivotButton="0" quotePrefix="0" xfId="0">
      <alignment horizontal="right" vertical="center"/>
    </xf>
    <xf numFmtId="4" fontId="22" fillId="6" borderId="25" applyAlignment="1" pivotButton="0" quotePrefix="0" xfId="0">
      <alignment horizontal="right" vertical="center"/>
    </xf>
    <xf numFmtId="0" fontId="10" fillId="24" borderId="17" applyAlignment="1" pivotButton="0" quotePrefix="0" xfId="0">
      <alignment horizontal="left" vertical="center" indent="1"/>
    </xf>
    <xf numFmtId="0" fontId="23" fillId="25" borderId="18" applyAlignment="1" pivotButton="0" quotePrefix="0" xfId="0">
      <alignment horizontal="left" vertical="center"/>
    </xf>
    <xf numFmtId="3" fontId="23" fillId="25" borderId="18" applyAlignment="1" pivotButton="0" quotePrefix="0" xfId="0">
      <alignment horizontal="center" vertical="center" wrapText="1"/>
    </xf>
    <xf numFmtId="0" fontId="0" fillId="25" borderId="18" pivotButton="0" quotePrefix="0" xfId="0"/>
    <xf numFmtId="0" fontId="23" fillId="25" borderId="18" applyAlignment="1" pivotButton="0" quotePrefix="0" xfId="0">
      <alignment horizontal="center" vertical="center" wrapText="1"/>
    </xf>
    <xf numFmtId="3" fontId="13" fillId="26" borderId="18" applyAlignment="1" pivotButton="0" quotePrefix="0" xfId="0">
      <alignment horizontal="right" vertical="center"/>
    </xf>
    <xf numFmtId="0" fontId="14" fillId="25" borderId="26" applyAlignment="1" pivotButton="0" quotePrefix="0" xfId="0">
      <alignment horizontal="center" vertical="center" wrapText="1"/>
    </xf>
    <xf numFmtId="49" fontId="15" fillId="26" borderId="18" applyAlignment="1" pivotButton="0" quotePrefix="0" xfId="0">
      <alignment horizontal="left" vertical="center" wrapText="1"/>
    </xf>
    <xf numFmtId="166" fontId="13" fillId="26" borderId="18" applyAlignment="1" pivotButton="0" quotePrefix="0" xfId="0">
      <alignment horizontal="right" vertical="center"/>
    </xf>
    <xf numFmtId="166" fontId="23" fillId="25" borderId="26" applyAlignment="1" pivotButton="0" quotePrefix="0" xfId="0">
      <alignment horizontal="right" vertical="center"/>
    </xf>
    <xf numFmtId="49" fontId="13" fillId="26" borderId="18" applyAlignment="1" pivotButton="0" quotePrefix="0" xfId="0">
      <alignment horizontal="left" vertical="center"/>
    </xf>
    <xf numFmtId="3" fontId="23" fillId="25" borderId="26" applyAlignment="1" pivotButton="0" quotePrefix="0" xfId="0">
      <alignment horizontal="right" vertical="center"/>
    </xf>
    <xf numFmtId="4" fontId="13" fillId="26" borderId="18" applyAlignment="1" pivotButton="0" quotePrefix="0" xfId="0">
      <alignment horizontal="right" vertical="center"/>
    </xf>
    <xf numFmtId="4" fontId="23" fillId="25" borderId="26" applyAlignment="1" pivotButton="0" quotePrefix="0" xfId="0">
      <alignment horizontal="right" vertical="center"/>
    </xf>
    <xf numFmtId="9" fontId="13" fillId="26" borderId="18" applyAlignment="1" pivotButton="0" quotePrefix="0" xfId="0">
      <alignment horizontal="right" vertical="center"/>
    </xf>
    <xf numFmtId="49" fontId="16" fillId="26" borderId="18" applyAlignment="1" pivotButton="0" quotePrefix="0" xfId="0">
      <alignment horizontal="left" vertical="center"/>
    </xf>
    <xf numFmtId="3" fontId="13" fillId="27" borderId="18" applyAlignment="1" pivotButton="0" quotePrefix="0" xfId="0">
      <alignment horizontal="right" vertical="center"/>
    </xf>
    <xf numFmtId="49" fontId="15" fillId="27" borderId="18" applyAlignment="1" pivotButton="0" quotePrefix="0" xfId="0">
      <alignment horizontal="left" vertical="center" wrapText="1"/>
    </xf>
    <xf numFmtId="166" fontId="13" fillId="27" borderId="18" applyAlignment="1" pivotButton="0" quotePrefix="0" xfId="0">
      <alignment horizontal="right" vertical="center"/>
    </xf>
    <xf numFmtId="49" fontId="13" fillId="27" borderId="18" applyAlignment="1" pivotButton="0" quotePrefix="0" xfId="0">
      <alignment horizontal="left" vertical="center"/>
    </xf>
    <xf numFmtId="4" fontId="13" fillId="27" borderId="18" applyAlignment="1" pivotButton="0" quotePrefix="0" xfId="0">
      <alignment horizontal="right" vertical="center"/>
    </xf>
    <xf numFmtId="9" fontId="13" fillId="27" borderId="18" applyAlignment="1" pivotButton="0" quotePrefix="0" xfId="0">
      <alignment horizontal="right" vertical="center"/>
    </xf>
    <xf numFmtId="49" fontId="16" fillId="27" borderId="18" applyAlignment="1" pivotButton="0" quotePrefix="0" xfId="0">
      <alignment horizontal="left" vertical="center"/>
    </xf>
    <xf numFmtId="3" fontId="13" fillId="28" borderId="18" applyAlignment="1" pivotButton="0" quotePrefix="0" xfId="0">
      <alignment horizontal="right" vertical="center"/>
    </xf>
    <xf numFmtId="49" fontId="15" fillId="28" borderId="18" applyAlignment="1" pivotButton="0" quotePrefix="0" xfId="0">
      <alignment horizontal="left" vertical="center" wrapText="1"/>
    </xf>
    <xf numFmtId="166" fontId="13" fillId="28" borderId="18" applyAlignment="1" pivotButton="0" quotePrefix="0" xfId="0">
      <alignment horizontal="right" vertical="center"/>
    </xf>
    <xf numFmtId="49" fontId="13" fillId="28" borderId="18" applyAlignment="1" pivotButton="0" quotePrefix="0" xfId="0">
      <alignment horizontal="left" vertical="center"/>
    </xf>
    <xf numFmtId="4" fontId="13" fillId="28" borderId="18" applyAlignment="1" pivotButton="0" quotePrefix="0" xfId="0">
      <alignment horizontal="right" vertical="center"/>
    </xf>
    <xf numFmtId="9" fontId="13" fillId="28" borderId="18" applyAlignment="1" pivotButton="0" quotePrefix="0" xfId="0">
      <alignment horizontal="right" vertical="center"/>
    </xf>
    <xf numFmtId="49" fontId="16" fillId="28" borderId="18" applyAlignment="1" pivotButton="0" quotePrefix="0" xfId="0">
      <alignment horizontal="left" vertical="center"/>
    </xf>
    <xf numFmtId="3" fontId="13" fillId="29" borderId="18" applyAlignment="1" pivotButton="0" quotePrefix="0" xfId="0">
      <alignment horizontal="right" vertical="center"/>
    </xf>
    <xf numFmtId="49" fontId="15" fillId="29" borderId="18" applyAlignment="1" pivotButton="0" quotePrefix="0" xfId="0">
      <alignment horizontal="left" vertical="center" wrapText="1"/>
    </xf>
    <xf numFmtId="166" fontId="13" fillId="29" borderId="18" applyAlignment="1" pivotButton="0" quotePrefix="0" xfId="0">
      <alignment horizontal="right" vertical="center"/>
    </xf>
    <xf numFmtId="49" fontId="13" fillId="29" borderId="18" applyAlignment="1" pivotButton="0" quotePrefix="0" xfId="0">
      <alignment horizontal="left" vertical="center"/>
    </xf>
    <xf numFmtId="4" fontId="13" fillId="29" borderId="18" applyAlignment="1" pivotButton="0" quotePrefix="0" xfId="0">
      <alignment horizontal="right" vertical="center"/>
    </xf>
    <xf numFmtId="9" fontId="13" fillId="29" borderId="18" applyAlignment="1" pivotButton="0" quotePrefix="0" xfId="0">
      <alignment horizontal="right" vertical="center"/>
    </xf>
    <xf numFmtId="49" fontId="16" fillId="29" borderId="18" applyAlignment="1" pivotButton="0" quotePrefix="0" xfId="0">
      <alignment horizontal="left" vertical="center"/>
    </xf>
    <xf numFmtId="3" fontId="13" fillId="30" borderId="18" applyAlignment="1" pivotButton="0" quotePrefix="0" xfId="0">
      <alignment horizontal="right" vertical="center"/>
    </xf>
    <xf numFmtId="49" fontId="15" fillId="30" borderId="18" applyAlignment="1" pivotButton="0" quotePrefix="0" xfId="0">
      <alignment horizontal="left" vertical="center" wrapText="1"/>
    </xf>
    <xf numFmtId="166" fontId="13" fillId="30" borderId="18" applyAlignment="1" pivotButton="0" quotePrefix="0" xfId="0">
      <alignment horizontal="right" vertical="center"/>
    </xf>
    <xf numFmtId="49" fontId="13" fillId="30" borderId="18" applyAlignment="1" pivotButton="0" quotePrefix="0" xfId="0">
      <alignment horizontal="left" vertical="center"/>
    </xf>
    <xf numFmtId="4" fontId="13" fillId="30" borderId="18" applyAlignment="1" pivotButton="0" quotePrefix="0" xfId="0">
      <alignment horizontal="right" vertical="center"/>
    </xf>
    <xf numFmtId="9" fontId="13" fillId="30" borderId="18" applyAlignment="1" pivotButton="0" quotePrefix="0" xfId="0">
      <alignment horizontal="right" vertical="center"/>
    </xf>
    <xf numFmtId="49" fontId="16" fillId="30" borderId="18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 indent="1"/>
    </xf>
    <xf numFmtId="0" fontId="8" fillId="31" borderId="18" applyAlignment="1" pivotButton="0" quotePrefix="0" xfId="0">
      <alignment horizontal="center" vertical="center" wrapText="1"/>
    </xf>
    <xf numFmtId="0" fontId="24" fillId="9" borderId="18" applyAlignment="1" pivotButton="0" quotePrefix="0" xfId="0">
      <alignment horizontal="left" vertical="center"/>
    </xf>
    <xf numFmtId="1" fontId="11" fillId="9" borderId="18" applyAlignment="1" pivotButton="0" quotePrefix="0" xfId="0">
      <alignment horizontal="center" vertical="center" wrapText="1"/>
    </xf>
    <xf numFmtId="3" fontId="11" fillId="9" borderId="18" applyAlignment="1" pivotButton="0" quotePrefix="0" xfId="0">
      <alignment horizontal="right" vertical="center"/>
    </xf>
    <xf numFmtId="0" fontId="24" fillId="13" borderId="18" applyAlignment="1" pivotButton="0" quotePrefix="0" xfId="0">
      <alignment horizontal="left" vertical="center"/>
    </xf>
    <xf numFmtId="1" fontId="17" fillId="13" borderId="18" applyAlignment="1" pivotButton="0" quotePrefix="0" xfId="0">
      <alignment horizontal="center" vertical="center" wrapText="1"/>
    </xf>
    <xf numFmtId="3" fontId="17" fillId="13" borderId="18" applyAlignment="1" pivotButton="0" quotePrefix="0" xfId="0">
      <alignment horizontal="right" vertical="center"/>
    </xf>
    <xf numFmtId="0" fontId="17" fillId="13" borderId="18" applyAlignment="1" pivotButton="0" quotePrefix="0" xfId="0">
      <alignment horizontal="center" vertical="center" wrapText="1"/>
    </xf>
    <xf numFmtId="0" fontId="24" fillId="15" borderId="18" applyAlignment="1" pivotButton="0" quotePrefix="0" xfId="0">
      <alignment horizontal="left" vertical="center"/>
    </xf>
    <xf numFmtId="1" fontId="18" fillId="15" borderId="18" applyAlignment="1" pivotButton="0" quotePrefix="0" xfId="0">
      <alignment horizontal="center" vertical="center" wrapText="1"/>
    </xf>
    <xf numFmtId="3" fontId="18" fillId="15" borderId="18" applyAlignment="1" pivotButton="0" quotePrefix="0" xfId="0">
      <alignment horizontal="right" vertical="center"/>
    </xf>
    <xf numFmtId="0" fontId="24" fillId="29" borderId="18" applyAlignment="1" pivotButton="0" quotePrefix="0" xfId="0">
      <alignment horizontal="left" vertical="center"/>
    </xf>
    <xf numFmtId="1" fontId="19" fillId="29" borderId="18" applyAlignment="1" pivotButton="0" quotePrefix="0" xfId="0">
      <alignment horizontal="center" vertical="center" wrapText="1"/>
    </xf>
    <xf numFmtId="3" fontId="19" fillId="29" borderId="18" applyAlignment="1" pivotButton="0" quotePrefix="0" xfId="0">
      <alignment horizontal="right" vertical="center"/>
    </xf>
    <xf numFmtId="0" fontId="19" fillId="29" borderId="18" applyAlignment="1" pivotButton="0" quotePrefix="0" xfId="0">
      <alignment horizontal="center" vertical="center" wrapText="1"/>
    </xf>
    <xf numFmtId="0" fontId="24" fillId="19" borderId="18" applyAlignment="1" pivotButton="0" quotePrefix="0" xfId="0">
      <alignment horizontal="left" vertical="center"/>
    </xf>
    <xf numFmtId="1" fontId="20" fillId="19" borderId="18" applyAlignment="1" pivotButton="0" quotePrefix="0" xfId="0">
      <alignment horizontal="center" vertical="center" wrapText="1"/>
    </xf>
    <xf numFmtId="3" fontId="20" fillId="19" borderId="18" applyAlignment="1" pivotButton="0" quotePrefix="0" xfId="0">
      <alignment horizontal="right" vertical="center"/>
    </xf>
    <xf numFmtId="0" fontId="24" fillId="22" borderId="18" applyAlignment="1" pivotButton="0" quotePrefix="0" xfId="0">
      <alignment horizontal="left" vertical="center"/>
    </xf>
    <xf numFmtId="1" fontId="21" fillId="22" borderId="18" applyAlignment="1" pivotButton="0" quotePrefix="0" xfId="0">
      <alignment horizontal="center" vertical="center" wrapText="1"/>
    </xf>
    <xf numFmtId="3" fontId="21" fillId="22" borderId="18" applyAlignment="1" pivotButton="0" quotePrefix="0" xfId="0">
      <alignment horizontal="right" vertical="center"/>
    </xf>
    <xf numFmtId="0" fontId="21" fillId="22" borderId="18" applyAlignment="1" pivotButton="0" quotePrefix="0" xfId="0">
      <alignment horizontal="center" vertical="center" wrapText="1"/>
    </xf>
    <xf numFmtId="0" fontId="24" fillId="6" borderId="18" applyAlignment="1" pivotButton="0" quotePrefix="0" xfId="0">
      <alignment horizontal="left" vertical="center"/>
    </xf>
    <xf numFmtId="1" fontId="22" fillId="6" borderId="18" applyAlignment="1" pivotButton="0" quotePrefix="0" xfId="0">
      <alignment horizontal="center" vertical="center" wrapText="1"/>
    </xf>
    <xf numFmtId="3" fontId="22" fillId="6" borderId="18" applyAlignment="1" pivotButton="0" quotePrefix="0" xfId="0">
      <alignment horizontal="right" vertical="center"/>
    </xf>
    <xf numFmtId="0" fontId="24" fillId="26" borderId="18" applyAlignment="1" pivotButton="0" quotePrefix="0" xfId="0">
      <alignment horizontal="left" vertical="center"/>
    </xf>
    <xf numFmtId="1" fontId="23" fillId="26" borderId="18" applyAlignment="1" pivotButton="0" quotePrefix="0" xfId="0">
      <alignment horizontal="center" vertical="center" wrapText="1"/>
    </xf>
    <xf numFmtId="3" fontId="23" fillId="26" borderId="18" applyAlignment="1" pivotButton="0" quotePrefix="0" xfId="0">
      <alignment horizontal="right" vertical="center"/>
    </xf>
    <xf numFmtId="0" fontId="23" fillId="26" borderId="18" applyAlignment="1" pivotButton="0" quotePrefix="0" xfId="0">
      <alignment horizontal="center" vertical="center" wrapText="1"/>
    </xf>
    <xf numFmtId="0" fontId="8" fillId="4" borderId="18" applyAlignment="1" pivotButton="0" quotePrefix="0" xfId="0">
      <alignment horizontal="left" vertical="center"/>
    </xf>
    <xf numFmtId="1" fontId="8" fillId="4" borderId="18" applyAlignment="1" pivotButton="0" quotePrefix="0" xfId="0">
      <alignment horizontal="center" vertical="center" wrapText="1"/>
    </xf>
    <xf numFmtId="3" fontId="8" fillId="4" borderId="18" applyAlignment="1" pivotButton="0" quotePrefix="0" xfId="0">
      <alignment horizontal="right" vertical="center"/>
    </xf>
    <xf numFmtId="0" fontId="8" fillId="4" borderId="18" applyAlignment="1" pivotButton="0" quotePrefix="0" xfId="0">
      <alignment horizontal="center" vertical="center" wrapText="1"/>
    </xf>
    <xf numFmtId="0" fontId="25" fillId="16" borderId="0" applyAlignment="1" pivotButton="0" quotePrefix="0" xfId="0">
      <alignment horizontal="right" vertical="center"/>
    </xf>
    <xf numFmtId="1" fontId="27" fillId="33" borderId="0" applyAlignment="1" pivotButton="0" quotePrefix="0" xfId="0">
      <alignment horizontal="left" vertical="center" indent="1"/>
    </xf>
    <xf numFmtId="3" fontId="27" fillId="33" borderId="0" applyAlignment="1" pivotButton="0" quotePrefix="0" xfId="0">
      <alignment horizontal="left" vertical="center" indent="1"/>
    </xf>
    <xf numFmtId="0" fontId="25" fillId="7" borderId="18" applyAlignment="1" pivotButton="0" quotePrefix="0" xfId="0">
      <alignment horizontal="center" vertical="center" wrapText="1"/>
    </xf>
    <xf numFmtId="0" fontId="25" fillId="8" borderId="18" applyAlignment="1" pivotButton="0" quotePrefix="0" xfId="0">
      <alignment horizontal="center" vertical="center" wrapText="1"/>
    </xf>
    <xf numFmtId="0" fontId="25" fillId="11" borderId="18" applyAlignment="1" pivotButton="0" quotePrefix="0" xfId="0">
      <alignment horizontal="center" vertical="center" wrapText="1"/>
    </xf>
    <xf numFmtId="0" fontId="25" fillId="14" borderId="18" applyAlignment="1" pivotButton="0" quotePrefix="0" xfId="0">
      <alignment horizontal="center" vertical="center" wrapText="1"/>
    </xf>
    <xf numFmtId="0" fontId="25" fillId="16" borderId="18" applyAlignment="1" pivotButton="0" quotePrefix="0" xfId="0">
      <alignment horizontal="center" vertical="center" wrapText="1"/>
    </xf>
    <xf numFmtId="0" fontId="25" fillId="20" borderId="18" applyAlignment="1" pivotButton="0" quotePrefix="0" xfId="0">
      <alignment horizontal="center" vertical="center" wrapText="1"/>
    </xf>
    <xf numFmtId="0" fontId="25" fillId="18" borderId="18" applyAlignment="1" pivotButton="0" quotePrefix="0" xfId="0">
      <alignment horizontal="center" vertical="center" wrapText="1"/>
    </xf>
    <xf numFmtId="0" fontId="25" fillId="23" borderId="18" applyAlignment="1" pivotButton="0" quotePrefix="0" xfId="0">
      <alignment horizontal="center" vertical="center" wrapText="1"/>
    </xf>
    <xf numFmtId="0" fontId="25" fillId="32" borderId="18" applyAlignment="1" pivotButton="0" quotePrefix="0" xfId="0">
      <alignment horizontal="center" vertical="center" wrapText="1"/>
    </xf>
    <xf numFmtId="0" fontId="8" fillId="8" borderId="17" applyAlignment="1" pivotButton="0" quotePrefix="0" xfId="0">
      <alignment horizontal="left" vertical="center" indent="1"/>
    </xf>
    <xf numFmtId="0" fontId="0" fillId="8" borderId="17" pivotButton="0" quotePrefix="0" xfId="0"/>
    <xf numFmtId="0" fontId="25" fillId="8" borderId="17" applyAlignment="1" pivotButton="0" quotePrefix="0" xfId="0">
      <alignment horizontal="left" vertical="center"/>
    </xf>
    <xf numFmtId="166" fontId="8" fillId="8" borderId="17" applyAlignment="1" pivotButton="0" quotePrefix="0" xfId="0">
      <alignment horizontal="right" vertical="center"/>
    </xf>
    <xf numFmtId="3" fontId="8" fillId="8" borderId="17" applyAlignment="1" pivotButton="0" quotePrefix="0" xfId="0">
      <alignment horizontal="right" vertical="center"/>
    </xf>
    <xf numFmtId="4" fontId="8" fillId="8" borderId="17" applyAlignment="1" pivotButton="0" quotePrefix="0" xfId="0">
      <alignment horizontal="right" vertical="center"/>
    </xf>
    <xf numFmtId="49" fontId="26" fillId="9" borderId="18" applyAlignment="1" pivotButton="0" quotePrefix="0" xfId="0">
      <alignment horizontal="left" vertical="center" wrapText="1"/>
    </xf>
    <xf numFmtId="3" fontId="26" fillId="9" borderId="18" applyAlignment="1" pivotButton="0" quotePrefix="0" xfId="0">
      <alignment horizontal="right" vertical="center"/>
    </xf>
    <xf numFmtId="166" fontId="26" fillId="9" borderId="18" applyAlignment="1" pivotButton="0" quotePrefix="0" xfId="0">
      <alignment horizontal="right" vertical="center"/>
    </xf>
    <xf numFmtId="49" fontId="26" fillId="9" borderId="18" applyAlignment="1" pivotButton="0" quotePrefix="0" xfId="0">
      <alignment horizontal="left" vertical="center"/>
    </xf>
    <xf numFmtId="4" fontId="26" fillId="9" borderId="18" applyAlignment="1" pivotButton="0" quotePrefix="0" xfId="0">
      <alignment horizontal="right" vertical="center"/>
    </xf>
    <xf numFmtId="9" fontId="26" fillId="9" borderId="18" applyAlignment="1" pivotButton="0" quotePrefix="0" xfId="0">
      <alignment horizontal="right" vertical="center"/>
    </xf>
    <xf numFmtId="0" fontId="8" fillId="11" borderId="17" applyAlignment="1" pivotButton="0" quotePrefix="0" xfId="0">
      <alignment horizontal="left" vertical="center" indent="1"/>
    </xf>
    <xf numFmtId="0" fontId="0" fillId="11" borderId="17" pivotButton="0" quotePrefix="0" xfId="0"/>
    <xf numFmtId="0" fontId="25" fillId="11" borderId="17" applyAlignment="1" pivotButton="0" quotePrefix="0" xfId="0">
      <alignment horizontal="left" vertical="center"/>
    </xf>
    <xf numFmtId="166" fontId="8" fillId="11" borderId="17" applyAlignment="1" pivotButton="0" quotePrefix="0" xfId="0">
      <alignment horizontal="right" vertical="center"/>
    </xf>
    <xf numFmtId="3" fontId="8" fillId="11" borderId="17" applyAlignment="1" pivotButton="0" quotePrefix="0" xfId="0">
      <alignment horizontal="right" vertical="center"/>
    </xf>
    <xf numFmtId="4" fontId="8" fillId="11" borderId="17" applyAlignment="1" pivotButton="0" quotePrefix="0" xfId="0">
      <alignment horizontal="right" vertical="center"/>
    </xf>
    <xf numFmtId="49" fontId="26" fillId="12" borderId="18" applyAlignment="1" pivotButton="0" quotePrefix="0" xfId="0">
      <alignment horizontal="left" vertical="center" wrapText="1"/>
    </xf>
    <xf numFmtId="3" fontId="26" fillId="12" borderId="18" applyAlignment="1" pivotButton="0" quotePrefix="0" xfId="0">
      <alignment horizontal="right" vertical="center"/>
    </xf>
    <xf numFmtId="166" fontId="26" fillId="12" borderId="18" applyAlignment="1" pivotButton="0" quotePrefix="0" xfId="0">
      <alignment horizontal="right" vertical="center"/>
    </xf>
    <xf numFmtId="49" fontId="26" fillId="12" borderId="18" applyAlignment="1" pivotButton="0" quotePrefix="0" xfId="0">
      <alignment horizontal="left" vertical="center"/>
    </xf>
    <xf numFmtId="4" fontId="26" fillId="12" borderId="18" applyAlignment="1" pivotButton="0" quotePrefix="0" xfId="0">
      <alignment horizontal="right" vertical="center"/>
    </xf>
    <xf numFmtId="9" fontId="26" fillId="12" borderId="18" applyAlignment="1" pivotButton="0" quotePrefix="0" xfId="0">
      <alignment horizontal="right" vertical="center"/>
    </xf>
    <xf numFmtId="49" fontId="26" fillId="13" borderId="18" applyAlignment="1" pivotButton="0" quotePrefix="0" xfId="0">
      <alignment horizontal="left" vertical="center" wrapText="1"/>
    </xf>
    <xf numFmtId="3" fontId="26" fillId="13" borderId="18" applyAlignment="1" pivotButton="0" quotePrefix="0" xfId="0">
      <alignment horizontal="right" vertical="center"/>
    </xf>
    <xf numFmtId="166" fontId="26" fillId="13" borderId="18" applyAlignment="1" pivotButton="0" quotePrefix="0" xfId="0">
      <alignment horizontal="right" vertical="center"/>
    </xf>
    <xf numFmtId="49" fontId="26" fillId="13" borderId="18" applyAlignment="1" pivotButton="0" quotePrefix="0" xfId="0">
      <alignment horizontal="left" vertical="center"/>
    </xf>
    <xf numFmtId="4" fontId="26" fillId="13" borderId="18" applyAlignment="1" pivotButton="0" quotePrefix="0" xfId="0">
      <alignment horizontal="right" vertical="center"/>
    </xf>
    <xf numFmtId="9" fontId="26" fillId="13" borderId="18" applyAlignment="1" pivotButton="0" quotePrefix="0" xfId="0">
      <alignment horizontal="right" vertical="center"/>
    </xf>
    <xf numFmtId="0" fontId="8" fillId="14" borderId="17" applyAlignment="1" pivotButton="0" quotePrefix="0" xfId="0">
      <alignment horizontal="left" vertical="center" indent="1"/>
    </xf>
    <xf numFmtId="0" fontId="0" fillId="14" borderId="17" pivotButton="0" quotePrefix="0" xfId="0"/>
    <xf numFmtId="0" fontId="25" fillId="14" borderId="17" applyAlignment="1" pivotButton="0" quotePrefix="0" xfId="0">
      <alignment horizontal="left" vertical="center"/>
    </xf>
    <xf numFmtId="166" fontId="8" fillId="14" borderId="17" applyAlignment="1" pivotButton="0" quotePrefix="0" xfId="0">
      <alignment horizontal="right" vertical="center"/>
    </xf>
    <xf numFmtId="3" fontId="8" fillId="14" borderId="17" applyAlignment="1" pivotButton="0" quotePrefix="0" xfId="0">
      <alignment horizontal="right" vertical="center"/>
    </xf>
    <xf numFmtId="4" fontId="8" fillId="14" borderId="17" applyAlignment="1" pivotButton="0" quotePrefix="0" xfId="0">
      <alignment horizontal="right" vertical="center"/>
    </xf>
    <xf numFmtId="49" fontId="26" fillId="15" borderId="18" applyAlignment="1" pivotButton="0" quotePrefix="0" xfId="0">
      <alignment horizontal="left" vertical="center" wrapText="1"/>
    </xf>
    <xf numFmtId="3" fontId="26" fillId="15" borderId="18" applyAlignment="1" pivotButton="0" quotePrefix="0" xfId="0">
      <alignment horizontal="right" vertical="center"/>
    </xf>
    <xf numFmtId="166" fontId="26" fillId="15" borderId="18" applyAlignment="1" pivotButton="0" quotePrefix="0" xfId="0">
      <alignment horizontal="right" vertical="center"/>
    </xf>
    <xf numFmtId="49" fontId="26" fillId="15" borderId="18" applyAlignment="1" pivotButton="0" quotePrefix="0" xfId="0">
      <alignment horizontal="left" vertical="center"/>
    </xf>
    <xf numFmtId="4" fontId="26" fillId="15" borderId="18" applyAlignment="1" pivotButton="0" quotePrefix="0" xfId="0">
      <alignment horizontal="right" vertical="center"/>
    </xf>
    <xf numFmtId="9" fontId="26" fillId="15" borderId="18" applyAlignment="1" pivotButton="0" quotePrefix="0" xfId="0">
      <alignment horizontal="right" vertical="center"/>
    </xf>
    <xf numFmtId="0" fontId="8" fillId="16" borderId="17" applyAlignment="1" pivotButton="0" quotePrefix="0" xfId="0">
      <alignment horizontal="left" vertical="center" indent="1"/>
    </xf>
    <xf numFmtId="0" fontId="0" fillId="16" borderId="17" pivotButton="0" quotePrefix="0" xfId="0"/>
    <xf numFmtId="0" fontId="25" fillId="16" borderId="17" applyAlignment="1" pivotButton="0" quotePrefix="0" xfId="0">
      <alignment horizontal="left" vertical="center"/>
    </xf>
    <xf numFmtId="166" fontId="8" fillId="16" borderId="17" applyAlignment="1" pivotButton="0" quotePrefix="0" xfId="0">
      <alignment horizontal="right" vertical="center"/>
    </xf>
    <xf numFmtId="3" fontId="8" fillId="16" borderId="17" applyAlignment="1" pivotButton="0" quotePrefix="0" xfId="0">
      <alignment horizontal="right" vertical="center"/>
    </xf>
    <xf numFmtId="4" fontId="8" fillId="16" borderId="17" applyAlignment="1" pivotButton="0" quotePrefix="0" xfId="0">
      <alignment horizontal="right" vertical="center"/>
    </xf>
    <xf numFmtId="49" fontId="26" fillId="17" borderId="18" applyAlignment="1" pivotButton="0" quotePrefix="0" xfId="0">
      <alignment horizontal="left" vertical="center" wrapText="1"/>
    </xf>
    <xf numFmtId="3" fontId="26" fillId="17" borderId="18" applyAlignment="1" pivotButton="0" quotePrefix="0" xfId="0">
      <alignment horizontal="right" vertical="center"/>
    </xf>
    <xf numFmtId="166" fontId="26" fillId="17" borderId="18" applyAlignment="1" pivotButton="0" quotePrefix="0" xfId="0">
      <alignment horizontal="right" vertical="center"/>
    </xf>
    <xf numFmtId="49" fontId="26" fillId="17" borderId="18" applyAlignment="1" pivotButton="0" quotePrefix="0" xfId="0">
      <alignment horizontal="left" vertical="center"/>
    </xf>
    <xf numFmtId="4" fontId="26" fillId="17" borderId="18" applyAlignment="1" pivotButton="0" quotePrefix="0" xfId="0">
      <alignment horizontal="right" vertical="center"/>
    </xf>
    <xf numFmtId="9" fontId="26" fillId="17" borderId="18" applyAlignment="1" pivotButton="0" quotePrefix="0" xfId="0">
      <alignment horizontal="right" vertical="center"/>
    </xf>
    <xf numFmtId="0" fontId="8" fillId="18" borderId="17" applyAlignment="1" pivotButton="0" quotePrefix="0" xfId="0">
      <alignment horizontal="left" vertical="center" indent="1"/>
    </xf>
    <xf numFmtId="0" fontId="0" fillId="18" borderId="17" pivotButton="0" quotePrefix="0" xfId="0"/>
    <xf numFmtId="0" fontId="25" fillId="18" borderId="17" applyAlignment="1" pivotButton="0" quotePrefix="0" xfId="0">
      <alignment horizontal="left" vertical="center"/>
    </xf>
    <xf numFmtId="166" fontId="8" fillId="18" borderId="17" applyAlignment="1" pivotButton="0" quotePrefix="0" xfId="0">
      <alignment horizontal="right" vertical="center"/>
    </xf>
    <xf numFmtId="3" fontId="8" fillId="18" borderId="17" applyAlignment="1" pivotButton="0" quotePrefix="0" xfId="0">
      <alignment horizontal="right" vertical="center"/>
    </xf>
    <xf numFmtId="4" fontId="8" fillId="18" borderId="17" applyAlignment="1" pivotButton="0" quotePrefix="0" xfId="0">
      <alignment horizontal="right" vertical="center"/>
    </xf>
    <xf numFmtId="49" fontId="26" fillId="19" borderId="18" applyAlignment="1" pivotButton="0" quotePrefix="0" xfId="0">
      <alignment horizontal="left" vertical="center" wrapText="1"/>
    </xf>
    <xf numFmtId="3" fontId="26" fillId="19" borderId="18" applyAlignment="1" pivotButton="0" quotePrefix="0" xfId="0">
      <alignment horizontal="right" vertical="center"/>
    </xf>
    <xf numFmtId="166" fontId="26" fillId="19" borderId="18" applyAlignment="1" pivotButton="0" quotePrefix="0" xfId="0">
      <alignment horizontal="right" vertical="center"/>
    </xf>
    <xf numFmtId="49" fontId="26" fillId="19" borderId="18" applyAlignment="1" pivotButton="0" quotePrefix="0" xfId="0">
      <alignment horizontal="left" vertical="center"/>
    </xf>
    <xf numFmtId="4" fontId="26" fillId="19" borderId="18" applyAlignment="1" pivotButton="0" quotePrefix="0" xfId="0">
      <alignment horizontal="right" vertical="center"/>
    </xf>
    <xf numFmtId="9" fontId="26" fillId="19" borderId="18" applyAlignment="1" pivotButton="0" quotePrefix="0" xfId="0">
      <alignment horizontal="right" vertical="center"/>
    </xf>
    <xf numFmtId="0" fontId="8" fillId="20" borderId="17" applyAlignment="1" pivotButton="0" quotePrefix="0" xfId="0">
      <alignment horizontal="left" vertical="center" indent="1"/>
    </xf>
    <xf numFmtId="0" fontId="0" fillId="20" borderId="17" pivotButton="0" quotePrefix="0" xfId="0"/>
    <xf numFmtId="0" fontId="25" fillId="20" borderId="17" applyAlignment="1" pivotButton="0" quotePrefix="0" xfId="0">
      <alignment horizontal="left" vertical="center"/>
    </xf>
    <xf numFmtId="166" fontId="8" fillId="20" borderId="17" applyAlignment="1" pivotButton="0" quotePrefix="0" xfId="0">
      <alignment horizontal="right" vertical="center"/>
    </xf>
    <xf numFmtId="3" fontId="8" fillId="20" borderId="17" applyAlignment="1" pivotButton="0" quotePrefix="0" xfId="0">
      <alignment horizontal="right" vertical="center"/>
    </xf>
    <xf numFmtId="4" fontId="8" fillId="20" borderId="17" applyAlignment="1" pivotButton="0" quotePrefix="0" xfId="0">
      <alignment horizontal="right" vertical="center"/>
    </xf>
    <xf numFmtId="49" fontId="26" fillId="21" borderId="18" applyAlignment="1" pivotButton="0" quotePrefix="0" xfId="0">
      <alignment horizontal="left" vertical="center" wrapText="1"/>
    </xf>
    <xf numFmtId="3" fontId="26" fillId="21" borderId="18" applyAlignment="1" pivotButton="0" quotePrefix="0" xfId="0">
      <alignment horizontal="right" vertical="center"/>
    </xf>
    <xf numFmtId="166" fontId="26" fillId="21" borderId="18" applyAlignment="1" pivotButton="0" quotePrefix="0" xfId="0">
      <alignment horizontal="right" vertical="center"/>
    </xf>
    <xf numFmtId="49" fontId="26" fillId="21" borderId="18" applyAlignment="1" pivotButton="0" quotePrefix="0" xfId="0">
      <alignment horizontal="left" vertical="center"/>
    </xf>
    <xf numFmtId="4" fontId="26" fillId="21" borderId="18" applyAlignment="1" pivotButton="0" quotePrefix="0" xfId="0">
      <alignment horizontal="right" vertical="center"/>
    </xf>
    <xf numFmtId="9" fontId="26" fillId="21" borderId="18" applyAlignment="1" pivotButton="0" quotePrefix="0" xfId="0">
      <alignment horizontal="right" vertical="center"/>
    </xf>
    <xf numFmtId="49" fontId="26" fillId="22" borderId="18" applyAlignment="1" pivotButton="0" quotePrefix="0" xfId="0">
      <alignment horizontal="left" vertical="center" wrapText="1"/>
    </xf>
    <xf numFmtId="3" fontId="26" fillId="22" borderId="18" applyAlignment="1" pivotButton="0" quotePrefix="0" xfId="0">
      <alignment horizontal="right" vertical="center"/>
    </xf>
    <xf numFmtId="166" fontId="26" fillId="22" borderId="18" applyAlignment="1" pivotButton="0" quotePrefix="0" xfId="0">
      <alignment horizontal="right" vertical="center"/>
    </xf>
    <xf numFmtId="49" fontId="26" fillId="22" borderId="18" applyAlignment="1" pivotButton="0" quotePrefix="0" xfId="0">
      <alignment horizontal="left" vertical="center"/>
    </xf>
    <xf numFmtId="4" fontId="26" fillId="22" borderId="18" applyAlignment="1" pivotButton="0" quotePrefix="0" xfId="0">
      <alignment horizontal="right" vertical="center"/>
    </xf>
    <xf numFmtId="9" fontId="26" fillId="22" borderId="18" applyAlignment="1" pivotButton="0" quotePrefix="0" xfId="0">
      <alignment horizontal="right" vertical="center"/>
    </xf>
    <xf numFmtId="0" fontId="8" fillId="23" borderId="17" applyAlignment="1" pivotButton="0" quotePrefix="0" xfId="0">
      <alignment horizontal="left" vertical="center" indent="1"/>
    </xf>
    <xf numFmtId="0" fontId="0" fillId="23" borderId="17" pivotButton="0" quotePrefix="0" xfId="0"/>
    <xf numFmtId="0" fontId="25" fillId="23" borderId="17" applyAlignment="1" pivotButton="0" quotePrefix="0" xfId="0">
      <alignment horizontal="left" vertical="center"/>
    </xf>
    <xf numFmtId="166" fontId="8" fillId="23" borderId="17" applyAlignment="1" pivotButton="0" quotePrefix="0" xfId="0">
      <alignment horizontal="right" vertical="center"/>
    </xf>
    <xf numFmtId="3" fontId="8" fillId="23" borderId="17" applyAlignment="1" pivotButton="0" quotePrefix="0" xfId="0">
      <alignment horizontal="right" vertical="center"/>
    </xf>
    <xf numFmtId="4" fontId="8" fillId="23" borderId="17" applyAlignment="1" pivotButton="0" quotePrefix="0" xfId="0">
      <alignment horizontal="right" vertical="center"/>
    </xf>
    <xf numFmtId="49" fontId="26" fillId="6" borderId="18" applyAlignment="1" pivotButton="0" quotePrefix="0" xfId="0">
      <alignment horizontal="left" vertical="center" wrapText="1"/>
    </xf>
    <xf numFmtId="3" fontId="26" fillId="6" borderId="18" applyAlignment="1" pivotButton="0" quotePrefix="0" xfId="0">
      <alignment horizontal="right" vertical="center"/>
    </xf>
    <xf numFmtId="166" fontId="26" fillId="6" borderId="18" applyAlignment="1" pivotButton="0" quotePrefix="0" xfId="0">
      <alignment horizontal="right" vertical="center"/>
    </xf>
    <xf numFmtId="49" fontId="26" fillId="6" borderId="18" applyAlignment="1" pivotButton="0" quotePrefix="0" xfId="0">
      <alignment horizontal="left" vertical="center"/>
    </xf>
    <xf numFmtId="4" fontId="26" fillId="6" borderId="18" applyAlignment="1" pivotButton="0" quotePrefix="0" xfId="0">
      <alignment horizontal="right" vertical="center"/>
    </xf>
    <xf numFmtId="9" fontId="26" fillId="6" borderId="18" applyAlignment="1" pivotButton="0" quotePrefix="0" xfId="0">
      <alignment horizontal="right" vertical="center"/>
    </xf>
    <xf numFmtId="0" fontId="8" fillId="24" borderId="17" applyAlignment="1" pivotButton="0" quotePrefix="0" xfId="0">
      <alignment horizontal="left" vertical="center" indent="1"/>
    </xf>
    <xf numFmtId="0" fontId="0" fillId="24" borderId="17" pivotButton="0" quotePrefix="0" xfId="0"/>
    <xf numFmtId="0" fontId="25" fillId="24" borderId="17" applyAlignment="1" pivotButton="0" quotePrefix="0" xfId="0">
      <alignment horizontal="left" vertical="center"/>
    </xf>
    <xf numFmtId="166" fontId="8" fillId="24" borderId="17" applyAlignment="1" pivotButton="0" quotePrefix="0" xfId="0">
      <alignment horizontal="right" vertical="center"/>
    </xf>
    <xf numFmtId="3" fontId="8" fillId="24" borderId="17" applyAlignment="1" pivotButton="0" quotePrefix="0" xfId="0">
      <alignment horizontal="right" vertical="center"/>
    </xf>
    <xf numFmtId="4" fontId="8" fillId="24" borderId="17" applyAlignment="1" pivotButton="0" quotePrefix="0" xfId="0">
      <alignment horizontal="right" vertical="center"/>
    </xf>
    <xf numFmtId="49" fontId="26" fillId="25" borderId="18" applyAlignment="1" pivotButton="0" quotePrefix="0" xfId="0">
      <alignment horizontal="left" vertical="center" wrapText="1"/>
    </xf>
    <xf numFmtId="3" fontId="26" fillId="25" borderId="18" applyAlignment="1" pivotButton="0" quotePrefix="0" xfId="0">
      <alignment horizontal="right" vertical="center"/>
    </xf>
    <xf numFmtId="166" fontId="26" fillId="25" borderId="18" applyAlignment="1" pivotButton="0" quotePrefix="0" xfId="0">
      <alignment horizontal="right" vertical="center"/>
    </xf>
    <xf numFmtId="49" fontId="26" fillId="25" borderId="18" applyAlignment="1" pivotButton="0" quotePrefix="0" xfId="0">
      <alignment horizontal="left" vertical="center"/>
    </xf>
    <xf numFmtId="4" fontId="26" fillId="25" borderId="18" applyAlignment="1" pivotButton="0" quotePrefix="0" xfId="0">
      <alignment horizontal="right" vertical="center"/>
    </xf>
    <xf numFmtId="9" fontId="26" fillId="25" borderId="18" applyAlignment="1" pivotButton="0" quotePrefix="0" xfId="0">
      <alignment horizontal="right" vertical="center"/>
    </xf>
    <xf numFmtId="49" fontId="26" fillId="26" borderId="18" applyAlignment="1" pivotButton="0" quotePrefix="0" xfId="0">
      <alignment horizontal="left" vertical="center" wrapText="1"/>
    </xf>
    <xf numFmtId="3" fontId="26" fillId="26" borderId="18" applyAlignment="1" pivotButton="0" quotePrefix="0" xfId="0">
      <alignment horizontal="right" vertical="center"/>
    </xf>
    <xf numFmtId="166" fontId="26" fillId="26" borderId="18" applyAlignment="1" pivotButton="0" quotePrefix="0" xfId="0">
      <alignment horizontal="right" vertical="center"/>
    </xf>
    <xf numFmtId="49" fontId="26" fillId="26" borderId="18" applyAlignment="1" pivotButton="0" quotePrefix="0" xfId="0">
      <alignment horizontal="left" vertical="center"/>
    </xf>
    <xf numFmtId="4" fontId="26" fillId="26" borderId="18" applyAlignment="1" pivotButton="0" quotePrefix="0" xfId="0">
      <alignment horizontal="right" vertical="center"/>
    </xf>
    <xf numFmtId="9" fontId="26" fillId="26" borderId="18" applyAlignment="1" pivotButton="0" quotePrefix="0" xfId="0">
      <alignment horizontal="right" vertical="center"/>
    </xf>
    <xf numFmtId="49" fontId="26" fillId="27" borderId="18" applyAlignment="1" pivotButton="0" quotePrefix="0" xfId="0">
      <alignment horizontal="left" vertical="center" wrapText="1"/>
    </xf>
    <xf numFmtId="3" fontId="26" fillId="27" borderId="18" applyAlignment="1" pivotButton="0" quotePrefix="0" xfId="0">
      <alignment horizontal="right" vertical="center"/>
    </xf>
    <xf numFmtId="166" fontId="26" fillId="27" borderId="18" applyAlignment="1" pivotButton="0" quotePrefix="0" xfId="0">
      <alignment horizontal="right" vertical="center"/>
    </xf>
    <xf numFmtId="49" fontId="26" fillId="27" borderId="18" applyAlignment="1" pivotButton="0" quotePrefix="0" xfId="0">
      <alignment horizontal="left" vertical="center"/>
    </xf>
    <xf numFmtId="4" fontId="26" fillId="27" borderId="18" applyAlignment="1" pivotButton="0" quotePrefix="0" xfId="0">
      <alignment horizontal="right" vertical="center"/>
    </xf>
    <xf numFmtId="9" fontId="26" fillId="27" borderId="18" applyAlignment="1" pivotButton="0" quotePrefix="0" xfId="0">
      <alignment horizontal="right" vertical="center"/>
    </xf>
    <xf numFmtId="49" fontId="26" fillId="28" borderId="18" applyAlignment="1" pivotButton="0" quotePrefix="0" xfId="0">
      <alignment horizontal="left" vertical="center" wrapText="1"/>
    </xf>
    <xf numFmtId="3" fontId="26" fillId="28" borderId="18" applyAlignment="1" pivotButton="0" quotePrefix="0" xfId="0">
      <alignment horizontal="right" vertical="center"/>
    </xf>
    <xf numFmtId="166" fontId="26" fillId="28" borderId="18" applyAlignment="1" pivotButton="0" quotePrefix="0" xfId="0">
      <alignment horizontal="right" vertical="center"/>
    </xf>
    <xf numFmtId="49" fontId="26" fillId="28" borderId="18" applyAlignment="1" pivotButton="0" quotePrefix="0" xfId="0">
      <alignment horizontal="left" vertical="center"/>
    </xf>
    <xf numFmtId="4" fontId="26" fillId="28" borderId="18" applyAlignment="1" pivotButton="0" quotePrefix="0" xfId="0">
      <alignment horizontal="right" vertical="center"/>
    </xf>
    <xf numFmtId="9" fontId="26" fillId="28" borderId="18" applyAlignment="1" pivotButton="0" quotePrefix="0" xfId="0">
      <alignment horizontal="right" vertical="center"/>
    </xf>
    <xf numFmtId="49" fontId="26" fillId="29" borderId="18" applyAlignment="1" pivotButton="0" quotePrefix="0" xfId="0">
      <alignment horizontal="left" vertical="center" wrapText="1"/>
    </xf>
    <xf numFmtId="3" fontId="26" fillId="29" borderId="18" applyAlignment="1" pivotButton="0" quotePrefix="0" xfId="0">
      <alignment horizontal="right" vertical="center"/>
    </xf>
    <xf numFmtId="166" fontId="26" fillId="29" borderId="18" applyAlignment="1" pivotButton="0" quotePrefix="0" xfId="0">
      <alignment horizontal="right" vertical="center"/>
    </xf>
    <xf numFmtId="49" fontId="26" fillId="29" borderId="18" applyAlignment="1" pivotButton="0" quotePrefix="0" xfId="0">
      <alignment horizontal="left" vertical="center"/>
    </xf>
    <xf numFmtId="4" fontId="26" fillId="29" borderId="18" applyAlignment="1" pivotButton="0" quotePrefix="0" xfId="0">
      <alignment horizontal="right" vertical="center"/>
    </xf>
    <xf numFmtId="9" fontId="26" fillId="29" borderId="18" applyAlignment="1" pivotButton="0" quotePrefix="0" xfId="0">
      <alignment horizontal="right" vertical="center"/>
    </xf>
    <xf numFmtId="49" fontId="26" fillId="30" borderId="18" applyAlignment="1" pivotButton="0" quotePrefix="0" xfId="0">
      <alignment horizontal="left" vertical="center" wrapText="1"/>
    </xf>
    <xf numFmtId="3" fontId="26" fillId="30" borderId="18" applyAlignment="1" pivotButton="0" quotePrefix="0" xfId="0">
      <alignment horizontal="right" vertical="center"/>
    </xf>
    <xf numFmtId="166" fontId="26" fillId="30" borderId="18" applyAlignment="1" pivotButton="0" quotePrefix="0" xfId="0">
      <alignment horizontal="right" vertical="center"/>
    </xf>
    <xf numFmtId="49" fontId="26" fillId="30" borderId="18" applyAlignment="1" pivotButton="0" quotePrefix="0" xfId="0">
      <alignment horizontal="left" vertical="center"/>
    </xf>
    <xf numFmtId="4" fontId="26" fillId="30" borderId="18" applyAlignment="1" pivotButton="0" quotePrefix="0" xfId="0">
      <alignment horizontal="right" vertical="center"/>
    </xf>
    <xf numFmtId="9" fontId="26" fillId="30" borderId="18" applyAlignment="1" pivotButton="0" quotePrefix="0" xfId="0">
      <alignment horizontal="right" vertical="center"/>
    </xf>
    <xf numFmtId="0" fontId="8" fillId="4" borderId="17" applyAlignment="1" pivotButton="0" quotePrefix="0" xfId="0">
      <alignment horizontal="left" vertical="center" indent="1"/>
    </xf>
    <xf numFmtId="0" fontId="8" fillId="4" borderId="17" pivotButton="0" quotePrefix="0" xfId="0"/>
    <xf numFmtId="166" fontId="8" fillId="4" borderId="17" applyAlignment="1" pivotButton="0" quotePrefix="0" xfId="0">
      <alignment horizontal="right" vertical="center"/>
    </xf>
    <xf numFmtId="3" fontId="8" fillId="4" borderId="17" applyAlignment="1" pivotButton="0" quotePrefix="0" xfId="0">
      <alignment horizontal="right" vertical="center"/>
    </xf>
    <xf numFmtId="4" fontId="8" fillId="4" borderId="17" applyAlignment="1" pivotButton="0" quotePrefix="0" xfId="0">
      <alignment horizontal="right" vertical="center"/>
    </xf>
    <xf numFmtId="0" fontId="0" fillId="8" borderId="18" pivotButton="0" quotePrefix="0" xfId="0"/>
    <xf numFmtId="0" fontId="0" fillId="11" borderId="18" pivotButton="0" quotePrefix="0" xfId="0"/>
    <xf numFmtId="0" fontId="0" fillId="14" borderId="18" pivotButton="0" quotePrefix="0" xfId="0"/>
    <xf numFmtId="0" fontId="0" fillId="16" borderId="18" pivotButton="0" quotePrefix="0" xfId="0"/>
    <xf numFmtId="0" fontId="0" fillId="20" borderId="18" pivotButton="0" quotePrefix="0" xfId="0"/>
    <xf numFmtId="0" fontId="0" fillId="18" borderId="18" pivotButton="0" quotePrefix="0" xfId="0"/>
    <xf numFmtId="0" fontId="0" fillId="23" borderId="18" pivotButton="0" quotePrefix="0" xfId="0"/>
    <xf numFmtId="0" fontId="8" fillId="8" borderId="17" applyAlignment="1" pivotButton="0" quotePrefix="0" xfId="0">
      <alignment horizontal="center" vertical="center" wrapText="1"/>
    </xf>
    <xf numFmtId="0" fontId="8" fillId="11" borderId="17" applyAlignment="1" pivotButton="0" quotePrefix="0" xfId="0">
      <alignment horizontal="center" vertical="center" wrapText="1"/>
    </xf>
    <xf numFmtId="0" fontId="8" fillId="14" borderId="17" applyAlignment="1" pivotButton="0" quotePrefix="0" xfId="0">
      <alignment horizontal="center" vertical="center" wrapText="1"/>
    </xf>
    <xf numFmtId="0" fontId="8" fillId="16" borderId="17" applyAlignment="1" pivotButton="0" quotePrefix="0" xfId="0">
      <alignment horizontal="center" vertical="center" wrapText="1"/>
    </xf>
    <xf numFmtId="0" fontId="8" fillId="18" borderId="17" applyAlignment="1" pivotButton="0" quotePrefix="0" xfId="0">
      <alignment horizontal="center" vertical="center" wrapText="1"/>
    </xf>
    <xf numFmtId="0" fontId="8" fillId="20" borderId="17" applyAlignment="1" pivotButton="0" quotePrefix="0" xfId="0">
      <alignment horizontal="center" vertical="center" wrapText="1"/>
    </xf>
    <xf numFmtId="0" fontId="8" fillId="23" borderId="17" applyAlignment="1" pivotButton="0" quotePrefix="0" xfId="0">
      <alignment horizontal="center" vertical="center" wrapText="1"/>
    </xf>
    <xf numFmtId="0" fontId="8" fillId="24" borderId="17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left" vertical="center" indent="1"/>
    </xf>
    <xf numFmtId="0" fontId="25" fillId="24" borderId="18" applyAlignment="1" pivotButton="0" quotePrefix="0" xfId="0">
      <alignment horizontal="center" vertical="center" wrapText="1"/>
    </xf>
    <xf numFmtId="0" fontId="0" fillId="24" borderId="18" pivotButton="0" quotePrefix="0" xfId="0"/>
    <xf numFmtId="0" fontId="0" fillId="7" borderId="0" pivotButton="0" quotePrefix="0" xfId="0"/>
    <xf numFmtId="0" fontId="28" fillId="9" borderId="0" applyAlignment="1" pivotButton="0" quotePrefix="0" xfId="0">
      <alignment horizontal="left" vertical="center" indent="1"/>
    </xf>
    <xf numFmtId="3" fontId="28" fillId="9" borderId="18" applyAlignment="1" pivotButton="0" quotePrefix="0" xfId="0">
      <alignment horizontal="center" vertical="center" wrapText="1"/>
    </xf>
    <xf numFmtId="0" fontId="28" fillId="9" borderId="0" applyAlignment="1" pivotButton="0" quotePrefix="0" xfId="0">
      <alignment horizontal="center" vertical="center" wrapText="1"/>
    </xf>
    <xf numFmtId="0" fontId="25" fillId="7" borderId="17" applyAlignment="1" pivotButton="0" quotePrefix="0" xfId="0">
      <alignment horizontal="center" vertical="center" wrapText="1"/>
    </xf>
    <xf numFmtId="0" fontId="8" fillId="8" borderId="18" applyAlignment="1" pivotButton="0" quotePrefix="0" xfId="0">
      <alignment horizontal="left" vertical="center"/>
    </xf>
    <xf numFmtId="3" fontId="13" fillId="34" borderId="18" applyAlignment="1" pivotButton="0" quotePrefix="0" xfId="0">
      <alignment horizontal="right" vertical="center"/>
    </xf>
    <xf numFmtId="49" fontId="15" fillId="34" borderId="18" applyAlignment="1" pivotButton="0" quotePrefix="0" xfId="0">
      <alignment horizontal="left" vertical="center" wrapText="1"/>
    </xf>
    <xf numFmtId="166" fontId="13" fillId="34" borderId="18" applyAlignment="1" pivotButton="0" quotePrefix="0" xfId="0">
      <alignment horizontal="right" vertical="center"/>
    </xf>
    <xf numFmtId="166" fontId="29" fillId="9" borderId="19" applyAlignment="1" pivotButton="0" quotePrefix="0" xfId="0">
      <alignment horizontal="right" vertical="center"/>
    </xf>
    <xf numFmtId="49" fontId="13" fillId="34" borderId="18" applyAlignment="1" pivotButton="0" quotePrefix="0" xfId="0">
      <alignment horizontal="left" vertical="center"/>
    </xf>
    <xf numFmtId="0" fontId="8" fillId="11" borderId="18" applyAlignment="1" pivotButton="0" quotePrefix="0" xfId="0">
      <alignment horizontal="left" vertical="center"/>
    </xf>
    <xf numFmtId="3" fontId="29" fillId="9" borderId="19" applyAlignment="1" pivotButton="0" quotePrefix="0" xfId="0">
      <alignment horizontal="right" vertical="center"/>
    </xf>
    <xf numFmtId="4" fontId="13" fillId="34" borderId="18" applyAlignment="1" pivotButton="0" quotePrefix="0" xfId="0">
      <alignment horizontal="right" vertical="center"/>
    </xf>
    <xf numFmtId="4" fontId="29" fillId="9" borderId="19" applyAlignment="1" pivotButton="0" quotePrefix="0" xfId="0">
      <alignment horizontal="right" vertical="center"/>
    </xf>
    <xf numFmtId="9" fontId="13" fillId="34" borderId="18" applyAlignment="1" pivotButton="0" quotePrefix="0" xfId="0">
      <alignment horizontal="right" vertical="center"/>
    </xf>
    <xf numFmtId="0" fontId="8" fillId="14" borderId="18" applyAlignment="1" pivotButton="0" quotePrefix="0" xfId="0">
      <alignment horizontal="left" vertical="center"/>
    </xf>
    <xf numFmtId="0" fontId="8" fillId="16" borderId="18" applyAlignment="1" pivotButton="0" quotePrefix="0" xfId="0">
      <alignment horizontal="left" vertical="center"/>
    </xf>
    <xf numFmtId="0" fontId="8" fillId="20" borderId="18" applyAlignment="1" pivotButton="0" quotePrefix="0" xfId="0">
      <alignment horizontal="left" vertical="center"/>
    </xf>
    <xf numFmtId="0" fontId="8" fillId="18" borderId="18" applyAlignment="1" pivotButton="0" quotePrefix="0" xfId="0">
      <alignment horizontal="left" vertical="center"/>
    </xf>
    <xf numFmtId="49" fontId="16" fillId="34" borderId="18" applyAlignment="1" pivotButton="0" quotePrefix="0" xfId="0">
      <alignment horizontal="left" vertical="center"/>
    </xf>
    <xf numFmtId="0" fontId="8" fillId="23" borderId="18" applyAlignment="1" pivotButton="0" quotePrefix="0" xfId="0">
      <alignment horizontal="left" vertical="center"/>
    </xf>
    <xf numFmtId="0" fontId="8" fillId="7" borderId="17" applyAlignment="1" pivotButton="0" quotePrefix="0" xfId="0">
      <alignment horizontal="left" vertical="center" indent="1"/>
    </xf>
    <xf numFmtId="0" fontId="30" fillId="9" borderId="18" applyAlignment="1" pivotButton="0" quotePrefix="0" xfId="0">
      <alignment horizontal="left" vertical="center" indent="1"/>
    </xf>
    <xf numFmtId="0" fontId="11" fillId="27" borderId="18" applyAlignment="1" pivotButton="0" quotePrefix="0" xfId="0">
      <alignment horizontal="left" vertical="center"/>
    </xf>
    <xf numFmtId="0" fontId="0" fillId="27" borderId="18" pivotButton="0" quotePrefix="0" xfId="0"/>
    <xf numFmtId="0" fontId="27" fillId="8" borderId="17" applyAlignment="1" pivotButton="0" quotePrefix="0" xfId="0">
      <alignment horizontal="left" vertical="center" indent="1"/>
    </xf>
    <xf numFmtId="0" fontId="12" fillId="9" borderId="18" applyAlignment="1" pivotButton="0" quotePrefix="0" xfId="0">
      <alignment horizontal="left" vertical="center"/>
    </xf>
    <xf numFmtId="166" fontId="11" fillId="9" borderId="18" applyAlignment="1" pivotButton="0" quotePrefix="0" xfId="0">
      <alignment horizontal="right" vertical="center"/>
    </xf>
    <xf numFmtId="4" fontId="11" fillId="9" borderId="18" applyAlignment="1" pivotButton="0" quotePrefix="0" xfId="0">
      <alignment horizontal="right" vertical="center"/>
    </xf>
    <xf numFmtId="0" fontId="31" fillId="12" borderId="18" applyAlignment="1" pivotButton="0" quotePrefix="0" xfId="0">
      <alignment horizontal="left" vertical="center" indent="1"/>
    </xf>
    <xf numFmtId="0" fontId="17" fillId="13" borderId="18" applyAlignment="1" pivotButton="0" quotePrefix="0" xfId="0">
      <alignment horizontal="left" vertical="center"/>
    </xf>
    <xf numFmtId="0" fontId="0" fillId="13" borderId="18" pivotButton="0" quotePrefix="0" xfId="0"/>
    <xf numFmtId="0" fontId="27" fillId="11" borderId="17" applyAlignment="1" pivotButton="0" quotePrefix="0" xfId="0">
      <alignment horizontal="left" vertical="center" indent="1"/>
    </xf>
    <xf numFmtId="0" fontId="12" fillId="12" borderId="18" applyAlignment="1" pivotButton="0" quotePrefix="0" xfId="0">
      <alignment horizontal="left" vertical="center"/>
    </xf>
    <xf numFmtId="166" fontId="17" fillId="12" borderId="18" applyAlignment="1" pivotButton="0" quotePrefix="0" xfId="0">
      <alignment horizontal="right" vertical="center"/>
    </xf>
    <xf numFmtId="3" fontId="17" fillId="12" borderId="18" applyAlignment="1" pivotButton="0" quotePrefix="0" xfId="0">
      <alignment horizontal="right" vertical="center"/>
    </xf>
    <xf numFmtId="4" fontId="17" fillId="12" borderId="18" applyAlignment="1" pivotButton="0" quotePrefix="0" xfId="0">
      <alignment horizontal="right" vertical="center"/>
    </xf>
    <xf numFmtId="0" fontId="32" fillId="15" borderId="18" applyAlignment="1" pivotButton="0" quotePrefix="0" xfId="0">
      <alignment horizontal="left" vertical="center" indent="1"/>
    </xf>
    <xf numFmtId="0" fontId="18" fillId="28" borderId="18" applyAlignment="1" pivotButton="0" quotePrefix="0" xfId="0">
      <alignment horizontal="left" vertical="center"/>
    </xf>
    <xf numFmtId="0" fontId="0" fillId="28" borderId="18" pivotButton="0" quotePrefix="0" xfId="0"/>
    <xf numFmtId="0" fontId="27" fillId="14" borderId="17" applyAlignment="1" pivotButton="0" quotePrefix="0" xfId="0">
      <alignment horizontal="left" vertical="center" indent="1"/>
    </xf>
    <xf numFmtId="0" fontId="12" fillId="15" borderId="18" applyAlignment="1" pivotButton="0" quotePrefix="0" xfId="0">
      <alignment horizontal="left" vertical="center"/>
    </xf>
    <xf numFmtId="166" fontId="18" fillId="15" borderId="18" applyAlignment="1" pivotButton="0" quotePrefix="0" xfId="0">
      <alignment horizontal="right" vertical="center"/>
    </xf>
    <xf numFmtId="4" fontId="18" fillId="15" borderId="18" applyAlignment="1" pivotButton="0" quotePrefix="0" xfId="0">
      <alignment horizontal="right" vertical="center"/>
    </xf>
    <xf numFmtId="0" fontId="33" fillId="17" borderId="18" applyAlignment="1" pivotButton="0" quotePrefix="0" xfId="0">
      <alignment horizontal="left" vertical="center" indent="1"/>
    </xf>
    <xf numFmtId="0" fontId="19" fillId="29" borderId="18" applyAlignment="1" pivotButton="0" quotePrefix="0" xfId="0">
      <alignment horizontal="left" vertical="center"/>
    </xf>
    <xf numFmtId="0" fontId="0" fillId="29" borderId="18" pivotButton="0" quotePrefix="0" xfId="0"/>
    <xf numFmtId="0" fontId="27" fillId="16" borderId="17" applyAlignment="1" pivotButton="0" quotePrefix="0" xfId="0">
      <alignment horizontal="left" vertical="center" indent="1"/>
    </xf>
    <xf numFmtId="0" fontId="12" fillId="17" borderId="18" applyAlignment="1" pivotButton="0" quotePrefix="0" xfId="0">
      <alignment horizontal="left" vertical="center"/>
    </xf>
    <xf numFmtId="166" fontId="19" fillId="17" borderId="18" applyAlignment="1" pivotButton="0" quotePrefix="0" xfId="0">
      <alignment horizontal="right" vertical="center"/>
    </xf>
    <xf numFmtId="3" fontId="19" fillId="17" borderId="18" applyAlignment="1" pivotButton="0" quotePrefix="0" xfId="0">
      <alignment horizontal="right" vertical="center"/>
    </xf>
    <xf numFmtId="4" fontId="19" fillId="17" borderId="18" applyAlignment="1" pivotButton="0" quotePrefix="0" xfId="0">
      <alignment horizontal="right" vertical="center"/>
    </xf>
    <xf numFmtId="0" fontId="34" fillId="19" borderId="18" applyAlignment="1" pivotButton="0" quotePrefix="0" xfId="0">
      <alignment horizontal="left" vertical="center" indent="1"/>
    </xf>
    <xf numFmtId="0" fontId="20" fillId="30" borderId="18" applyAlignment="1" pivotButton="0" quotePrefix="0" xfId="0">
      <alignment horizontal="left" vertical="center"/>
    </xf>
    <xf numFmtId="0" fontId="0" fillId="30" borderId="18" pivotButton="0" quotePrefix="0" xfId="0"/>
    <xf numFmtId="0" fontId="27" fillId="18" borderId="17" applyAlignment="1" pivotButton="0" quotePrefix="0" xfId="0">
      <alignment horizontal="left" vertical="center" indent="1"/>
    </xf>
    <xf numFmtId="0" fontId="12" fillId="19" borderId="18" applyAlignment="1" pivotButton="0" quotePrefix="0" xfId="0">
      <alignment horizontal="left" vertical="center"/>
    </xf>
    <xf numFmtId="166" fontId="20" fillId="19" borderId="18" applyAlignment="1" pivotButton="0" quotePrefix="0" xfId="0">
      <alignment horizontal="right" vertical="center"/>
    </xf>
    <xf numFmtId="4" fontId="20" fillId="19" borderId="18" applyAlignment="1" pivotButton="0" quotePrefix="0" xfId="0">
      <alignment horizontal="right" vertical="center"/>
    </xf>
    <xf numFmtId="0" fontId="35" fillId="21" borderId="18" applyAlignment="1" pivotButton="0" quotePrefix="0" xfId="0">
      <alignment horizontal="left" vertical="center" indent="1"/>
    </xf>
    <xf numFmtId="0" fontId="21" fillId="22" borderId="18" applyAlignment="1" pivotButton="0" quotePrefix="0" xfId="0">
      <alignment horizontal="left" vertical="center"/>
    </xf>
    <xf numFmtId="0" fontId="0" fillId="22" borderId="18" pivotButton="0" quotePrefix="0" xfId="0"/>
    <xf numFmtId="0" fontId="27" fillId="20" borderId="17" applyAlignment="1" pivotButton="0" quotePrefix="0" xfId="0">
      <alignment horizontal="left" vertical="center" indent="1"/>
    </xf>
    <xf numFmtId="0" fontId="12" fillId="21" borderId="18" applyAlignment="1" pivotButton="0" quotePrefix="0" xfId="0">
      <alignment horizontal="left" vertical="center"/>
    </xf>
    <xf numFmtId="166" fontId="21" fillId="21" borderId="18" applyAlignment="1" pivotButton="0" quotePrefix="0" xfId="0">
      <alignment horizontal="right" vertical="center"/>
    </xf>
    <xf numFmtId="3" fontId="21" fillId="21" borderId="18" applyAlignment="1" pivotButton="0" quotePrefix="0" xfId="0">
      <alignment horizontal="right" vertical="center"/>
    </xf>
    <xf numFmtId="4" fontId="21" fillId="21" borderId="18" applyAlignment="1" pivotButton="0" quotePrefix="0" xfId="0">
      <alignment horizontal="right" vertical="center"/>
    </xf>
    <xf numFmtId="0" fontId="36" fillId="6" borderId="18" applyAlignment="1" pivotButton="0" quotePrefix="0" xfId="0">
      <alignment horizontal="left" vertical="center" indent="1"/>
    </xf>
    <xf numFmtId="0" fontId="22" fillId="35" borderId="18" applyAlignment="1" pivotButton="0" quotePrefix="0" xfId="0">
      <alignment horizontal="left" vertical="center"/>
    </xf>
    <xf numFmtId="0" fontId="0" fillId="35" borderId="18" pivotButton="0" quotePrefix="0" xfId="0"/>
    <xf numFmtId="0" fontId="27" fillId="23" borderId="17" applyAlignment="1" pivotButton="0" quotePrefix="0" xfId="0">
      <alignment horizontal="left" vertical="center" indent="1"/>
    </xf>
    <xf numFmtId="0" fontId="12" fillId="6" borderId="18" applyAlignment="1" pivotButton="0" quotePrefix="0" xfId="0">
      <alignment horizontal="left" vertical="center"/>
    </xf>
    <xf numFmtId="166" fontId="22" fillId="6" borderId="18" applyAlignment="1" pivotButton="0" quotePrefix="0" xfId="0">
      <alignment horizontal="right" vertical="center"/>
    </xf>
    <xf numFmtId="4" fontId="22" fillId="6" borderId="18" applyAlignment="1" pivotButton="0" quotePrefix="0" xfId="0">
      <alignment horizontal="right" vertical="center"/>
    </xf>
    <xf numFmtId="0" fontId="37" fillId="25" borderId="18" applyAlignment="1" pivotButton="0" quotePrefix="0" xfId="0">
      <alignment horizontal="left" vertical="center" indent="1"/>
    </xf>
    <xf numFmtId="0" fontId="23" fillId="26" borderId="18" applyAlignment="1" pivotButton="0" quotePrefix="0" xfId="0">
      <alignment horizontal="left" vertical="center"/>
    </xf>
    <xf numFmtId="0" fontId="0" fillId="26" borderId="18" pivotButton="0" quotePrefix="0" xfId="0"/>
    <xf numFmtId="0" fontId="27" fillId="24" borderId="17" applyAlignment="1" pivotButton="0" quotePrefix="0" xfId="0">
      <alignment horizontal="left" vertical="center" indent="1"/>
    </xf>
    <xf numFmtId="0" fontId="12" fillId="25" borderId="18" applyAlignment="1" pivotButton="0" quotePrefix="0" xfId="0">
      <alignment horizontal="left" vertical="center"/>
    </xf>
    <xf numFmtId="166" fontId="23" fillId="25" borderId="18" applyAlignment="1" pivotButton="0" quotePrefix="0" xfId="0">
      <alignment horizontal="right" vertical="center"/>
    </xf>
    <xf numFmtId="3" fontId="23" fillId="25" borderId="18" applyAlignment="1" pivotButton="0" quotePrefix="0" xfId="0">
      <alignment horizontal="right" vertical="center"/>
    </xf>
    <xf numFmtId="4" fontId="23" fillId="25" borderId="18" applyAlignment="1" pivotButton="0" quotePrefix="0" xfId="0">
      <alignment horizontal="right" vertical="center"/>
    </xf>
    <xf numFmtId="0" fontId="10" fillId="4" borderId="17" applyAlignment="1" pivotButton="0" quotePrefix="0" xfId="0">
      <alignment horizontal="left" vertical="center" indent="1"/>
    </xf>
    <xf numFmtId="0" fontId="0" fillId="4" borderId="17" pivotButton="0" quotePrefix="0" xfId="0"/>
    <xf numFmtId="166" fontId="29" fillId="9" borderId="18" applyAlignment="1" pivotButton="0" quotePrefix="0" xfId="0">
      <alignment horizontal="right" vertical="center"/>
    </xf>
    <xf numFmtId="3" fontId="29" fillId="9" borderId="18" applyAlignment="1" pivotButton="0" quotePrefix="0" xfId="0">
      <alignment horizontal="right" vertical="center"/>
    </xf>
    <xf numFmtId="4" fontId="29" fillId="9" borderId="18" applyAlignment="1" pivotButton="0" quotePrefix="0" xfId="0">
      <alignment horizontal="right" vertical="center"/>
    </xf>
    <xf numFmtId="0" fontId="8" fillId="4" borderId="17" applyAlignment="1" pivotButton="0" quotePrefix="0" xfId="0">
      <alignment horizontal="center" vertical="center" wrapText="1"/>
    </xf>
    <xf numFmtId="1" fontId="13" fillId="9" borderId="18" applyAlignment="1" pivotButton="0" quotePrefix="0" xfId="0">
      <alignment horizontal="right" vertical="center"/>
    </xf>
    <xf numFmtId="1" fontId="13" fillId="13" borderId="18" applyAlignment="1" pivotButton="0" quotePrefix="0" xfId="0">
      <alignment horizontal="right" vertical="center"/>
    </xf>
    <xf numFmtId="1" fontId="13" fillId="15" borderId="18" applyAlignment="1" pivotButton="0" quotePrefix="0" xfId="0">
      <alignment horizontal="right" vertical="center"/>
    </xf>
    <xf numFmtId="1" fontId="13" fillId="29" borderId="18" applyAlignment="1" pivotButton="0" quotePrefix="0" xfId="0">
      <alignment horizontal="right" vertical="center"/>
    </xf>
    <xf numFmtId="1" fontId="13" fillId="19" borderId="18" applyAlignment="1" pivotButton="0" quotePrefix="0" xfId="0">
      <alignment horizontal="right" vertical="center"/>
    </xf>
    <xf numFmtId="1" fontId="13" fillId="22" borderId="18" applyAlignment="1" pivotButton="0" quotePrefix="0" xfId="0">
      <alignment horizontal="right" vertical="center"/>
    </xf>
    <xf numFmtId="1" fontId="13" fillId="6" borderId="18" applyAlignment="1" pivotButton="0" quotePrefix="0" xfId="0">
      <alignment horizontal="right" vertical="center"/>
    </xf>
    <xf numFmtId="1" fontId="13" fillId="26" borderId="18" applyAlignment="1" pivotButton="0" quotePrefix="0" xfId="0">
      <alignment horizontal="right" vertical="center"/>
    </xf>
    <xf numFmtId="1" fontId="29" fillId="9" borderId="19" applyAlignment="1" pivotButton="0" quotePrefix="0" xfId="0">
      <alignment horizontal="right" vertical="center"/>
    </xf>
    <xf numFmtId="3" fontId="13" fillId="9" borderId="18" applyAlignment="1" pivotButton="0" quotePrefix="0" xfId="0">
      <alignment horizontal="right" vertical="center"/>
    </xf>
    <xf numFmtId="3" fontId="13" fillId="15" borderId="18" applyAlignment="1" pivotButton="0" quotePrefix="0" xfId="0">
      <alignment horizontal="right" vertical="center"/>
    </xf>
    <xf numFmtId="3" fontId="13" fillId="19" borderId="18" applyAlignment="1" pivotButton="0" quotePrefix="0" xfId="0">
      <alignment horizontal="right" vertical="center"/>
    </xf>
    <xf numFmtId="3" fontId="13" fillId="6" borderId="18" applyAlignment="1" pivotButton="0" quotePrefix="0" xfId="0">
      <alignment horizontal="right" vertical="center"/>
    </xf>
    <xf numFmtId="49" fontId="16" fillId="9" borderId="18" applyAlignment="1" pivotButton="0" quotePrefix="0" xfId="0">
      <alignment horizontal="left" vertical="center"/>
    </xf>
    <xf numFmtId="49" fontId="16" fillId="15" borderId="18" applyAlignment="1" pivotButton="0" quotePrefix="0" xfId="0">
      <alignment horizontal="left" vertical="center"/>
    </xf>
    <xf numFmtId="49" fontId="16" fillId="19" borderId="18" applyAlignment="1" pivotButton="0" quotePrefix="0" xfId="0">
      <alignment horizontal="left" vertical="center"/>
    </xf>
    <xf numFmtId="49" fontId="16" fillId="6" borderId="18" applyAlignment="1" pivotButton="0" quotePrefix="0" xfId="0">
      <alignment horizontal="left" vertical="center"/>
    </xf>
    <xf numFmtId="49" fontId="29" fillId="9" borderId="19" applyAlignment="1" pivotButton="0" quotePrefix="0" xfId="0">
      <alignment horizontal="left" vertical="center"/>
    </xf>
    <xf numFmtId="166" fontId="13" fillId="9" borderId="18" applyAlignment="1" pivotButton="0" quotePrefix="0" xfId="0">
      <alignment horizontal="right" vertical="center"/>
    </xf>
    <xf numFmtId="166" fontId="13" fillId="15" borderId="18" applyAlignment="1" pivotButton="0" quotePrefix="0" xfId="0">
      <alignment horizontal="right" vertical="center"/>
    </xf>
    <xf numFmtId="166" fontId="13" fillId="19" borderId="18" applyAlignment="1" pivotButton="0" quotePrefix="0" xfId="0">
      <alignment horizontal="right" vertical="center"/>
    </xf>
    <xf numFmtId="166" fontId="13" fillId="6" borderId="18" applyAlignment="1" pivotButton="0" quotePrefix="0" xfId="0">
      <alignment horizontal="right" vertical="center"/>
    </xf>
    <xf numFmtId="4" fontId="13" fillId="9" borderId="18" applyAlignment="1" pivotButton="0" quotePrefix="0" xfId="0">
      <alignment horizontal="right" vertical="center"/>
    </xf>
    <xf numFmtId="4" fontId="13" fillId="15" borderId="18" applyAlignment="1" pivotButton="0" quotePrefix="0" xfId="0">
      <alignment horizontal="right" vertical="center"/>
    </xf>
    <xf numFmtId="4" fontId="13" fillId="19" borderId="18" applyAlignment="1" pivotButton="0" quotePrefix="0" xfId="0">
      <alignment horizontal="right" vertical="center"/>
    </xf>
    <xf numFmtId="4" fontId="13" fillId="6" borderId="18" applyAlignment="1" pivotButton="0" quotePrefix="0" xfId="0">
      <alignment horizontal="right" vertical="center"/>
    </xf>
    <xf numFmtId="10" fontId="13" fillId="9" borderId="18" applyAlignment="1" pivotButton="0" quotePrefix="0" xfId="0">
      <alignment horizontal="right" vertical="center"/>
    </xf>
    <xf numFmtId="10" fontId="13" fillId="13" borderId="18" applyAlignment="1" pivotButton="0" quotePrefix="0" xfId="0">
      <alignment horizontal="right" vertical="center"/>
    </xf>
    <xf numFmtId="10" fontId="13" fillId="15" borderId="18" applyAlignment="1" pivotButton="0" quotePrefix="0" xfId="0">
      <alignment horizontal="right" vertical="center"/>
    </xf>
    <xf numFmtId="10" fontId="13" fillId="29" borderId="18" applyAlignment="1" pivotButton="0" quotePrefix="0" xfId="0">
      <alignment horizontal="right" vertical="center"/>
    </xf>
    <xf numFmtId="10" fontId="13" fillId="19" borderId="18" applyAlignment="1" pivotButton="0" quotePrefix="0" xfId="0">
      <alignment horizontal="right" vertical="center"/>
    </xf>
    <xf numFmtId="10" fontId="13" fillId="22" borderId="18" applyAlignment="1" pivotButton="0" quotePrefix="0" xfId="0">
      <alignment horizontal="right" vertical="center"/>
    </xf>
    <xf numFmtId="10" fontId="13" fillId="6" borderId="18" applyAlignment="1" pivotButton="0" quotePrefix="0" xfId="0">
      <alignment horizontal="right" vertical="center"/>
    </xf>
    <xf numFmtId="10" fontId="13" fillId="26" borderId="18" applyAlignment="1" pivotButton="0" quotePrefix="0" xfId="0">
      <alignment horizontal="right" vertical="center"/>
    </xf>
    <xf numFmtId="10" fontId="29" fillId="9" borderId="19" applyAlignment="1" pivotButton="0" quotePrefix="0" xfId="0">
      <alignment horizontal="right" vertical="center"/>
    </xf>
    <xf numFmtId="0" fontId="8" fillId="24" borderId="18" applyAlignment="1" pivotButton="0" quotePrefix="0" xfId="0">
      <alignment horizontal="left" vertical="center"/>
    </xf>
    <xf numFmtId="167" fontId="13" fillId="9" borderId="18" applyAlignment="1" pivotButton="0" quotePrefix="0" xfId="0">
      <alignment horizontal="right" vertical="center"/>
    </xf>
    <xf numFmtId="167" fontId="13" fillId="13" borderId="18" applyAlignment="1" pivotButton="0" quotePrefix="0" xfId="0">
      <alignment horizontal="right" vertical="center"/>
    </xf>
    <xf numFmtId="167" fontId="13" fillId="15" borderId="18" applyAlignment="1" pivotButton="0" quotePrefix="0" xfId="0">
      <alignment horizontal="right" vertical="center"/>
    </xf>
    <xf numFmtId="167" fontId="13" fillId="29" borderId="18" applyAlignment="1" pivotButton="0" quotePrefix="0" xfId="0">
      <alignment horizontal="right" vertical="center"/>
    </xf>
    <xf numFmtId="167" fontId="13" fillId="19" borderId="18" applyAlignment="1" pivotButton="0" quotePrefix="0" xfId="0">
      <alignment horizontal="right" vertical="center"/>
    </xf>
    <xf numFmtId="167" fontId="13" fillId="22" borderId="18" applyAlignment="1" pivotButton="0" quotePrefix="0" xfId="0">
      <alignment horizontal="right" vertical="center"/>
    </xf>
    <xf numFmtId="167" fontId="13" fillId="6" borderId="18" applyAlignment="1" pivotButton="0" quotePrefix="0" xfId="0">
      <alignment horizontal="right" vertical="center"/>
    </xf>
    <xf numFmtId="167" fontId="13" fillId="26" borderId="18" applyAlignment="1" pivotButton="0" quotePrefix="0" xfId="0">
      <alignment horizontal="right" vertical="center"/>
    </xf>
    <xf numFmtId="167" fontId="29" fillId="9" borderId="19" applyAlignment="1" pivotButton="0" quotePrefix="0" xfId="0">
      <alignment horizontal="right" vertical="center"/>
    </xf>
    <xf numFmtId="3" fontId="8" fillId="8" borderId="17" applyAlignment="1" pivotButton="0" quotePrefix="0" xfId="0">
      <alignment horizontal="center" vertical="center" wrapText="1"/>
    </xf>
    <xf numFmtId="3" fontId="8" fillId="11" borderId="17" applyAlignment="1" pivotButton="0" quotePrefix="0" xfId="0">
      <alignment horizontal="center" vertical="center" wrapText="1"/>
    </xf>
    <xf numFmtId="3" fontId="8" fillId="14" borderId="17" applyAlignment="1" pivotButton="0" quotePrefix="0" xfId="0">
      <alignment horizontal="center" vertical="center" wrapText="1"/>
    </xf>
    <xf numFmtId="3" fontId="8" fillId="16" borderId="17" applyAlignment="1" pivotButton="0" quotePrefix="0" xfId="0">
      <alignment horizontal="center" vertical="center" wrapText="1"/>
    </xf>
    <xf numFmtId="0" fontId="29" fillId="27" borderId="18" applyAlignment="1" pivotButton="0" quotePrefix="0" xfId="0">
      <alignment horizontal="left" vertical="center" indent="1"/>
    </xf>
    <xf numFmtId="0" fontId="12" fillId="34" borderId="18" applyAlignment="1" pivotButton="0" quotePrefix="0" xfId="0">
      <alignment horizontal="left" vertical="center"/>
    </xf>
    <xf numFmtId="0" fontId="29" fillId="9" borderId="19" applyAlignment="1" pivotButton="0" quotePrefix="0" xfId="0">
      <alignment horizontal="left" vertical="center"/>
    </xf>
    <xf numFmtId="0" fontId="29" fillId="9" borderId="18" applyAlignment="1" pivotButton="0" quotePrefix="0" xfId="0">
      <alignment horizontal="left" vertical="center" indent="1"/>
    </xf>
    <xf numFmtId="164" fontId="12" fillId="0" borderId="18" applyAlignment="1" pivotButton="0" quotePrefix="0" xfId="0">
      <alignment horizontal="right" vertical="center"/>
    </xf>
    <xf numFmtId="164" fontId="12" fillId="34" borderId="18" applyAlignment="1" pivotButton="0" quotePrefix="0" xfId="0">
      <alignment horizontal="right" vertical="center"/>
    </xf>
    <xf numFmtId="164" fontId="29" fillId="9" borderId="19" applyAlignment="1" pivotButton="0" quotePrefix="0" xfId="0">
      <alignment horizontal="right" vertical="center"/>
    </xf>
    <xf numFmtId="3" fontId="12" fillId="0" borderId="18" applyAlignment="1" pivotButton="0" quotePrefix="0" xfId="0">
      <alignment horizontal="right" vertical="center"/>
    </xf>
    <xf numFmtId="3" fontId="12" fillId="34" borderId="18" applyAlignment="1" pivotButton="0" quotePrefix="0" xfId="0">
      <alignment horizontal="right" vertical="center"/>
    </xf>
    <xf numFmtId="9" fontId="12" fillId="0" borderId="18" applyAlignment="1" pivotButton="0" quotePrefix="0" xfId="0">
      <alignment horizontal="right" vertical="center"/>
    </xf>
    <xf numFmtId="9" fontId="12" fillId="34" borderId="18" applyAlignment="1" pivotButton="0" quotePrefix="0" xfId="0">
      <alignment horizontal="right" vertical="center"/>
    </xf>
    <xf numFmtId="9" fontId="29" fillId="9" borderId="19" applyAlignment="1" pivotButton="0" quotePrefix="0" xfId="0">
      <alignment horizontal="right" vertical="center"/>
    </xf>
    <xf numFmtId="165" fontId="12" fillId="0" borderId="18" applyAlignment="1" pivotButton="0" quotePrefix="0" xfId="0">
      <alignment horizontal="right" vertical="center"/>
    </xf>
    <xf numFmtId="165" fontId="12" fillId="34" borderId="18" applyAlignment="1" pivotButton="0" quotePrefix="0" xfId="0">
      <alignment horizontal="right" vertical="center"/>
    </xf>
    <xf numFmtId="165" fontId="29" fillId="9" borderId="19" applyAlignment="1" pivotButton="0" quotePrefix="0" xfId="0">
      <alignment horizontal="right" vertical="center"/>
    </xf>
    <xf numFmtId="1" fontId="12" fillId="0" borderId="18" applyAlignment="1" pivotButton="0" quotePrefix="0" xfId="0">
      <alignment horizontal="right" vertical="center"/>
    </xf>
    <xf numFmtId="1" fontId="12" fillId="34" borderId="18" applyAlignment="1" pivotButton="0" quotePrefix="0" xfId="0">
      <alignment horizontal="right" vertical="center"/>
    </xf>
    <xf numFmtId="0" fontId="38" fillId="8" borderId="18" applyAlignment="1" pivotButton="0" quotePrefix="0" xfId="0">
      <alignment horizontal="center" vertical="center" wrapText="1"/>
    </xf>
    <xf numFmtId="0" fontId="38" fillId="11" borderId="18" applyAlignment="1" pivotButton="0" quotePrefix="0" xfId="0">
      <alignment horizontal="center" vertical="center" wrapText="1"/>
    </xf>
    <xf numFmtId="0" fontId="38" fillId="14" borderId="18" applyAlignment="1" pivotButton="0" quotePrefix="0" xfId="0">
      <alignment horizontal="center" vertical="center" wrapText="1"/>
    </xf>
    <xf numFmtId="0" fontId="38" fillId="16" borderId="18" applyAlignment="1" pivotButton="0" quotePrefix="0" xfId="0">
      <alignment horizontal="center" vertical="center" wrapText="1"/>
    </xf>
    <xf numFmtId="0" fontId="38" fillId="18" borderId="18" applyAlignment="1" pivotButton="0" quotePrefix="0" xfId="0">
      <alignment horizontal="center" vertical="center" wrapText="1"/>
    </xf>
    <xf numFmtId="0" fontId="38" fillId="20" borderId="18" applyAlignment="1" pivotButton="0" quotePrefix="0" xfId="0">
      <alignment horizontal="center" vertical="center" wrapText="1"/>
    </xf>
    <xf numFmtId="0" fontId="38" fillId="23" borderId="18" applyAlignment="1" pivotButton="0" quotePrefix="0" xfId="0">
      <alignment horizontal="center" vertical="center" wrapText="1"/>
    </xf>
    <xf numFmtId="0" fontId="38" fillId="24" borderId="18" applyAlignment="1" pivotButton="0" quotePrefix="0" xfId="0">
      <alignment horizontal="center" vertical="center" wrapText="1"/>
    </xf>
    <xf numFmtId="0" fontId="0" fillId="36" borderId="0" pivotButton="0" quotePrefix="0" xfId="0"/>
    <xf numFmtId="164" fontId="12" fillId="9" borderId="18" applyAlignment="1" pivotButton="0" quotePrefix="0" xfId="0">
      <alignment horizontal="right" vertical="center"/>
    </xf>
    <xf numFmtId="164" fontId="12" fillId="12" borderId="18" applyAlignment="1" pivotButton="0" quotePrefix="0" xfId="0">
      <alignment horizontal="right" vertical="center"/>
    </xf>
    <xf numFmtId="164" fontId="12" fillId="15" borderId="18" applyAlignment="1" pivotButton="0" quotePrefix="0" xfId="0">
      <alignment horizontal="right" vertical="center"/>
    </xf>
    <xf numFmtId="164" fontId="12" fillId="17" borderId="18" applyAlignment="1" pivotButton="0" quotePrefix="0" xfId="0">
      <alignment horizontal="right" vertical="center"/>
    </xf>
    <xf numFmtId="164" fontId="12" fillId="19" borderId="18" applyAlignment="1" pivotButton="0" quotePrefix="0" xfId="0">
      <alignment horizontal="right" vertical="center"/>
    </xf>
    <xf numFmtId="164" fontId="12" fillId="25" borderId="18" applyAlignment="1" pivotButton="0" quotePrefix="0" xfId="0">
      <alignment horizontal="right" vertical="center"/>
    </xf>
    <xf numFmtId="3" fontId="12" fillId="9" borderId="18" applyAlignment="1" pivotButton="0" quotePrefix="0" xfId="0">
      <alignment horizontal="right" vertical="center"/>
    </xf>
    <xf numFmtId="3" fontId="12" fillId="12" borderId="18" applyAlignment="1" pivotButton="0" quotePrefix="0" xfId="0">
      <alignment horizontal="right" vertical="center"/>
    </xf>
    <xf numFmtId="3" fontId="12" fillId="15" borderId="18" applyAlignment="1" pivotButton="0" quotePrefix="0" xfId="0">
      <alignment horizontal="right" vertical="center"/>
    </xf>
    <xf numFmtId="3" fontId="12" fillId="17" borderId="18" applyAlignment="1" pivotButton="0" quotePrefix="0" xfId="0">
      <alignment horizontal="right" vertical="center"/>
    </xf>
    <xf numFmtId="3" fontId="12" fillId="19" borderId="18" applyAlignment="1" pivotButton="0" quotePrefix="0" xfId="0">
      <alignment horizontal="right" vertical="center"/>
    </xf>
    <xf numFmtId="3" fontId="12" fillId="25" borderId="18" applyAlignment="1" pivotButton="0" quotePrefix="0" xfId="0">
      <alignment horizontal="right" vertical="center"/>
    </xf>
    <xf numFmtId="9" fontId="12" fillId="9" borderId="18" applyAlignment="1" pivotButton="0" quotePrefix="0" xfId="0">
      <alignment horizontal="right" vertical="center"/>
    </xf>
    <xf numFmtId="9" fontId="12" fillId="12" borderId="18" applyAlignment="1" pivotButton="0" quotePrefix="0" xfId="0">
      <alignment horizontal="right" vertical="center"/>
    </xf>
    <xf numFmtId="9" fontId="12" fillId="15" borderId="18" applyAlignment="1" pivotButton="0" quotePrefix="0" xfId="0">
      <alignment horizontal="right" vertical="center"/>
    </xf>
    <xf numFmtId="9" fontId="12" fillId="17" borderId="18" applyAlignment="1" pivotButton="0" quotePrefix="0" xfId="0">
      <alignment horizontal="right" vertical="center"/>
    </xf>
    <xf numFmtId="9" fontId="12" fillId="19" borderId="18" applyAlignment="1" pivotButton="0" quotePrefix="0" xfId="0">
      <alignment horizontal="right" vertical="center"/>
    </xf>
    <xf numFmtId="9" fontId="12" fillId="25" borderId="18" applyAlignment="1" pivotButton="0" quotePrefix="0" xfId="0">
      <alignment horizontal="right" vertical="center"/>
    </xf>
    <xf numFmtId="165" fontId="12" fillId="9" borderId="18" applyAlignment="1" pivotButton="0" quotePrefix="0" xfId="0">
      <alignment horizontal="right" vertical="center"/>
    </xf>
    <xf numFmtId="165" fontId="12" fillId="12" borderId="18" applyAlignment="1" pivotButton="0" quotePrefix="0" xfId="0">
      <alignment horizontal="right" vertical="center"/>
    </xf>
    <xf numFmtId="165" fontId="12" fillId="15" borderId="18" applyAlignment="1" pivotButton="0" quotePrefix="0" xfId="0">
      <alignment horizontal="right" vertical="center"/>
    </xf>
    <xf numFmtId="165" fontId="12" fillId="17" borderId="18" applyAlignment="1" pivotButton="0" quotePrefix="0" xfId="0">
      <alignment horizontal="right" vertical="center"/>
    </xf>
    <xf numFmtId="165" fontId="12" fillId="19" borderId="18" applyAlignment="1" pivotButton="0" quotePrefix="0" xfId="0">
      <alignment horizontal="right" vertical="center"/>
    </xf>
    <xf numFmtId="165" fontId="12" fillId="25" borderId="18" applyAlignment="1" pivotButton="0" quotePrefix="0" xfId="0">
      <alignment horizontal="right" vertical="center"/>
    </xf>
    <xf numFmtId="1" fontId="12" fillId="9" borderId="18" applyAlignment="1" pivotButton="0" quotePrefix="0" xfId="0">
      <alignment horizontal="right" vertical="center"/>
    </xf>
    <xf numFmtId="1" fontId="12" fillId="12" borderId="18" applyAlignment="1" pivotButton="0" quotePrefix="0" xfId="0">
      <alignment horizontal="right" vertical="center"/>
    </xf>
    <xf numFmtId="1" fontId="12" fillId="15" borderId="18" applyAlignment="1" pivotButton="0" quotePrefix="0" xfId="0">
      <alignment horizontal="right" vertical="center"/>
    </xf>
    <xf numFmtId="1" fontId="12" fillId="17" borderId="18" applyAlignment="1" pivotButton="0" quotePrefix="0" xfId="0">
      <alignment horizontal="right" vertical="center"/>
    </xf>
    <xf numFmtId="1" fontId="12" fillId="19" borderId="18" applyAlignment="1" pivotButton="0" quotePrefix="0" xfId="0">
      <alignment horizontal="right" vertical="center"/>
    </xf>
    <xf numFmtId="1" fontId="12" fillId="25" borderId="18" applyAlignment="1" pivotButton="0" quotePrefix="0" xfId="0">
      <alignment horizontal="right" vertical="center"/>
    </xf>
    <xf numFmtId="0" fontId="40" fillId="0" borderId="0" pivotButton="0" quotePrefix="0" xfId="0"/>
    <xf numFmtId="0" fontId="27" fillId="7" borderId="0" applyAlignment="1" pivotButton="0" quotePrefix="0" xfId="0">
      <alignment horizontal="left" vertical="center" indent="1"/>
    </xf>
    <xf numFmtId="0" fontId="39" fillId="37" borderId="35" applyAlignment="1" pivotButton="0" quotePrefix="0" xfId="0">
      <alignment horizontal="center" vertical="center" wrapText="1"/>
    </xf>
    <xf numFmtId="0" fontId="0" fillId="0" borderId="35" pivotButton="0" quotePrefix="0" xfId="0"/>
    <xf numFmtId="0" fontId="29" fillId="9" borderId="0" applyAlignment="1" pivotButton="0" quotePrefix="0" xfId="0">
      <alignment horizontal="left" vertical="center" indent="1"/>
    </xf>
    <xf numFmtId="3" fontId="8" fillId="18" borderId="17" applyAlignment="1" pivotButton="0" quotePrefix="0" xfId="0">
      <alignment horizontal="center" vertical="center" wrapText="1"/>
    </xf>
    <xf numFmtId="3" fontId="8" fillId="20" borderId="17" applyAlignment="1" pivotButton="0" quotePrefix="0" xfId="0">
      <alignment horizontal="center" vertical="center" wrapText="1"/>
    </xf>
    <xf numFmtId="3" fontId="8" fillId="23" borderId="17" applyAlignment="1" pivotButton="0" quotePrefix="0" xfId="0">
      <alignment horizontal="center" vertical="center" wrapText="1"/>
    </xf>
    <xf numFmtId="3" fontId="8" fillId="24" borderId="17" applyAlignment="1" pivotButton="0" quotePrefix="0" xfId="0">
      <alignment horizontal="center" vertical="center" wrapText="1"/>
    </xf>
    <xf numFmtId="0" fontId="29" fillId="9" borderId="19" applyAlignment="1" pivotButton="0" quotePrefix="0" xfId="0">
      <alignment horizontal="right" vertical="center"/>
    </xf>
    <xf numFmtId="0" fontId="25" fillId="31" borderId="17" applyAlignment="1" pivotButton="0" quotePrefix="0" xfId="0">
      <alignment horizontal="center" vertical="bottom" textRotation="90" wrapText="1"/>
    </xf>
    <xf numFmtId="0" fontId="11" fillId="9" borderId="18" applyAlignment="1" pivotButton="0" quotePrefix="0" xfId="0">
      <alignment horizontal="left" vertical="center" indent="1"/>
    </xf>
    <xf numFmtId="0" fontId="17" fillId="13" borderId="18" applyAlignment="1" pivotButton="0" quotePrefix="0" xfId="0">
      <alignment horizontal="left" vertical="center" indent="1"/>
    </xf>
    <xf numFmtId="0" fontId="18" fillId="15" borderId="18" applyAlignment="1" pivotButton="0" quotePrefix="0" xfId="0">
      <alignment horizontal="left" vertical="center" indent="1"/>
    </xf>
    <xf numFmtId="0" fontId="19" fillId="29" borderId="18" applyAlignment="1" pivotButton="0" quotePrefix="0" xfId="0">
      <alignment horizontal="left" vertical="center" indent="1"/>
    </xf>
    <xf numFmtId="0" fontId="20" fillId="19" borderId="18" applyAlignment="1" pivotButton="0" quotePrefix="0" xfId="0">
      <alignment horizontal="left" vertical="center" indent="1"/>
    </xf>
    <xf numFmtId="0" fontId="21" fillId="22" borderId="18" applyAlignment="1" pivotButton="0" quotePrefix="0" xfId="0">
      <alignment horizontal="left" vertical="center" indent="1"/>
    </xf>
    <xf numFmtId="0" fontId="22" fillId="6" borderId="18" applyAlignment="1" pivotButton="0" quotePrefix="0" xfId="0">
      <alignment horizontal="left" vertical="center" indent="1"/>
    </xf>
    <xf numFmtId="0" fontId="23" fillId="26" borderId="18" applyAlignment="1" pivotButton="0" quotePrefix="0" xfId="0">
      <alignment horizontal="left" vertical="center" indent="1"/>
    </xf>
    <xf numFmtId="0" fontId="8" fillId="4" borderId="18" applyAlignment="1" pivotButton="0" quotePrefix="0" xfId="0">
      <alignment horizontal="left" vertical="center" indent="1"/>
    </xf>
    <xf numFmtId="1" fontId="8" fillId="4" borderId="18" applyAlignment="1" pivotButton="0" quotePrefix="0" xfId="0">
      <alignment horizontal="right" vertical="center"/>
    </xf>
    <xf numFmtId="49" fontId="8" fillId="4" borderId="18" applyAlignment="1" pivotButton="0" quotePrefix="0" xfId="0">
      <alignment horizontal="left" vertical="center"/>
    </xf>
    <xf numFmtId="166" fontId="8" fillId="4" borderId="18" applyAlignment="1" pivotButton="0" quotePrefix="0" xfId="0">
      <alignment horizontal="right" vertical="center"/>
    </xf>
    <xf numFmtId="4" fontId="8" fillId="4" borderId="18" applyAlignment="1" pivotButton="0" quotePrefix="0" xfId="0">
      <alignment horizontal="right" vertical="center"/>
    </xf>
    <xf numFmtId="10" fontId="8" fillId="4" borderId="18" applyAlignment="1" pivotButton="0" quotePrefix="0" xfId="0">
      <alignment horizontal="right" vertical="center"/>
    </xf>
    <xf numFmtId="167" fontId="8" fillId="4" borderId="18" applyAlignment="1" pivotButton="0" quotePrefix="0" xfId="0">
      <alignment horizontal="right" vertical="center"/>
    </xf>
    <xf numFmtId="0" fontId="27" fillId="4" borderId="0" applyAlignment="1" pivotButton="0" quotePrefix="0" xfId="0">
      <alignment horizontal="left" vertical="center" indent="1"/>
    </xf>
    <xf numFmtId="0" fontId="41" fillId="37" borderId="35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right" vertical="center"/>
    </xf>
    <xf numFmtId="3" fontId="8" fillId="38" borderId="17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right" vertical="center"/>
    </xf>
    <xf numFmtId="0" fontId="42" fillId="39" borderId="35" applyAlignment="1" pivotButton="0" quotePrefix="0" xfId="0">
      <alignment horizontal="left" vertical="center" indent="1"/>
    </xf>
    <xf numFmtId="0" fontId="29" fillId="37" borderId="35" applyAlignment="1" pivotButton="0" quotePrefix="0" xfId="0">
      <alignment horizontal="center" vertical="center" wrapText="1"/>
    </xf>
    <xf numFmtId="0" fontId="39" fillId="9" borderId="35" applyAlignment="1" pivotButton="0" quotePrefix="0" xfId="0">
      <alignment horizontal="center" vertical="center" wrapText="1"/>
    </xf>
    <xf numFmtId="0" fontId="25" fillId="8" borderId="17" applyAlignment="1" pivotButton="0" quotePrefix="0" xfId="0">
      <alignment horizontal="center" vertical="center" wrapText="1"/>
    </xf>
    <xf numFmtId="0" fontId="25" fillId="5" borderId="17" applyAlignment="1" pivotButton="0" quotePrefix="0" xfId="0">
      <alignment horizontal="center" vertical="center" wrapText="1"/>
    </xf>
    <xf numFmtId="0" fontId="25" fillId="40" borderId="17" applyAlignment="1" pivotButton="0" quotePrefix="0" xfId="0">
      <alignment horizontal="center" vertical="center" wrapText="1"/>
    </xf>
    <xf numFmtId="1" fontId="43" fillId="0" borderId="18" applyAlignment="1" pivotButton="0" quotePrefix="0" xfId="0">
      <alignment horizontal="center" vertical="center" wrapText="1"/>
    </xf>
    <xf numFmtId="0" fontId="44" fillId="0" borderId="18" applyAlignment="1" pivotButton="0" quotePrefix="0" xfId="0">
      <alignment horizontal="left" vertical="center"/>
    </xf>
    <xf numFmtId="0" fontId="16" fillId="0" borderId="18" applyAlignment="1" pivotButton="0" quotePrefix="0" xfId="0">
      <alignment horizontal="center" vertical="center" wrapText="1"/>
    </xf>
    <xf numFmtId="1" fontId="43" fillId="27" borderId="18" applyAlignment="1" pivotButton="0" quotePrefix="0" xfId="0">
      <alignment horizontal="center" vertical="center" wrapText="1"/>
    </xf>
    <xf numFmtId="0" fontId="44" fillId="27" borderId="18" applyAlignment="1" pivotButton="0" quotePrefix="0" xfId="0">
      <alignment horizontal="left" vertical="center"/>
    </xf>
    <xf numFmtId="0" fontId="12" fillId="27" borderId="18" applyAlignment="1" pivotButton="0" quotePrefix="0" xfId="0">
      <alignment horizontal="left" vertical="center"/>
    </xf>
    <xf numFmtId="164" fontId="12" fillId="27" borderId="18" applyAlignment="1" pivotButton="0" quotePrefix="0" xfId="0">
      <alignment horizontal="right" vertical="center"/>
    </xf>
    <xf numFmtId="3" fontId="12" fillId="27" borderId="18" applyAlignment="1" pivotButton="0" quotePrefix="0" xfId="0">
      <alignment horizontal="right" vertical="center"/>
    </xf>
    <xf numFmtId="9" fontId="12" fillId="27" borderId="18" applyAlignment="1" pivotButton="0" quotePrefix="0" xfId="0">
      <alignment horizontal="right" vertical="center"/>
    </xf>
    <xf numFmtId="165" fontId="12" fillId="27" borderId="18" applyAlignment="1" pivotButton="0" quotePrefix="0" xfId="0">
      <alignment horizontal="right" vertical="center"/>
    </xf>
    <xf numFmtId="1" fontId="12" fillId="27" borderId="18" applyAlignment="1" pivotButton="0" quotePrefix="0" xfId="0">
      <alignment horizontal="right" vertical="center"/>
    </xf>
    <xf numFmtId="0" fontId="16" fillId="27" borderId="18" applyAlignment="1" pivotButton="0" quotePrefix="0" xfId="0">
      <alignment horizontal="center" vertical="center" wrapText="1"/>
    </xf>
    <xf numFmtId="0" fontId="27" fillId="4" borderId="18" applyAlignment="1" pivotButton="0" quotePrefix="0" xfId="0">
      <alignment horizontal="center" vertical="center" wrapText="1"/>
    </xf>
    <xf numFmtId="0" fontId="8" fillId="4" borderId="18" applyAlignment="1" pivotButton="0" quotePrefix="0" xfId="0">
      <alignment horizontal="right" vertical="center"/>
    </xf>
    <xf numFmtId="164" fontId="8" fillId="4" borderId="18" applyAlignment="1" pivotButton="0" quotePrefix="0" xfId="0">
      <alignment horizontal="right" vertical="center"/>
    </xf>
    <xf numFmtId="165" fontId="8" fillId="4" borderId="18" applyAlignment="1" pivotButton="0" quotePrefix="0" xfId="0">
      <alignment horizontal="right" vertical="center"/>
    </xf>
    <xf numFmtId="1" fontId="43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right" vertical="center"/>
    </xf>
    <xf numFmtId="3" fontId="12" fillId="0" borderId="0" applyAlignment="1" pivotButton="0" quotePrefix="0" xfId="0">
      <alignment horizontal="right" vertical="center"/>
    </xf>
    <xf numFmtId="9" fontId="12" fillId="0" borderId="0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1" fontId="12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center" vertical="center" wrapText="1"/>
    </xf>
  </cellXfs>
  <cellStyles count="1">
    <cellStyle name="Normal" xfId="0" builtinId="0"/>
  </cellStyles>
  <dxfs count="15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006100"/>
      </font>
    </dxf>
    <dxf>
      <fill>
        <patternFill patternType="solid">
          <fgColor rgb="00FFE699"/>
        </patternFill>
      </fill>
    </dxf>
    <dxf>
      <font>
        <color rgb="00006100"/>
      </font>
    </dxf>
    <dxf>
      <font>
        <color rgb="00BFBFBF"/>
      </font>
      <fill>
        <patternFill patternType="solid">
          <fgColor rgb="00F2F2F2"/>
        </patternFill>
      </fill>
    </dxf>
    <dxf>
      <font>
        <color rgb="00BFBFBF"/>
      </font>
      <fill>
        <patternFill patternType="solid">
          <fgColor rgb="00EDEDED"/>
        </patternFill>
      </fill>
    </dxf>
    <dxf>
      <fill>
        <patternFill patternType="solid">
          <fgColor rgb="00E2EFDA"/>
        </patternFill>
      </fill>
    </dxf>
    <dxf>
      <font>
        <b val="1"/>
        <color rgb="009C0006"/>
      </font>
    </dxf>
    <dxf>
      <font>
        <color rgb="00808080"/>
      </font>
      <fill>
        <patternFill patternType="solid">
          <fgColor rgb="00EDEDED"/>
        </patternFill>
      </fill>
    </dxf>
    <dxf>
      <font>
        <b val="1"/>
        <color rgb="00FFFFFF"/>
      </font>
      <fill>
        <patternFill patternType="solid">
          <fgColor rgb="00808080"/>
        </patternFill>
      </fill>
    </dxf>
    <dxf>
      <font>
        <b val="1"/>
        <color rgb="00FFFFFF"/>
      </font>
      <fill>
        <patternFill patternType="solid">
          <fgColor rgb="00375623"/>
        </patternFill>
      </fill>
    </dxf>
    <dxf>
      <font>
        <b val="1"/>
        <color rgb="00FFFFFF"/>
      </font>
      <fill>
        <patternFill patternType="solid">
          <fgColor rgb="001F3864"/>
        </patternFill>
      </fill>
    </dxf>
    <dxf>
      <fill>
        <patternFill patternType="solid">
          <fgColor rgb="00F4F9FD"/>
        </patternFill>
      </fill>
    </dxf>
    <dxf>
      <border>
        <left style="thin">
          <color rgb="00D0D0D0"/>
        </left>
        <right style="thin">
          <color rgb="00D0D0D0"/>
        </right>
        <top style="thin">
          <color rgb="00D0D0D0"/>
        </top>
        <bottom style="thin">
          <color rgb="00D0D0D0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6"/>
  <sheetViews>
    <sheetView showGridLines="0" tabSelected="1" zoomScale="85" zoomScaleNormal="85" workbookViewId="0">
      <pane xSplit="7" ySplit="3" topLeftCell="U19" activePane="bottomRight" state="frozen"/>
      <selection pane="topRight" activeCell="T1" sqref="T1"/>
      <selection pane="bottomLeft" activeCell="A4" sqref="A4"/>
      <selection pane="bottomRight" activeCell="X29" sqref="X29"/>
    </sheetView>
  </sheetViews>
  <sheetFormatPr baseColWidth="8" defaultColWidth="8.6640625" defaultRowHeight="14.4"/>
  <cols>
    <col width="29.44140625" customWidth="1" min="2" max="2"/>
    <col width="9.109375" customWidth="1" min="3" max="3"/>
    <col width="9.44140625" customWidth="1" min="4" max="4"/>
    <col width="4.88671875" customWidth="1" min="5" max="5"/>
    <col width="7.33203125" customWidth="1" min="6" max="6"/>
    <col width="25" customWidth="1" min="7" max="7"/>
    <col width="10.6640625" customWidth="1" min="8" max="8"/>
    <col width="9.109375" customWidth="1" min="9" max="9"/>
    <col width="12.109375" customWidth="1" min="10" max="10"/>
    <col width="8.109375" customWidth="1" min="11" max="11"/>
    <col width="6.88671875" customWidth="1" min="12" max="12"/>
    <col width="8.33203125" customWidth="1" min="13" max="13"/>
    <col width="6.6640625" customWidth="1" min="14" max="14"/>
    <col width="9.109375" customWidth="1" min="15" max="15"/>
    <col width="8.33203125" customWidth="1" style="1" min="16" max="16"/>
    <col width="8.109375" customWidth="1" style="1" min="17" max="17"/>
    <col width="8.109375" customWidth="1" min="18" max="18"/>
    <col width="11.5546875" customWidth="1" min="19" max="19"/>
    <col width="9.88671875" customWidth="1" min="20" max="20"/>
    <col width="10" customWidth="1" style="2" min="21" max="21"/>
    <col width="10.109375" customWidth="1" style="2" min="22" max="22"/>
    <col width="10.6640625" customWidth="1" min="23" max="23"/>
    <col width="10.5546875" customWidth="1" min="24" max="24"/>
    <col width="10.109375" customWidth="1" min="25" max="28"/>
    <col width="14.109375" bestFit="1" customWidth="1" min="29" max="29"/>
    <col width="11.5546875" customWidth="1" min="30" max="30"/>
    <col width="13.6640625" customWidth="1" min="31" max="31"/>
    <col width="14.109375" customWidth="1" min="32" max="32"/>
    <col width="10.109375" customWidth="1" min="33" max="33"/>
  </cols>
  <sheetData>
    <row r="1" ht="15.75" customHeight="1">
      <c r="A1" s="3" t="n"/>
      <c r="B1" s="3" t="inlineStr">
        <is>
          <t>MSTC LIMITED - COMBINED BID SHEET (Auctions 21977, 21978, 21979, 21980)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</row>
    <row r="2" ht="14.2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</row>
    <row r="3" ht="57.75" customHeight="1">
      <c r="A3" s="4" t="inlineStr">
        <is>
          <t>Quantity</t>
        </is>
      </c>
      <c r="B3" s="5" t="inlineStr">
        <is>
          <t>Lot Name</t>
        </is>
      </c>
      <c r="C3" s="5" t="inlineStr">
        <is>
          <t>Rate</t>
        </is>
      </c>
      <c r="D3" s="5" t="inlineStr">
        <is>
          <t>Bid Sheet</t>
        </is>
      </c>
      <c r="E3" s="5" t="inlineStr">
        <is>
          <t>Unit</t>
        </is>
      </c>
      <c r="F3" s="5" t="inlineStr">
        <is>
          <t>Lot No.</t>
        </is>
      </c>
      <c r="G3" s="5" t="inlineStr">
        <is>
          <t>Buyer</t>
        </is>
      </c>
      <c r="H3" s="5" t="inlineStr">
        <is>
          <t>Mat. Value</t>
        </is>
      </c>
      <c r="I3" s="5" t="inlineStr">
        <is>
          <t>GST</t>
        </is>
      </c>
      <c r="J3" s="6" t="inlineStr">
        <is>
          <t>Mat. Value + GST</t>
        </is>
      </c>
      <c r="K3" s="5" t="inlineStr">
        <is>
          <t>TCS</t>
        </is>
      </c>
      <c r="L3" s="6" t="inlineStr">
        <is>
          <t>TDS u/s 194(O)</t>
        </is>
      </c>
      <c r="M3" s="6" t="inlineStr">
        <is>
          <t>Service Charge
to MSTC</t>
        </is>
      </c>
      <c r="N3" s="6" t="inlineStr">
        <is>
          <t>TDS u/s 194(H)</t>
        </is>
      </c>
      <c r="O3" s="7" t="inlineStr">
        <is>
          <t>Net Service Charge
(post TDS 194H)</t>
        </is>
      </c>
      <c r="P3" s="6" t="inlineStr">
        <is>
          <t>Service charge to MSTC</t>
        </is>
      </c>
      <c r="Q3" s="6" t="inlineStr">
        <is>
          <t>GST TDS Rate</t>
        </is>
      </c>
      <c r="R3" s="6" t="inlineStr">
        <is>
          <t>GST TDS</t>
        </is>
      </c>
      <c r="S3" s="6" t="inlineStr">
        <is>
          <t>Total Receivables in Cash</t>
        </is>
      </c>
      <c r="T3" s="6" t="inlineStr">
        <is>
          <t>Security Deposit (Expected)</t>
        </is>
      </c>
      <c r="U3" s="6" t="inlineStr">
        <is>
          <t>Security Deposit (Received)</t>
        </is>
      </c>
      <c r="V3" s="6" t="inlineStr">
        <is>
          <t>Date of Receipt</t>
        </is>
      </c>
      <c r="W3" s="8" t="inlineStr">
        <is>
          <t>Final Payment (Expected)</t>
        </is>
      </c>
      <c r="X3" s="6" t="inlineStr">
        <is>
          <t>Final Payment (Received)</t>
        </is>
      </c>
      <c r="Y3" s="6" t="inlineStr">
        <is>
          <t>Date of Receipt</t>
        </is>
      </c>
      <c r="Z3" s="6" t="inlineStr">
        <is>
          <t>LPP Expected</t>
        </is>
      </c>
      <c r="AA3" s="6" t="inlineStr">
        <is>
          <t>LPP Received</t>
        </is>
      </c>
      <c r="AB3" s="6" t="inlineStr">
        <is>
          <t>Date of Recepit of LPP</t>
        </is>
      </c>
      <c r="AC3" s="6" t="inlineStr">
        <is>
          <t>Total Received</t>
        </is>
      </c>
      <c r="AD3" s="6" t="inlineStr">
        <is>
          <t>Outstanding</t>
        </is>
      </c>
      <c r="AE3" s="6" t="inlineStr">
        <is>
          <t xml:space="preserve">Invoice No. </t>
        </is>
      </c>
      <c r="AF3" s="6" t="inlineStr">
        <is>
          <t>SAP Document</t>
        </is>
      </c>
      <c r="AG3" s="9" t="inlineStr">
        <is>
          <t>Doc./Invoice Date</t>
        </is>
      </c>
    </row>
    <row r="4" ht="39" customHeight="1">
      <c r="A4" s="10" t="n">
        <v>669</v>
      </c>
      <c r="B4" s="11" t="inlineStr">
        <is>
          <t>SCRAP COPPER OF T/F WINDING (Oil impregnated paper insulated T/F winding)</t>
        </is>
      </c>
      <c r="C4" s="12" t="n">
        <v>1181</v>
      </c>
      <c r="D4" s="13" t="n">
        <v>21980</v>
      </c>
      <c r="E4" s="13" t="inlineStr">
        <is>
          <t>KG</t>
        </is>
      </c>
      <c r="F4" s="13" t="n">
        <v>1763</v>
      </c>
      <c r="G4" s="11" t="inlineStr">
        <is>
          <t>AL HAMD TRADE CORPORATION</t>
        </is>
      </c>
      <c r="H4" s="14" t="n">
        <v>790089</v>
      </c>
      <c r="I4" s="14">
        <f>ROUND(H4*18%,0)</f>
        <v/>
      </c>
      <c r="J4" s="14">
        <f>+H4+I4</f>
        <v/>
      </c>
      <c r="K4" s="14">
        <f>ROUND((H4+I4)*2%,0)</f>
        <v/>
      </c>
      <c r="L4" s="15">
        <f>H4*0.1%</f>
        <v/>
      </c>
      <c r="M4" s="15">
        <f>H4*2.25%*118%</f>
        <v/>
      </c>
      <c r="N4" s="16">
        <f>H4*2.25%*2%</f>
        <v/>
      </c>
      <c r="O4" s="15">
        <f>M4-N4</f>
        <v/>
      </c>
      <c r="P4" s="15">
        <f>ROUND(O4+L4,0)</f>
        <v/>
      </c>
      <c r="Q4" s="17" t="n">
        <v>0.02</v>
      </c>
      <c r="R4" s="15">
        <f>ROUND(H4*Q4,0)</f>
        <v/>
      </c>
      <c r="S4" s="14">
        <f>ROUND(H4*117.65%-R4,0)</f>
        <v/>
      </c>
      <c r="T4" s="15">
        <f>ROUND(H4*25%,0)</f>
        <v/>
      </c>
      <c r="U4" s="18" t="n">
        <v>197522</v>
      </c>
      <c r="V4" s="15" t="inlineStr">
        <is>
          <t>24.08.2026</t>
        </is>
      </c>
      <c r="W4" s="15">
        <f>ROUND(H4*92.65%-R4,0)</f>
        <v/>
      </c>
      <c r="X4" s="15" t="n">
        <v>716216</v>
      </c>
      <c r="Y4" s="15" t="inlineStr">
        <is>
          <t>18.08.2026</t>
        </is>
      </c>
      <c r="Z4" s="15">
        <f>IF(OR(Y4="",Y4=0),H4*0.0118*CEILING((TODAY()-DATE(2026,8,22))/7,1),IF(DATE(VALUE(RIGHT(Y4,4)),VALUE(MID(Y4,4,2)),VALUE(LEFT(Y4,2)))&lt;=DATE(2026,8,24),0,H4*0.0118*CEILING((DATE(VALUE(RIGHT(Y4,4)),VALUE(MID(Y4,4,2)),VALUE(LEFT(Y4,2)))-DATE(2026,8,22))/7,1)))</f>
        <v/>
      </c>
      <c r="AA4" s="15" t="n"/>
      <c r="AB4" s="15" t="n"/>
      <c r="AC4" s="15">
        <f>U4+X4+AA4</f>
        <v/>
      </c>
      <c r="AD4" s="19">
        <f>S4-AC4</f>
        <v/>
      </c>
      <c r="AE4" s="20" t="inlineStr">
        <is>
          <t>DR2640100029</t>
        </is>
      </c>
      <c r="AF4" s="21" t="n">
        <v>1800003271</v>
      </c>
      <c r="AG4" s="22" t="inlineStr">
        <is>
          <t>24.08.2026</t>
        </is>
      </c>
    </row>
    <row r="5" ht="14.25" customHeight="1">
      <c r="A5" s="23" t="n">
        <v>270</v>
      </c>
      <c r="B5" s="24" t="inlineStr">
        <is>
          <t>Scrap of Empty oil drum</t>
        </is>
      </c>
      <c r="C5" s="25" t="n">
        <v>580</v>
      </c>
      <c r="D5" s="26" t="n">
        <v>21977</v>
      </c>
      <c r="E5" s="26" t="inlineStr">
        <is>
          <t>NO</t>
        </is>
      </c>
      <c r="F5" s="26" t="n">
        <v>1874</v>
      </c>
      <c r="G5" s="24" t="inlineStr">
        <is>
          <t>NATIONAL ENTERPRISES</t>
        </is>
      </c>
      <c r="H5" s="27" t="n">
        <v>156600</v>
      </c>
      <c r="I5" s="27">
        <f>ROUND(H5*18%,0)</f>
        <v/>
      </c>
      <c r="J5" s="27">
        <f>+H5+I5</f>
        <v/>
      </c>
      <c r="K5" s="27">
        <f>ROUND((H5+I5)*2%,0)</f>
        <v/>
      </c>
      <c r="L5" s="28">
        <f>H5*0.1%</f>
        <v/>
      </c>
      <c r="M5" s="28">
        <f>H5*2.25%*118%</f>
        <v/>
      </c>
      <c r="N5" s="29">
        <f>H5*2.25%*2%</f>
        <v/>
      </c>
      <c r="O5" s="28">
        <f>M5-N5</f>
        <v/>
      </c>
      <c r="P5" s="28">
        <f>ROUND(O5+L5,0)</f>
        <v/>
      </c>
      <c r="Q5" s="30" t="n">
        <v>0</v>
      </c>
      <c r="R5" s="28">
        <f>ROUND(H5*Q5,0)</f>
        <v/>
      </c>
      <c r="S5" s="27">
        <f>ROUND(H5*117.65%-R5,0)</f>
        <v/>
      </c>
      <c r="T5" s="28">
        <f>ROUND(H5*25%,0)</f>
        <v/>
      </c>
      <c r="U5" s="31">
        <f>+T5</f>
        <v/>
      </c>
      <c r="V5" s="28" t="inlineStr">
        <is>
          <t>13.08.2026</t>
        </is>
      </c>
      <c r="W5" s="28">
        <f>ROUND(H5*92.65%-R5,0)</f>
        <v/>
      </c>
      <c r="X5" s="28" t="n">
        <v>145090</v>
      </c>
      <c r="Y5" s="28" t="inlineStr">
        <is>
          <t>24.08.2026</t>
        </is>
      </c>
      <c r="Z5" s="28">
        <f>IF(OR(Y5="",Y5=0),H5*0.0118*CEILING((TODAY()-DATE(2026,8,22))/7,1),IF(DATE(VALUE(RIGHT(Y5,4)),VALUE(MID(Y5,4,2)),VALUE(LEFT(Y5,2)))&lt;=DATE(2026,8,24),0,H5*0.0118*CEILING((DATE(VALUE(RIGHT(Y5,4)),VALUE(MID(Y5,4,2)),VALUE(LEFT(Y5,2)))-DATE(2026,8,22))/7,1)))</f>
        <v/>
      </c>
      <c r="AA5" s="28" t="n"/>
      <c r="AB5" s="28" t="n"/>
      <c r="AC5" s="15">
        <f>U5+X5+AA5</f>
        <v/>
      </c>
      <c r="AD5" s="19">
        <f>S5-AC5</f>
        <v/>
      </c>
      <c r="AE5" s="20" t="inlineStr">
        <is>
          <t>DR2640100030</t>
        </is>
      </c>
      <c r="AF5" s="21" t="n">
        <v>1800003302</v>
      </c>
      <c r="AG5" s="22" t="inlineStr">
        <is>
          <t>27.08.2026</t>
        </is>
      </c>
    </row>
    <row r="6" ht="26.25" customHeight="1">
      <c r="A6" s="23" t="n">
        <v>28</v>
      </c>
      <c r="B6" s="24" t="inlineStr">
        <is>
          <t>Scrap of Copper of faulty AC compressor</t>
        </is>
      </c>
      <c r="C6" s="25" t="n">
        <v>1456</v>
      </c>
      <c r="D6" s="26" t="n">
        <v>21977</v>
      </c>
      <c r="E6" s="26" t="inlineStr">
        <is>
          <t>KG</t>
        </is>
      </c>
      <c r="F6" s="26" t="n">
        <v>1875</v>
      </c>
      <c r="G6" s="24" t="inlineStr">
        <is>
          <t>F R KHANS ENTERPRISES</t>
        </is>
      </c>
      <c r="H6" s="27" t="n">
        <v>40768</v>
      </c>
      <c r="I6" s="27">
        <f>ROUND(H6*18%,0)</f>
        <v/>
      </c>
      <c r="J6" s="27">
        <f>+H6+I6</f>
        <v/>
      </c>
      <c r="K6" s="27">
        <f>ROUND((H6+I6)*2%,0)</f>
        <v/>
      </c>
      <c r="L6" s="28">
        <f>H6*0.1%</f>
        <v/>
      </c>
      <c r="M6" s="28">
        <f>H6*2.25%*118%</f>
        <v/>
      </c>
      <c r="N6" s="29">
        <f>H6*2.25%*2%</f>
        <v/>
      </c>
      <c r="O6" s="28">
        <f>M6-N6</f>
        <v/>
      </c>
      <c r="P6" s="28">
        <f>ROUND(O6+L6,0)</f>
        <v/>
      </c>
      <c r="Q6" s="30" t="n">
        <v>0</v>
      </c>
      <c r="R6" s="28">
        <f>ROUND(H6*Q6,0)</f>
        <v/>
      </c>
      <c r="S6" s="27">
        <f>ROUND(H6*117.65%-R6,0)</f>
        <v/>
      </c>
      <c r="T6" s="28">
        <f>ROUND(H6*25%,0)</f>
        <v/>
      </c>
      <c r="U6" s="31" t="n">
        <v>10192</v>
      </c>
      <c r="V6" s="28" t="inlineStr">
        <is>
          <t>11.08.2026</t>
        </is>
      </c>
      <c r="W6" s="28">
        <f>ROUND(H6*92.65%-R6,0)</f>
        <v/>
      </c>
      <c r="X6" s="28">
        <f>+W6+R6</f>
        <v/>
      </c>
      <c r="Y6" s="28" t="inlineStr">
        <is>
          <t>20.08.2026</t>
        </is>
      </c>
      <c r="Z6" s="28">
        <f>IF(OR(Y6="",Y6=0),H6*0.0118*CEILING((TODAY()-DATE(2026,8,22))/7,1),IF(DATE(VALUE(RIGHT(Y6,4)),VALUE(MID(Y6,4,2)),VALUE(LEFT(Y6,2)))&lt;=DATE(2026,8,24),0,H6*0.0118*CEILING((DATE(VALUE(RIGHT(Y6,4)),VALUE(MID(Y6,4,2)),VALUE(LEFT(Y6,2)))-DATE(2026,8,22))/7,1)))</f>
        <v/>
      </c>
      <c r="AA6" s="28" t="n"/>
      <c r="AB6" s="28" t="n"/>
      <c r="AC6" s="15">
        <f>U6+X6+AA6</f>
        <v/>
      </c>
      <c r="AD6" s="19">
        <f>S6-AC6</f>
        <v/>
      </c>
      <c r="AE6" s="20" t="inlineStr">
        <is>
          <t>DR2640100047</t>
        </is>
      </c>
      <c r="AF6" s="21" t="n">
        <v>1800003346</v>
      </c>
      <c r="AG6" s="22" t="inlineStr">
        <is>
          <t>27.08.2026</t>
        </is>
      </c>
    </row>
    <row r="7" ht="39" customHeight="1">
      <c r="A7" s="23" t="n">
        <v>3000</v>
      </c>
      <c r="B7" s="24" t="inlineStr">
        <is>
          <t>Scrap of MS (extracted from equip cage and empty Sf6 gas cylinder)</t>
        </is>
      </c>
      <c r="C7" s="25" t="n">
        <v>66</v>
      </c>
      <c r="D7" s="26" t="n">
        <v>21977</v>
      </c>
      <c r="E7" s="26" t="inlineStr">
        <is>
          <t>KG</t>
        </is>
      </c>
      <c r="F7" s="26" t="n">
        <v>1876</v>
      </c>
      <c r="G7" s="24" t="inlineStr">
        <is>
          <t>F R KHANS ENTERPRISES</t>
        </is>
      </c>
      <c r="H7" s="27" t="n">
        <v>198000</v>
      </c>
      <c r="I7" s="27">
        <f>ROUND(H7*18%,0)</f>
        <v/>
      </c>
      <c r="J7" s="27">
        <f>+H7+I7</f>
        <v/>
      </c>
      <c r="K7" s="27">
        <f>ROUND((H7+I7)*2%,0)</f>
        <v/>
      </c>
      <c r="L7" s="28">
        <f>H7*0.1%</f>
        <v/>
      </c>
      <c r="M7" s="28">
        <f>H7*2.25%*118%</f>
        <v/>
      </c>
      <c r="N7" s="29">
        <f>H7*2.25%*2%</f>
        <v/>
      </c>
      <c r="O7" s="28">
        <f>M7-N7</f>
        <v/>
      </c>
      <c r="P7" s="28">
        <f>ROUND(O7+L7,0)</f>
        <v/>
      </c>
      <c r="Q7" s="30" t="n">
        <v>0</v>
      </c>
      <c r="R7" s="28">
        <f>ROUND(H7*Q7,0)</f>
        <v/>
      </c>
      <c r="S7" s="27">
        <f>ROUND(H7*117.65%-R7,0)</f>
        <v/>
      </c>
      <c r="T7" s="28">
        <f>ROUND(H7*25%,0)</f>
        <v/>
      </c>
      <c r="U7" s="31" t="n">
        <v>49500</v>
      </c>
      <c r="V7" s="28" t="inlineStr">
        <is>
          <t>11.08.2026</t>
        </is>
      </c>
      <c r="W7" s="28">
        <f>ROUND(H7*92.65%-R7,0)</f>
        <v/>
      </c>
      <c r="X7" s="28">
        <f>+W7+R7-1</f>
        <v/>
      </c>
      <c r="Y7" s="28" t="inlineStr">
        <is>
          <t>20.08.2026</t>
        </is>
      </c>
      <c r="Z7" s="28">
        <f>IF(OR(Y7="",Y7=0),H7*0.0118*CEILING((TODAY()-DATE(2026,8,22))/7,1),IF(DATE(VALUE(RIGHT(Y7,4)),VALUE(MID(Y7,4,2)),VALUE(LEFT(Y7,2)))&lt;=DATE(2026,8,24),0,H7*0.0118*CEILING((DATE(VALUE(RIGHT(Y7,4)),VALUE(MID(Y7,4,2)),VALUE(LEFT(Y7,2)))-DATE(2026,8,22))/7,1)))</f>
        <v/>
      </c>
      <c r="AA7" s="28" t="n"/>
      <c r="AB7" s="28" t="n"/>
      <c r="AC7" s="15">
        <f>U7+X7+AA7</f>
        <v/>
      </c>
      <c r="AD7" s="19">
        <f>S7-AC7</f>
        <v/>
      </c>
      <c r="AE7" s="20" t="inlineStr">
        <is>
          <t>DR2640100048</t>
        </is>
      </c>
      <c r="AF7" s="21" t="n">
        <v>1800003347</v>
      </c>
      <c r="AG7" s="22" t="inlineStr">
        <is>
          <t>27.08.2026</t>
        </is>
      </c>
    </row>
    <row r="8" ht="26.25" customHeight="1">
      <c r="A8" s="23" t="n">
        <v>7253</v>
      </c>
      <c r="B8" s="24" t="inlineStr">
        <is>
          <t>SCRAP ACSR CONDUCTORS (Conductor Pieces)</t>
        </is>
      </c>
      <c r="C8" s="25" t="n">
        <v>227</v>
      </c>
      <c r="D8" s="26" t="n">
        <v>21980</v>
      </c>
      <c r="E8" s="26" t="inlineStr">
        <is>
          <t>KG</t>
        </is>
      </c>
      <c r="F8" s="26" t="n">
        <v>1923</v>
      </c>
      <c r="G8" s="24" t="inlineStr">
        <is>
          <t>OMKAR STEELS</t>
        </is>
      </c>
      <c r="H8" s="27" t="n">
        <v>1646431</v>
      </c>
      <c r="I8" s="27">
        <f>ROUND(H8*18%,0)</f>
        <v/>
      </c>
      <c r="J8" s="27">
        <f>+H8+I8</f>
        <v/>
      </c>
      <c r="K8" s="27">
        <f>ROUND((H8+I8)*2%,0)</f>
        <v/>
      </c>
      <c r="L8" s="28">
        <f>H8*0.1%</f>
        <v/>
      </c>
      <c r="M8" s="28">
        <f>H8*2.25%*118%</f>
        <v/>
      </c>
      <c r="N8" s="29">
        <f>H8*2.25%*2%</f>
        <v/>
      </c>
      <c r="O8" s="28">
        <f>M8-N8</f>
        <v/>
      </c>
      <c r="P8" s="28">
        <f>ROUND(O8+L8,0)</f>
        <v/>
      </c>
      <c r="Q8" s="30" t="n">
        <v>0.02</v>
      </c>
      <c r="R8" s="28">
        <f>ROUND(H8*Q8,0)</f>
        <v/>
      </c>
      <c r="S8" s="27">
        <f>ROUND(H8*117.65%-R8,0)</f>
        <v/>
      </c>
      <c r="T8" s="28">
        <f>ROUND(H8*25%,0)</f>
        <v/>
      </c>
      <c r="U8" s="31">
        <f>+T8</f>
        <v/>
      </c>
      <c r="V8" s="28" t="inlineStr">
        <is>
          <t>14.08.2026</t>
        </is>
      </c>
      <c r="W8" s="28">
        <f>ROUND(H8*92.65%-R8,0)</f>
        <v/>
      </c>
      <c r="X8" s="28" t="n">
        <v>1492490</v>
      </c>
      <c r="Y8" s="28" t="inlineStr">
        <is>
          <t>24.08.2026</t>
        </is>
      </c>
      <c r="Z8" s="28">
        <f>IF(OR(Y8="",Y8=0),H8*0.0118*CEILING((TODAY()-DATE(2026,8,22))/7,1),IF(DATE(VALUE(RIGHT(Y8,4)),VALUE(MID(Y8,4,2)),VALUE(LEFT(Y8,2)))&lt;=DATE(2026,8,24),0,H8*0.0118*CEILING((DATE(VALUE(RIGHT(Y8,4)),VALUE(MID(Y8,4,2)),VALUE(LEFT(Y8,2)))-DATE(2026,8,22))/7,1)))</f>
        <v/>
      </c>
      <c r="AA8" s="28" t="n"/>
      <c r="AB8" s="28" t="n"/>
      <c r="AC8" s="15">
        <f>U8+X8+AA8</f>
        <v/>
      </c>
      <c r="AD8" s="19">
        <f>S8-AC8</f>
        <v/>
      </c>
      <c r="AE8" s="20" t="inlineStr">
        <is>
          <t>DR2640100045</t>
        </is>
      </c>
      <c r="AF8" s="21" t="n">
        <v>1800003315</v>
      </c>
      <c r="AG8" s="22" t="inlineStr">
        <is>
          <t>27.08.2026</t>
        </is>
      </c>
    </row>
    <row r="9" ht="14.25" customHeight="1">
      <c r="A9" s="23" t="n">
        <v>1</v>
      </c>
      <c r="B9" s="24" t="inlineStr">
        <is>
          <t>Scrap Power Transformer</t>
        </is>
      </c>
      <c r="C9" s="25" t="n">
        <v>2787314</v>
      </c>
      <c r="D9" s="26" t="n">
        <v>21977</v>
      </c>
      <c r="E9" s="26" t="inlineStr">
        <is>
          <t>NO</t>
        </is>
      </c>
      <c r="F9" s="26" t="n">
        <v>1976</v>
      </c>
      <c r="G9" s="24" t="inlineStr">
        <is>
          <t>SHAR JAHAN TRADERS</t>
        </is>
      </c>
      <c r="H9" s="27" t="n">
        <v>2787314</v>
      </c>
      <c r="I9" s="27">
        <f>ROUND(H9*18%,0)</f>
        <v/>
      </c>
      <c r="J9" s="27">
        <f>+H9+I9</f>
        <v/>
      </c>
      <c r="K9" s="27">
        <f>ROUND((H9+I9)*2%,0)</f>
        <v/>
      </c>
      <c r="L9" s="28">
        <f>H9*0.1%</f>
        <v/>
      </c>
      <c r="M9" s="28">
        <f>H9*2.25%*118%</f>
        <v/>
      </c>
      <c r="N9" s="29">
        <f>H9*2.25%*2%</f>
        <v/>
      </c>
      <c r="O9" s="28">
        <f>M9-N9</f>
        <v/>
      </c>
      <c r="P9" s="28">
        <f>ROUND(O9+L9,0)</f>
        <v/>
      </c>
      <c r="Q9" s="30" t="n">
        <v>0</v>
      </c>
      <c r="R9" s="28">
        <f>ROUND(H9*Q9,0)</f>
        <v/>
      </c>
      <c r="S9" s="27">
        <f>ROUND(H9*117.65%-R9,0)</f>
        <v/>
      </c>
      <c r="T9" s="28">
        <f>ROUND(H9*25%,0)</f>
        <v/>
      </c>
      <c r="U9" s="31">
        <f>+T9</f>
        <v/>
      </c>
      <c r="V9" s="28" t="inlineStr">
        <is>
          <t>13.08.2026</t>
        </is>
      </c>
      <c r="W9" s="28">
        <f>ROUND(H9*92.65%-R9,0)</f>
        <v/>
      </c>
      <c r="X9" s="28" t="n">
        <v>2582447.09429161</v>
      </c>
      <c r="Y9" s="28" t="inlineStr">
        <is>
          <t>13.08.2026</t>
        </is>
      </c>
      <c r="Z9" s="28">
        <f>IF(OR(Y9="",Y9=0),H9*0.0118*CEILING((TODAY()-DATE(2026,8,22))/7,1),IF(DATE(VALUE(RIGHT(Y9,4)),VALUE(MID(Y9,4,2)),VALUE(LEFT(Y9,2)))&lt;=DATE(2026,8,24),0,H9*0.0118*CEILING((DATE(VALUE(RIGHT(Y9,4)),VALUE(MID(Y9,4,2)),VALUE(LEFT(Y9,2)))-DATE(2026,8,22))/7,1)))</f>
        <v/>
      </c>
      <c r="AA9" s="28" t="n"/>
      <c r="AB9" s="28" t="n"/>
      <c r="AC9" s="15">
        <f>U9+X9+AA9</f>
        <v/>
      </c>
      <c r="AD9" s="19">
        <f>S9-AC9</f>
        <v/>
      </c>
      <c r="AE9" s="20" t="inlineStr">
        <is>
          <t>DR2640100023</t>
        </is>
      </c>
      <c r="AF9" s="21" t="n">
        <v>1800003194</v>
      </c>
      <c r="AG9" s="22" t="inlineStr">
        <is>
          <t>17.08.2026</t>
        </is>
      </c>
    </row>
    <row r="10" ht="14.25" customHeight="1">
      <c r="A10" s="23" t="n">
        <v>4</v>
      </c>
      <c r="B10" s="24" t="inlineStr">
        <is>
          <t>Scrap of 132 KV CT</t>
        </is>
      </c>
      <c r="C10" s="25" t="n">
        <v>51511</v>
      </c>
      <c r="D10" s="26" t="n">
        <v>21977</v>
      </c>
      <c r="E10" s="26" t="inlineStr">
        <is>
          <t>NO</t>
        </is>
      </c>
      <c r="F10" s="26" t="n">
        <v>2002</v>
      </c>
      <c r="G10" s="24" t="inlineStr">
        <is>
          <t>NATIONAL ENTERPRISES</t>
        </is>
      </c>
      <c r="H10" s="27" t="n">
        <v>206044</v>
      </c>
      <c r="I10" s="27">
        <f>ROUND(H10*18%,0)</f>
        <v/>
      </c>
      <c r="J10" s="27">
        <f>+H10+I10</f>
        <v/>
      </c>
      <c r="K10" s="27">
        <f>ROUND((H10+I10)*2%,0)</f>
        <v/>
      </c>
      <c r="L10" s="28">
        <f>H10*0.1%</f>
        <v/>
      </c>
      <c r="M10" s="28">
        <f>H10*2.25%*118%</f>
        <v/>
      </c>
      <c r="N10" s="29">
        <f>H10*2.25%*2%</f>
        <v/>
      </c>
      <c r="O10" s="28">
        <f>M10-N10</f>
        <v/>
      </c>
      <c r="P10" s="28">
        <f>ROUND(O10+L10,0)</f>
        <v/>
      </c>
      <c r="Q10" s="30" t="n">
        <v>0</v>
      </c>
      <c r="R10" s="28">
        <f>ROUND(H10*Q10,0)</f>
        <v/>
      </c>
      <c r="S10" s="27">
        <f>ROUND(H10*117.65%-R10,0)</f>
        <v/>
      </c>
      <c r="T10" s="28">
        <f>ROUND(H10*25%,0)</f>
        <v/>
      </c>
      <c r="U10" s="31">
        <f>+T10</f>
        <v/>
      </c>
      <c r="V10" s="28" t="inlineStr">
        <is>
          <t>13.08.2026</t>
        </is>
      </c>
      <c r="W10" s="28">
        <f>ROUND(H10*92.65%-R10,0)</f>
        <v/>
      </c>
      <c r="X10" s="28" t="n">
        <v>190900</v>
      </c>
      <c r="Y10" s="28" t="inlineStr">
        <is>
          <t>24.08.2026</t>
        </is>
      </c>
      <c r="Z10" s="28">
        <f>IF(OR(Y10="",Y10=0),H10*0.0118*CEILING((TODAY()-DATE(2026,8,22))/7,1),IF(DATE(VALUE(RIGHT(Y10,4)),VALUE(MID(Y10,4,2)),VALUE(LEFT(Y10,2)))&lt;=DATE(2026,8,24),0,H10*0.0118*CEILING((DATE(VALUE(RIGHT(Y10,4)),VALUE(MID(Y10,4,2)),VALUE(LEFT(Y10,2)))-DATE(2026,8,22))/7,1)))</f>
        <v/>
      </c>
      <c r="AA10" s="28" t="n"/>
      <c r="AB10" s="28" t="n"/>
      <c r="AC10" s="15">
        <f>U10+X10+AA10</f>
        <v/>
      </c>
      <c r="AD10" s="19">
        <f>S10-AC10</f>
        <v/>
      </c>
      <c r="AE10" s="20" t="inlineStr">
        <is>
          <t>DR2640100031</t>
        </is>
      </c>
      <c r="AF10" s="21" t="n">
        <v>1800003303</v>
      </c>
      <c r="AG10" s="22" t="inlineStr">
        <is>
          <t>27.08.2026</t>
        </is>
      </c>
    </row>
    <row r="11" ht="14.25" customHeight="1">
      <c r="A11" s="23" t="n">
        <v>1</v>
      </c>
      <c r="B11" s="24" t="inlineStr">
        <is>
          <t>Scrap of 145 KV CB</t>
        </is>
      </c>
      <c r="C11" s="25" t="n">
        <v>65007</v>
      </c>
      <c r="D11" s="26" t="n">
        <v>21977</v>
      </c>
      <c r="E11" s="26" t="inlineStr">
        <is>
          <t>NO</t>
        </is>
      </c>
      <c r="F11" s="26" t="n">
        <v>2003</v>
      </c>
      <c r="G11" s="24" t="inlineStr">
        <is>
          <t>NATIONAL ENTERPRISES</t>
        </is>
      </c>
      <c r="H11" s="27" t="n">
        <v>65007</v>
      </c>
      <c r="I11" s="27">
        <f>ROUND(H11*18%,0)</f>
        <v/>
      </c>
      <c r="J11" s="27">
        <f>+H11+I11</f>
        <v/>
      </c>
      <c r="K11" s="27">
        <f>ROUND((H11+I11)*2%,0)</f>
        <v/>
      </c>
      <c r="L11" s="28">
        <f>H11*0.1%</f>
        <v/>
      </c>
      <c r="M11" s="28">
        <f>H11*2.25%*118%</f>
        <v/>
      </c>
      <c r="N11" s="29">
        <f>H11*2.25%*2%</f>
        <v/>
      </c>
      <c r="O11" s="28">
        <f>M11-N11</f>
        <v/>
      </c>
      <c r="P11" s="28">
        <f>ROUND(O11+L11,0)</f>
        <v/>
      </c>
      <c r="Q11" s="30" t="n">
        <v>0</v>
      </c>
      <c r="R11" s="28">
        <f>ROUND(H11*Q11,0)</f>
        <v/>
      </c>
      <c r="S11" s="27">
        <f>ROUND(H11*117.65%-R11,0)</f>
        <v/>
      </c>
      <c r="T11" s="28">
        <f>ROUND(H11*25%,0)</f>
        <v/>
      </c>
      <c r="U11" s="31">
        <f>+T11</f>
        <v/>
      </c>
      <c r="V11" s="28" t="inlineStr">
        <is>
          <t>13.08.2026</t>
        </is>
      </c>
      <c r="W11" s="28">
        <f>ROUND(H11*92.65%-R11,0)</f>
        <v/>
      </c>
      <c r="X11" s="28" t="n">
        <v>60229</v>
      </c>
      <c r="Y11" s="28" t="inlineStr">
        <is>
          <t>24.08.2026</t>
        </is>
      </c>
      <c r="Z11" s="28">
        <f>IF(OR(Y11="",Y11=0),H11*0.0118*CEILING((TODAY()-DATE(2026,8,22))/7,1),IF(DATE(VALUE(RIGHT(Y11,4)),VALUE(MID(Y11,4,2)),VALUE(LEFT(Y11,2)))&lt;=DATE(2026,8,24),0,H11*0.0118*CEILING((DATE(VALUE(RIGHT(Y11,4)),VALUE(MID(Y11,4,2)),VALUE(LEFT(Y11,2)))-DATE(2026,8,22))/7,1)))</f>
        <v/>
      </c>
      <c r="AA11" s="28" t="n"/>
      <c r="AB11" s="28" t="n"/>
      <c r="AC11" s="15">
        <f>U11+X11+AA11</f>
        <v/>
      </c>
      <c r="AD11" s="19">
        <f>S11-AC11</f>
        <v/>
      </c>
      <c r="AE11" s="20" t="inlineStr">
        <is>
          <t>DR2640100032</t>
        </is>
      </c>
      <c r="AF11" s="21" t="n">
        <v>1800003304</v>
      </c>
      <c r="AG11" s="22" t="inlineStr">
        <is>
          <t>27.08.2026</t>
        </is>
      </c>
    </row>
    <row r="12" ht="14.25" customHeight="1">
      <c r="A12" s="23" t="n">
        <v>1</v>
      </c>
      <c r="B12" s="24" t="inlineStr">
        <is>
          <t>Scrap of 220KV CT</t>
        </is>
      </c>
      <c r="C12" s="25" t="n">
        <v>70006</v>
      </c>
      <c r="D12" s="26" t="n">
        <v>21977</v>
      </c>
      <c r="E12" s="26" t="inlineStr">
        <is>
          <t>NO</t>
        </is>
      </c>
      <c r="F12" s="26" t="n">
        <v>2005</v>
      </c>
      <c r="G12" s="24" t="inlineStr">
        <is>
          <t>NATIONAL ENTERPRISES</t>
        </is>
      </c>
      <c r="H12" s="27" t="n">
        <v>70006</v>
      </c>
      <c r="I12" s="27">
        <f>ROUND(H12*18%,0)</f>
        <v/>
      </c>
      <c r="J12" s="27">
        <f>+H12+I12</f>
        <v/>
      </c>
      <c r="K12" s="27">
        <f>ROUND((H12+I12)*2%,0)</f>
        <v/>
      </c>
      <c r="L12" s="28">
        <f>H12*0.1%</f>
        <v/>
      </c>
      <c r="M12" s="28">
        <f>H12*2.25%*118%</f>
        <v/>
      </c>
      <c r="N12" s="29">
        <f>H12*2.25%*2%</f>
        <v/>
      </c>
      <c r="O12" s="28">
        <f>M12-N12</f>
        <v/>
      </c>
      <c r="P12" s="28">
        <f>ROUND(O12+L12,0)</f>
        <v/>
      </c>
      <c r="Q12" s="30" t="n">
        <v>0</v>
      </c>
      <c r="R12" s="28">
        <f>ROUND(H12*Q12,0)</f>
        <v/>
      </c>
      <c r="S12" s="27">
        <f>ROUND(H12*117.65%-R12,0)</f>
        <v/>
      </c>
      <c r="T12" s="28">
        <f>ROUND(H12*25%,0)</f>
        <v/>
      </c>
      <c r="U12" s="31">
        <f>+T12</f>
        <v/>
      </c>
      <c r="V12" s="28" t="inlineStr">
        <is>
          <t>13.08.2026</t>
        </is>
      </c>
      <c r="W12" s="28">
        <f>ROUND(H12*92.65%-R12,0)</f>
        <v/>
      </c>
      <c r="X12" s="28" t="n">
        <v>64859</v>
      </c>
      <c r="Y12" s="28" t="inlineStr">
        <is>
          <t>24.08.2026</t>
        </is>
      </c>
      <c r="Z12" s="28">
        <f>IF(OR(Y12="",Y12=0),H12*0.0118*CEILING((TODAY()-DATE(2026,8,22))/7,1),IF(DATE(VALUE(RIGHT(Y12,4)),VALUE(MID(Y12,4,2)),VALUE(LEFT(Y12,2)))&lt;=DATE(2026,8,24),0,H12*0.0118*CEILING((DATE(VALUE(RIGHT(Y12,4)),VALUE(MID(Y12,4,2)),VALUE(LEFT(Y12,2)))-DATE(2026,8,22))/7,1)))</f>
        <v/>
      </c>
      <c r="AA12" s="28" t="n"/>
      <c r="AB12" s="28" t="n"/>
      <c r="AC12" s="15">
        <f>U12+X12+AA12</f>
        <v/>
      </c>
      <c r="AD12" s="19">
        <f>S12-AC12</f>
        <v/>
      </c>
      <c r="AE12" s="20" t="inlineStr">
        <is>
          <t>DR2640100033</t>
        </is>
      </c>
      <c r="AF12" s="21" t="n">
        <v>1800003305</v>
      </c>
      <c r="AG12" s="22" t="inlineStr">
        <is>
          <t>27.08.2026</t>
        </is>
      </c>
    </row>
    <row r="13" ht="14.25" customHeight="1">
      <c r="A13" s="23" t="n">
        <v>25</v>
      </c>
      <c r="B13" s="24" t="inlineStr">
        <is>
          <t>Scrap of empty oil drums</t>
        </is>
      </c>
      <c r="C13" s="25" t="n">
        <v>700</v>
      </c>
      <c r="D13" s="26" t="n">
        <v>21977</v>
      </c>
      <c r="E13" s="26" t="inlineStr">
        <is>
          <t>NO</t>
        </is>
      </c>
      <c r="F13" s="26" t="n">
        <v>2006</v>
      </c>
      <c r="G13" s="24" t="inlineStr">
        <is>
          <t>STERLING ENTERPRISES</t>
        </is>
      </c>
      <c r="H13" s="27" t="n">
        <v>17500</v>
      </c>
      <c r="I13" s="27">
        <f>ROUND(H13*18%,0)</f>
        <v/>
      </c>
      <c r="J13" s="27">
        <f>+H13+I13</f>
        <v/>
      </c>
      <c r="K13" s="27">
        <f>ROUND((H13+I13)*2%,0)</f>
        <v/>
      </c>
      <c r="L13" s="28">
        <f>H13*0.1%</f>
        <v/>
      </c>
      <c r="M13" s="28">
        <f>H13*2.25%*118%</f>
        <v/>
      </c>
      <c r="N13" s="29">
        <f>H13*2.25%*2%</f>
        <v/>
      </c>
      <c r="O13" s="28">
        <f>M13-N13</f>
        <v/>
      </c>
      <c r="P13" s="28">
        <f>ROUND(O13+L13,0)</f>
        <v/>
      </c>
      <c r="Q13" s="30" t="n">
        <v>0</v>
      </c>
      <c r="R13" s="28">
        <f>ROUND(H13*Q13,0)</f>
        <v/>
      </c>
      <c r="S13" s="27">
        <f>ROUND(H13*117.65%-R13,0)</f>
        <v/>
      </c>
      <c r="T13" s="28">
        <f>ROUND(H13*25%,0)</f>
        <v/>
      </c>
      <c r="U13" s="31" t="n">
        <v>4375</v>
      </c>
      <c r="V13" s="28" t="inlineStr">
        <is>
          <t>11.08.2026</t>
        </is>
      </c>
      <c r="W13" s="28">
        <f>ROUND(H13*92.65%-R13,0)</f>
        <v/>
      </c>
      <c r="X13" s="28" t="n">
        <v>16214</v>
      </c>
      <c r="Y13" s="28" t="inlineStr">
        <is>
          <t>11.08.2026</t>
        </is>
      </c>
      <c r="Z13" s="28">
        <f>IF(OR(Y13="",Y13=0),H13*0.0118*CEILING((TODAY()-DATE(2026,8,22))/7,1),IF(DATE(VALUE(RIGHT(Y13,4)),VALUE(MID(Y13,4,2)),VALUE(LEFT(Y13,2)))&lt;=DATE(2026,8,24),0,H13*0.0118*CEILING((DATE(VALUE(RIGHT(Y13,4)),VALUE(MID(Y13,4,2)),VALUE(LEFT(Y13,2)))-DATE(2026,8,22))/7,1)))</f>
        <v/>
      </c>
      <c r="AA13" s="28" t="n"/>
      <c r="AB13" s="28" t="n"/>
      <c r="AC13" s="15">
        <f>U13+X13+AA13</f>
        <v/>
      </c>
      <c r="AD13" s="19">
        <f>S13-AC13</f>
        <v/>
      </c>
      <c r="AE13" s="20" t="inlineStr">
        <is>
          <t>DR2640100018</t>
        </is>
      </c>
      <c r="AF13" s="21" t="n">
        <v>1800003156</v>
      </c>
      <c r="AG13" s="22" t="inlineStr">
        <is>
          <t>14.08.2026</t>
        </is>
      </c>
    </row>
    <row r="14" ht="14.25" customHeight="1">
      <c r="A14" s="23" t="n">
        <v>1</v>
      </c>
      <c r="B14" s="24" t="inlineStr">
        <is>
          <t>SCRAP POWER TRANSFORMER</t>
        </is>
      </c>
      <c r="C14" s="25" t="n">
        <v>3857116</v>
      </c>
      <c r="D14" s="26" t="n">
        <v>21977</v>
      </c>
      <c r="E14" s="26" t="inlineStr">
        <is>
          <t>NO</t>
        </is>
      </c>
      <c r="F14" s="26" t="n">
        <v>2007</v>
      </c>
      <c r="G14" s="24" t="inlineStr">
        <is>
          <t>SHAR JAHAN TRADERS</t>
        </is>
      </c>
      <c r="H14" s="27" t="n">
        <v>3857116</v>
      </c>
      <c r="I14" s="27">
        <f>ROUND(H14*18%,0)</f>
        <v/>
      </c>
      <c r="J14" s="27">
        <f>+H14+I14</f>
        <v/>
      </c>
      <c r="K14" s="27">
        <f>ROUND((H14+I14)*2%,0)</f>
        <v/>
      </c>
      <c r="L14" s="28">
        <f>H14*0.1%</f>
        <v/>
      </c>
      <c r="M14" s="28">
        <f>H14*2.25%*118%</f>
        <v/>
      </c>
      <c r="N14" s="29">
        <f>H14*2.25%*2%</f>
        <v/>
      </c>
      <c r="O14" s="28">
        <f>M14-N14</f>
        <v/>
      </c>
      <c r="P14" s="28">
        <f>ROUND(O14+L14,0)</f>
        <v/>
      </c>
      <c r="Q14" s="30" t="n">
        <v>0</v>
      </c>
      <c r="R14" s="28">
        <f>ROUND(H14*Q14,0)</f>
        <v/>
      </c>
      <c r="S14" s="27">
        <f>ROUND(H14*117.65%-R14,0)</f>
        <v/>
      </c>
      <c r="T14" s="28">
        <f>ROUND(H14*25%,0)</f>
        <v/>
      </c>
      <c r="U14" s="31">
        <f>+T14</f>
        <v/>
      </c>
      <c r="V14" s="28" t="inlineStr">
        <is>
          <t>13.08.2026</t>
        </is>
      </c>
      <c r="W14" s="28">
        <f>ROUND(H14*92.65%-R14,0)</f>
        <v/>
      </c>
      <c r="X14" s="28" t="n">
        <v>3573618.90570839</v>
      </c>
      <c r="Y14" s="28" t="inlineStr">
        <is>
          <t>13.08.2026</t>
        </is>
      </c>
      <c r="Z14" s="28">
        <f>IF(OR(Y14="",Y14=0),H14*0.0118*CEILING((TODAY()-DATE(2026,8,22))/7,1),IF(DATE(VALUE(RIGHT(Y14,4)),VALUE(MID(Y14,4,2)),VALUE(LEFT(Y14,2)))&lt;=DATE(2026,8,24),0,H14*0.0118*CEILING((DATE(VALUE(RIGHT(Y14,4)),VALUE(MID(Y14,4,2)),VALUE(LEFT(Y14,2)))-DATE(2026,8,22))/7,1)))</f>
        <v/>
      </c>
      <c r="AA14" s="28" t="n"/>
      <c r="AB14" s="28" t="n"/>
      <c r="AC14" s="15">
        <f>U14+X14+AA14</f>
        <v/>
      </c>
      <c r="AD14" s="19">
        <f>S14-AC14</f>
        <v/>
      </c>
      <c r="AE14" s="20" t="inlineStr">
        <is>
          <t>DR2640100024</t>
        </is>
      </c>
      <c r="AF14" s="21" t="n">
        <v>1800003196</v>
      </c>
      <c r="AG14" s="22" t="inlineStr">
        <is>
          <t>17.08.2026</t>
        </is>
      </c>
    </row>
    <row r="15" ht="14.25" customHeight="1">
      <c r="A15" s="23" t="n">
        <v>250</v>
      </c>
      <c r="B15" s="24" t="inlineStr">
        <is>
          <t>Scrap of empty oil Druam</t>
        </is>
      </c>
      <c r="C15" s="25" t="n">
        <v>543</v>
      </c>
      <c r="D15" s="26" t="n">
        <v>21977</v>
      </c>
      <c r="E15" s="26" t="inlineStr">
        <is>
          <t>NO</t>
        </is>
      </c>
      <c r="F15" s="26" t="n">
        <v>2008</v>
      </c>
      <c r="G15" s="24" t="inlineStr">
        <is>
          <t>HIND TRADERS</t>
        </is>
      </c>
      <c r="H15" s="27" t="n">
        <v>135750</v>
      </c>
      <c r="I15" s="27">
        <f>ROUND(H15*18%,0)</f>
        <v/>
      </c>
      <c r="J15" s="27">
        <f>+H15+I15</f>
        <v/>
      </c>
      <c r="K15" s="27">
        <f>ROUND((H15+I15)*2%,0)</f>
        <v/>
      </c>
      <c r="L15" s="28">
        <f>H15*0.1%</f>
        <v/>
      </c>
      <c r="M15" s="28">
        <f>H15*2.25%*118%</f>
        <v/>
      </c>
      <c r="N15" s="29">
        <f>H15*2.25%*2%</f>
        <v/>
      </c>
      <c r="O15" s="28">
        <f>M15-N15</f>
        <v/>
      </c>
      <c r="P15" s="28">
        <f>ROUND(O15+L15,0)</f>
        <v/>
      </c>
      <c r="Q15" s="30" t="n">
        <v>0</v>
      </c>
      <c r="R15" s="28">
        <f>ROUND(H15*Q15,0)</f>
        <v/>
      </c>
      <c r="S15" s="27">
        <f>ROUND(H15*117.65%-R15,0)</f>
        <v/>
      </c>
      <c r="T15" s="28">
        <f>ROUND(H15*25%,0)</f>
        <v/>
      </c>
      <c r="U15" s="31" t="n">
        <v>33938</v>
      </c>
      <c r="V15" s="28" t="inlineStr">
        <is>
          <t>14.08.2026</t>
        </is>
      </c>
      <c r="W15" s="28">
        <f>ROUND(H15*92.65%-R15,0)</f>
        <v/>
      </c>
      <c r="X15" s="28" t="n">
        <v>125772</v>
      </c>
      <c r="Y15" s="28" t="inlineStr">
        <is>
          <t>18.08.2026</t>
        </is>
      </c>
      <c r="Z15" s="28">
        <f>IF(OR(Y15="",Y15=0),H15*0.0118*CEILING((TODAY()-DATE(2026,8,22))/7,1),IF(DATE(VALUE(RIGHT(Y15,4)),VALUE(MID(Y15,4,2)),VALUE(LEFT(Y15,2)))&lt;=DATE(2026,8,24),0,H15*0.0118*CEILING((DATE(VALUE(RIGHT(Y15,4)),VALUE(MID(Y15,4,2)),VALUE(LEFT(Y15,2)))-DATE(2026,8,22))/7,1)))</f>
        <v/>
      </c>
      <c r="AA15" s="28" t="n"/>
      <c r="AB15" s="28" t="n"/>
      <c r="AC15" s="15">
        <f>U15+X15+AA15</f>
        <v/>
      </c>
      <c r="AD15" s="19">
        <f>S15-AC15</f>
        <v/>
      </c>
      <c r="AE15" s="20" t="inlineStr">
        <is>
          <t>DR2640100026</t>
        </is>
      </c>
      <c r="AF15" s="21" t="n">
        <v>1800003247</v>
      </c>
      <c r="AG15" s="22" t="inlineStr">
        <is>
          <t>20.08.2026</t>
        </is>
      </c>
    </row>
    <row r="16" ht="14.25" customHeight="1">
      <c r="A16" s="23" t="n">
        <v>22</v>
      </c>
      <c r="B16" s="24" t="inlineStr">
        <is>
          <t>Scrap of empty oil Barrel</t>
        </is>
      </c>
      <c r="C16" s="25" t="n">
        <v>700</v>
      </c>
      <c r="D16" s="26" t="n">
        <v>21977</v>
      </c>
      <c r="E16" s="26" t="inlineStr">
        <is>
          <t>NO</t>
        </is>
      </c>
      <c r="F16" s="26" t="n">
        <v>2011</v>
      </c>
      <c r="G16" s="24" t="inlineStr">
        <is>
          <t>STERLING ENTERPRISES</t>
        </is>
      </c>
      <c r="H16" s="27" t="n">
        <v>15400</v>
      </c>
      <c r="I16" s="27">
        <f>ROUND(H16*18%,0)</f>
        <v/>
      </c>
      <c r="J16" s="27">
        <f>+H16+I16</f>
        <v/>
      </c>
      <c r="K16" s="27">
        <f>ROUND((H16+I16)*2%,0)</f>
        <v/>
      </c>
      <c r="L16" s="28">
        <f>H16*0.1%</f>
        <v/>
      </c>
      <c r="M16" s="28">
        <f>H16*2.25%*118%</f>
        <v/>
      </c>
      <c r="N16" s="29">
        <f>H16*2.25%*2%</f>
        <v/>
      </c>
      <c r="O16" s="28">
        <f>M16-N16</f>
        <v/>
      </c>
      <c r="P16" s="28">
        <f>ROUND(O16+L16,0)</f>
        <v/>
      </c>
      <c r="Q16" s="30" t="n">
        <v>0</v>
      </c>
      <c r="R16" s="28">
        <f>ROUND(H16*Q16,0)</f>
        <v/>
      </c>
      <c r="S16" s="27">
        <f>ROUND(H16*117.65%-R16,0)</f>
        <v/>
      </c>
      <c r="T16" s="28">
        <f>ROUND(H16*25%,0)</f>
        <v/>
      </c>
      <c r="U16" s="31" t="n">
        <v>3850</v>
      </c>
      <c r="V16" s="28" t="inlineStr">
        <is>
          <t>11.08.2026</t>
        </is>
      </c>
      <c r="W16" s="28">
        <f>ROUND(H16*92.65%-R16,0)</f>
        <v/>
      </c>
      <c r="X16" s="28" t="n">
        <v>14267</v>
      </c>
      <c r="Y16" s="28" t="inlineStr">
        <is>
          <t>11.08.2026</t>
        </is>
      </c>
      <c r="Z16" s="28">
        <f>IF(OR(Y16="",Y16=0),H16*0.0118*CEILING((TODAY()-DATE(2026,8,22))/7,1),IF(DATE(VALUE(RIGHT(Y16,4)),VALUE(MID(Y16,4,2)),VALUE(LEFT(Y16,2)))&lt;=DATE(2026,8,24),0,H16*0.0118*CEILING((DATE(VALUE(RIGHT(Y16,4)),VALUE(MID(Y16,4,2)),VALUE(LEFT(Y16,2)))-DATE(2026,8,22))/7,1)))</f>
        <v/>
      </c>
      <c r="AA16" s="28" t="n"/>
      <c r="AB16" s="28" t="n"/>
      <c r="AC16" s="15">
        <f>U16+X16+AA16</f>
        <v/>
      </c>
      <c r="AD16" s="19">
        <f>S16-AC16</f>
        <v/>
      </c>
      <c r="AE16" s="20" t="inlineStr">
        <is>
          <t>DR2640100019</t>
        </is>
      </c>
      <c r="AF16" s="21" t="n">
        <v>1800003157</v>
      </c>
      <c r="AG16" s="22" t="inlineStr">
        <is>
          <t>14.08.2026</t>
        </is>
      </c>
    </row>
    <row r="17" ht="14.25" customHeight="1">
      <c r="A17" s="23" t="n">
        <v>100</v>
      </c>
      <c r="B17" s="24" t="inlineStr">
        <is>
          <t>Scrap of empty oil Barrels</t>
        </is>
      </c>
      <c r="C17" s="25" t="n">
        <v>710</v>
      </c>
      <c r="D17" s="26" t="n">
        <v>21978</v>
      </c>
      <c r="E17" s="26" t="inlineStr">
        <is>
          <t>NO</t>
        </is>
      </c>
      <c r="F17" s="26" t="n">
        <v>2015</v>
      </c>
      <c r="G17" s="24" t="inlineStr">
        <is>
          <t>STERLING ENTERPRISES</t>
        </is>
      </c>
      <c r="H17" s="27" t="n">
        <v>71000</v>
      </c>
      <c r="I17" s="27">
        <f>ROUND(H17*18%,0)</f>
        <v/>
      </c>
      <c r="J17" s="27">
        <f>+H17+I17</f>
        <v/>
      </c>
      <c r="K17" s="27">
        <f>ROUND((H17+I17)*2%,0)</f>
        <v/>
      </c>
      <c r="L17" s="28">
        <f>H17*0.1%</f>
        <v/>
      </c>
      <c r="M17" s="28">
        <f>H17*2.25%*118%</f>
        <v/>
      </c>
      <c r="N17" s="29">
        <f>H17*2.25%*2%</f>
        <v/>
      </c>
      <c r="O17" s="28">
        <f>M17-N17</f>
        <v/>
      </c>
      <c r="P17" s="28">
        <f>ROUND(O17+L17,0)</f>
        <v/>
      </c>
      <c r="Q17" s="30" t="n">
        <v>0</v>
      </c>
      <c r="R17" s="28">
        <f>ROUND(H17*Q17,0)</f>
        <v/>
      </c>
      <c r="S17" s="27">
        <f>ROUND(H17*117.65%-R17,0)</f>
        <v/>
      </c>
      <c r="T17" s="28">
        <f>ROUND(H17*25%,0)</f>
        <v/>
      </c>
      <c r="U17" s="31" t="n">
        <v>17750</v>
      </c>
      <c r="V17" s="28" t="inlineStr">
        <is>
          <t>11.08.2026</t>
        </is>
      </c>
      <c r="W17" s="28">
        <f>ROUND(H17*92.65%-R17,0)</f>
        <v/>
      </c>
      <c r="X17" s="28">
        <f>+W17</f>
        <v/>
      </c>
      <c r="Y17" s="28" t="inlineStr">
        <is>
          <t>11.08.2026</t>
        </is>
      </c>
      <c r="Z17" s="28">
        <f>IF(OR(Y17="",Y17=0),H17*0.0118*CEILING((TODAY()-DATE(2026,8,22))/7,1),IF(DATE(VALUE(RIGHT(Y17,4)),VALUE(MID(Y17,4,2)),VALUE(LEFT(Y17,2)))&lt;=DATE(2026,8,24),0,H17*0.0118*CEILING((DATE(VALUE(RIGHT(Y17,4)),VALUE(MID(Y17,4,2)),VALUE(LEFT(Y17,2)))-DATE(2026,8,22))/7,1)))</f>
        <v/>
      </c>
      <c r="AA17" s="28" t="n"/>
      <c r="AB17" s="28" t="n"/>
      <c r="AC17" s="15">
        <f>U17+X17+AA17</f>
        <v/>
      </c>
      <c r="AD17" s="19">
        <f>S17-AC17</f>
        <v/>
      </c>
      <c r="AE17" s="20" t="inlineStr">
        <is>
          <t>DR2640100020</t>
        </is>
      </c>
      <c r="AF17" s="21" t="n">
        <v>1800003158</v>
      </c>
      <c r="AG17" s="22" t="inlineStr">
        <is>
          <t>14.08.2026</t>
        </is>
      </c>
    </row>
    <row r="18" ht="14.25" customHeight="1">
      <c r="A18" s="23" t="n">
        <v>1</v>
      </c>
      <c r="B18" s="24" t="inlineStr">
        <is>
          <t>Scrap of 220 KV Circuit Breaker</t>
        </is>
      </c>
      <c r="C18" s="25" t="n">
        <v>220001</v>
      </c>
      <c r="D18" s="26" t="n">
        <v>21978</v>
      </c>
      <c r="E18" s="26" t="inlineStr">
        <is>
          <t>NO</t>
        </is>
      </c>
      <c r="F18" s="26" t="n">
        <v>2018</v>
      </c>
      <c r="G18" s="24" t="inlineStr">
        <is>
          <t>NATIONAL ENTERPRISES</t>
        </is>
      </c>
      <c r="H18" s="27" t="n">
        <v>220001</v>
      </c>
      <c r="I18" s="27">
        <f>ROUND(H18*18%,0)</f>
        <v/>
      </c>
      <c r="J18" s="27">
        <f>+H18+I18</f>
        <v/>
      </c>
      <c r="K18" s="27">
        <f>ROUND((H18+I18)*2%,0)</f>
        <v/>
      </c>
      <c r="L18" s="28">
        <f>H18*0.1%</f>
        <v/>
      </c>
      <c r="M18" s="28">
        <f>H18*2.25%*118%</f>
        <v/>
      </c>
      <c r="N18" s="29">
        <f>H18*2.25%*2%</f>
        <v/>
      </c>
      <c r="O18" s="28">
        <f>M18-N18</f>
        <v/>
      </c>
      <c r="P18" s="28">
        <f>ROUND(O18+L18,0)</f>
        <v/>
      </c>
      <c r="Q18" s="30" t="n">
        <v>0</v>
      </c>
      <c r="R18" s="28">
        <f>ROUND(H18*Q18,0)</f>
        <v/>
      </c>
      <c r="S18" s="27">
        <f>ROUND(H18*117.65%-R18,0)</f>
        <v/>
      </c>
      <c r="T18" s="28">
        <f>ROUND(H18*25%,0)</f>
        <v/>
      </c>
      <c r="U18" s="31">
        <f>+T18</f>
        <v/>
      </c>
      <c r="V18" s="28" t="inlineStr">
        <is>
          <t>13.08.2026</t>
        </is>
      </c>
      <c r="W18" s="28">
        <f>ROUND(H18*92.65%-R18,0)</f>
        <v/>
      </c>
      <c r="X18" s="28" t="n">
        <v>203831</v>
      </c>
      <c r="Y18" s="28" t="inlineStr">
        <is>
          <t>24.08.2026</t>
        </is>
      </c>
      <c r="Z18" s="28">
        <f>IF(OR(Y18="",Y18=0),H18*0.0118*CEILING((TODAY()-DATE(2026,8,22))/7,1),IF(DATE(VALUE(RIGHT(Y18,4)),VALUE(MID(Y18,4,2)),VALUE(LEFT(Y18,2)))&lt;=DATE(2026,8,24),0,H18*0.0118*CEILING((DATE(VALUE(RIGHT(Y18,4)),VALUE(MID(Y18,4,2)),VALUE(LEFT(Y18,2)))-DATE(2026,8,22))/7,1)))</f>
        <v/>
      </c>
      <c r="AA18" s="28" t="n"/>
      <c r="AB18" s="28" t="n"/>
      <c r="AC18" s="15">
        <f>U18+X18+AA18</f>
        <v/>
      </c>
      <c r="AD18" s="19">
        <f>S18-AC18</f>
        <v/>
      </c>
      <c r="AE18" s="20" t="inlineStr">
        <is>
          <t>DR2640100034</t>
        </is>
      </c>
      <c r="AF18" s="21" t="n">
        <v>1800003306</v>
      </c>
      <c r="AG18" s="22" t="inlineStr">
        <is>
          <t>27.08.2026</t>
        </is>
      </c>
    </row>
    <row r="19" ht="14.25" customHeight="1">
      <c r="A19" s="23" t="n">
        <v>1</v>
      </c>
      <c r="B19" s="24" t="inlineStr">
        <is>
          <t>Scrap of 220 KV Circuit Breaker</t>
        </is>
      </c>
      <c r="C19" s="25" t="n">
        <v>210001</v>
      </c>
      <c r="D19" s="26" t="n">
        <v>21978</v>
      </c>
      <c r="E19" s="26" t="inlineStr">
        <is>
          <t>NO</t>
        </is>
      </c>
      <c r="F19" s="26" t="n">
        <v>2019</v>
      </c>
      <c r="G19" s="24" t="inlineStr">
        <is>
          <t>NATIONAL ENTERPRISES</t>
        </is>
      </c>
      <c r="H19" s="27" t="n">
        <v>210001</v>
      </c>
      <c r="I19" s="27">
        <f>ROUND(H19*18%,0)</f>
        <v/>
      </c>
      <c r="J19" s="27">
        <f>+H19+I19</f>
        <v/>
      </c>
      <c r="K19" s="27">
        <f>ROUND((H19+I19)*2%,0)</f>
        <v/>
      </c>
      <c r="L19" s="28">
        <f>H19*0.1%</f>
        <v/>
      </c>
      <c r="M19" s="28">
        <f>H19*2.25%*118%</f>
        <v/>
      </c>
      <c r="N19" s="29">
        <f>H19*2.25%*2%</f>
        <v/>
      </c>
      <c r="O19" s="28">
        <f>M19-N19</f>
        <v/>
      </c>
      <c r="P19" s="28">
        <f>ROUND(O19+L19,0)</f>
        <v/>
      </c>
      <c r="Q19" s="30" t="n">
        <v>0</v>
      </c>
      <c r="R19" s="28">
        <f>ROUND(H19*Q19,0)</f>
        <v/>
      </c>
      <c r="S19" s="27">
        <f>ROUND(H19*117.65%-R19,0)</f>
        <v/>
      </c>
      <c r="T19" s="28">
        <f>ROUND(H19*25%,0)</f>
        <v/>
      </c>
      <c r="U19" s="31">
        <f>+T19</f>
        <v/>
      </c>
      <c r="V19" s="28" t="inlineStr">
        <is>
          <t>13.08.2026</t>
        </is>
      </c>
      <c r="W19" s="28">
        <f>ROUND(H19*92.65%-R19,0)</f>
        <v/>
      </c>
      <c r="X19" s="28" t="n">
        <v>194566</v>
      </c>
      <c r="Y19" s="28" t="inlineStr">
        <is>
          <t>24.08.2026</t>
        </is>
      </c>
      <c r="Z19" s="28">
        <f>IF(OR(Y19="",Y19=0),H19*0.0118*CEILING((TODAY()-DATE(2026,8,22))/7,1),IF(DATE(VALUE(RIGHT(Y19,4)),VALUE(MID(Y19,4,2)),VALUE(LEFT(Y19,2)))&lt;=DATE(2026,8,24),0,H19*0.0118*CEILING((DATE(VALUE(RIGHT(Y19,4)),VALUE(MID(Y19,4,2)),VALUE(LEFT(Y19,2)))-DATE(2026,8,22))/7,1)))</f>
        <v/>
      </c>
      <c r="AA19" s="28" t="n"/>
      <c r="AB19" s="28" t="n"/>
      <c r="AC19" s="15">
        <f>U19+X19+AA19</f>
        <v/>
      </c>
      <c r="AD19" s="19">
        <f>S19-AC19</f>
        <v/>
      </c>
      <c r="AE19" s="20" t="inlineStr">
        <is>
          <t>DR2640100035</t>
        </is>
      </c>
      <c r="AF19" s="21" t="n">
        <v>1800003307</v>
      </c>
      <c r="AG19" s="22" t="inlineStr">
        <is>
          <t>27.08.2026</t>
        </is>
      </c>
    </row>
    <row r="20" ht="26.25" customHeight="1">
      <c r="A20" s="23" t="n">
        <v>3500</v>
      </c>
      <c r="B20" s="24" t="inlineStr">
        <is>
          <t>SCRAP 80MM² AAAC EARTHWIRE</t>
        </is>
      </c>
      <c r="C20" s="25" t="n">
        <v>333</v>
      </c>
      <c r="D20" s="26" t="n">
        <v>21978</v>
      </c>
      <c r="E20" s="26" t="inlineStr">
        <is>
          <t>KG</t>
        </is>
      </c>
      <c r="F20" s="26" t="n">
        <v>2020</v>
      </c>
      <c r="G20" s="24" t="inlineStr">
        <is>
          <t>OMKAR STEELS</t>
        </is>
      </c>
      <c r="H20" s="27" t="n">
        <v>1165500</v>
      </c>
      <c r="I20" s="27">
        <f>ROUND(H20*18%,0)</f>
        <v/>
      </c>
      <c r="J20" s="27">
        <f>+H20+I20</f>
        <v/>
      </c>
      <c r="K20" s="27">
        <f>ROUND((H20+I20)*2%,0)</f>
        <v/>
      </c>
      <c r="L20" s="28">
        <f>H20*0.1%</f>
        <v/>
      </c>
      <c r="M20" s="28">
        <f>H20*2.25%*118%</f>
        <v/>
      </c>
      <c r="N20" s="29">
        <f>H20*2.25%*2%</f>
        <v/>
      </c>
      <c r="O20" s="28">
        <f>M20-N20</f>
        <v/>
      </c>
      <c r="P20" s="28">
        <f>ROUND(O20+L20,0)</f>
        <v/>
      </c>
      <c r="Q20" s="30" t="n">
        <v>0.02</v>
      </c>
      <c r="R20" s="28">
        <f>ROUND(H20*Q20,0)</f>
        <v/>
      </c>
      <c r="S20" s="27">
        <f>ROUND(H20*117.65%-R20,0)</f>
        <v/>
      </c>
      <c r="T20" s="28">
        <f>ROUND(H20*25%,0)</f>
        <v/>
      </c>
      <c r="U20" s="31" t="n">
        <v>291375</v>
      </c>
      <c r="V20" s="28" t="inlineStr">
        <is>
          <t>10.08.2026</t>
        </is>
      </c>
      <c r="W20" s="28">
        <f>ROUND(H20*92.65%-R20,0)</f>
        <v/>
      </c>
      <c r="X20" s="28" t="n">
        <v>1056525</v>
      </c>
      <c r="Y20" s="28" t="inlineStr">
        <is>
          <t>10.08.2026</t>
        </is>
      </c>
      <c r="Z20" s="28">
        <f>IF(OR(Y20="",Y20=0),H20*0.0118*CEILING((TODAY()-DATE(2026,8,22))/7,1),IF(DATE(VALUE(RIGHT(Y20,4)),VALUE(MID(Y20,4,2)),VALUE(LEFT(Y20,2)))&lt;=DATE(2026,8,24),0,H20*0.0118*CEILING((DATE(VALUE(RIGHT(Y20,4)),VALUE(MID(Y20,4,2)),VALUE(LEFT(Y20,2)))-DATE(2026,8,22))/7,1)))</f>
        <v/>
      </c>
      <c r="AA20" s="28" t="n"/>
      <c r="AB20" s="28" t="n"/>
      <c r="AC20" s="15">
        <f>U20+X20+AA20</f>
        <v/>
      </c>
      <c r="AD20" s="19">
        <f>S20-AC20</f>
        <v/>
      </c>
      <c r="AE20" s="20" t="inlineStr">
        <is>
          <t>DR2640100017</t>
        </is>
      </c>
      <c r="AF20" s="21" t="n">
        <v>1800003065</v>
      </c>
      <c r="AG20" s="22" t="inlineStr">
        <is>
          <t>12.08.2026</t>
        </is>
      </c>
    </row>
    <row r="21" ht="39" customHeight="1">
      <c r="A21" s="23" t="n">
        <v>3</v>
      </c>
      <c r="B21" s="24" t="inlineStr">
        <is>
          <t>Scrap of 132 KV CT</t>
        </is>
      </c>
      <c r="C21" s="25" t="n">
        <v>110200</v>
      </c>
      <c r="D21" s="26" t="n">
        <v>21978</v>
      </c>
      <c r="E21" s="26" t="inlineStr">
        <is>
          <t>NO</t>
        </is>
      </c>
      <c r="F21" s="26" t="n">
        <v>2022</v>
      </c>
      <c r="G21" s="24" t="inlineStr">
        <is>
          <t>NATIONAL SCRAP AND BUILDING MATERIAL SUPPLIER</t>
        </is>
      </c>
      <c r="H21" s="27" t="n">
        <v>330600</v>
      </c>
      <c r="I21" s="27">
        <f>ROUND(H21*18%,0)</f>
        <v/>
      </c>
      <c r="J21" s="27">
        <f>+H21+I21</f>
        <v/>
      </c>
      <c r="K21" s="27">
        <f>ROUND((H21+I21)*2%,0)</f>
        <v/>
      </c>
      <c r="L21" s="28">
        <f>H21*0.1%</f>
        <v/>
      </c>
      <c r="M21" s="28">
        <f>H21*2.25%*118%</f>
        <v/>
      </c>
      <c r="N21" s="29">
        <f>H21*2.25%*2%</f>
        <v/>
      </c>
      <c r="O21" s="28">
        <f>M21-N21</f>
        <v/>
      </c>
      <c r="P21" s="28">
        <f>ROUND(O21+L21,0)</f>
        <v/>
      </c>
      <c r="Q21" s="30" t="n">
        <v>0</v>
      </c>
      <c r="R21" s="28">
        <f>ROUND(H21*Q21,0)</f>
        <v/>
      </c>
      <c r="S21" s="27">
        <f>ROUND(H21*117.65%-R21,0)</f>
        <v/>
      </c>
      <c r="T21" s="28">
        <f>ROUND(H21*25%,0)</f>
        <v/>
      </c>
      <c r="U21" s="31">
        <f>+T21</f>
        <v/>
      </c>
      <c r="V21" s="28" t="inlineStr">
        <is>
          <t>14.08.2026</t>
        </is>
      </c>
      <c r="W21" s="28">
        <f>ROUND(H21*92.65%-R21,0)</f>
        <v/>
      </c>
      <c r="X21" s="28" t="n">
        <v>306301</v>
      </c>
      <c r="Y21" s="28" t="inlineStr">
        <is>
          <t>21.08.2026</t>
        </is>
      </c>
      <c r="Z21" s="28">
        <f>IF(OR(Y21="",Y21=0),H21*0.0118*CEILING((TODAY()-DATE(2026,8,22))/7,1),IF(DATE(VALUE(RIGHT(Y21,4)),VALUE(MID(Y21,4,2)),VALUE(LEFT(Y21,2)))&lt;=DATE(2026,8,24),0,H21*0.0118*CEILING((DATE(VALUE(RIGHT(Y21,4)),VALUE(MID(Y21,4,2)),VALUE(LEFT(Y21,2)))-DATE(2026,8,22))/7,1)))</f>
        <v/>
      </c>
      <c r="AA21" s="28" t="n"/>
      <c r="AB21" s="28" t="n"/>
      <c r="AC21" s="15">
        <f>U21+X21+AA21</f>
        <v/>
      </c>
      <c r="AD21" s="19">
        <f>S21-AC21</f>
        <v/>
      </c>
      <c r="AE21" s="20" t="inlineStr">
        <is>
          <t>DR2640100028</t>
        </is>
      </c>
      <c r="AF21" s="21" t="n">
        <v>1800003269</v>
      </c>
      <c r="AG21" s="22" t="inlineStr">
        <is>
          <t>24.08.2026</t>
        </is>
      </c>
    </row>
    <row r="22" ht="14.25" customHeight="1">
      <c r="A22" s="23" t="n">
        <v>3</v>
      </c>
      <c r="B22" s="24" t="inlineStr">
        <is>
          <t>Scrap of 132 KV CT</t>
        </is>
      </c>
      <c r="C22" s="25" t="n">
        <v>83743</v>
      </c>
      <c r="D22" s="26" t="n">
        <v>21978</v>
      </c>
      <c r="E22" s="26" t="inlineStr">
        <is>
          <t>NO</t>
        </is>
      </c>
      <c r="F22" s="26" t="n">
        <v>2023</v>
      </c>
      <c r="G22" s="24" t="inlineStr">
        <is>
          <t>NATIONAL ENTERPRISES</t>
        </is>
      </c>
      <c r="H22" s="27" t="n">
        <v>251229</v>
      </c>
      <c r="I22" s="27">
        <f>ROUND(H22*18%,0)</f>
        <v/>
      </c>
      <c r="J22" s="27">
        <f>+H22+I22</f>
        <v/>
      </c>
      <c r="K22" s="27">
        <f>ROUND((H22+I22)*2%,0)</f>
        <v/>
      </c>
      <c r="L22" s="28">
        <f>H22*0.1%</f>
        <v/>
      </c>
      <c r="M22" s="28">
        <f>H22*2.25%*118%</f>
        <v/>
      </c>
      <c r="N22" s="29">
        <f>H22*2.25%*2%</f>
        <v/>
      </c>
      <c r="O22" s="28">
        <f>M22-N22</f>
        <v/>
      </c>
      <c r="P22" s="28">
        <f>ROUND(O22+L22,0)</f>
        <v/>
      </c>
      <c r="Q22" s="30" t="n">
        <v>0</v>
      </c>
      <c r="R22" s="28">
        <f>ROUND(H22*Q22,0)</f>
        <v/>
      </c>
      <c r="S22" s="27">
        <f>ROUND(H22*117.65%-R22,0)</f>
        <v/>
      </c>
      <c r="T22" s="28">
        <f>ROUND(H22*25%,0)</f>
        <v/>
      </c>
      <c r="U22" s="31">
        <f>+T22</f>
        <v/>
      </c>
      <c r="V22" s="28" t="inlineStr">
        <is>
          <t>13.08.2026</t>
        </is>
      </c>
      <c r="W22" s="28">
        <f>ROUND(H22*92.65%-R22,0)</f>
        <v/>
      </c>
      <c r="X22" s="28" t="n">
        <v>232764</v>
      </c>
      <c r="Y22" s="28" t="inlineStr">
        <is>
          <t>24.08.2026</t>
        </is>
      </c>
      <c r="Z22" s="28">
        <f>IF(OR(Y22="",Y22=0),H22*0.0118*CEILING((TODAY()-DATE(2026,8,22))/7,1),IF(DATE(VALUE(RIGHT(Y22,4)),VALUE(MID(Y22,4,2)),VALUE(LEFT(Y22,2)))&lt;=DATE(2026,8,24),0,H22*0.0118*CEILING((DATE(VALUE(RIGHT(Y22,4)),VALUE(MID(Y22,4,2)),VALUE(LEFT(Y22,2)))-DATE(2026,8,22))/7,1)))</f>
        <v/>
      </c>
      <c r="AA22" s="28" t="n"/>
      <c r="AB22" s="28" t="n"/>
      <c r="AC22" s="15">
        <f>U22+X22+AA22</f>
        <v/>
      </c>
      <c r="AD22" s="19">
        <f>S22-AC22</f>
        <v/>
      </c>
      <c r="AE22" s="20" t="inlineStr">
        <is>
          <t>DR2640100044</t>
        </is>
      </c>
      <c r="AF22" s="21" t="n">
        <v>1800003308</v>
      </c>
      <c r="AG22" s="22" t="inlineStr">
        <is>
          <t>27.08.2026</t>
        </is>
      </c>
    </row>
    <row r="23" ht="14.25" customHeight="1">
      <c r="A23" s="23" t="n">
        <v>90</v>
      </c>
      <c r="B23" s="24" t="inlineStr">
        <is>
          <t>Scrap of empty oil Barrels</t>
        </is>
      </c>
      <c r="C23" s="25" t="n">
        <v>700</v>
      </c>
      <c r="D23" s="26" t="n">
        <v>21978</v>
      </c>
      <c r="E23" s="26" t="inlineStr">
        <is>
          <t>NO</t>
        </is>
      </c>
      <c r="F23" s="26" t="n">
        <v>2025</v>
      </c>
      <c r="G23" s="24" t="inlineStr">
        <is>
          <t>STERLING ENTERPRISES</t>
        </is>
      </c>
      <c r="H23" s="27" t="n">
        <v>63000</v>
      </c>
      <c r="I23" s="27">
        <f>ROUND(H23*18%,0)</f>
        <v/>
      </c>
      <c r="J23" s="27">
        <f>+H23+I23</f>
        <v/>
      </c>
      <c r="K23" s="27">
        <f>ROUND((H23+I23)*2%,0)</f>
        <v/>
      </c>
      <c r="L23" s="28">
        <f>H23*0.1%</f>
        <v/>
      </c>
      <c r="M23" s="28">
        <f>H23*2.25%*118%</f>
        <v/>
      </c>
      <c r="N23" s="29">
        <f>H23*2.25%*2%</f>
        <v/>
      </c>
      <c r="O23" s="28">
        <f>M23-N23</f>
        <v/>
      </c>
      <c r="P23" s="28">
        <f>ROUND(O23+L23,0)</f>
        <v/>
      </c>
      <c r="Q23" s="30" t="n">
        <v>0</v>
      </c>
      <c r="R23" s="28">
        <f>ROUND(H23*Q23,0)</f>
        <v/>
      </c>
      <c r="S23" s="27">
        <f>ROUND(H23*117.65%-R23,0)</f>
        <v/>
      </c>
      <c r="T23" s="28">
        <f>ROUND(H23*25%,0)</f>
        <v/>
      </c>
      <c r="U23" s="31" t="n">
        <v>15750</v>
      </c>
      <c r="V23" s="28" t="inlineStr">
        <is>
          <t>11.08.2026</t>
        </is>
      </c>
      <c r="W23" s="28">
        <f>ROUND(H23*92.65%-R23,0)</f>
        <v/>
      </c>
      <c r="X23" s="28" t="n">
        <v>58418</v>
      </c>
      <c r="Y23" s="28" t="inlineStr">
        <is>
          <t>11.08.2026</t>
        </is>
      </c>
      <c r="Z23" s="28">
        <f>IF(OR(Y23="",Y23=0),H23*0.0118*CEILING((TODAY()-DATE(2026,8,22))/7,1),IF(DATE(VALUE(RIGHT(Y23,4)),VALUE(MID(Y23,4,2)),VALUE(LEFT(Y23,2)))&lt;=DATE(2026,8,24),0,H23*0.0118*CEILING((DATE(VALUE(RIGHT(Y23,4)),VALUE(MID(Y23,4,2)),VALUE(LEFT(Y23,2)))-DATE(2026,8,22))/7,1)))</f>
        <v/>
      </c>
      <c r="AA23" s="28" t="n"/>
      <c r="AB23" s="28" t="n"/>
      <c r="AC23" s="15">
        <f>U23+X23+AA23</f>
        <v/>
      </c>
      <c r="AD23" s="19">
        <f>S23-AC23</f>
        <v/>
      </c>
      <c r="AE23" s="20" t="inlineStr">
        <is>
          <t>DR2640100021</t>
        </is>
      </c>
      <c r="AF23" s="21" t="n">
        <v>1800003160</v>
      </c>
      <c r="AG23" s="22" t="inlineStr">
        <is>
          <t>14.08.2026</t>
        </is>
      </c>
    </row>
    <row r="24" ht="14.25" customHeight="1">
      <c r="A24" s="23" t="n">
        <v>1</v>
      </c>
      <c r="B24" s="24" t="inlineStr">
        <is>
          <t>Scrap of 132 KV CT</t>
        </is>
      </c>
      <c r="C24" s="25" t="n">
        <v>50003</v>
      </c>
      <c r="D24" s="26" t="n">
        <v>21978</v>
      </c>
      <c r="E24" s="26" t="inlineStr">
        <is>
          <t>NO</t>
        </is>
      </c>
      <c r="F24" s="26" t="n">
        <v>2027</v>
      </c>
      <c r="G24" s="24" t="inlineStr">
        <is>
          <t>NATIONAL ENTERPRISES</t>
        </is>
      </c>
      <c r="H24" s="27" t="n">
        <v>50003</v>
      </c>
      <c r="I24" s="27">
        <f>ROUND(H24*18%,0)</f>
        <v/>
      </c>
      <c r="J24" s="27">
        <f>+H24+I24</f>
        <v/>
      </c>
      <c r="K24" s="27">
        <f>ROUND((H24+I24)*2%,0)</f>
        <v/>
      </c>
      <c r="L24" s="28">
        <f>H24*0.1%</f>
        <v/>
      </c>
      <c r="M24" s="28">
        <f>H24*2.25%*118%</f>
        <v/>
      </c>
      <c r="N24" s="29">
        <f>H24*2.25%*2%</f>
        <v/>
      </c>
      <c r="O24" s="28">
        <f>M24-N24</f>
        <v/>
      </c>
      <c r="P24" s="28">
        <f>ROUND(O24+L24,0)</f>
        <v/>
      </c>
      <c r="Q24" s="30" t="n">
        <v>0</v>
      </c>
      <c r="R24" s="28">
        <f>ROUND(H24*Q24,0)</f>
        <v/>
      </c>
      <c r="S24" s="27">
        <f>ROUND(H24*117.65%-R24,0)</f>
        <v/>
      </c>
      <c r="T24" s="28">
        <f>ROUND(H24*25%,0)</f>
        <v/>
      </c>
      <c r="U24" s="31">
        <f>+T24</f>
        <v/>
      </c>
      <c r="V24" s="28" t="inlineStr">
        <is>
          <t>13.08.2026</t>
        </is>
      </c>
      <c r="W24" s="28">
        <f>ROUND(H24*92.65%-R24,0)</f>
        <v/>
      </c>
      <c r="X24" s="28" t="n">
        <v>46328</v>
      </c>
      <c r="Y24" s="28" t="inlineStr">
        <is>
          <t>24.08.2026</t>
        </is>
      </c>
      <c r="Z24" s="28">
        <f>IF(OR(Y24="",Y24=0),H24*0.0118*CEILING((TODAY()-DATE(2026,8,22))/7,1),IF(DATE(VALUE(RIGHT(Y24,4)),VALUE(MID(Y24,4,2)),VALUE(LEFT(Y24,2)))&lt;=DATE(2026,8,24),0,H24*0.0118*CEILING((DATE(VALUE(RIGHT(Y24,4)),VALUE(MID(Y24,4,2)),VALUE(LEFT(Y24,2)))-DATE(2026,8,22))/7,1)))</f>
        <v/>
      </c>
      <c r="AA24" s="28" t="n"/>
      <c r="AB24" s="28" t="n"/>
      <c r="AC24" s="15">
        <f>U24+X24+AA24</f>
        <v/>
      </c>
      <c r="AD24" s="19">
        <f>S24-AC24</f>
        <v/>
      </c>
      <c r="AE24" s="20" t="inlineStr">
        <is>
          <t>DR2640100036</t>
        </is>
      </c>
      <c r="AF24" s="21" t="n">
        <v>1800003309</v>
      </c>
      <c r="AG24" s="22" t="inlineStr">
        <is>
          <t>27.08.2026</t>
        </is>
      </c>
    </row>
    <row r="25" ht="14.25" customHeight="1">
      <c r="A25" s="23" t="n">
        <v>1000</v>
      </c>
      <c r="B25" s="24" t="inlineStr">
        <is>
          <t>Scrap Empty Oil Drum/ Barrel</t>
        </is>
      </c>
      <c r="C25" s="25" t="n">
        <v>517</v>
      </c>
      <c r="D25" s="26" t="n">
        <v>21978</v>
      </c>
      <c r="E25" s="26" t="inlineStr">
        <is>
          <t>NO</t>
        </is>
      </c>
      <c r="F25" s="26" t="n">
        <v>2033</v>
      </c>
      <c r="G25" s="24" t="inlineStr">
        <is>
          <t>WATAN SCRAP TRADERS</t>
        </is>
      </c>
      <c r="H25" s="27" t="n">
        <v>517000</v>
      </c>
      <c r="I25" s="27">
        <f>ROUND(H25*18%,0)</f>
        <v/>
      </c>
      <c r="J25" s="27">
        <f>+H25+I25</f>
        <v/>
      </c>
      <c r="K25" s="27">
        <f>ROUND((H25+I25)*2%,0)</f>
        <v/>
      </c>
      <c r="L25" s="28">
        <f>H25*0.1%</f>
        <v/>
      </c>
      <c r="M25" s="28">
        <f>H25*2.25%*118%</f>
        <v/>
      </c>
      <c r="N25" s="29">
        <f>H25*2.25%*2%</f>
        <v/>
      </c>
      <c r="O25" s="28">
        <f>M25-N25</f>
        <v/>
      </c>
      <c r="P25" s="28">
        <f>ROUND(O25+L25,0)</f>
        <v/>
      </c>
      <c r="Q25" s="30" t="n">
        <v>0</v>
      </c>
      <c r="R25" s="28">
        <f>ROUND(H25*Q25,0)</f>
        <v/>
      </c>
      <c r="S25" s="27">
        <f>ROUND(H25*117.65%-R25,0)</f>
        <v/>
      </c>
      <c r="T25" s="28">
        <f>ROUND(H25*25%,0)</f>
        <v/>
      </c>
      <c r="U25" s="31" t="n">
        <v>129250</v>
      </c>
      <c r="V25" s="28" t="inlineStr">
        <is>
          <t>14.08.2026</t>
        </is>
      </c>
      <c r="W25" s="28">
        <f>ROUND(H25*92.65%-R25,0)</f>
        <v/>
      </c>
      <c r="X25" s="28" t="n">
        <v>479001</v>
      </c>
      <c r="Y25" s="28" t="inlineStr">
        <is>
          <t>21.08.2026</t>
        </is>
      </c>
      <c r="Z25" s="28">
        <f>IF(OR(Y25="",Y25=0),H25*0.0118*CEILING((TODAY()-DATE(2026,8,22))/7,1),IF(DATE(VALUE(RIGHT(Y25,4)),VALUE(MID(Y25,4,2)),VALUE(LEFT(Y25,2)))&lt;=DATE(2026,8,24),0,H25*0.0118*CEILING((DATE(VALUE(RIGHT(Y25,4)),VALUE(MID(Y25,4,2)),VALUE(LEFT(Y25,2)))-DATE(2026,8,22))/7,1)))</f>
        <v/>
      </c>
      <c r="AA25" s="28" t="n"/>
      <c r="AB25" s="28" t="n"/>
      <c r="AC25" s="15">
        <f>U25+X25+AA25</f>
        <v/>
      </c>
      <c r="AD25" s="19">
        <f>S25-AC25</f>
        <v/>
      </c>
      <c r="AE25" s="20" t="inlineStr">
        <is>
          <t>DR2640100042</t>
        </is>
      </c>
      <c r="AF25" s="21" t="n">
        <v>1800003317</v>
      </c>
      <c r="AG25" s="22" t="inlineStr">
        <is>
          <t>27.08.2026</t>
        </is>
      </c>
    </row>
    <row r="26" ht="14.25" customHeight="1">
      <c r="A26" s="23" t="n">
        <v>2</v>
      </c>
      <c r="B26" s="24" t="inlineStr">
        <is>
          <t>Scrap of 132 KV Wave Trap</t>
        </is>
      </c>
      <c r="C26" s="25" t="n">
        <v>14001</v>
      </c>
      <c r="D26" s="26" t="n">
        <v>21978</v>
      </c>
      <c r="E26" s="26" t="inlineStr">
        <is>
          <t>NO</t>
        </is>
      </c>
      <c r="F26" s="26" t="n">
        <v>2035</v>
      </c>
      <c r="G26" s="24" t="inlineStr">
        <is>
          <t>NATIONAL ENTERPRISES</t>
        </is>
      </c>
      <c r="H26" s="27" t="n">
        <v>28002</v>
      </c>
      <c r="I26" s="27">
        <f>ROUND(H26*18%,0)</f>
        <v/>
      </c>
      <c r="J26" s="27">
        <f>+H26+I26</f>
        <v/>
      </c>
      <c r="K26" s="27">
        <f>ROUND((H26+I26)*2%,0)</f>
        <v/>
      </c>
      <c r="L26" s="28">
        <f>H26*0.1%</f>
        <v/>
      </c>
      <c r="M26" s="28">
        <f>H26*2.25%*118%</f>
        <v/>
      </c>
      <c r="N26" s="29">
        <f>H26*2.25%*2%</f>
        <v/>
      </c>
      <c r="O26" s="28">
        <f>M26-N26</f>
        <v/>
      </c>
      <c r="P26" s="28">
        <f>ROUND(O26+L26,0)</f>
        <v/>
      </c>
      <c r="Q26" s="30" t="n">
        <v>0</v>
      </c>
      <c r="R26" s="28">
        <f>ROUND(H26*Q26,0)</f>
        <v/>
      </c>
      <c r="S26" s="27">
        <f>ROUND(H26*117.65%-R26,0)</f>
        <v/>
      </c>
      <c r="T26" s="28">
        <f>ROUND(H26*25%,0)</f>
        <v/>
      </c>
      <c r="U26" s="31">
        <f>+T26</f>
        <v/>
      </c>
      <c r="V26" s="28" t="inlineStr">
        <is>
          <t>13.08.2026</t>
        </is>
      </c>
      <c r="W26" s="28">
        <f>ROUND(H26*92.65%-R26,0)</f>
        <v/>
      </c>
      <c r="X26" s="28" t="n">
        <v>25943</v>
      </c>
      <c r="Y26" s="28" t="inlineStr">
        <is>
          <t>24.08.2026</t>
        </is>
      </c>
      <c r="Z26" s="28">
        <f>IF(OR(Y26="",Y26=0),H26*0.0118*CEILING((TODAY()-DATE(2026,8,22))/7,1),IF(DATE(VALUE(RIGHT(Y26,4)),VALUE(MID(Y26,4,2)),VALUE(LEFT(Y26,2)))&lt;=DATE(2026,8,24),0,H26*0.0118*CEILING((DATE(VALUE(RIGHT(Y26,4)),VALUE(MID(Y26,4,2)),VALUE(LEFT(Y26,2)))-DATE(2026,8,22))/7,1)))</f>
        <v/>
      </c>
      <c r="AA26" s="28" t="n"/>
      <c r="AB26" s="28" t="n"/>
      <c r="AC26" s="15">
        <f>U26+X26+AA26</f>
        <v/>
      </c>
      <c r="AD26" s="19">
        <f>S26-AC26</f>
        <v/>
      </c>
      <c r="AE26" s="20" t="inlineStr">
        <is>
          <t>DR2640100037</t>
        </is>
      </c>
      <c r="AF26" s="21" t="n">
        <v>1800003310</v>
      </c>
      <c r="AG26" s="22" t="inlineStr">
        <is>
          <t>27.08.2026</t>
        </is>
      </c>
    </row>
    <row r="27" ht="26.25" customHeight="1">
      <c r="A27" s="23" t="n">
        <v>8.199999999999999</v>
      </c>
      <c r="B27" s="24" t="inlineStr">
        <is>
          <t>Mix Scrap (Tower angles &amp; 0.2 ACSR Condutor pieces)</t>
        </is>
      </c>
      <c r="C27" s="25" t="n">
        <v>67000</v>
      </c>
      <c r="D27" s="26" t="n">
        <v>21978</v>
      </c>
      <c r="E27" s="26" t="inlineStr">
        <is>
          <t>MT</t>
        </is>
      </c>
      <c r="F27" s="26" t="n">
        <v>2036</v>
      </c>
      <c r="G27" s="24" t="inlineStr">
        <is>
          <t>M I SCRAP TRADERS</t>
        </is>
      </c>
      <c r="H27" s="27" t="n">
        <v>549400</v>
      </c>
      <c r="I27" s="27">
        <f>ROUND(H27*18%,0)</f>
        <v/>
      </c>
      <c r="J27" s="27">
        <f>+H27+I27</f>
        <v/>
      </c>
      <c r="K27" s="27">
        <f>ROUND((H27+I27)*2%,0)</f>
        <v/>
      </c>
      <c r="L27" s="28">
        <f>H27*0.1%</f>
        <v/>
      </c>
      <c r="M27" s="28">
        <f>H27*2.25%*118%</f>
        <v/>
      </c>
      <c r="N27" s="29">
        <f>H27*2.25%*2%</f>
        <v/>
      </c>
      <c r="O27" s="28">
        <f>M27-N27</f>
        <v/>
      </c>
      <c r="P27" s="28">
        <f>ROUND(O27+L27,0)</f>
        <v/>
      </c>
      <c r="Q27" s="30" t="n">
        <v>0.02</v>
      </c>
      <c r="R27" s="28">
        <f>ROUND(H27*Q27,0)</f>
        <v/>
      </c>
      <c r="S27" s="27">
        <f>ROUND(H27*117.65%-R27,0)</f>
        <v/>
      </c>
      <c r="T27" s="28">
        <f>ROUND(H27*25%,0)</f>
        <v/>
      </c>
      <c r="U27" s="31" t="n">
        <v>137350</v>
      </c>
      <c r="V27" s="28" t="inlineStr">
        <is>
          <t>14.08.2026</t>
        </is>
      </c>
      <c r="W27" s="28">
        <f>ROUND(H27*92.65%-R27,0)</f>
        <v/>
      </c>
      <c r="X27" s="28" t="n"/>
      <c r="Y27" s="28" t="n">
        <v>0</v>
      </c>
      <c r="Z27" s="28">
        <f>IF(OR(Y27="",Y27=0),H27*0.0118*CEILING((TODAY()-DATE(2026,8,22))/7,1),IF(DATE(VALUE(RIGHT(Y27,4)),VALUE(MID(Y27,4,2)),VALUE(LEFT(Y27,2)))&lt;=DATE(2026,8,24),0,H27*0.0118*CEILING((DATE(VALUE(RIGHT(Y27,4)),VALUE(MID(Y27,4,2)),VALUE(LEFT(Y27,2)))-DATE(2026,8,22))/7,1)))</f>
        <v/>
      </c>
      <c r="AA27" s="28" t="n"/>
      <c r="AB27" s="28" t="n"/>
      <c r="AC27" s="15">
        <f>U27+X27+AA27</f>
        <v/>
      </c>
      <c r="AD27" s="19">
        <f>S27-AC27</f>
        <v/>
      </c>
      <c r="AE27" s="20" t="n"/>
      <c r="AF27" s="21" t="n"/>
      <c r="AG27" s="22" t="n"/>
    </row>
    <row r="28" ht="14.25" customHeight="1">
      <c r="A28" s="23" t="n">
        <v>50</v>
      </c>
      <c r="B28" s="24" t="inlineStr">
        <is>
          <t>Scrap of empty oil Barrels</t>
        </is>
      </c>
      <c r="C28" s="25" t="n">
        <v>531</v>
      </c>
      <c r="D28" s="26" t="n">
        <v>21978</v>
      </c>
      <c r="E28" s="26" t="inlineStr">
        <is>
          <t>NO</t>
        </is>
      </c>
      <c r="F28" s="26" t="n">
        <v>2037</v>
      </c>
      <c r="G28" s="24" t="inlineStr">
        <is>
          <t>WATAN SCRAP TRADERS</t>
        </is>
      </c>
      <c r="H28" s="27" t="n">
        <v>26550</v>
      </c>
      <c r="I28" s="27">
        <f>ROUND(H28*18%,0)</f>
        <v/>
      </c>
      <c r="J28" s="27">
        <f>+H28+I28</f>
        <v/>
      </c>
      <c r="K28" s="27">
        <f>ROUND((H28+I28)*2%,0)</f>
        <v/>
      </c>
      <c r="L28" s="28">
        <f>H28*0.1%</f>
        <v/>
      </c>
      <c r="M28" s="28">
        <f>H28*2.25%*118%</f>
        <v/>
      </c>
      <c r="N28" s="29">
        <f>H28*2.25%*2%</f>
        <v/>
      </c>
      <c r="O28" s="28">
        <f>M28-N28</f>
        <v/>
      </c>
      <c r="P28" s="28">
        <f>ROUND(O28+L28,0)</f>
        <v/>
      </c>
      <c r="Q28" s="30" t="n">
        <v>0</v>
      </c>
      <c r="R28" s="28">
        <f>ROUND(H28*Q28,0)</f>
        <v/>
      </c>
      <c r="S28" s="27">
        <f>ROUND(H28*117.65%-R28,0)</f>
        <v/>
      </c>
      <c r="T28" s="28">
        <f>ROUND(H28*25%,0)</f>
        <v/>
      </c>
      <c r="U28" s="31" t="n">
        <v>6638</v>
      </c>
      <c r="V28" s="28" t="inlineStr">
        <is>
          <t>14.08.2026</t>
        </is>
      </c>
      <c r="W28" s="28">
        <f>ROUND(H28*92.65%-R28,0)</f>
        <v/>
      </c>
      <c r="X28" s="28" t="n">
        <v>24598</v>
      </c>
      <c r="Y28" s="28" t="inlineStr">
        <is>
          <t>21.08.2026</t>
        </is>
      </c>
      <c r="Z28" s="28">
        <f>IF(OR(Y28="",Y28=0),H28*0.0118*CEILING((TODAY()-DATE(2026,8,22))/7,1),IF(DATE(VALUE(RIGHT(Y28,4)),VALUE(MID(Y28,4,2)),VALUE(LEFT(Y28,2)))&lt;=DATE(2026,8,24),0,H28*0.0118*CEILING((DATE(VALUE(RIGHT(Y28,4)),VALUE(MID(Y28,4,2)),VALUE(LEFT(Y28,2)))-DATE(2026,8,22))/7,1)))</f>
        <v/>
      </c>
      <c r="AA28" s="28" t="n"/>
      <c r="AB28" s="28" t="n"/>
      <c r="AC28" s="15">
        <f>U28+X28+AA28</f>
        <v/>
      </c>
      <c r="AD28" s="19">
        <f>S28-AC28</f>
        <v/>
      </c>
      <c r="AE28" s="20" t="inlineStr">
        <is>
          <t>DR2640100043</t>
        </is>
      </c>
      <c r="AF28" s="21" t="n">
        <v>1800003318</v>
      </c>
      <c r="AG28" s="22" t="inlineStr">
        <is>
          <t>27.08.2026</t>
        </is>
      </c>
    </row>
    <row r="29" ht="14.25" customHeight="1">
      <c r="A29" s="23" t="n">
        <v>3</v>
      </c>
      <c r="B29" s="24" t="inlineStr">
        <is>
          <t>Scrap of 33 KV CT</t>
        </is>
      </c>
      <c r="C29" s="25" t="n">
        <v>90002</v>
      </c>
      <c r="D29" s="26" t="n">
        <v>21978</v>
      </c>
      <c r="E29" s="26" t="inlineStr">
        <is>
          <t>NO</t>
        </is>
      </c>
      <c r="F29" s="26" t="n">
        <v>2040</v>
      </c>
      <c r="G29" s="24" t="inlineStr">
        <is>
          <t>STERLING ENTERPRISES</t>
        </is>
      </c>
      <c r="H29" s="27" t="n">
        <v>270006</v>
      </c>
      <c r="I29" s="27">
        <f>ROUND(H29*18%,0)</f>
        <v/>
      </c>
      <c r="J29" s="27">
        <f>+H29+I29</f>
        <v/>
      </c>
      <c r="K29" s="27">
        <f>ROUND((H29+I29)*2%,0)</f>
        <v/>
      </c>
      <c r="L29" s="28">
        <f>H29*0.1%</f>
        <v/>
      </c>
      <c r="M29" s="28">
        <f>H29*2.25%*118%</f>
        <v/>
      </c>
      <c r="N29" s="29">
        <f>H29*2.25%*2%</f>
        <v/>
      </c>
      <c r="O29" s="28">
        <f>M29-N29</f>
        <v/>
      </c>
      <c r="P29" s="28">
        <f>ROUND(O29+L29,0)</f>
        <v/>
      </c>
      <c r="Q29" s="30" t="n">
        <v>0</v>
      </c>
      <c r="R29" s="28">
        <f>ROUND(H29*Q29,0)</f>
        <v/>
      </c>
      <c r="S29" s="27">
        <f>ROUND(H29*117.65%-R29,0)</f>
        <v/>
      </c>
      <c r="T29" s="28">
        <f>ROUND(H29*25%,0)</f>
        <v/>
      </c>
      <c r="U29" s="31" t="n">
        <v>67502</v>
      </c>
      <c r="V29" s="28" t="inlineStr">
        <is>
          <t>11.08.2026</t>
        </is>
      </c>
      <c r="W29" s="28">
        <f>ROUND(H29*92.65%-R29,0)</f>
        <v/>
      </c>
      <c r="X29" s="28" t="n"/>
      <c r="Y29" s="28" t="n">
        <v>0</v>
      </c>
      <c r="Z29" s="28">
        <f>IF(OR(Y29="",Y29=0),H29*0.0118*CEILING((TODAY()-DATE(2026,8,22))/7,1),IF(DATE(VALUE(RIGHT(Y29,4)),VALUE(MID(Y29,4,2)),VALUE(LEFT(Y29,2)))&lt;=DATE(2026,8,24),0,H29*0.0118*CEILING((DATE(VALUE(RIGHT(Y29,4)),VALUE(MID(Y29,4,2)),VALUE(LEFT(Y29,2)))-DATE(2026,8,22))/7,1)))</f>
        <v/>
      </c>
      <c r="AA29" s="28" t="n"/>
      <c r="AB29" s="28" t="n"/>
      <c r="AC29" s="15">
        <f>U29+X29+AA29</f>
        <v/>
      </c>
      <c r="AD29" s="19">
        <f>S29-AC29</f>
        <v/>
      </c>
      <c r="AE29" s="20" t="n"/>
      <c r="AF29" s="21" t="n"/>
      <c r="AG29" s="22" t="n"/>
    </row>
    <row r="30" ht="14.25" customHeight="1">
      <c r="A30" s="23" t="n">
        <v>5</v>
      </c>
      <c r="B30" s="24" t="inlineStr">
        <is>
          <t>Scrap of 132 KV CT</t>
        </is>
      </c>
      <c r="C30" s="25" t="n">
        <v>80000</v>
      </c>
      <c r="D30" s="26" t="n">
        <v>21979</v>
      </c>
      <c r="E30" s="26" t="inlineStr">
        <is>
          <t>NO</t>
        </is>
      </c>
      <c r="F30" s="26" t="n">
        <v>2043</v>
      </c>
      <c r="G30" s="24" t="inlineStr">
        <is>
          <t>NATIONAL ENTERPRISES</t>
        </is>
      </c>
      <c r="H30" s="27" t="n">
        <v>400000</v>
      </c>
      <c r="I30" s="27">
        <f>ROUND(H30*18%,0)</f>
        <v/>
      </c>
      <c r="J30" s="27">
        <f>+H30+I30</f>
        <v/>
      </c>
      <c r="K30" s="27">
        <f>ROUND((H30+I30)*2%,0)</f>
        <v/>
      </c>
      <c r="L30" s="28">
        <f>H30*0.1%</f>
        <v/>
      </c>
      <c r="M30" s="28">
        <f>H30*2.25%*118%</f>
        <v/>
      </c>
      <c r="N30" s="29">
        <f>H30*2.25%*2%</f>
        <v/>
      </c>
      <c r="O30" s="28">
        <f>M30-N30</f>
        <v/>
      </c>
      <c r="P30" s="28">
        <f>ROUND(O30+L30,0)</f>
        <v/>
      </c>
      <c r="Q30" s="30" t="n">
        <v>0</v>
      </c>
      <c r="R30" s="28">
        <f>ROUND(H30*Q30,0)</f>
        <v/>
      </c>
      <c r="S30" s="27">
        <f>ROUND(H30*117.65%-R30,0)</f>
        <v/>
      </c>
      <c r="T30" s="28">
        <f>ROUND(H30*25%,0)</f>
        <v/>
      </c>
      <c r="U30" s="31">
        <f>+T30</f>
        <v/>
      </c>
      <c r="V30" s="28" t="inlineStr">
        <is>
          <t>13.08.2026</t>
        </is>
      </c>
      <c r="W30" s="28">
        <f>ROUND(H30*92.65%-R30,0)</f>
        <v/>
      </c>
      <c r="X30" s="28" t="n">
        <v>370600</v>
      </c>
      <c r="Y30" s="28" t="inlineStr">
        <is>
          <t>24.08.2026</t>
        </is>
      </c>
      <c r="Z30" s="28">
        <f>IF(OR(Y30="",Y30=0),H30*0.0118*CEILING((TODAY()-DATE(2026,8,22))/7,1),IF(DATE(VALUE(RIGHT(Y30,4)),VALUE(MID(Y30,4,2)),VALUE(LEFT(Y30,2)))&lt;=DATE(2026,8,24),0,H30*0.0118*CEILING((DATE(VALUE(RIGHT(Y30,4)),VALUE(MID(Y30,4,2)),VALUE(LEFT(Y30,2)))-DATE(2026,8,22))/7,1)))</f>
        <v/>
      </c>
      <c r="AA30" s="28" t="n"/>
      <c r="AB30" s="28" t="n"/>
      <c r="AC30" s="15">
        <f>U30+X30+AA30</f>
        <v/>
      </c>
      <c r="AD30" s="19">
        <f>S30-AC30</f>
        <v/>
      </c>
      <c r="AE30" s="20" t="inlineStr">
        <is>
          <t>DR2640100038</t>
        </is>
      </c>
      <c r="AF30" s="21" t="n">
        <v>1800003311</v>
      </c>
      <c r="AG30" s="22" t="inlineStr">
        <is>
          <t>27.08.2026</t>
        </is>
      </c>
    </row>
    <row r="31" ht="14.25" customHeight="1">
      <c r="A31" s="23" t="n">
        <v>670</v>
      </c>
      <c r="B31" s="24" t="inlineStr">
        <is>
          <t>Scrap of AAAC Earth wire</t>
        </is>
      </c>
      <c r="C31" s="25" t="n">
        <v>309</v>
      </c>
      <c r="D31" s="26" t="n">
        <v>21979</v>
      </c>
      <c r="E31" s="26" t="inlineStr">
        <is>
          <t>KG</t>
        </is>
      </c>
      <c r="F31" s="26" t="n">
        <v>2046</v>
      </c>
      <c r="G31" s="24" t="inlineStr">
        <is>
          <t>SAHARA ENTERPRISES</t>
        </is>
      </c>
      <c r="H31" s="27" t="n">
        <v>207030</v>
      </c>
      <c r="I31" s="27">
        <f>ROUND(H31*18%,0)</f>
        <v/>
      </c>
      <c r="J31" s="27">
        <f>+H31+I31</f>
        <v/>
      </c>
      <c r="K31" s="27">
        <f>ROUND((H31+I31)*2%,0)</f>
        <v/>
      </c>
      <c r="L31" s="28">
        <f>H31*0.1%</f>
        <v/>
      </c>
      <c r="M31" s="28">
        <f>H31*2.25%*118%</f>
        <v/>
      </c>
      <c r="N31" s="29">
        <f>H31*2.25%*2%</f>
        <v/>
      </c>
      <c r="O31" s="28">
        <f>M31-N31</f>
        <v/>
      </c>
      <c r="P31" s="28">
        <f>ROUND(O31+L31,0)</f>
        <v/>
      </c>
      <c r="Q31" s="30" t="n">
        <v>0</v>
      </c>
      <c r="R31" s="28">
        <f>ROUND(H31*Q31,0)</f>
        <v/>
      </c>
      <c r="S31" s="27">
        <f>ROUND(H31*117.65%-R31,0)</f>
        <v/>
      </c>
      <c r="T31" s="28">
        <f>ROUND(H31*25%,0)</f>
        <v/>
      </c>
      <c r="U31" s="31" t="n">
        <v>51758</v>
      </c>
      <c r="V31" s="28" t="inlineStr">
        <is>
          <t>11.08.2026</t>
        </is>
      </c>
      <c r="W31" s="28">
        <f>ROUND(H31*92.65%-R31,0)</f>
        <v/>
      </c>
      <c r="X31" s="28" t="n">
        <v>191812</v>
      </c>
      <c r="Y31" s="28" t="inlineStr">
        <is>
          <t>21.08.2026</t>
        </is>
      </c>
      <c r="Z31" s="28">
        <f>IF(OR(Y31="",Y31=0),H31*0.0118*CEILING((TODAY()-DATE(2026,8,22))/7,1),IF(DATE(VALUE(RIGHT(Y31,4)),VALUE(MID(Y31,4,2)),VALUE(LEFT(Y31,2)))&lt;=DATE(2026,8,24),0,H31*0.0118*CEILING((DATE(VALUE(RIGHT(Y31,4)),VALUE(MID(Y31,4,2)),VALUE(LEFT(Y31,2)))-DATE(2026,8,22))/7,1)))</f>
        <v/>
      </c>
      <c r="AA31" s="28" t="n"/>
      <c r="AB31" s="28" t="n"/>
      <c r="AC31" s="15">
        <f>U31+X31+AA31</f>
        <v/>
      </c>
      <c r="AD31" s="19">
        <f>S31-AC31</f>
        <v/>
      </c>
      <c r="AE31" s="20" t="inlineStr">
        <is>
          <t>DR2640100041</t>
        </is>
      </c>
      <c r="AF31" s="21" t="n">
        <v>1800003316</v>
      </c>
      <c r="AG31" s="22" t="inlineStr">
        <is>
          <t>27.08.2026</t>
        </is>
      </c>
    </row>
    <row r="32" ht="14.25" customHeight="1">
      <c r="A32" s="23" t="n">
        <v>2</v>
      </c>
      <c r="B32" s="24" t="inlineStr">
        <is>
          <t>Scrap of 220 KV CT</t>
        </is>
      </c>
      <c r="C32" s="25" t="n">
        <v>80006</v>
      </c>
      <c r="D32" s="26" t="n">
        <v>21979</v>
      </c>
      <c r="E32" s="26" t="inlineStr">
        <is>
          <t>NO</t>
        </is>
      </c>
      <c r="F32" s="26" t="n">
        <v>2055</v>
      </c>
      <c r="G32" s="24" t="inlineStr">
        <is>
          <t>NATIONAL ENTERPRISES</t>
        </is>
      </c>
      <c r="H32" s="27" t="n">
        <v>160012</v>
      </c>
      <c r="I32" s="27">
        <f>ROUND(H32*18%,0)</f>
        <v/>
      </c>
      <c r="J32" s="27">
        <f>+H32+I32</f>
        <v/>
      </c>
      <c r="K32" s="27">
        <f>ROUND((H32+I32)*2%,0)</f>
        <v/>
      </c>
      <c r="L32" s="28">
        <f>H32*0.1%</f>
        <v/>
      </c>
      <c r="M32" s="28">
        <f>H32*2.25%*118%</f>
        <v/>
      </c>
      <c r="N32" s="29">
        <f>H32*2.25%*2%</f>
        <v/>
      </c>
      <c r="O32" s="28">
        <f>M32-N32</f>
        <v/>
      </c>
      <c r="P32" s="28">
        <f>ROUND(O32+L32,0)</f>
        <v/>
      </c>
      <c r="Q32" s="30" t="n">
        <v>0</v>
      </c>
      <c r="R32" s="28">
        <f>ROUND(H32*Q32,0)</f>
        <v/>
      </c>
      <c r="S32" s="27">
        <f>ROUND(H32*117.65%-R32,0)</f>
        <v/>
      </c>
      <c r="T32" s="28">
        <f>ROUND(H32*25%,0)</f>
        <v/>
      </c>
      <c r="U32" s="31">
        <f>+T32</f>
        <v/>
      </c>
      <c r="V32" s="28" t="inlineStr">
        <is>
          <t>13.08.2026</t>
        </is>
      </c>
      <c r="W32" s="28">
        <f>ROUND(H32*92.65%-R32,0)</f>
        <v/>
      </c>
      <c r="X32" s="28" t="n">
        <v>148251</v>
      </c>
      <c r="Y32" s="28" t="inlineStr">
        <is>
          <t>24.08.2026</t>
        </is>
      </c>
      <c r="Z32" s="28">
        <f>IF(OR(Y32="",Y32=0),H32*0.0118*CEILING((TODAY()-DATE(2026,8,22))/7,1),IF(DATE(VALUE(RIGHT(Y32,4)),VALUE(MID(Y32,4,2)),VALUE(LEFT(Y32,2)))&lt;=DATE(2026,8,24),0,H32*0.0118*CEILING((DATE(VALUE(RIGHT(Y32,4)),VALUE(MID(Y32,4,2)),VALUE(LEFT(Y32,2)))-DATE(2026,8,22))/7,1)))</f>
        <v/>
      </c>
      <c r="AA32" s="28" t="n"/>
      <c r="AB32" s="28" t="n"/>
      <c r="AC32" s="15">
        <f>U32+X32+AA32</f>
        <v/>
      </c>
      <c r="AD32" s="19">
        <f>S32-AC32</f>
        <v/>
      </c>
      <c r="AE32" s="20" t="inlineStr">
        <is>
          <t>DR2640100039</t>
        </is>
      </c>
      <c r="AF32" s="21" t="n">
        <v>1800003312</v>
      </c>
      <c r="AG32" s="22" t="inlineStr">
        <is>
          <t>27.08.2026</t>
        </is>
      </c>
    </row>
    <row r="33" ht="14.25" customHeight="1">
      <c r="A33" s="23" t="n">
        <v>1</v>
      </c>
      <c r="B33" s="24" t="inlineStr">
        <is>
          <t>Scrap of 33 KV GCB</t>
        </is>
      </c>
      <c r="C33" s="25" t="n">
        <v>29502</v>
      </c>
      <c r="D33" s="26" t="n">
        <v>21979</v>
      </c>
      <c r="E33" s="26" t="inlineStr">
        <is>
          <t>NO</t>
        </is>
      </c>
      <c r="F33" s="26" t="n">
        <v>2059</v>
      </c>
      <c r="G33" s="24" t="inlineStr">
        <is>
          <t>NATIONAL ENTERPRISES</t>
        </is>
      </c>
      <c r="H33" s="27" t="n">
        <v>29502</v>
      </c>
      <c r="I33" s="27">
        <f>ROUND(H33*18%,0)</f>
        <v/>
      </c>
      <c r="J33" s="27">
        <f>+H33+I33</f>
        <v/>
      </c>
      <c r="K33" s="27">
        <f>ROUND((H33+I33)*2%,0)</f>
        <v/>
      </c>
      <c r="L33" s="28">
        <f>H33*0.1%</f>
        <v/>
      </c>
      <c r="M33" s="28">
        <f>H33*2.25%*118%</f>
        <v/>
      </c>
      <c r="N33" s="29">
        <f>H33*2.25%*2%</f>
        <v/>
      </c>
      <c r="O33" s="28">
        <f>M33-N33</f>
        <v/>
      </c>
      <c r="P33" s="28">
        <f>ROUND(O33+L33,0)</f>
        <v/>
      </c>
      <c r="Q33" s="30" t="n">
        <v>0</v>
      </c>
      <c r="R33" s="28">
        <f>ROUND(H33*Q33,0)</f>
        <v/>
      </c>
      <c r="S33" s="27">
        <f>ROUND(H33*117.65%-R33,0)</f>
        <v/>
      </c>
      <c r="T33" s="28">
        <f>ROUND(H33*25%,0)</f>
        <v/>
      </c>
      <c r="U33" s="31">
        <f>+T33</f>
        <v/>
      </c>
      <c r="V33" s="28" t="inlineStr">
        <is>
          <t>13.08.2026</t>
        </is>
      </c>
      <c r="W33" s="28">
        <f>ROUND(H33*92.65%-R33,0)</f>
        <v/>
      </c>
      <c r="X33" s="28" t="n">
        <v>27332</v>
      </c>
      <c r="Y33" s="28" t="inlineStr">
        <is>
          <t>24.08.2026</t>
        </is>
      </c>
      <c r="Z33" s="28">
        <f>IF(OR(Y33="",Y33=0),H33*0.0118*CEILING((TODAY()-DATE(2026,8,22))/7,1),IF(DATE(VALUE(RIGHT(Y33,4)),VALUE(MID(Y33,4,2)),VALUE(LEFT(Y33,2)))&lt;=DATE(2026,8,24),0,H33*0.0118*CEILING((DATE(VALUE(RIGHT(Y33,4)),VALUE(MID(Y33,4,2)),VALUE(LEFT(Y33,2)))-DATE(2026,8,22))/7,1)))</f>
        <v/>
      </c>
      <c r="AA33" s="28" t="n"/>
      <c r="AB33" s="28" t="n"/>
      <c r="AC33" s="15">
        <f>U33+X33+AA33</f>
        <v/>
      </c>
      <c r="AD33" s="19">
        <f>S33-AC33</f>
        <v/>
      </c>
      <c r="AE33" s="20" t="inlineStr">
        <is>
          <t>DR2640100046</t>
        </is>
      </c>
      <c r="AF33" s="21" t="n">
        <v>1800003313</v>
      </c>
      <c r="AG33" s="22" t="inlineStr">
        <is>
          <t>27.08.2026</t>
        </is>
      </c>
    </row>
    <row r="34" ht="14.25" customHeight="1">
      <c r="A34" s="23" t="n">
        <v>30</v>
      </c>
      <c r="B34" s="24" t="inlineStr">
        <is>
          <t>Scrap of Empty oil Barrels</t>
        </is>
      </c>
      <c r="C34" s="25" t="n">
        <v>702</v>
      </c>
      <c r="D34" s="26" t="n">
        <v>21979</v>
      </c>
      <c r="E34" s="26" t="inlineStr">
        <is>
          <t>NO</t>
        </is>
      </c>
      <c r="F34" s="26" t="n">
        <v>2062</v>
      </c>
      <c r="G34" s="24" t="inlineStr">
        <is>
          <t>STERLING ENTERPRISES</t>
        </is>
      </c>
      <c r="H34" s="27" t="n">
        <v>21060</v>
      </c>
      <c r="I34" s="27">
        <f>ROUND(H34*18%,0)</f>
        <v/>
      </c>
      <c r="J34" s="27">
        <f>+H34+I34</f>
        <v/>
      </c>
      <c r="K34" s="27">
        <f>ROUND((H34+I34)*2%,0)</f>
        <v/>
      </c>
      <c r="L34" s="28">
        <f>H34*0.1%</f>
        <v/>
      </c>
      <c r="M34" s="28">
        <f>H34*2.25%*118%</f>
        <v/>
      </c>
      <c r="N34" s="29">
        <f>H34*2.25%*2%</f>
        <v/>
      </c>
      <c r="O34" s="28">
        <f>M34-N34</f>
        <v/>
      </c>
      <c r="P34" s="28">
        <f>ROUND(O34+L34,0)</f>
        <v/>
      </c>
      <c r="Q34" s="30" t="n">
        <v>0</v>
      </c>
      <c r="R34" s="28">
        <f>ROUND(H34*Q34,0)</f>
        <v/>
      </c>
      <c r="S34" s="27">
        <f>ROUND(H34*117.65%-R34,0)</f>
        <v/>
      </c>
      <c r="T34" s="28">
        <f>ROUND(H34*25%,0)</f>
        <v/>
      </c>
      <c r="U34" s="31" t="n">
        <v>5265</v>
      </c>
      <c r="V34" s="28" t="inlineStr">
        <is>
          <t>11.08.2026</t>
        </is>
      </c>
      <c r="W34" s="28">
        <f>ROUND(H34*92.65%-R34,0)</f>
        <v/>
      </c>
      <c r="X34" s="28" t="n">
        <v>19512</v>
      </c>
      <c r="Y34" s="28" t="inlineStr">
        <is>
          <t>11.08.2026</t>
        </is>
      </c>
      <c r="Z34" s="28">
        <f>IF(OR(Y34="",Y34=0),H34*0.0118*CEILING((TODAY()-DATE(2026,8,22))/7,1),IF(DATE(VALUE(RIGHT(Y34,4)),VALUE(MID(Y34,4,2)),VALUE(LEFT(Y34,2)))&lt;=DATE(2026,8,24),0,H34*0.0118*CEILING((DATE(VALUE(RIGHT(Y34,4)),VALUE(MID(Y34,4,2)),VALUE(LEFT(Y34,2)))-DATE(2026,8,22))/7,1)))</f>
        <v/>
      </c>
      <c r="AA34" s="28" t="n"/>
      <c r="AB34" s="28" t="n"/>
      <c r="AC34" s="15">
        <f>U34+X34+AA34</f>
        <v/>
      </c>
      <c r="AD34" s="19">
        <f>S34-AC34</f>
        <v/>
      </c>
      <c r="AE34" s="20" t="inlineStr">
        <is>
          <t>DR2640100022</t>
        </is>
      </c>
      <c r="AF34" s="21" t="n">
        <v>1800003161</v>
      </c>
      <c r="AG34" s="22" t="inlineStr">
        <is>
          <t>14.08.2026</t>
        </is>
      </c>
    </row>
    <row r="35" ht="14.25" customHeight="1">
      <c r="A35" s="23" t="n">
        <v>150</v>
      </c>
      <c r="B35" s="24" t="inlineStr">
        <is>
          <t>Scrap of empty oil drums</t>
        </is>
      </c>
      <c r="C35" s="25" t="n">
        <v>571</v>
      </c>
      <c r="D35" s="26" t="n">
        <v>21980</v>
      </c>
      <c r="E35" s="26" t="inlineStr">
        <is>
          <t>NO</t>
        </is>
      </c>
      <c r="F35" s="26" t="n">
        <v>2067</v>
      </c>
      <c r="G35" s="24" t="inlineStr">
        <is>
          <t>WATAN SCRAP TRADERS</t>
        </is>
      </c>
      <c r="H35" s="27" t="n">
        <v>85650</v>
      </c>
      <c r="I35" s="27">
        <f>ROUND(H35*18%,0)</f>
        <v/>
      </c>
      <c r="J35" s="27">
        <f>+H35+I35</f>
        <v/>
      </c>
      <c r="K35" s="27">
        <f>ROUND((H35+I35)*2%,0)</f>
        <v/>
      </c>
      <c r="L35" s="28">
        <f>H35*0.1%</f>
        <v/>
      </c>
      <c r="M35" s="28">
        <f>H35*2.25%*118%</f>
        <v/>
      </c>
      <c r="N35" s="29">
        <f>H35*2.25%*2%</f>
        <v/>
      </c>
      <c r="O35" s="28">
        <f>M35-N35</f>
        <v/>
      </c>
      <c r="P35" s="28">
        <f>ROUND(O35+L35,0)</f>
        <v/>
      </c>
      <c r="Q35" s="30" t="n">
        <v>0</v>
      </c>
      <c r="R35" s="28">
        <f>ROUND(H35*Q35,0)</f>
        <v/>
      </c>
      <c r="S35" s="27">
        <f>ROUND(H35*117.65%-R35,0)</f>
        <v/>
      </c>
      <c r="T35" s="28">
        <f>ROUND(H35*25%,0)</f>
        <v/>
      </c>
      <c r="U35" s="31" t="n">
        <v>21413</v>
      </c>
      <c r="V35" s="28" t="inlineStr">
        <is>
          <t>14.08.2026</t>
        </is>
      </c>
      <c r="W35" s="28">
        <f>ROUND(H35*92.65%-R35,0)</f>
        <v/>
      </c>
      <c r="X35" s="28" t="n">
        <v>79354</v>
      </c>
      <c r="Y35" s="28" t="inlineStr">
        <is>
          <t>20.08.2026</t>
        </is>
      </c>
      <c r="Z35" s="28">
        <f>IF(OR(Y35="",Y35=0),H35*0.0118*CEILING((TODAY()-DATE(2026,8,22))/7,1),IF(DATE(VALUE(RIGHT(Y35,4)),VALUE(MID(Y35,4,2)),VALUE(LEFT(Y35,2)))&lt;=DATE(2026,8,24),0,H35*0.0118*CEILING((DATE(VALUE(RIGHT(Y35,4)),VALUE(MID(Y35,4,2)),VALUE(LEFT(Y35,2)))-DATE(2026,8,22))/7,1)))</f>
        <v/>
      </c>
      <c r="AA35" s="28" t="n"/>
      <c r="AB35" s="28" t="n"/>
      <c r="AC35" s="15">
        <f>U35+X35+AA35</f>
        <v/>
      </c>
      <c r="AD35" s="19">
        <f>S35-AC35</f>
        <v/>
      </c>
      <c r="AE35" s="20" t="inlineStr">
        <is>
          <t>DR2640100027</t>
        </is>
      </c>
      <c r="AF35" s="21" t="n">
        <v>1800003248</v>
      </c>
      <c r="AG35" s="22" t="inlineStr">
        <is>
          <t>20.08.2026</t>
        </is>
      </c>
    </row>
    <row r="36" ht="14.25" customHeight="1">
      <c r="A36" s="23" t="n">
        <v>1</v>
      </c>
      <c r="B36" s="24" t="inlineStr">
        <is>
          <t>Scrap of 33 KV CB</t>
        </is>
      </c>
      <c r="C36" s="25" t="n">
        <v>54000</v>
      </c>
      <c r="D36" s="26" t="n">
        <v>21980</v>
      </c>
      <c r="E36" s="26" t="inlineStr">
        <is>
          <t>NO</t>
        </is>
      </c>
      <c r="F36" s="26" t="n">
        <v>2069</v>
      </c>
      <c r="G36" s="24" t="inlineStr">
        <is>
          <t>STERLING ENTERPRISES</t>
        </is>
      </c>
      <c r="H36" s="27" t="n">
        <v>54000</v>
      </c>
      <c r="I36" s="27">
        <f>ROUND(H36*18%,0)</f>
        <v/>
      </c>
      <c r="J36" s="27">
        <f>+H36+I36</f>
        <v/>
      </c>
      <c r="K36" s="27">
        <f>ROUND((H36+I36)*2%,0)</f>
        <v/>
      </c>
      <c r="L36" s="28">
        <f>H36*0.1%</f>
        <v/>
      </c>
      <c r="M36" s="28">
        <f>H36*2.25%*118%</f>
        <v/>
      </c>
      <c r="N36" s="29">
        <f>H36*2.25%*2%</f>
        <v/>
      </c>
      <c r="O36" s="28">
        <f>M36-N36</f>
        <v/>
      </c>
      <c r="P36" s="28">
        <f>ROUND(O36+L36,0)</f>
        <v/>
      </c>
      <c r="Q36" s="30" t="n">
        <v>0</v>
      </c>
      <c r="R36" s="28">
        <f>ROUND(H36*Q36,0)</f>
        <v/>
      </c>
      <c r="S36" s="27">
        <f>ROUND(H36*117.65%-R36,0)</f>
        <v/>
      </c>
      <c r="T36" s="28">
        <f>ROUND(H36*25%,0)</f>
        <v/>
      </c>
      <c r="U36" s="31" t="n">
        <v>13500</v>
      </c>
      <c r="V36" s="28" t="inlineStr">
        <is>
          <t>11.08.2026</t>
        </is>
      </c>
      <c r="W36" s="28">
        <f>ROUND(H36*92.65%-R36,0)</f>
        <v/>
      </c>
      <c r="X36" s="28" t="n"/>
      <c r="Y36" s="28" t="n">
        <v>0</v>
      </c>
      <c r="Z36" s="28">
        <f>IF(OR(Y36="",Y36=0),H36*0.0118*CEILING((TODAY()-DATE(2026,8,22))/7,1),IF(DATE(VALUE(RIGHT(Y36,4)),VALUE(MID(Y36,4,2)),VALUE(LEFT(Y36,2)))&lt;=DATE(2026,8,24),0,H36*0.0118*CEILING((DATE(VALUE(RIGHT(Y36,4)),VALUE(MID(Y36,4,2)),VALUE(LEFT(Y36,2)))-DATE(2026,8,22))/7,1)))</f>
        <v/>
      </c>
      <c r="AA36" s="28" t="n"/>
      <c r="AB36" s="28" t="n"/>
      <c r="AC36" s="15">
        <f>U36+X36+AA36</f>
        <v/>
      </c>
      <c r="AD36" s="19">
        <f>S36-AC36</f>
        <v/>
      </c>
      <c r="AE36" s="20" t="n"/>
      <c r="AF36" s="21" t="n"/>
      <c r="AG36" s="22" t="n"/>
    </row>
    <row r="37" ht="14.25" customHeight="1">
      <c r="A37" s="23" t="n">
        <v>3</v>
      </c>
      <c r="B37" s="24" t="inlineStr">
        <is>
          <t>Scrap of 66 KV Isolater</t>
        </is>
      </c>
      <c r="C37" s="25" t="n">
        <v>25001</v>
      </c>
      <c r="D37" s="26" t="n">
        <v>21980</v>
      </c>
      <c r="E37" s="26" t="inlineStr">
        <is>
          <t>NO</t>
        </is>
      </c>
      <c r="F37" s="26" t="n">
        <v>2071</v>
      </c>
      <c r="G37" s="24" t="inlineStr">
        <is>
          <t>NATIONAL ENTERPRISES</t>
        </is>
      </c>
      <c r="H37" s="27" t="n">
        <v>75003</v>
      </c>
      <c r="I37" s="27">
        <f>ROUND(H37*18%,0)</f>
        <v/>
      </c>
      <c r="J37" s="27">
        <f>+H37+I37</f>
        <v/>
      </c>
      <c r="K37" s="27">
        <f>ROUND((H37+I37)*2%,0)</f>
        <v/>
      </c>
      <c r="L37" s="28">
        <f>H37*0.1%</f>
        <v/>
      </c>
      <c r="M37" s="28">
        <f>H37*2.25%*118%</f>
        <v/>
      </c>
      <c r="N37" s="29">
        <f>H37*2.25%*2%</f>
        <v/>
      </c>
      <c r="O37" s="28">
        <f>M37-N37</f>
        <v/>
      </c>
      <c r="P37" s="28">
        <f>ROUND(O37+L37,0)</f>
        <v/>
      </c>
      <c r="Q37" s="30" t="n">
        <v>0</v>
      </c>
      <c r="R37" s="28">
        <f>ROUND(H37*Q37,0)</f>
        <v/>
      </c>
      <c r="S37" s="27">
        <f>ROUND(H37*117.65%-R37,0)</f>
        <v/>
      </c>
      <c r="T37" s="28">
        <f>ROUND(H37*25%,0)</f>
        <v/>
      </c>
      <c r="U37" s="31">
        <f>+T37</f>
        <v/>
      </c>
      <c r="V37" s="28" t="inlineStr">
        <is>
          <t>13.08.2026</t>
        </is>
      </c>
      <c r="W37" s="28">
        <f>ROUND(H37*92.65%-R37,0)</f>
        <v/>
      </c>
      <c r="X37" s="28" t="n">
        <v>69491</v>
      </c>
      <c r="Y37" s="28" t="inlineStr">
        <is>
          <t>24.08.2026</t>
        </is>
      </c>
      <c r="Z37" s="28">
        <f>IF(OR(Y37="",Y37=0),H37*0.0118*CEILING((TODAY()-DATE(2026,8,22))/7,1),IF(DATE(VALUE(RIGHT(Y37,4)),VALUE(MID(Y37,4,2)),VALUE(LEFT(Y37,2)))&lt;=DATE(2026,8,24),0,H37*0.0118*CEILING((DATE(VALUE(RIGHT(Y37,4)),VALUE(MID(Y37,4,2)),VALUE(LEFT(Y37,2)))-DATE(2026,8,22))/7,1)))</f>
        <v/>
      </c>
      <c r="AA37" s="28" t="n"/>
      <c r="AB37" s="28" t="n"/>
      <c r="AC37" s="15">
        <f>U37+X37+AA37</f>
        <v/>
      </c>
      <c r="AD37" s="19">
        <f>S37-AC37</f>
        <v/>
      </c>
      <c r="AE37" s="20" t="inlineStr">
        <is>
          <t>DR2640100040</t>
        </is>
      </c>
      <c r="AF37" s="21" t="n">
        <v>1800003314</v>
      </c>
      <c r="AG37" s="22" t="inlineStr">
        <is>
          <t>27.08.2026</t>
        </is>
      </c>
    </row>
    <row r="38" ht="14.25" customHeight="1">
      <c r="A38" s="23" t="n">
        <v>3</v>
      </c>
      <c r="B38" s="24" t="inlineStr">
        <is>
          <t>Scrap of 132 KV CT</t>
        </is>
      </c>
      <c r="C38" s="25" t="n">
        <v>70001</v>
      </c>
      <c r="D38" s="26" t="n">
        <v>21980</v>
      </c>
      <c r="E38" s="26" t="inlineStr">
        <is>
          <t>NO</t>
        </is>
      </c>
      <c r="F38" s="26" t="n">
        <v>2086</v>
      </c>
      <c r="G38" s="24" t="inlineStr">
        <is>
          <t>KASHYAP TRADING CO</t>
        </is>
      </c>
      <c r="H38" s="27" t="n">
        <v>210003</v>
      </c>
      <c r="I38" s="27">
        <f>ROUND(H38*18%,0)</f>
        <v/>
      </c>
      <c r="J38" s="27">
        <f>+H38+I38</f>
        <v/>
      </c>
      <c r="K38" s="27">
        <f>ROUND((H38+I38)*2%,0)</f>
        <v/>
      </c>
      <c r="L38" s="28">
        <f>H38*0.1%</f>
        <v/>
      </c>
      <c r="M38" s="28">
        <f>H38*2.25%*118%</f>
        <v/>
      </c>
      <c r="N38" s="29">
        <f>H38*2.25%*2%</f>
        <v/>
      </c>
      <c r="O38" s="28">
        <f>M38-N38</f>
        <v/>
      </c>
      <c r="P38" s="28">
        <f>ROUND(O38+L38,0)</f>
        <v/>
      </c>
      <c r="Q38" s="30" t="n">
        <v>0</v>
      </c>
      <c r="R38" s="28">
        <f>ROUND(H38*Q38,0)</f>
        <v/>
      </c>
      <c r="S38" s="27">
        <f>ROUND(H38*117.65%-R38,0)</f>
        <v/>
      </c>
      <c r="T38" s="28">
        <f>ROUND(H38*25%,0)</f>
        <v/>
      </c>
      <c r="U38" s="31" t="n">
        <v>52501</v>
      </c>
      <c r="V38" s="28" t="inlineStr">
        <is>
          <t>17.08.2026</t>
        </is>
      </c>
      <c r="W38" s="28">
        <f>ROUND(H38*92.65%-R38,0)</f>
        <v/>
      </c>
      <c r="X38" s="28" t="n">
        <v>194568</v>
      </c>
      <c r="Y38" s="28" t="inlineStr">
        <is>
          <t>17.08.2026</t>
        </is>
      </c>
      <c r="Z38" s="28">
        <f>IF(OR(Y38="",Y38=0),H38*0.0118*CEILING((TODAY()-DATE(2026,8,22))/7,1),IF(DATE(VALUE(RIGHT(Y38,4)),VALUE(MID(Y38,4,2)),VALUE(LEFT(Y38,2)))&lt;=DATE(2026,8,24),0,H38*0.0118*CEILING((DATE(VALUE(RIGHT(Y38,4)),VALUE(MID(Y38,4,2)),VALUE(LEFT(Y38,2)))-DATE(2026,8,22))/7,1)))</f>
        <v/>
      </c>
      <c r="AA38" s="28" t="n"/>
      <c r="AB38" s="28" t="n"/>
      <c r="AC38" s="15">
        <f>U38+X38+AA38</f>
        <v/>
      </c>
      <c r="AD38" s="19">
        <f>S38-AC38</f>
        <v/>
      </c>
      <c r="AE38" s="20" t="inlineStr">
        <is>
          <t>DR2640100025</t>
        </is>
      </c>
      <c r="AF38" s="21" t="n">
        <v>1800003226</v>
      </c>
      <c r="AG38" s="22" t="inlineStr">
        <is>
          <t>19.08.2026</t>
        </is>
      </c>
    </row>
    <row r="39" ht="14.25" customHeight="1">
      <c r="A39" s="23" t="n">
        <v>2</v>
      </c>
      <c r="B39" s="24" t="inlineStr">
        <is>
          <t>Scrap of 66 kv TBC C &amp; R Panel</t>
        </is>
      </c>
      <c r="C39" s="25" t="n">
        <v>15006</v>
      </c>
      <c r="D39" s="26" t="n">
        <v>21980</v>
      </c>
      <c r="E39" s="26" t="inlineStr">
        <is>
          <t>NO</t>
        </is>
      </c>
      <c r="F39" s="26" t="n">
        <v>2089</v>
      </c>
      <c r="G39" s="24" t="inlineStr">
        <is>
          <t>S M ENTERPRISES</t>
        </is>
      </c>
      <c r="H39" s="27" t="n">
        <v>30012</v>
      </c>
      <c r="I39" s="27">
        <f>ROUND(H39*18%,0)</f>
        <v/>
      </c>
      <c r="J39" s="27">
        <f>+H39+I39</f>
        <v/>
      </c>
      <c r="K39" s="27">
        <f>ROUND((H39+I39)*2%,0)</f>
        <v/>
      </c>
      <c r="L39" s="28">
        <f>H39*0.1%</f>
        <v/>
      </c>
      <c r="M39" s="28">
        <f>H39*2.25%*118%</f>
        <v/>
      </c>
      <c r="N39" s="29">
        <f>H39*2.25%*2%</f>
        <v/>
      </c>
      <c r="O39" s="28">
        <f>M39-N39</f>
        <v/>
      </c>
      <c r="P39" s="28">
        <f>ROUND(O39+L39,0)</f>
        <v/>
      </c>
      <c r="Q39" s="30" t="n">
        <v>0</v>
      </c>
      <c r="R39" s="28">
        <f>ROUND(H39*Q39,0)</f>
        <v/>
      </c>
      <c r="S39" s="27">
        <f>ROUND(H39*117.65%-R39,0)</f>
        <v/>
      </c>
      <c r="T39" s="28">
        <f>ROUND(H39*25%,0)</f>
        <v/>
      </c>
      <c r="U39" s="31" t="n">
        <v>7503</v>
      </c>
      <c r="V39" s="28" t="inlineStr">
        <is>
          <t>14.08.2026</t>
        </is>
      </c>
      <c r="W39" s="28">
        <f>ROUND(H39*92.65%-R39,0)</f>
        <v/>
      </c>
      <c r="X39" s="28" t="n">
        <v>27806</v>
      </c>
      <c r="Y39" s="28" t="inlineStr">
        <is>
          <t>01.09.2026</t>
        </is>
      </c>
      <c r="Z39" s="28">
        <f>IF(OR(Y39="",Y39=0),H39*0.0118*CEILING((TODAY()-DATE(2026,8,22))/7,1),IF(DATE(VALUE(RIGHT(Y39,4)),VALUE(MID(Y39,4,2)),VALUE(LEFT(Y39,2)))&lt;=DATE(2026,8,24),0,H39*0.0118*CEILING((DATE(VALUE(RIGHT(Y39,4)),VALUE(MID(Y39,4,2)),VALUE(LEFT(Y39,2)))-DATE(2026,8,22))/7,1)))</f>
        <v/>
      </c>
      <c r="AA39" s="28" t="n">
        <v>708</v>
      </c>
      <c r="AB39" s="28" t="inlineStr">
        <is>
          <t>01.09.2026</t>
        </is>
      </c>
      <c r="AC39" s="15">
        <f>U39+X39+AA39</f>
        <v/>
      </c>
      <c r="AD39" s="19">
        <f>S39-AC39</f>
        <v/>
      </c>
      <c r="AE39" s="20" t="n"/>
      <c r="AF39" s="21" t="n"/>
      <c r="AG39" s="22" t="n"/>
    </row>
    <row r="40" ht="15" customHeight="1">
      <c r="A40" s="32" t="n">
        <v>3</v>
      </c>
      <c r="B40" s="33" t="inlineStr">
        <is>
          <t>Scrap of 132 KV CT</t>
        </is>
      </c>
      <c r="C40" s="34" t="n">
        <v>40003</v>
      </c>
      <c r="D40" s="35" t="n">
        <v>21980</v>
      </c>
      <c r="E40" s="35" t="inlineStr">
        <is>
          <t>NO</t>
        </is>
      </c>
      <c r="F40" s="35" t="n">
        <v>2091</v>
      </c>
      <c r="G40" s="33" t="inlineStr">
        <is>
          <t>S M ENTERPRISES</t>
        </is>
      </c>
      <c r="H40" s="36" t="n">
        <v>120009</v>
      </c>
      <c r="I40" s="36">
        <f>ROUND(H40*18%,0)</f>
        <v/>
      </c>
      <c r="J40" s="36">
        <f>+H40+I40</f>
        <v/>
      </c>
      <c r="K40" s="36">
        <f>ROUND((H40+I40)*2%,0)</f>
        <v/>
      </c>
      <c r="L40" s="37">
        <f>H40*0.1%</f>
        <v/>
      </c>
      <c r="M40" s="37">
        <f>H40*2.25%*118%</f>
        <v/>
      </c>
      <c r="N40" s="38">
        <f>H40*2.25%*2%</f>
        <v/>
      </c>
      <c r="O40" s="37">
        <f>M40-N40</f>
        <v/>
      </c>
      <c r="P40" s="37">
        <f>ROUND(O40+L40,0)</f>
        <v/>
      </c>
      <c r="Q40" s="39" t="n">
        <v>0</v>
      </c>
      <c r="R40" s="37">
        <f>ROUND(H40*Q40,0)</f>
        <v/>
      </c>
      <c r="S40" s="36">
        <f>ROUND(H40*117.65%-R40,0)</f>
        <v/>
      </c>
      <c r="T40" s="37">
        <f>ROUND(H40*25%,0)</f>
        <v/>
      </c>
      <c r="U40" s="40" t="n">
        <v>30002</v>
      </c>
      <c r="V40" s="37" t="inlineStr">
        <is>
          <t>14.08.2026</t>
        </is>
      </c>
      <c r="W40" s="37">
        <f>ROUND(H40*92.65%-R40,0)</f>
        <v/>
      </c>
      <c r="X40" s="37" t="n">
        <v>111189</v>
      </c>
      <c r="Y40" s="37" t="inlineStr">
        <is>
          <t>01.09.2026</t>
        </is>
      </c>
      <c r="Z40" s="37">
        <f>IF(OR(Y40="",Y40=0),H40*0.0118*CEILING((TODAY()-DATE(2026,8,22))/7,1),IF(DATE(VALUE(RIGHT(Y40,4)),VALUE(MID(Y40,4,2)),VALUE(LEFT(Y40,2)))&lt;=DATE(2026,8,24),0,H40*0.0118*CEILING((DATE(VALUE(RIGHT(Y40,4)),VALUE(MID(Y40,4,2)),VALUE(LEFT(Y40,2)))-DATE(2026,8,22))/7,1)))</f>
        <v/>
      </c>
      <c r="AA40" s="37" t="n">
        <v>2832</v>
      </c>
      <c r="AB40" s="37" t="inlineStr">
        <is>
          <t>01.09.2026</t>
        </is>
      </c>
      <c r="AC40" s="15">
        <f>U40+X40+AA40</f>
        <v/>
      </c>
      <c r="AD40" s="19">
        <f>S40-AC40</f>
        <v/>
      </c>
      <c r="AE40" s="20" t="n"/>
      <c r="AF40" s="21" t="n"/>
      <c r="AG40" s="22" t="n"/>
    </row>
    <row r="41" ht="14.25" customHeight="1">
      <c r="A41" s="41" t="n"/>
      <c r="B41" s="42" t="n"/>
      <c r="C41" s="42" t="n"/>
      <c r="D41" s="42" t="n"/>
      <c r="E41" s="42" t="n"/>
      <c r="F41" s="42" t="n"/>
      <c r="G41" s="42" t="n"/>
      <c r="H41" s="43">
        <f>SUM(H4:H40)</f>
        <v/>
      </c>
      <c r="I41" s="43">
        <f>SUM(I4:I40)</f>
        <v/>
      </c>
      <c r="J41" s="43">
        <f>SUM(J4:J40)</f>
        <v/>
      </c>
      <c r="K41" s="43">
        <f>SUM(K4:K40)</f>
        <v/>
      </c>
      <c r="L41" s="43">
        <f>SUM(L4:L40)</f>
        <v/>
      </c>
      <c r="M41" s="43">
        <f>SUM(M4:M40)</f>
        <v/>
      </c>
      <c r="N41" s="43">
        <f>SUM(N4:N40)</f>
        <v/>
      </c>
      <c r="O41" s="43">
        <f>SUM(O4:O40)</f>
        <v/>
      </c>
      <c r="P41" s="43">
        <f>SUM(P4:P40)</f>
        <v/>
      </c>
      <c r="Q41" s="44" t="n"/>
      <c r="R41" s="44">
        <f>SUM(R4:R40)</f>
        <v/>
      </c>
      <c r="S41" s="43">
        <f>SUM(S4:S40)</f>
        <v/>
      </c>
      <c r="T41" s="43">
        <f>SUM(T4:T40)</f>
        <v/>
      </c>
      <c r="U41" s="43">
        <f>SUM(U4:U40)</f>
        <v/>
      </c>
      <c r="V41" s="44" t="n"/>
      <c r="W41" s="43">
        <f>SUM(W4:W40)</f>
        <v/>
      </c>
      <c r="X41" s="43">
        <f>SUM(X4:X40)</f>
        <v/>
      </c>
      <c r="Y41" s="44" t="n"/>
      <c r="Z41" s="44">
        <f>SUM(Z4:Z40)</f>
        <v/>
      </c>
      <c r="AA41" s="44">
        <f>SUM(AA4:AA40)</f>
        <v/>
      </c>
      <c r="AB41" s="44" t="n"/>
      <c r="AC41" s="44">
        <f>SUM(AC4:AC40)</f>
        <v/>
      </c>
      <c r="AD41" s="43">
        <f>SUM(AD4:AD40)</f>
        <v/>
      </c>
      <c r="AE41" s="42" t="n"/>
      <c r="AF41" s="42" t="n"/>
      <c r="AG41" s="45" t="n"/>
    </row>
    <row r="42" ht="15" customHeight="1">
      <c r="A42" s="46" t="n"/>
      <c r="B42" s="47" t="n"/>
      <c r="C42" s="47" t="n"/>
      <c r="D42" s="47" t="n"/>
      <c r="E42" s="47" t="n"/>
      <c r="F42" s="47" t="n"/>
      <c r="G42" s="47" t="n"/>
      <c r="H42" s="48">
        <f>+H41</f>
        <v/>
      </c>
      <c r="I42" s="48">
        <f>ROUND(H42*18%,0)</f>
        <v/>
      </c>
      <c r="J42" s="48">
        <f>+H42+I42</f>
        <v/>
      </c>
      <c r="K42" s="48">
        <f>ROUND((H42+I42)*2%,0)</f>
        <v/>
      </c>
      <c r="L42" s="49">
        <f>ROUND(H42*0.1%,0)</f>
        <v/>
      </c>
      <c r="M42" s="49">
        <f>ROUND(H42*2.25%*118%,0)</f>
        <v/>
      </c>
      <c r="N42" s="50">
        <f>ROUND(H42*2.25%*2%,0)</f>
        <v/>
      </c>
      <c r="O42" s="49">
        <f>ROUND(M42-N42,0)</f>
        <v/>
      </c>
      <c r="P42" s="49">
        <f>ROUND(O42+L42,0)</f>
        <v/>
      </c>
      <c r="Q42" s="49" t="n"/>
      <c r="R42" s="49">
        <f>+R41</f>
        <v/>
      </c>
      <c r="S42" s="48">
        <f>H42*117.65%-R42</f>
        <v/>
      </c>
      <c r="T42" s="51" t="n"/>
      <c r="U42" s="51">
        <f>+T41-U41</f>
        <v/>
      </c>
      <c r="V42" s="52" t="n"/>
      <c r="W42" s="53" t="n"/>
      <c r="X42" s="53">
        <f>+W41-X41</f>
        <v/>
      </c>
      <c r="Y42" s="52" t="n"/>
      <c r="Z42" s="52" t="n"/>
      <c r="AA42" s="52" t="n"/>
      <c r="AB42" s="52" t="n"/>
      <c r="AC42" s="52" t="n"/>
      <c r="AD42" s="52" t="n"/>
      <c r="AE42" s="47" t="n"/>
      <c r="AF42" s="47" t="n"/>
      <c r="AG42" s="54" t="n"/>
    </row>
    <row r="43" ht="14.25" customHeight="1">
      <c r="I43" s="55" t="n"/>
      <c r="J43" s="55" t="n"/>
      <c r="U43" s="56" t="inlineStr">
        <is>
          <t>Bal SD O/s</t>
        </is>
      </c>
      <c r="X43" s="57" t="inlineStr">
        <is>
          <t>Bal FP O/s</t>
        </is>
      </c>
    </row>
    <row r="44" ht="14.25" customHeight="1">
      <c r="U44" s="58" t="n"/>
    </row>
    <row r="45"/>
    <row r="46" ht="14.25" customHeight="1">
      <c r="K46" s="55" t="n"/>
    </row>
  </sheetData>
  <autoFilter ref="A3:AG43">
    <sortState ref="A4:AG43">
      <sortCondition ref="A4:A43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0000B0F0"/>
    <outlinePr summaryBelow="1" summaryRight="1"/>
    <pageSetUpPr fitToPage="1"/>
  </sheetPr>
  <dimension ref="A1:BK5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5" customWidth="1" min="1" max="1"/>
    <col width="10" customWidth="1" min="2" max="2"/>
    <col width="30" customWidth="1" min="3" max="3"/>
    <col width="42" customWidth="1" min="4" max="4"/>
    <col width="10" customWidth="1" min="5" max="5"/>
    <col width="11" customWidth="1" min="6" max="6"/>
    <col width="7" customWidth="1" min="7" max="7"/>
    <col width="10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3.5" customWidth="1" min="15" max="15"/>
    <col width="13.5" customWidth="1" min="16" max="16"/>
    <col width="13.5" customWidth="1" min="17" max="17"/>
    <col width="13.5" customWidth="1" min="18" max="18"/>
    <col width="13.5" customWidth="1" min="19" max="19"/>
    <col width="13.5" customWidth="1" min="20" max="20"/>
    <col width="13.5" customWidth="1" min="21" max="21"/>
    <col width="13.5" customWidth="1" min="22" max="22"/>
    <col width="13.5" customWidth="1" min="23" max="23"/>
    <col width="13.5" customWidth="1" min="24" max="24"/>
    <col width="13.5" customWidth="1" min="25" max="25"/>
    <col width="13.5" customWidth="1" min="26" max="26"/>
    <col width="13.5" customWidth="1" min="27" max="27"/>
    <col width="13.5" customWidth="1" min="28" max="28"/>
    <col width="13.5" customWidth="1" min="29" max="29"/>
    <col width="13.5" customWidth="1" min="30" max="30"/>
    <col width="13.5" customWidth="1" min="31" max="31"/>
    <col width="13.5" customWidth="1" min="32" max="32"/>
    <col width="13.5" customWidth="1" min="33" max="33"/>
    <col width="13.5" customWidth="1" min="34" max="34"/>
    <col width="13" customWidth="1" min="35" max="35"/>
    <col hidden="1" width="12" customWidth="1" min="37" max="37"/>
    <col hidden="1" width="12" customWidth="1" min="38" max="38"/>
    <col hidden="1" width="12" customWidth="1" min="39" max="39"/>
    <col hidden="1" width="12" customWidth="1" min="40" max="40"/>
    <col hidden="1" width="12" customWidth="1" min="41" max="41"/>
    <col hidden="1" width="12" customWidth="1" min="42" max="42"/>
    <col hidden="1" width="12" customWidth="1" min="43" max="43"/>
    <col hidden="1" width="12" customWidth="1" min="44" max="44"/>
    <col hidden="1" width="12" customWidth="1" min="45" max="45"/>
    <col hidden="1" width="12" customWidth="1" min="46" max="46"/>
    <col hidden="1" width="12" customWidth="1" min="47" max="47"/>
    <col hidden="1" width="12" customWidth="1" min="48" max="48"/>
    <col hidden="1" width="12" customWidth="1" min="49" max="49"/>
    <col hidden="1" width="12" customWidth="1" min="50" max="50"/>
    <col hidden="1" width="12" customWidth="1" min="51" max="51"/>
    <col hidden="1" width="12" customWidth="1" min="52" max="52"/>
    <col hidden="1" width="12" customWidth="1" min="53" max="53"/>
    <col hidden="1" width="12" customWidth="1" min="54" max="54"/>
    <col hidden="1" width="12" customWidth="1" min="55" max="55"/>
    <col hidden="1" width="12" customWidth="1" min="56" max="56"/>
    <col hidden="1" width="12" customWidth="1" min="57" max="57"/>
    <col hidden="1" width="12" customWidth="1" min="58" max="58"/>
    <col hidden="1" width="12" customWidth="1" min="59" max="59"/>
    <col hidden="1" width="12" customWidth="1" min="60" max="60"/>
    <col hidden="1" width="12" customWidth="1" min="61" max="61"/>
    <col hidden="1" width="12" customWidth="1" min="62" max="62"/>
    <col hidden="1" width="12" customWidth="1" min="63" max="63"/>
  </cols>
  <sheetData>
    <row r="1" ht="30" customHeight="1">
      <c r="A1" s="59" t="inlineStr">
        <is>
          <t>MSTC LIMITED  •  LIVE SEARCH   (results grouped by the value you typed, each group totalled, the misses greyed in a REMAINING block, grand total at the foot)</t>
        </is>
      </c>
    </row>
    <row r="2" ht="44" customHeight="1">
      <c r="A2" s="61" t="inlineStr">
        <is>
          <t>HOW TO USE  ▶  click the yellow box B3 and type - a lot number (1874), part of one (187), a buyer (NATIONAL), part of a buyer name, a lot name (COPPER).   •   WILDCARD / MATCH ANY - separate values with a comma or a slash:   1874, 1923, OMKAR   or   1874 / 1923    - and every lot containing ANY of them lights up.   •   FACETED / FILTERED - separate them with + or &amp;:   NATIONAL + COPPER   - and a lot lights up only if it matches EVERY facet.   •   the two mix:   OMKAR, STERLING + COPPER   = (OMKAR or STERLING) and COPPER.   Up to 8 values, empty ones ignored, spaces around a separator are fine.  •   THE RESULT IS GROUPED BY THE VALUE YOU TYPED: every value gets its own block of lots with a shaded ∑ total row beneath it, then a greyed REMAINING block holds the lots that did not match - with its own total - and the GRAND TOTAL of both sits at the foot.  A lot matching two values is counted under the first one only, so the group totals always add up to the grand total.   •   clear the box and all 37 come back in one ALL LOTS block.   •   cell F3 narrows what the text is looked for in (lot no. + buyer + name by default).   •   matching is 'contains', not case sensitive.   •   nothing here is typed in: every figure is a live link to 'Final Calculation Sheet'.   •   columns AK..BK are hidden helpers.</t>
        </is>
      </c>
    </row>
    <row r="3" ht="30" customHeight="1">
      <c r="A3" s="626" t="inlineStr">
        <is>
          <t>🔍  SEARCH  ▸</t>
        </is>
      </c>
      <c r="B3" s="627" t="inlineStr"/>
      <c r="C3" s="599" t="n"/>
      <c r="D3" s="599" t="n"/>
      <c r="E3" s="624" t="inlineStr">
        <is>
          <t>SEARCH IN  ▸</t>
        </is>
      </c>
      <c r="F3" s="628" t="inlineStr">
        <is>
          <t>Lot No. + Buyer + Name</t>
        </is>
      </c>
      <c r="G3" s="624" t="inlineStr">
        <is>
          <t>MATCHES  ▸</t>
        </is>
      </c>
      <c r="H3" s="629">
        <f>SUM($AM$5:$AM$41)&amp;" of 37"</f>
        <v/>
      </c>
      <c r="I3" s="600">
        <f>IF($B$3="","◀ type in the yellow box - a lot no., a buyer, a lot name... several values: comma or / = ANY of them,  + or &amp; = ALL of them","matching "&amp;SUM($AM$5:$AM$41)&amp;" of 37 lots   •   search: "&amp;$B$3&amp;"   •   in: "&amp;$F$3&amp;"   •   grouped by the value typed, the misses greyed in the REMAINING block")</f>
        <v/>
      </c>
      <c r="AK3" s="596" t="inlineStr">
        <is>
          <t>the text this lot is searched in</t>
        </is>
      </c>
      <c r="AM3" s="596" t="inlineStr">
        <is>
          <t>1 = this lot matches the search box</t>
        </is>
      </c>
      <c r="AO3" s="596" t="inlineStr">
        <is>
          <t>the 'search in' list</t>
        </is>
      </c>
      <c r="AQ3" s="596" t="inlineStr">
        <is>
          <t>the box with &amp; -&gt; + and / -&gt; ,</t>
        </is>
      </c>
      <c r="AR3" t="inlineStr">
        <is>
          <t>term 1 - rows 4..9: text left, delimiter pos, the term, delimiter, running facet, facet no.</t>
        </is>
      </c>
    </row>
    <row r="4" ht="44" customHeight="1">
      <c r="A4" s="630" t="inlineStr">
        <is>
          <t>#</t>
        </is>
      </c>
      <c r="B4" s="631" t="inlineStr">
        <is>
          <t>Lot No.</t>
        </is>
      </c>
      <c r="C4" s="631" t="inlineStr">
        <is>
          <t>Buyer</t>
        </is>
      </c>
      <c r="D4" s="631" t="inlineStr">
        <is>
          <t>Lot Name</t>
        </is>
      </c>
      <c r="E4" s="631" t="inlineStr">
        <is>
          <t>Bid Sheet</t>
        </is>
      </c>
      <c r="F4" s="631" t="inlineStr">
        <is>
          <t>Quantity</t>
        </is>
      </c>
      <c r="G4" s="631" t="inlineStr">
        <is>
          <t>Unit</t>
        </is>
      </c>
      <c r="H4" s="631" t="inlineStr">
        <is>
          <t>Rate</t>
        </is>
      </c>
      <c r="I4" s="631" t="inlineStr">
        <is>
          <t>Mat. Value</t>
        </is>
      </c>
      <c r="J4" s="631" t="inlineStr">
        <is>
          <t>GST</t>
        </is>
      </c>
      <c r="K4" s="631" t="inlineStr">
        <is>
          <t>Mat. Value + GST</t>
        </is>
      </c>
      <c r="L4" s="631" t="inlineStr">
        <is>
          <t>TCS</t>
        </is>
      </c>
      <c r="M4" s="631" t="inlineStr">
        <is>
          <t>TDS u/s 194(O)</t>
        </is>
      </c>
      <c r="N4" s="631" t="inlineStr">
        <is>
          <t>Service Charge to MSTC</t>
        </is>
      </c>
      <c r="O4" s="631" t="inlineStr">
        <is>
          <t>TDS u/s 194(H)</t>
        </is>
      </c>
      <c r="P4" s="631" t="inlineStr">
        <is>
          <t>Net Service Charge (post TDS 194H)</t>
        </is>
      </c>
      <c r="Q4" s="631" t="inlineStr">
        <is>
          <t>Service charge to MSTC</t>
        </is>
      </c>
      <c r="R4" s="631" t="inlineStr">
        <is>
          <t>GST TDS Rate</t>
        </is>
      </c>
      <c r="S4" s="631" t="inlineStr">
        <is>
          <t>GST TDS</t>
        </is>
      </c>
      <c r="T4" s="631" t="inlineStr">
        <is>
          <t>Total Receivables in Cash</t>
        </is>
      </c>
      <c r="U4" s="631" t="inlineStr">
        <is>
          <t>Security Deposit (Expected)</t>
        </is>
      </c>
      <c r="V4" s="631" t="inlineStr">
        <is>
          <t>Security Deposit (Received)</t>
        </is>
      </c>
      <c r="W4" s="631" t="inlineStr">
        <is>
          <t>Date of Receipt (col V)</t>
        </is>
      </c>
      <c r="X4" s="631" t="inlineStr">
        <is>
          <t>Final Payment (Expected)</t>
        </is>
      </c>
      <c r="Y4" s="631" t="inlineStr">
        <is>
          <t>Final Payment (Received)</t>
        </is>
      </c>
      <c r="Z4" s="631" t="inlineStr">
        <is>
          <t>Date of Receipt (col Y)</t>
        </is>
      </c>
      <c r="AA4" s="631" t="inlineStr">
        <is>
          <t>LPP Expected</t>
        </is>
      </c>
      <c r="AB4" s="631" t="inlineStr">
        <is>
          <t>LPP Received</t>
        </is>
      </c>
      <c r="AC4" s="631" t="inlineStr">
        <is>
          <t>Date of Recepit of LPP</t>
        </is>
      </c>
      <c r="AD4" s="631" t="inlineStr">
        <is>
          <t>Total Received</t>
        </is>
      </c>
      <c r="AE4" s="631" t="inlineStr">
        <is>
          <t>Outstanding</t>
        </is>
      </c>
      <c r="AF4" s="631" t="inlineStr">
        <is>
          <t>Invoice No.</t>
        </is>
      </c>
      <c r="AG4" s="631" t="inlineStr">
        <is>
          <t>SAP Document</t>
        </is>
      </c>
      <c r="AH4" s="631" t="inlineStr">
        <is>
          <t>Doc./Invoice Date</t>
        </is>
      </c>
      <c r="AI4" s="632" t="inlineStr">
        <is>
          <t>Payment Status</t>
        </is>
      </c>
      <c r="AO4" t="inlineStr">
        <is>
          <t>Lot No. + Buyer + Name</t>
        </is>
      </c>
      <c r="AQ4">
        <f>SUBSTITUTE(SUBSTITUTE($B$3,"&amp;","+"),"/",",")</f>
        <v/>
      </c>
      <c r="AR4">
        <f>$AQ$4</f>
        <v/>
      </c>
      <c r="AS4">
        <f>IF(OR($AR$4="",$AR$5=99999),"",MID($AR$4,$AR$5+1,99999))</f>
        <v/>
      </c>
      <c r="AT4">
        <f>IF(OR($AS$4="",$AS$5=99999),"",MID($AS$4,$AS$5+1,99999))</f>
        <v/>
      </c>
      <c r="AU4">
        <f>IF(OR($AT$4="",$AT$5=99999),"",MID($AT$4,$AT$5+1,99999))</f>
        <v/>
      </c>
      <c r="AV4">
        <f>IF(OR($AU$4="",$AU$5=99999),"",MID($AU$4,$AU$5+1,99999))</f>
        <v/>
      </c>
      <c r="AW4">
        <f>IF(OR($AV$4="",$AV$5=99999),"",MID($AV$4,$AV$5+1,99999))</f>
        <v/>
      </c>
      <c r="AX4">
        <f>IF(OR($AW$4="",$AW$5=99999),"",MID($AW$4,$AW$5+1,99999))</f>
        <v/>
      </c>
      <c r="AY4">
        <f>IF(OR($AX$4="",$AX$5=99999),"",MID($AX$4,$AX$5+1,99999))</f>
        <v/>
      </c>
      <c r="BD4">
        <f>COUNTIF($AZ$5:$AZ$41,1)</f>
        <v/>
      </c>
      <c r="BE4" t="n">
        <v>5</v>
      </c>
      <c r="BF4">
        <f>IF($BD4=0,0,$BE4+$BD4)</f>
        <v/>
      </c>
      <c r="BG4">
        <f>IF($BD13=0,$BE13,$BF13+1)</f>
        <v/>
      </c>
    </row>
    <row r="5" ht="15" customHeight="1">
      <c r="A5" s="649">
        <f>IF($BJ5&gt;0,INDEX($BA$5:$BA$41,MATCH(5,$BB$5:$BB$41,0)),IF(OR($BI5=1,$BH5&gt;0),"∑",""))</f>
        <v/>
      </c>
      <c r="B5" s="650">
        <f>IF($BJ5&gt;0,IF(INDEX('Final Calculation Sheet'!$F$4:$F$40,$BJ5-3)="","",INDEX('Final Calculation Sheet'!$F$4:$F$40,$BJ5-3)),"")</f>
        <v/>
      </c>
      <c r="C5" s="650">
        <f>IF($BJ5&gt;0,IF(INDEX('Final Calculation Sheet'!$G$4:$G$40,$BJ5-3)="","",INDEX('Final Calculation Sheet'!$G$4:$G$40,$BJ5-3)),IF(OR($BI5=1,$BH5&gt;0),IF($BI5=1,37,INDEX($BD$4:$BD$13,$BH5))&amp;" lot(s)",""))</f>
        <v/>
      </c>
      <c r="D5" s="651">
        <f>IF($BJ5&gt;0,IF(INDEX('Final Calculation Sheet'!$B$4:$B$40,$BJ5-3)="","",INDEX('Final Calculation Sheet'!$B$4:$B$40,$BJ5-3)),IF(OR($BI5=1,$BH5&gt;0),IF($BI5=1,"GRAND TOTAL  —  matching + remaining",IF($BH5=10,"REMAINING  —  did not match the search",IF($BH5=9,"ALL LOTS  —  nothing typed in the box","GROUP "&amp;$BH5&amp;" TOTAL  —  lots matching  "&amp;INDEX($AR$6:$AY$6,$BH5)))),""))</f>
        <v/>
      </c>
      <c r="E5" s="651">
        <f>IF($BJ5&gt;0,IF(INDEX('Final Calculation Sheet'!$D$4:$D$40,$BJ5-3)="","",INDEX('Final Calculation Sheet'!$D$4:$D$40,$BJ5-3)),IF(OR($BI5=1,$BH5&gt;0),"–",""))</f>
        <v/>
      </c>
      <c r="F5" s="651">
        <f>IF($BJ5&gt;0,IF(INDEX('Final Calculation Sheet'!$A$4:$A$40,$BJ5-3)="","",INDEX('Final Calculation Sheet'!$A$4:$A$40,$BJ5-3)),IF($BI5=1,SUM('Final Calculation Sheet'!$A$4:$A$40),IF($BH5&gt;0,SUMIFS('Final Calculation Sheet'!$A$4:$A$40,$AZ$5:$AZ$41,$BH5),"")))</f>
        <v/>
      </c>
      <c r="G5" s="651">
        <f>IF($BJ5&gt;0,IF(INDEX('Final Calculation Sheet'!$E$4:$E$40,$BJ5-3)="","",INDEX('Final Calculation Sheet'!$E$4:$E$40,$BJ5-3)),IF(OR($BI5=1,$BH5&gt;0),"–",""))</f>
        <v/>
      </c>
      <c r="H5" s="652">
        <f>IF($BJ5&gt;0,IF(INDEX('Final Calculation Sheet'!$C$4:$C$40,$BJ5-3)="","",INDEX('Final Calculation Sheet'!$C$4:$C$40,$BJ5-3)),IF(OR($BI5=1,$BH5&gt;0),"–",""))</f>
        <v/>
      </c>
      <c r="I5" s="652">
        <f>IF($BJ5&gt;0,IF(INDEX('Final Calculation Sheet'!$H$4:$H$40,$BJ5-3)="","",INDEX('Final Calculation Sheet'!$H$4:$H$40,$BJ5-3)),IF($BI5=1,SUM('Final Calculation Sheet'!$H$4:$H$40),IF($BH5&gt;0,SUMIFS('Final Calculation Sheet'!$H$4:$H$40,$AZ$5:$AZ$41,$BH5),"")))</f>
        <v/>
      </c>
      <c r="J5" s="652">
        <f>IF($BJ5&gt;0,IF(INDEX('Final Calculation Sheet'!$I$4:$I$40,$BJ5-3)="","",INDEX('Final Calculation Sheet'!$I$4:$I$40,$BJ5-3)),IF($BI5=1,SUM('Final Calculation Sheet'!$I$4:$I$40),IF($BH5&gt;0,SUMIFS('Final Calculation Sheet'!$I$4:$I$40,$AZ$5:$AZ$41,$BH5),"")))</f>
        <v/>
      </c>
      <c r="K5" s="652">
        <f>IF($BJ5&gt;0,IF(INDEX('Final Calculation Sheet'!$J$4:$J$40,$BJ5-3)="","",INDEX('Final Calculation Sheet'!$J$4:$J$40,$BJ5-3)),IF($BI5=1,SUM('Final Calculation Sheet'!$J$4:$J$40),IF($BH5&gt;0,SUMIFS('Final Calculation Sheet'!$J$4:$J$40,$AZ$5:$AZ$41,$BH5),"")))</f>
        <v/>
      </c>
      <c r="L5" s="652">
        <f>IF($BJ5&gt;0,IF(INDEX('Final Calculation Sheet'!$K$4:$K$40,$BJ5-3)="","",INDEX('Final Calculation Sheet'!$K$4:$K$40,$BJ5-3)),IF($BI5=1,SUM('Final Calculation Sheet'!$K$4:$K$40),IF($BH5&gt;0,SUMIFS('Final Calculation Sheet'!$K$4:$K$40,$AZ$5:$AZ$41,$BH5),"")))</f>
        <v/>
      </c>
      <c r="M5" s="652">
        <f>IF($BJ5&gt;0,IF(INDEX('Final Calculation Sheet'!$L$4:$L$40,$BJ5-3)="","",INDEX('Final Calculation Sheet'!$L$4:$L$40,$BJ5-3)),IF($BI5=1,SUM('Final Calculation Sheet'!$L$4:$L$40),IF($BH5&gt;0,SUMIFS('Final Calculation Sheet'!$L$4:$L$40,$AZ$5:$AZ$41,$BH5),"")))</f>
        <v/>
      </c>
      <c r="N5" s="652">
        <f>IF($BJ5&gt;0,IF(INDEX('Final Calculation Sheet'!$M$4:$M$40,$BJ5-3)="","",INDEX('Final Calculation Sheet'!$M$4:$M$40,$BJ5-3)),IF($BI5=1,SUM('Final Calculation Sheet'!$M$4:$M$40),IF($BH5&gt;0,SUMIFS('Final Calculation Sheet'!$M$4:$M$40,$AZ$5:$AZ$41,$BH5),"")))</f>
        <v/>
      </c>
      <c r="O5" s="653">
        <f>IF($BJ5&gt;0,IF(INDEX('Final Calculation Sheet'!$N$4:$N$40,$BJ5-3)="","",INDEX('Final Calculation Sheet'!$N$4:$N$40,$BJ5-3)),IF($BI5=1,SUM('Final Calculation Sheet'!$N$4:$N$40),IF($BH5&gt;0,SUMIFS('Final Calculation Sheet'!$N$4:$N$40,$AZ$5:$AZ$41,$BH5),"")))</f>
        <v/>
      </c>
      <c r="P5" s="652">
        <f>IF($BJ5&gt;0,IF(INDEX('Final Calculation Sheet'!$O$4:$O$40,$BJ5-3)="","",INDEX('Final Calculation Sheet'!$O$4:$O$40,$BJ5-3)),IF($BI5=1,SUM('Final Calculation Sheet'!$O$4:$O$40),IF($BH5&gt;0,SUMIFS('Final Calculation Sheet'!$O$4:$O$40,$AZ$5:$AZ$41,$BH5),"")))</f>
        <v/>
      </c>
      <c r="Q5" s="652">
        <f>IF($BJ5&gt;0,IF(INDEX('Final Calculation Sheet'!$P$4:$P$40,$BJ5-3)="","",INDEX('Final Calculation Sheet'!$P$4:$P$40,$BJ5-3)),IF($BI5=1,SUM('Final Calculation Sheet'!$P$4:$P$40),IF($BH5&gt;0,SUMIFS('Final Calculation Sheet'!$P$4:$P$40,$AZ$5:$AZ$41,$BH5),"")))</f>
        <v/>
      </c>
      <c r="R5" s="654">
        <f>IF($BJ5&gt;0,IF(INDEX('Final Calculation Sheet'!$Q$4:$Q$40,$BJ5-3)="","",INDEX('Final Calculation Sheet'!$Q$4:$Q$40,$BJ5-3)),IF(OR($BI5=1,$BH5&gt;0),"–",""))</f>
        <v/>
      </c>
      <c r="S5" s="652">
        <f>IF($BJ5&gt;0,IF(INDEX('Final Calculation Sheet'!$R$4:$R$40,$BJ5-3)="","",INDEX('Final Calculation Sheet'!$R$4:$R$40,$BJ5-3)),IF($BI5=1,SUM('Final Calculation Sheet'!$R$4:$R$40),IF($BH5&gt;0,SUMIFS('Final Calculation Sheet'!$R$4:$R$40,$AZ$5:$AZ$41,$BH5),"")))</f>
        <v/>
      </c>
      <c r="T5" s="652">
        <f>IF($BJ5&gt;0,IF(INDEX('Final Calculation Sheet'!$S$4:$S$40,$BJ5-3)="","",INDEX('Final Calculation Sheet'!$S$4:$S$40,$BJ5-3)),IF($BI5=1,SUM('Final Calculation Sheet'!$S$4:$S$40),IF($BH5&gt;0,SUMIFS('Final Calculation Sheet'!$S$4:$S$40,$AZ$5:$AZ$41,$BH5),"")))</f>
        <v/>
      </c>
      <c r="U5" s="652">
        <f>IF($BJ5&gt;0,IF(INDEX('Final Calculation Sheet'!$T$4:$T$40,$BJ5-3)="","",INDEX('Final Calculation Sheet'!$T$4:$T$40,$BJ5-3)),IF($BI5=1,SUM('Final Calculation Sheet'!$T$4:$T$40),IF($BH5&gt;0,SUMIFS('Final Calculation Sheet'!$T$4:$T$40,$AZ$5:$AZ$41,$BH5),"")))</f>
        <v/>
      </c>
      <c r="V5" s="655">
        <f>IF($BJ5&gt;0,IF(INDEX('Final Calculation Sheet'!$U$4:$U$40,$BJ5-3)="","",INDEX('Final Calculation Sheet'!$U$4:$U$40,$BJ5-3)),IF($BI5=1,SUM('Final Calculation Sheet'!$U$4:$U$40),IF($BH5&gt;0,SUMIFS('Final Calculation Sheet'!$U$4:$U$40,$AZ$5:$AZ$41,$BH5),"")))</f>
        <v/>
      </c>
      <c r="W5" s="652">
        <f>IF($BJ5&gt;0,IF(INDEX('Final Calculation Sheet'!$V$4:$V$40,$BJ5-3)="","",INDEX('Final Calculation Sheet'!$V$4:$V$40,$BJ5-3)),IF(OR($BI5=1,$BH5&gt;0),"–",""))</f>
        <v/>
      </c>
      <c r="X5" s="652">
        <f>IF($BJ5&gt;0,IF(INDEX('Final Calculation Sheet'!$W$4:$W$40,$BJ5-3)="","",INDEX('Final Calculation Sheet'!$W$4:$W$40,$BJ5-3)),IF($BI5=1,SUM('Final Calculation Sheet'!$W$4:$W$40),IF($BH5&gt;0,SUMIFS('Final Calculation Sheet'!$W$4:$W$40,$AZ$5:$AZ$41,$BH5),"")))</f>
        <v/>
      </c>
      <c r="Y5" s="652">
        <f>IF($BJ5&gt;0,IF(INDEX('Final Calculation Sheet'!$X$4:$X$40,$BJ5-3)="","",INDEX('Final Calculation Sheet'!$X$4:$X$40,$BJ5-3)),IF($BI5=1,SUM('Final Calculation Sheet'!$X$4:$X$40),IF($BH5&gt;0,SUMIFS('Final Calculation Sheet'!$X$4:$X$40,$AZ$5:$AZ$41,$BH5),"")))</f>
        <v/>
      </c>
      <c r="Z5" s="652">
        <f>IF($BJ5&gt;0,IF(INDEX('Final Calculation Sheet'!$Y$4:$Y$40,$BJ5-3)="","",INDEX('Final Calculation Sheet'!$Y$4:$Y$40,$BJ5-3)),IF(OR($BI5=1,$BH5&gt;0),"–",""))</f>
        <v/>
      </c>
      <c r="AA5" s="652">
        <f>IF($BJ5&gt;0,IF(INDEX('Final Calculation Sheet'!$Z$4:$Z$40,$BJ5-3)="","",INDEX('Final Calculation Sheet'!$Z$4:$Z$40,$BJ5-3)),IF($BI5=1,SUM('Final Calculation Sheet'!$Z$4:$Z$40),IF($BH5&gt;0,SUMIFS('Final Calculation Sheet'!$Z$4:$Z$40,$AZ$5:$AZ$41,$BH5),"")))</f>
        <v/>
      </c>
      <c r="AB5" s="652">
        <f>IF($BJ5&gt;0,IF(INDEX('Final Calculation Sheet'!$AA$4:$AA$40,$BJ5-3)="","",INDEX('Final Calculation Sheet'!$AA$4:$AA$40,$BJ5-3)),IF($BI5=1,SUM('Final Calculation Sheet'!$AA$4:$AA$40),IF($BH5&gt;0,SUMIFS('Final Calculation Sheet'!$AA$4:$AA$40,$AZ$5:$AZ$41,$BH5),"")))</f>
        <v/>
      </c>
      <c r="AC5" s="652">
        <f>IF($BJ5&gt;0,IF(INDEX('Final Calculation Sheet'!$AB$4:$AB$40,$BJ5-3)="","",INDEX('Final Calculation Sheet'!$AB$4:$AB$40,$BJ5-3)),IF(OR($BI5=1,$BH5&gt;0),"–",""))</f>
        <v/>
      </c>
      <c r="AD5" s="652">
        <f>IF($BJ5&gt;0,IF(INDEX('Final Calculation Sheet'!$AC$4:$AC$40,$BJ5-3)="","",INDEX('Final Calculation Sheet'!$AC$4:$AC$40,$BJ5-3)),IF($BI5=1,SUM('Final Calculation Sheet'!$AC$4:$AC$40),IF($BH5&gt;0,SUMIFS('Final Calculation Sheet'!$AC$4:$AC$40,$AZ$5:$AZ$41,$BH5),"")))</f>
        <v/>
      </c>
      <c r="AE5" s="652">
        <f>IF($BJ5&gt;0,IF(INDEX('Final Calculation Sheet'!$AD$4:$AD$40,$BJ5-3)="","",INDEX('Final Calculation Sheet'!$AD$4:$AD$40,$BJ5-3)),IF($BI5=1,SUM('Final Calculation Sheet'!$AD$4:$AD$40),IF($BH5&gt;0,SUMIFS('Final Calculation Sheet'!$AD$4:$AD$40,$AZ$5:$AZ$41,$BH5),"")))</f>
        <v/>
      </c>
      <c r="AF5" s="652">
        <f>IF($BJ5&gt;0,IF(INDEX('Final Calculation Sheet'!$AE$4:$AE$40,$BJ5-3)="","",INDEX('Final Calculation Sheet'!$AE$4:$AE$40,$BJ5-3)),IF(OR($BI5=1,$BH5&gt;0),"–",""))</f>
        <v/>
      </c>
      <c r="AG5" s="656">
        <f>IF($BJ5&gt;0,IF(INDEX('Final Calculation Sheet'!$AF$4:$AF$40,$BJ5-3)="","",INDEX('Final Calculation Sheet'!$AF$4:$AF$40,$BJ5-3)),IF(OR($BI5=1,$BH5&gt;0),"–",""))</f>
        <v/>
      </c>
      <c r="AH5" s="652">
        <f>IF($BJ5&gt;0,IF(INDEX('Final Calculation Sheet'!$AG$4:$AG$40,$BJ5-3)="","",INDEX('Final Calculation Sheet'!$AG$4:$AG$40,$BJ5-3)),IF(OR($BI5=1,$BH5&gt;0),"–",""))</f>
        <v/>
      </c>
      <c r="AI5" s="657">
        <f>IF($BJ5&gt;0,IF(INDEX('Final Calculation Sheet'!$AD$4:$AD$40,$BJ5-3)="","",IF(INDEX('Final Calculation Sheet'!$AD$4:$AD$40,$BJ5-3)&lt;=0,"SETTLED","OUTSTANDING")),IF(OR($BI5=1,$BH5&gt;0),IF(IF($BI5=1,SUM('Final Calculation Sheet'!$AD$4:$AD$40),SUMIFS('Final Calculation Sheet'!$AD$4:$AD$40,$AZ$5:$AZ$41,$BH5))&lt;=0,"ALL SETTLED","OUTSTANDING"),""))</f>
        <v/>
      </c>
      <c r="AK5">
        <f>IF($F$3="Lot No.",'Final Calculation Sheet'!$F$4,IF($F$3="Buyer",'Final Calculation Sheet'!$G$4,IF($F$3="Lot Name",'Final Calculation Sheet'!$B$4,IF($F$3="Bid Sheet",'Final Calculation Sheet'!$D$4,IF($F$3="Unit",'Final Calculation Sheet'!$E$4,'Final Calculation Sheet'!$F$4&amp;" "&amp;'Final Calculation Sheet'!$G$4&amp;" "&amp;'Final Calculation Sheet'!$B$4)))))</f>
        <v/>
      </c>
      <c r="AM5">
        <f>IF($B$3="",1,IF(AND(IF(COUNTIF($AR$9:$AY$9,1)=0,TRUE,SUMPRODUCT(($AR$9:$AY$9=1)*($AR$6:$AY$6&lt;&gt;"")*ISNUMBER(SEARCH($AR$6:$AY$6,$AK5)))&gt;0),IF(COUNTIF($AR$9:$AY$9,2)=0,TRUE,SUMPRODUCT(($AR$9:$AY$9=2)*($AR$6:$AY$6&lt;&gt;"")*ISNUMBER(SEARCH($AR$6:$AY$6,$AK5)))&gt;0),IF(COUNTIF($AR$9:$AY$9,3)=0,TRUE,SUMPRODUCT(($AR$9:$AY$9=3)*($AR$6:$AY$6&lt;&gt;"")*ISNUMBER(SEARCH($AR$6:$AY$6,$AK5)))&gt;0),IF(COUNTIF($AR$9:$AY$9,4)=0,TRUE,SUMPRODUCT(($AR$9:$AY$9=4)*($AR$6:$AY$6&lt;&gt;"")*ISNUMBER(SEARCH($AR$6:$AY$6,$AK5)))&gt;0),IF(COUNTIF($AR$9:$AY$9,5)=0,TRUE,SUMPRODUCT(($AR$9:$AY$9=5)*($AR$6:$AY$6&lt;&gt;"")*ISNUMBER(SEARCH($AR$6:$AY$6,$AK5)))&gt;0),IF(COUNTIF($AR$9:$AY$9,6)=0,TRUE,SUMPRODUCT(($AR$9:$AY$9=6)*($AR$6:$AY$6&lt;&gt;"")*ISNUMBER(SEARCH($AR$6:$AY$6,$AK5)))&gt;0),IF(COUNTIF($AR$9:$AY$9,7)=0,TRUE,SUMPRODUCT(($AR$9:$AY$9=7)*($AR$6:$AY$6&lt;&gt;"")*ISNUMBER(SEARCH($AR$6:$AY$6,$AK5)))&gt;0),IF(COUNTIF($AR$9:$AY$9,8)=0,TRUE,SUMPRODUCT(($AR$9:$AY$9=8)*($AR$6:$AY$6&lt;&gt;"")*ISNUMBER(SEARCH($AR$6:$AY$6,$AK5)))&gt;0)),1,0))</f>
        <v/>
      </c>
      <c r="AO5" t="inlineStr">
        <is>
          <t>Lot No.</t>
        </is>
      </c>
      <c r="AR5">
        <f>IF($AR$4="",99999,MIN(IFERROR(FIND(",",$AR$4),99999),IFERROR(FIND("+",$AR$4),99999)))</f>
        <v/>
      </c>
      <c r="AS5">
        <f>IF($AS$4="",99999,MIN(IFERROR(FIND(",",$AS$4),99999),IFERROR(FIND("+",$AS$4),99999)))</f>
        <v/>
      </c>
      <c r="AT5">
        <f>IF($AT$4="",99999,MIN(IFERROR(FIND(",",$AT$4),99999),IFERROR(FIND("+",$AT$4),99999)))</f>
        <v/>
      </c>
      <c r="AU5">
        <f>IF($AU$4="",99999,MIN(IFERROR(FIND(",",$AU$4),99999),IFERROR(FIND("+",$AU$4),99999)))</f>
        <v/>
      </c>
      <c r="AV5">
        <f>IF($AV$4="",99999,MIN(IFERROR(FIND(",",$AV$4),99999),IFERROR(FIND("+",$AV$4),99999)))</f>
        <v/>
      </c>
      <c r="AW5">
        <f>IF($AW$4="",99999,MIN(IFERROR(FIND(",",$AW$4),99999),IFERROR(FIND("+",$AW$4),99999)))</f>
        <v/>
      </c>
      <c r="AX5">
        <f>IF($AX$4="",99999,MIN(IFERROR(FIND(",",$AX$4),99999),IFERROR(FIND("+",$AX$4),99999)))</f>
        <v/>
      </c>
      <c r="AY5">
        <f>IF($AY$4="",99999,MIN(IFERROR(FIND(",",$AY$4),99999),IFERROR(FIND("+",$AY$4),99999)))</f>
        <v/>
      </c>
      <c r="AZ5">
        <f>IF($B$3="",9,IF($AM5=0,10,IF(AND($AR$6&lt;&gt;"",ISNUMBER(SEARCH($AR$6,$AK5))),1,IF(AND($AS$6&lt;&gt;"",ISNUMBER(SEARCH($AS$6,$AK5))),2,IF(AND($AT$6&lt;&gt;"",ISNUMBER(SEARCH($AT$6,$AK5))),3,IF(AND($AU$6&lt;&gt;"",ISNUMBER(SEARCH($AU$6,$AK5))),4,IF(AND($AV$6&lt;&gt;"",ISNUMBER(SEARCH($AV$6,$AK5))),5,IF(AND($AW$6&lt;&gt;"",ISNUMBER(SEARCH($AW$6,$AK5))),6,IF(AND($AX$6&lt;&gt;"",ISNUMBER(SEARCH($AX$6,$AK5))),7,IF(AND($AY$6&lt;&gt;"",ISNUMBER(SEARCH($AY$6,$AK5))),8,0))))))))))</f>
        <v/>
      </c>
      <c r="BA5">
        <f>SUMPRODUCT(($AZ$5:$AZ$41=$AZ5)*($BC$5:$BC$41&lt;$BC5))+1</f>
        <v/>
      </c>
      <c r="BB5">
        <f>IF(INDEX($BF$4:$BF$13,$AZ5)=0,0,INDEX($BE$4:$BE$13,$AZ5)+$BA5-1)</f>
        <v/>
      </c>
      <c r="BC5" t="n">
        <v>4</v>
      </c>
      <c r="BD5">
        <f>COUNTIF($AZ$5:$AZ$41,2)</f>
        <v/>
      </c>
      <c r="BE5">
        <f>IF($BD4=0,$BE4,$BF4+1)</f>
        <v/>
      </c>
      <c r="BF5">
        <f>IF($BD5=0,0,$BE5+$BD5)</f>
        <v/>
      </c>
      <c r="BH5">
        <f>IFERROR(MATCH(5,$BF$4:$BF$13,0),0)</f>
        <v/>
      </c>
      <c r="BI5">
        <f>IF(5=$BG$4,1,0)</f>
        <v/>
      </c>
      <c r="BJ5">
        <f>IF(OR($BH5&gt;0,$BI5=1),0,IFERROR(INDEX($BC$5:$BC$41,MATCH(5,$BB$5:$BB$41,0)),0))</f>
        <v/>
      </c>
      <c r="BK5">
        <f>IF($BJ5&gt;0,IF(INDEX($AZ$5:$AZ$41,MATCH(5,$BB$5:$BB$41,0))=10,1,0),IF($BH5=10,1,0))</f>
        <v/>
      </c>
    </row>
    <row r="6" ht="15" customHeight="1">
      <c r="A6" s="649">
        <f>IF($BJ6&gt;0,INDEX($BA$5:$BA$41,MATCH(6,$BB$5:$BB$41,0)),IF(OR($BI6=1,$BH6&gt;0),"∑",""))</f>
        <v/>
      </c>
      <c r="B6" s="650">
        <f>IF($BJ6&gt;0,IF(INDEX('Final Calculation Sheet'!$F$4:$F$40,$BJ6-3)="","",INDEX('Final Calculation Sheet'!$F$4:$F$40,$BJ6-3)),"")</f>
        <v/>
      </c>
      <c r="C6" s="650">
        <f>IF($BJ6&gt;0,IF(INDEX('Final Calculation Sheet'!$G$4:$G$40,$BJ6-3)="","",INDEX('Final Calculation Sheet'!$G$4:$G$40,$BJ6-3)),IF(OR($BI6=1,$BH6&gt;0),IF($BI6=1,37,INDEX($BD$4:$BD$13,$BH6))&amp;" lot(s)",""))</f>
        <v/>
      </c>
      <c r="D6" s="651">
        <f>IF($BJ6&gt;0,IF(INDEX('Final Calculation Sheet'!$B$4:$B$40,$BJ6-3)="","",INDEX('Final Calculation Sheet'!$B$4:$B$40,$BJ6-3)),IF(OR($BI6=1,$BH6&gt;0),IF($BI6=1,"GRAND TOTAL  —  matching + remaining",IF($BH6=10,"REMAINING  —  did not match the search",IF($BH6=9,"ALL LOTS  —  nothing typed in the box","GROUP "&amp;$BH6&amp;" TOTAL  —  lots matching  "&amp;INDEX($AR$6:$AY$6,$BH6)))),""))</f>
        <v/>
      </c>
      <c r="E6" s="651">
        <f>IF($BJ6&gt;0,IF(INDEX('Final Calculation Sheet'!$D$4:$D$40,$BJ6-3)="","",INDEX('Final Calculation Sheet'!$D$4:$D$40,$BJ6-3)),IF(OR($BI6=1,$BH6&gt;0),"–",""))</f>
        <v/>
      </c>
      <c r="F6" s="651">
        <f>IF($BJ6&gt;0,IF(INDEX('Final Calculation Sheet'!$A$4:$A$40,$BJ6-3)="","",INDEX('Final Calculation Sheet'!$A$4:$A$40,$BJ6-3)),IF($BI6=1,SUM('Final Calculation Sheet'!$A$4:$A$40),IF($BH6&gt;0,SUMIFS('Final Calculation Sheet'!$A$4:$A$40,$AZ$5:$AZ$41,$BH6),"")))</f>
        <v/>
      </c>
      <c r="G6" s="651">
        <f>IF($BJ6&gt;0,IF(INDEX('Final Calculation Sheet'!$E$4:$E$40,$BJ6-3)="","",INDEX('Final Calculation Sheet'!$E$4:$E$40,$BJ6-3)),IF(OR($BI6=1,$BH6&gt;0),"–",""))</f>
        <v/>
      </c>
      <c r="H6" s="652">
        <f>IF($BJ6&gt;0,IF(INDEX('Final Calculation Sheet'!$C$4:$C$40,$BJ6-3)="","",INDEX('Final Calculation Sheet'!$C$4:$C$40,$BJ6-3)),IF(OR($BI6=1,$BH6&gt;0),"–",""))</f>
        <v/>
      </c>
      <c r="I6" s="652">
        <f>IF($BJ6&gt;0,IF(INDEX('Final Calculation Sheet'!$H$4:$H$40,$BJ6-3)="","",INDEX('Final Calculation Sheet'!$H$4:$H$40,$BJ6-3)),IF($BI6=1,SUM('Final Calculation Sheet'!$H$4:$H$40),IF($BH6&gt;0,SUMIFS('Final Calculation Sheet'!$H$4:$H$40,$AZ$5:$AZ$41,$BH6),"")))</f>
        <v/>
      </c>
      <c r="J6" s="652">
        <f>IF($BJ6&gt;0,IF(INDEX('Final Calculation Sheet'!$I$4:$I$40,$BJ6-3)="","",INDEX('Final Calculation Sheet'!$I$4:$I$40,$BJ6-3)),IF($BI6=1,SUM('Final Calculation Sheet'!$I$4:$I$40),IF($BH6&gt;0,SUMIFS('Final Calculation Sheet'!$I$4:$I$40,$AZ$5:$AZ$41,$BH6),"")))</f>
        <v/>
      </c>
      <c r="K6" s="652">
        <f>IF($BJ6&gt;0,IF(INDEX('Final Calculation Sheet'!$J$4:$J$40,$BJ6-3)="","",INDEX('Final Calculation Sheet'!$J$4:$J$40,$BJ6-3)),IF($BI6=1,SUM('Final Calculation Sheet'!$J$4:$J$40),IF($BH6&gt;0,SUMIFS('Final Calculation Sheet'!$J$4:$J$40,$AZ$5:$AZ$41,$BH6),"")))</f>
        <v/>
      </c>
      <c r="L6" s="652">
        <f>IF($BJ6&gt;0,IF(INDEX('Final Calculation Sheet'!$K$4:$K$40,$BJ6-3)="","",INDEX('Final Calculation Sheet'!$K$4:$K$40,$BJ6-3)),IF($BI6=1,SUM('Final Calculation Sheet'!$K$4:$K$40),IF($BH6&gt;0,SUMIFS('Final Calculation Sheet'!$K$4:$K$40,$AZ$5:$AZ$41,$BH6),"")))</f>
        <v/>
      </c>
      <c r="M6" s="652">
        <f>IF($BJ6&gt;0,IF(INDEX('Final Calculation Sheet'!$L$4:$L$40,$BJ6-3)="","",INDEX('Final Calculation Sheet'!$L$4:$L$40,$BJ6-3)),IF($BI6=1,SUM('Final Calculation Sheet'!$L$4:$L$40),IF($BH6&gt;0,SUMIFS('Final Calculation Sheet'!$L$4:$L$40,$AZ$5:$AZ$41,$BH6),"")))</f>
        <v/>
      </c>
      <c r="N6" s="652">
        <f>IF($BJ6&gt;0,IF(INDEX('Final Calculation Sheet'!$M$4:$M$40,$BJ6-3)="","",INDEX('Final Calculation Sheet'!$M$4:$M$40,$BJ6-3)),IF($BI6=1,SUM('Final Calculation Sheet'!$M$4:$M$40),IF($BH6&gt;0,SUMIFS('Final Calculation Sheet'!$M$4:$M$40,$AZ$5:$AZ$41,$BH6),"")))</f>
        <v/>
      </c>
      <c r="O6" s="653">
        <f>IF($BJ6&gt;0,IF(INDEX('Final Calculation Sheet'!$N$4:$N$40,$BJ6-3)="","",INDEX('Final Calculation Sheet'!$N$4:$N$40,$BJ6-3)),IF($BI6=1,SUM('Final Calculation Sheet'!$N$4:$N$40),IF($BH6&gt;0,SUMIFS('Final Calculation Sheet'!$N$4:$N$40,$AZ$5:$AZ$41,$BH6),"")))</f>
        <v/>
      </c>
      <c r="P6" s="652">
        <f>IF($BJ6&gt;0,IF(INDEX('Final Calculation Sheet'!$O$4:$O$40,$BJ6-3)="","",INDEX('Final Calculation Sheet'!$O$4:$O$40,$BJ6-3)),IF($BI6=1,SUM('Final Calculation Sheet'!$O$4:$O$40),IF($BH6&gt;0,SUMIFS('Final Calculation Sheet'!$O$4:$O$40,$AZ$5:$AZ$41,$BH6),"")))</f>
        <v/>
      </c>
      <c r="Q6" s="652">
        <f>IF($BJ6&gt;0,IF(INDEX('Final Calculation Sheet'!$P$4:$P$40,$BJ6-3)="","",INDEX('Final Calculation Sheet'!$P$4:$P$40,$BJ6-3)),IF($BI6=1,SUM('Final Calculation Sheet'!$P$4:$P$40),IF($BH6&gt;0,SUMIFS('Final Calculation Sheet'!$P$4:$P$40,$AZ$5:$AZ$41,$BH6),"")))</f>
        <v/>
      </c>
      <c r="R6" s="654">
        <f>IF($BJ6&gt;0,IF(INDEX('Final Calculation Sheet'!$Q$4:$Q$40,$BJ6-3)="","",INDEX('Final Calculation Sheet'!$Q$4:$Q$40,$BJ6-3)),IF(OR($BI6=1,$BH6&gt;0),"–",""))</f>
        <v/>
      </c>
      <c r="S6" s="652">
        <f>IF($BJ6&gt;0,IF(INDEX('Final Calculation Sheet'!$R$4:$R$40,$BJ6-3)="","",INDEX('Final Calculation Sheet'!$R$4:$R$40,$BJ6-3)),IF($BI6=1,SUM('Final Calculation Sheet'!$R$4:$R$40),IF($BH6&gt;0,SUMIFS('Final Calculation Sheet'!$R$4:$R$40,$AZ$5:$AZ$41,$BH6),"")))</f>
        <v/>
      </c>
      <c r="T6" s="652">
        <f>IF($BJ6&gt;0,IF(INDEX('Final Calculation Sheet'!$S$4:$S$40,$BJ6-3)="","",INDEX('Final Calculation Sheet'!$S$4:$S$40,$BJ6-3)),IF($BI6=1,SUM('Final Calculation Sheet'!$S$4:$S$40),IF($BH6&gt;0,SUMIFS('Final Calculation Sheet'!$S$4:$S$40,$AZ$5:$AZ$41,$BH6),"")))</f>
        <v/>
      </c>
      <c r="U6" s="652">
        <f>IF($BJ6&gt;0,IF(INDEX('Final Calculation Sheet'!$T$4:$T$40,$BJ6-3)="","",INDEX('Final Calculation Sheet'!$T$4:$T$40,$BJ6-3)),IF($BI6=1,SUM('Final Calculation Sheet'!$T$4:$T$40),IF($BH6&gt;0,SUMIFS('Final Calculation Sheet'!$T$4:$T$40,$AZ$5:$AZ$41,$BH6),"")))</f>
        <v/>
      </c>
      <c r="V6" s="655">
        <f>IF($BJ6&gt;0,IF(INDEX('Final Calculation Sheet'!$U$4:$U$40,$BJ6-3)="","",INDEX('Final Calculation Sheet'!$U$4:$U$40,$BJ6-3)),IF($BI6=1,SUM('Final Calculation Sheet'!$U$4:$U$40),IF($BH6&gt;0,SUMIFS('Final Calculation Sheet'!$U$4:$U$40,$AZ$5:$AZ$41,$BH6),"")))</f>
        <v/>
      </c>
      <c r="W6" s="652">
        <f>IF($BJ6&gt;0,IF(INDEX('Final Calculation Sheet'!$V$4:$V$40,$BJ6-3)="","",INDEX('Final Calculation Sheet'!$V$4:$V$40,$BJ6-3)),IF(OR($BI6=1,$BH6&gt;0),"–",""))</f>
        <v/>
      </c>
      <c r="X6" s="652">
        <f>IF($BJ6&gt;0,IF(INDEX('Final Calculation Sheet'!$W$4:$W$40,$BJ6-3)="","",INDEX('Final Calculation Sheet'!$W$4:$W$40,$BJ6-3)),IF($BI6=1,SUM('Final Calculation Sheet'!$W$4:$W$40),IF($BH6&gt;0,SUMIFS('Final Calculation Sheet'!$W$4:$W$40,$AZ$5:$AZ$41,$BH6),"")))</f>
        <v/>
      </c>
      <c r="Y6" s="652">
        <f>IF($BJ6&gt;0,IF(INDEX('Final Calculation Sheet'!$X$4:$X$40,$BJ6-3)="","",INDEX('Final Calculation Sheet'!$X$4:$X$40,$BJ6-3)),IF($BI6=1,SUM('Final Calculation Sheet'!$X$4:$X$40),IF($BH6&gt;0,SUMIFS('Final Calculation Sheet'!$X$4:$X$40,$AZ$5:$AZ$41,$BH6),"")))</f>
        <v/>
      </c>
      <c r="Z6" s="652">
        <f>IF($BJ6&gt;0,IF(INDEX('Final Calculation Sheet'!$Y$4:$Y$40,$BJ6-3)="","",INDEX('Final Calculation Sheet'!$Y$4:$Y$40,$BJ6-3)),IF(OR($BI6=1,$BH6&gt;0),"–",""))</f>
        <v/>
      </c>
      <c r="AA6" s="652">
        <f>IF($BJ6&gt;0,IF(INDEX('Final Calculation Sheet'!$Z$4:$Z$40,$BJ6-3)="","",INDEX('Final Calculation Sheet'!$Z$4:$Z$40,$BJ6-3)),IF($BI6=1,SUM('Final Calculation Sheet'!$Z$4:$Z$40),IF($BH6&gt;0,SUMIFS('Final Calculation Sheet'!$Z$4:$Z$40,$AZ$5:$AZ$41,$BH6),"")))</f>
        <v/>
      </c>
      <c r="AB6" s="652">
        <f>IF($BJ6&gt;0,IF(INDEX('Final Calculation Sheet'!$AA$4:$AA$40,$BJ6-3)="","",INDEX('Final Calculation Sheet'!$AA$4:$AA$40,$BJ6-3)),IF($BI6=1,SUM('Final Calculation Sheet'!$AA$4:$AA$40),IF($BH6&gt;0,SUMIFS('Final Calculation Sheet'!$AA$4:$AA$40,$AZ$5:$AZ$41,$BH6),"")))</f>
        <v/>
      </c>
      <c r="AC6" s="652">
        <f>IF($BJ6&gt;0,IF(INDEX('Final Calculation Sheet'!$AB$4:$AB$40,$BJ6-3)="","",INDEX('Final Calculation Sheet'!$AB$4:$AB$40,$BJ6-3)),IF(OR($BI6=1,$BH6&gt;0),"–",""))</f>
        <v/>
      </c>
      <c r="AD6" s="652">
        <f>IF($BJ6&gt;0,IF(INDEX('Final Calculation Sheet'!$AC$4:$AC$40,$BJ6-3)="","",INDEX('Final Calculation Sheet'!$AC$4:$AC$40,$BJ6-3)),IF($BI6=1,SUM('Final Calculation Sheet'!$AC$4:$AC$40),IF($BH6&gt;0,SUMIFS('Final Calculation Sheet'!$AC$4:$AC$40,$AZ$5:$AZ$41,$BH6),"")))</f>
        <v/>
      </c>
      <c r="AE6" s="652">
        <f>IF($BJ6&gt;0,IF(INDEX('Final Calculation Sheet'!$AD$4:$AD$40,$BJ6-3)="","",INDEX('Final Calculation Sheet'!$AD$4:$AD$40,$BJ6-3)),IF($BI6=1,SUM('Final Calculation Sheet'!$AD$4:$AD$40),IF($BH6&gt;0,SUMIFS('Final Calculation Sheet'!$AD$4:$AD$40,$AZ$5:$AZ$41,$BH6),"")))</f>
        <v/>
      </c>
      <c r="AF6" s="652">
        <f>IF($BJ6&gt;0,IF(INDEX('Final Calculation Sheet'!$AE$4:$AE$40,$BJ6-3)="","",INDEX('Final Calculation Sheet'!$AE$4:$AE$40,$BJ6-3)),IF(OR($BI6=1,$BH6&gt;0),"–",""))</f>
        <v/>
      </c>
      <c r="AG6" s="656">
        <f>IF($BJ6&gt;0,IF(INDEX('Final Calculation Sheet'!$AF$4:$AF$40,$BJ6-3)="","",INDEX('Final Calculation Sheet'!$AF$4:$AF$40,$BJ6-3)),IF(OR($BI6=1,$BH6&gt;0),"–",""))</f>
        <v/>
      </c>
      <c r="AH6" s="652">
        <f>IF($BJ6&gt;0,IF(INDEX('Final Calculation Sheet'!$AG$4:$AG$40,$BJ6-3)="","",INDEX('Final Calculation Sheet'!$AG$4:$AG$40,$BJ6-3)),IF(OR($BI6=1,$BH6&gt;0),"–",""))</f>
        <v/>
      </c>
      <c r="AI6" s="657">
        <f>IF($BJ6&gt;0,IF(INDEX('Final Calculation Sheet'!$AD$4:$AD$40,$BJ6-3)="","",IF(INDEX('Final Calculation Sheet'!$AD$4:$AD$40,$BJ6-3)&lt;=0,"SETTLED","OUTSTANDING")),IF(OR($BI6=1,$BH6&gt;0),IF(IF($BI6=1,SUM('Final Calculation Sheet'!$AD$4:$AD$40),SUMIFS('Final Calculation Sheet'!$AD$4:$AD$40,$AZ$5:$AZ$41,$BH6))&lt;=0,"ALL SETTLED","OUTSTANDING"),""))</f>
        <v/>
      </c>
      <c r="AK6">
        <f>IF($F$3="Lot No.",'Final Calculation Sheet'!$F$5,IF($F$3="Buyer",'Final Calculation Sheet'!$G$5,IF($F$3="Lot Name",'Final Calculation Sheet'!$B$5,IF($F$3="Bid Sheet",'Final Calculation Sheet'!$D$5,IF($F$3="Unit",'Final Calculation Sheet'!$E$5,'Final Calculation Sheet'!$F$5&amp;" "&amp;'Final Calculation Sheet'!$G$5&amp;" "&amp;'Final Calculation Sheet'!$B$5)))))</f>
        <v/>
      </c>
      <c r="AM6">
        <f>IF($B$3="",1,IF(AND(IF(COUNTIF($AR$9:$AY$9,1)=0,TRUE,SUMPRODUCT(($AR$9:$AY$9=1)*($AR$6:$AY$6&lt;&gt;"")*ISNUMBER(SEARCH($AR$6:$AY$6,$AK6)))&gt;0),IF(COUNTIF($AR$9:$AY$9,2)=0,TRUE,SUMPRODUCT(($AR$9:$AY$9=2)*($AR$6:$AY$6&lt;&gt;"")*ISNUMBER(SEARCH($AR$6:$AY$6,$AK6)))&gt;0),IF(COUNTIF($AR$9:$AY$9,3)=0,TRUE,SUMPRODUCT(($AR$9:$AY$9=3)*($AR$6:$AY$6&lt;&gt;"")*ISNUMBER(SEARCH($AR$6:$AY$6,$AK6)))&gt;0),IF(COUNTIF($AR$9:$AY$9,4)=0,TRUE,SUMPRODUCT(($AR$9:$AY$9=4)*($AR$6:$AY$6&lt;&gt;"")*ISNUMBER(SEARCH($AR$6:$AY$6,$AK6)))&gt;0),IF(COUNTIF($AR$9:$AY$9,5)=0,TRUE,SUMPRODUCT(($AR$9:$AY$9=5)*($AR$6:$AY$6&lt;&gt;"")*ISNUMBER(SEARCH($AR$6:$AY$6,$AK6)))&gt;0),IF(COUNTIF($AR$9:$AY$9,6)=0,TRUE,SUMPRODUCT(($AR$9:$AY$9=6)*($AR$6:$AY$6&lt;&gt;"")*ISNUMBER(SEARCH($AR$6:$AY$6,$AK6)))&gt;0),IF(COUNTIF($AR$9:$AY$9,7)=0,TRUE,SUMPRODUCT(($AR$9:$AY$9=7)*($AR$6:$AY$6&lt;&gt;"")*ISNUMBER(SEARCH($AR$6:$AY$6,$AK6)))&gt;0),IF(COUNTIF($AR$9:$AY$9,8)=0,TRUE,SUMPRODUCT(($AR$9:$AY$9=8)*($AR$6:$AY$6&lt;&gt;"")*ISNUMBER(SEARCH($AR$6:$AY$6,$AK6)))&gt;0)),1,0))</f>
        <v/>
      </c>
      <c r="AO6" t="inlineStr">
        <is>
          <t>Buyer</t>
        </is>
      </c>
      <c r="AR6">
        <f>IF($AR$4="","",IF($AR$5=99999,TRIM($AR$4),TRIM(LEFT($AR$4,$AR$5-1))))</f>
        <v/>
      </c>
      <c r="AS6">
        <f>IF($AS$4="","",IF($AS$5=99999,TRIM($AS$4),TRIM(LEFT($AS$4,$AS$5-1))))</f>
        <v/>
      </c>
      <c r="AT6">
        <f>IF($AT$4="","",IF($AT$5=99999,TRIM($AT$4),TRIM(LEFT($AT$4,$AT$5-1))))</f>
        <v/>
      </c>
      <c r="AU6">
        <f>IF($AU$4="","",IF($AU$5=99999,TRIM($AU$4),TRIM(LEFT($AU$4,$AU$5-1))))</f>
        <v/>
      </c>
      <c r="AV6">
        <f>IF($AV$4="","",IF($AV$5=99999,TRIM($AV$4),TRIM(LEFT($AV$4,$AV$5-1))))</f>
        <v/>
      </c>
      <c r="AW6">
        <f>IF($AW$4="","",IF($AW$5=99999,TRIM($AW$4),TRIM(LEFT($AW$4,$AW$5-1))))</f>
        <v/>
      </c>
      <c r="AX6">
        <f>IF($AX$4="","",IF($AX$5=99999,TRIM($AX$4),TRIM(LEFT($AX$4,$AX$5-1))))</f>
        <v/>
      </c>
      <c r="AY6">
        <f>IF($AY$4="","",IF($AY$5=99999,TRIM($AY$4),TRIM(LEFT($AY$4,$AY$5-1))))</f>
        <v/>
      </c>
      <c r="AZ6">
        <f>IF($B$3="",9,IF($AM6=0,10,IF(AND($AR$6&lt;&gt;"",ISNUMBER(SEARCH($AR$6,$AK6))),1,IF(AND($AS$6&lt;&gt;"",ISNUMBER(SEARCH($AS$6,$AK6))),2,IF(AND($AT$6&lt;&gt;"",ISNUMBER(SEARCH($AT$6,$AK6))),3,IF(AND($AU$6&lt;&gt;"",ISNUMBER(SEARCH($AU$6,$AK6))),4,IF(AND($AV$6&lt;&gt;"",ISNUMBER(SEARCH($AV$6,$AK6))),5,IF(AND($AW$6&lt;&gt;"",ISNUMBER(SEARCH($AW$6,$AK6))),6,IF(AND($AX$6&lt;&gt;"",ISNUMBER(SEARCH($AX$6,$AK6))),7,IF(AND($AY$6&lt;&gt;"",ISNUMBER(SEARCH($AY$6,$AK6))),8,0))))))))))</f>
        <v/>
      </c>
      <c r="BA6">
        <f>SUMPRODUCT(($AZ$5:$AZ$41=$AZ6)*($BC$5:$BC$41&lt;$BC6))+1</f>
        <v/>
      </c>
      <c r="BB6">
        <f>IF(INDEX($BF$4:$BF$13,$AZ6)=0,0,INDEX($BE$4:$BE$13,$AZ6)+$BA6-1)</f>
        <v/>
      </c>
      <c r="BC6" t="n">
        <v>5</v>
      </c>
      <c r="BD6">
        <f>COUNTIF($AZ$5:$AZ$41,3)</f>
        <v/>
      </c>
      <c r="BE6">
        <f>IF($BD5=0,$BE5,$BF5+1)</f>
        <v/>
      </c>
      <c r="BF6">
        <f>IF($BD6=0,0,$BE6+$BD6)</f>
        <v/>
      </c>
      <c r="BH6">
        <f>IFERROR(MATCH(6,$BF$4:$BF$13,0),0)</f>
        <v/>
      </c>
      <c r="BI6">
        <f>IF(6=$BG$4,1,0)</f>
        <v/>
      </c>
      <c r="BJ6">
        <f>IF(OR($BH6&gt;0,$BI6=1),0,IFERROR(INDEX($BC$5:$BC$41,MATCH(6,$BB$5:$BB$41,0)),0))</f>
        <v/>
      </c>
      <c r="BK6">
        <f>IF($BJ6&gt;0,IF(INDEX($AZ$5:$AZ$41,MATCH(6,$BB$5:$BB$41,0))=10,1,0),IF($BH6=10,1,0))</f>
        <v/>
      </c>
    </row>
    <row r="7" ht="15" customHeight="1">
      <c r="A7" s="649">
        <f>IF($BJ7&gt;0,INDEX($BA$5:$BA$41,MATCH(7,$BB$5:$BB$41,0)),IF(OR($BI7=1,$BH7&gt;0),"∑",""))</f>
        <v/>
      </c>
      <c r="B7" s="650">
        <f>IF($BJ7&gt;0,IF(INDEX('Final Calculation Sheet'!$F$4:$F$40,$BJ7-3)="","",INDEX('Final Calculation Sheet'!$F$4:$F$40,$BJ7-3)),"")</f>
        <v/>
      </c>
      <c r="C7" s="650">
        <f>IF($BJ7&gt;0,IF(INDEX('Final Calculation Sheet'!$G$4:$G$40,$BJ7-3)="","",INDEX('Final Calculation Sheet'!$G$4:$G$40,$BJ7-3)),IF(OR($BI7=1,$BH7&gt;0),IF($BI7=1,37,INDEX($BD$4:$BD$13,$BH7))&amp;" lot(s)",""))</f>
        <v/>
      </c>
      <c r="D7" s="651">
        <f>IF($BJ7&gt;0,IF(INDEX('Final Calculation Sheet'!$B$4:$B$40,$BJ7-3)="","",INDEX('Final Calculation Sheet'!$B$4:$B$40,$BJ7-3)),IF(OR($BI7=1,$BH7&gt;0),IF($BI7=1,"GRAND TOTAL  —  matching + remaining",IF($BH7=10,"REMAINING  —  did not match the search",IF($BH7=9,"ALL LOTS  —  nothing typed in the box","GROUP "&amp;$BH7&amp;" TOTAL  —  lots matching  "&amp;INDEX($AR$6:$AY$6,$BH7)))),""))</f>
        <v/>
      </c>
      <c r="E7" s="651">
        <f>IF($BJ7&gt;0,IF(INDEX('Final Calculation Sheet'!$D$4:$D$40,$BJ7-3)="","",INDEX('Final Calculation Sheet'!$D$4:$D$40,$BJ7-3)),IF(OR($BI7=1,$BH7&gt;0),"–",""))</f>
        <v/>
      </c>
      <c r="F7" s="651">
        <f>IF($BJ7&gt;0,IF(INDEX('Final Calculation Sheet'!$A$4:$A$40,$BJ7-3)="","",INDEX('Final Calculation Sheet'!$A$4:$A$40,$BJ7-3)),IF($BI7=1,SUM('Final Calculation Sheet'!$A$4:$A$40),IF($BH7&gt;0,SUMIFS('Final Calculation Sheet'!$A$4:$A$40,$AZ$5:$AZ$41,$BH7),"")))</f>
        <v/>
      </c>
      <c r="G7" s="651">
        <f>IF($BJ7&gt;0,IF(INDEX('Final Calculation Sheet'!$E$4:$E$40,$BJ7-3)="","",INDEX('Final Calculation Sheet'!$E$4:$E$40,$BJ7-3)),IF(OR($BI7=1,$BH7&gt;0),"–",""))</f>
        <v/>
      </c>
      <c r="H7" s="652">
        <f>IF($BJ7&gt;0,IF(INDEX('Final Calculation Sheet'!$C$4:$C$40,$BJ7-3)="","",INDEX('Final Calculation Sheet'!$C$4:$C$40,$BJ7-3)),IF(OR($BI7=1,$BH7&gt;0),"–",""))</f>
        <v/>
      </c>
      <c r="I7" s="652">
        <f>IF($BJ7&gt;0,IF(INDEX('Final Calculation Sheet'!$H$4:$H$40,$BJ7-3)="","",INDEX('Final Calculation Sheet'!$H$4:$H$40,$BJ7-3)),IF($BI7=1,SUM('Final Calculation Sheet'!$H$4:$H$40),IF($BH7&gt;0,SUMIFS('Final Calculation Sheet'!$H$4:$H$40,$AZ$5:$AZ$41,$BH7),"")))</f>
        <v/>
      </c>
      <c r="J7" s="652">
        <f>IF($BJ7&gt;0,IF(INDEX('Final Calculation Sheet'!$I$4:$I$40,$BJ7-3)="","",INDEX('Final Calculation Sheet'!$I$4:$I$40,$BJ7-3)),IF($BI7=1,SUM('Final Calculation Sheet'!$I$4:$I$40),IF($BH7&gt;0,SUMIFS('Final Calculation Sheet'!$I$4:$I$40,$AZ$5:$AZ$41,$BH7),"")))</f>
        <v/>
      </c>
      <c r="K7" s="652">
        <f>IF($BJ7&gt;0,IF(INDEX('Final Calculation Sheet'!$J$4:$J$40,$BJ7-3)="","",INDEX('Final Calculation Sheet'!$J$4:$J$40,$BJ7-3)),IF($BI7=1,SUM('Final Calculation Sheet'!$J$4:$J$40),IF($BH7&gt;0,SUMIFS('Final Calculation Sheet'!$J$4:$J$40,$AZ$5:$AZ$41,$BH7),"")))</f>
        <v/>
      </c>
      <c r="L7" s="652">
        <f>IF($BJ7&gt;0,IF(INDEX('Final Calculation Sheet'!$K$4:$K$40,$BJ7-3)="","",INDEX('Final Calculation Sheet'!$K$4:$K$40,$BJ7-3)),IF($BI7=1,SUM('Final Calculation Sheet'!$K$4:$K$40),IF($BH7&gt;0,SUMIFS('Final Calculation Sheet'!$K$4:$K$40,$AZ$5:$AZ$41,$BH7),"")))</f>
        <v/>
      </c>
      <c r="M7" s="652">
        <f>IF($BJ7&gt;0,IF(INDEX('Final Calculation Sheet'!$L$4:$L$40,$BJ7-3)="","",INDEX('Final Calculation Sheet'!$L$4:$L$40,$BJ7-3)),IF($BI7=1,SUM('Final Calculation Sheet'!$L$4:$L$40),IF($BH7&gt;0,SUMIFS('Final Calculation Sheet'!$L$4:$L$40,$AZ$5:$AZ$41,$BH7),"")))</f>
        <v/>
      </c>
      <c r="N7" s="652">
        <f>IF($BJ7&gt;0,IF(INDEX('Final Calculation Sheet'!$M$4:$M$40,$BJ7-3)="","",INDEX('Final Calculation Sheet'!$M$4:$M$40,$BJ7-3)),IF($BI7=1,SUM('Final Calculation Sheet'!$M$4:$M$40),IF($BH7&gt;0,SUMIFS('Final Calculation Sheet'!$M$4:$M$40,$AZ$5:$AZ$41,$BH7),"")))</f>
        <v/>
      </c>
      <c r="O7" s="653">
        <f>IF($BJ7&gt;0,IF(INDEX('Final Calculation Sheet'!$N$4:$N$40,$BJ7-3)="","",INDEX('Final Calculation Sheet'!$N$4:$N$40,$BJ7-3)),IF($BI7=1,SUM('Final Calculation Sheet'!$N$4:$N$40),IF($BH7&gt;0,SUMIFS('Final Calculation Sheet'!$N$4:$N$40,$AZ$5:$AZ$41,$BH7),"")))</f>
        <v/>
      </c>
      <c r="P7" s="652">
        <f>IF($BJ7&gt;0,IF(INDEX('Final Calculation Sheet'!$O$4:$O$40,$BJ7-3)="","",INDEX('Final Calculation Sheet'!$O$4:$O$40,$BJ7-3)),IF($BI7=1,SUM('Final Calculation Sheet'!$O$4:$O$40),IF($BH7&gt;0,SUMIFS('Final Calculation Sheet'!$O$4:$O$40,$AZ$5:$AZ$41,$BH7),"")))</f>
        <v/>
      </c>
      <c r="Q7" s="652">
        <f>IF($BJ7&gt;0,IF(INDEX('Final Calculation Sheet'!$P$4:$P$40,$BJ7-3)="","",INDEX('Final Calculation Sheet'!$P$4:$P$40,$BJ7-3)),IF($BI7=1,SUM('Final Calculation Sheet'!$P$4:$P$40),IF($BH7&gt;0,SUMIFS('Final Calculation Sheet'!$P$4:$P$40,$AZ$5:$AZ$41,$BH7),"")))</f>
        <v/>
      </c>
      <c r="R7" s="654">
        <f>IF($BJ7&gt;0,IF(INDEX('Final Calculation Sheet'!$Q$4:$Q$40,$BJ7-3)="","",INDEX('Final Calculation Sheet'!$Q$4:$Q$40,$BJ7-3)),IF(OR($BI7=1,$BH7&gt;0),"–",""))</f>
        <v/>
      </c>
      <c r="S7" s="652">
        <f>IF($BJ7&gt;0,IF(INDEX('Final Calculation Sheet'!$R$4:$R$40,$BJ7-3)="","",INDEX('Final Calculation Sheet'!$R$4:$R$40,$BJ7-3)),IF($BI7=1,SUM('Final Calculation Sheet'!$R$4:$R$40),IF($BH7&gt;0,SUMIFS('Final Calculation Sheet'!$R$4:$R$40,$AZ$5:$AZ$41,$BH7),"")))</f>
        <v/>
      </c>
      <c r="T7" s="652">
        <f>IF($BJ7&gt;0,IF(INDEX('Final Calculation Sheet'!$S$4:$S$40,$BJ7-3)="","",INDEX('Final Calculation Sheet'!$S$4:$S$40,$BJ7-3)),IF($BI7=1,SUM('Final Calculation Sheet'!$S$4:$S$40),IF($BH7&gt;0,SUMIFS('Final Calculation Sheet'!$S$4:$S$40,$AZ$5:$AZ$41,$BH7),"")))</f>
        <v/>
      </c>
      <c r="U7" s="652">
        <f>IF($BJ7&gt;0,IF(INDEX('Final Calculation Sheet'!$T$4:$T$40,$BJ7-3)="","",INDEX('Final Calculation Sheet'!$T$4:$T$40,$BJ7-3)),IF($BI7=1,SUM('Final Calculation Sheet'!$T$4:$T$40),IF($BH7&gt;0,SUMIFS('Final Calculation Sheet'!$T$4:$T$40,$AZ$5:$AZ$41,$BH7),"")))</f>
        <v/>
      </c>
      <c r="V7" s="655">
        <f>IF($BJ7&gt;0,IF(INDEX('Final Calculation Sheet'!$U$4:$U$40,$BJ7-3)="","",INDEX('Final Calculation Sheet'!$U$4:$U$40,$BJ7-3)),IF($BI7=1,SUM('Final Calculation Sheet'!$U$4:$U$40),IF($BH7&gt;0,SUMIFS('Final Calculation Sheet'!$U$4:$U$40,$AZ$5:$AZ$41,$BH7),"")))</f>
        <v/>
      </c>
      <c r="W7" s="652">
        <f>IF($BJ7&gt;0,IF(INDEX('Final Calculation Sheet'!$V$4:$V$40,$BJ7-3)="","",INDEX('Final Calculation Sheet'!$V$4:$V$40,$BJ7-3)),IF(OR($BI7=1,$BH7&gt;0),"–",""))</f>
        <v/>
      </c>
      <c r="X7" s="652">
        <f>IF($BJ7&gt;0,IF(INDEX('Final Calculation Sheet'!$W$4:$W$40,$BJ7-3)="","",INDEX('Final Calculation Sheet'!$W$4:$W$40,$BJ7-3)),IF($BI7=1,SUM('Final Calculation Sheet'!$W$4:$W$40),IF($BH7&gt;0,SUMIFS('Final Calculation Sheet'!$W$4:$W$40,$AZ$5:$AZ$41,$BH7),"")))</f>
        <v/>
      </c>
      <c r="Y7" s="652">
        <f>IF($BJ7&gt;0,IF(INDEX('Final Calculation Sheet'!$X$4:$X$40,$BJ7-3)="","",INDEX('Final Calculation Sheet'!$X$4:$X$40,$BJ7-3)),IF($BI7=1,SUM('Final Calculation Sheet'!$X$4:$X$40),IF($BH7&gt;0,SUMIFS('Final Calculation Sheet'!$X$4:$X$40,$AZ$5:$AZ$41,$BH7),"")))</f>
        <v/>
      </c>
      <c r="Z7" s="652">
        <f>IF($BJ7&gt;0,IF(INDEX('Final Calculation Sheet'!$Y$4:$Y$40,$BJ7-3)="","",INDEX('Final Calculation Sheet'!$Y$4:$Y$40,$BJ7-3)),IF(OR($BI7=1,$BH7&gt;0),"–",""))</f>
        <v/>
      </c>
      <c r="AA7" s="652">
        <f>IF($BJ7&gt;0,IF(INDEX('Final Calculation Sheet'!$Z$4:$Z$40,$BJ7-3)="","",INDEX('Final Calculation Sheet'!$Z$4:$Z$40,$BJ7-3)),IF($BI7=1,SUM('Final Calculation Sheet'!$Z$4:$Z$40),IF($BH7&gt;0,SUMIFS('Final Calculation Sheet'!$Z$4:$Z$40,$AZ$5:$AZ$41,$BH7),"")))</f>
        <v/>
      </c>
      <c r="AB7" s="652">
        <f>IF($BJ7&gt;0,IF(INDEX('Final Calculation Sheet'!$AA$4:$AA$40,$BJ7-3)="","",INDEX('Final Calculation Sheet'!$AA$4:$AA$40,$BJ7-3)),IF($BI7=1,SUM('Final Calculation Sheet'!$AA$4:$AA$40),IF($BH7&gt;0,SUMIFS('Final Calculation Sheet'!$AA$4:$AA$40,$AZ$5:$AZ$41,$BH7),"")))</f>
        <v/>
      </c>
      <c r="AC7" s="652">
        <f>IF($BJ7&gt;0,IF(INDEX('Final Calculation Sheet'!$AB$4:$AB$40,$BJ7-3)="","",INDEX('Final Calculation Sheet'!$AB$4:$AB$40,$BJ7-3)),IF(OR($BI7=1,$BH7&gt;0),"–",""))</f>
        <v/>
      </c>
      <c r="AD7" s="652">
        <f>IF($BJ7&gt;0,IF(INDEX('Final Calculation Sheet'!$AC$4:$AC$40,$BJ7-3)="","",INDEX('Final Calculation Sheet'!$AC$4:$AC$40,$BJ7-3)),IF($BI7=1,SUM('Final Calculation Sheet'!$AC$4:$AC$40),IF($BH7&gt;0,SUMIFS('Final Calculation Sheet'!$AC$4:$AC$40,$AZ$5:$AZ$41,$BH7),"")))</f>
        <v/>
      </c>
      <c r="AE7" s="652">
        <f>IF($BJ7&gt;0,IF(INDEX('Final Calculation Sheet'!$AD$4:$AD$40,$BJ7-3)="","",INDEX('Final Calculation Sheet'!$AD$4:$AD$40,$BJ7-3)),IF($BI7=1,SUM('Final Calculation Sheet'!$AD$4:$AD$40),IF($BH7&gt;0,SUMIFS('Final Calculation Sheet'!$AD$4:$AD$40,$AZ$5:$AZ$41,$BH7),"")))</f>
        <v/>
      </c>
      <c r="AF7" s="652">
        <f>IF($BJ7&gt;0,IF(INDEX('Final Calculation Sheet'!$AE$4:$AE$40,$BJ7-3)="","",INDEX('Final Calculation Sheet'!$AE$4:$AE$40,$BJ7-3)),IF(OR($BI7=1,$BH7&gt;0),"–",""))</f>
        <v/>
      </c>
      <c r="AG7" s="656">
        <f>IF($BJ7&gt;0,IF(INDEX('Final Calculation Sheet'!$AF$4:$AF$40,$BJ7-3)="","",INDEX('Final Calculation Sheet'!$AF$4:$AF$40,$BJ7-3)),IF(OR($BI7=1,$BH7&gt;0),"–",""))</f>
        <v/>
      </c>
      <c r="AH7" s="652">
        <f>IF($BJ7&gt;0,IF(INDEX('Final Calculation Sheet'!$AG$4:$AG$40,$BJ7-3)="","",INDEX('Final Calculation Sheet'!$AG$4:$AG$40,$BJ7-3)),IF(OR($BI7=1,$BH7&gt;0),"–",""))</f>
        <v/>
      </c>
      <c r="AI7" s="657">
        <f>IF($BJ7&gt;0,IF(INDEX('Final Calculation Sheet'!$AD$4:$AD$40,$BJ7-3)="","",IF(INDEX('Final Calculation Sheet'!$AD$4:$AD$40,$BJ7-3)&lt;=0,"SETTLED","OUTSTANDING")),IF(OR($BI7=1,$BH7&gt;0),IF(IF($BI7=1,SUM('Final Calculation Sheet'!$AD$4:$AD$40),SUMIFS('Final Calculation Sheet'!$AD$4:$AD$40,$AZ$5:$AZ$41,$BH7))&lt;=0,"ALL SETTLED","OUTSTANDING"),""))</f>
        <v/>
      </c>
      <c r="AK7">
        <f>IF($F$3="Lot No.",'Final Calculation Sheet'!$F$6,IF($F$3="Buyer",'Final Calculation Sheet'!$G$6,IF($F$3="Lot Name",'Final Calculation Sheet'!$B$6,IF($F$3="Bid Sheet",'Final Calculation Sheet'!$D$6,IF($F$3="Unit",'Final Calculation Sheet'!$E$6,'Final Calculation Sheet'!$F$6&amp;" "&amp;'Final Calculation Sheet'!$G$6&amp;" "&amp;'Final Calculation Sheet'!$B$6)))))</f>
        <v/>
      </c>
      <c r="AM7">
        <f>IF($B$3="",1,IF(AND(IF(COUNTIF($AR$9:$AY$9,1)=0,TRUE,SUMPRODUCT(($AR$9:$AY$9=1)*($AR$6:$AY$6&lt;&gt;"")*ISNUMBER(SEARCH($AR$6:$AY$6,$AK7)))&gt;0),IF(COUNTIF($AR$9:$AY$9,2)=0,TRUE,SUMPRODUCT(($AR$9:$AY$9=2)*($AR$6:$AY$6&lt;&gt;"")*ISNUMBER(SEARCH($AR$6:$AY$6,$AK7)))&gt;0),IF(COUNTIF($AR$9:$AY$9,3)=0,TRUE,SUMPRODUCT(($AR$9:$AY$9=3)*($AR$6:$AY$6&lt;&gt;"")*ISNUMBER(SEARCH($AR$6:$AY$6,$AK7)))&gt;0),IF(COUNTIF($AR$9:$AY$9,4)=0,TRUE,SUMPRODUCT(($AR$9:$AY$9=4)*($AR$6:$AY$6&lt;&gt;"")*ISNUMBER(SEARCH($AR$6:$AY$6,$AK7)))&gt;0),IF(COUNTIF($AR$9:$AY$9,5)=0,TRUE,SUMPRODUCT(($AR$9:$AY$9=5)*($AR$6:$AY$6&lt;&gt;"")*ISNUMBER(SEARCH($AR$6:$AY$6,$AK7)))&gt;0),IF(COUNTIF($AR$9:$AY$9,6)=0,TRUE,SUMPRODUCT(($AR$9:$AY$9=6)*($AR$6:$AY$6&lt;&gt;"")*ISNUMBER(SEARCH($AR$6:$AY$6,$AK7)))&gt;0),IF(COUNTIF($AR$9:$AY$9,7)=0,TRUE,SUMPRODUCT(($AR$9:$AY$9=7)*($AR$6:$AY$6&lt;&gt;"")*ISNUMBER(SEARCH($AR$6:$AY$6,$AK7)))&gt;0),IF(COUNTIF($AR$9:$AY$9,8)=0,TRUE,SUMPRODUCT(($AR$9:$AY$9=8)*($AR$6:$AY$6&lt;&gt;"")*ISNUMBER(SEARCH($AR$6:$AY$6,$AK7)))&gt;0)),1,0))</f>
        <v/>
      </c>
      <c r="AO7" t="inlineStr">
        <is>
          <t>Lot Name</t>
        </is>
      </c>
      <c r="AR7">
        <f>IF($AR$4="","",IF($AR$5=99999,"",MID($AR$4,$AR$5,1)))</f>
        <v/>
      </c>
      <c r="AS7">
        <f>IF($AS$4="","",IF($AS$5=99999,"",MID($AS$4,$AS$5,1)))</f>
        <v/>
      </c>
      <c r="AT7">
        <f>IF($AT$4="","",IF($AT$5=99999,"",MID($AT$4,$AT$5,1)))</f>
        <v/>
      </c>
      <c r="AU7">
        <f>IF($AU$4="","",IF($AU$5=99999,"",MID($AU$4,$AU$5,1)))</f>
        <v/>
      </c>
      <c r="AV7">
        <f>IF($AV$4="","",IF($AV$5=99999,"",MID($AV$4,$AV$5,1)))</f>
        <v/>
      </c>
      <c r="AW7">
        <f>IF($AW$4="","",IF($AW$5=99999,"",MID($AW$4,$AW$5,1)))</f>
        <v/>
      </c>
      <c r="AX7">
        <f>IF($AX$4="","",IF($AX$5=99999,"",MID($AX$4,$AX$5,1)))</f>
        <v/>
      </c>
      <c r="AY7">
        <f>IF($AY$4="","",IF($AY$5=99999,"",MID($AY$4,$AY$5,1)))</f>
        <v/>
      </c>
      <c r="AZ7">
        <f>IF($B$3="",9,IF($AM7=0,10,IF(AND($AR$6&lt;&gt;"",ISNUMBER(SEARCH($AR$6,$AK7))),1,IF(AND($AS$6&lt;&gt;"",ISNUMBER(SEARCH($AS$6,$AK7))),2,IF(AND($AT$6&lt;&gt;"",ISNUMBER(SEARCH($AT$6,$AK7))),3,IF(AND($AU$6&lt;&gt;"",ISNUMBER(SEARCH($AU$6,$AK7))),4,IF(AND($AV$6&lt;&gt;"",ISNUMBER(SEARCH($AV$6,$AK7))),5,IF(AND($AW$6&lt;&gt;"",ISNUMBER(SEARCH($AW$6,$AK7))),6,IF(AND($AX$6&lt;&gt;"",ISNUMBER(SEARCH($AX$6,$AK7))),7,IF(AND($AY$6&lt;&gt;"",ISNUMBER(SEARCH($AY$6,$AK7))),8,0))))))))))</f>
        <v/>
      </c>
      <c r="BA7">
        <f>SUMPRODUCT(($AZ$5:$AZ$41=$AZ7)*($BC$5:$BC$41&lt;$BC7))+1</f>
        <v/>
      </c>
      <c r="BB7">
        <f>IF(INDEX($BF$4:$BF$13,$AZ7)=0,0,INDEX($BE$4:$BE$13,$AZ7)+$BA7-1)</f>
        <v/>
      </c>
      <c r="BC7" t="n">
        <v>6</v>
      </c>
      <c r="BD7">
        <f>COUNTIF($AZ$5:$AZ$41,4)</f>
        <v/>
      </c>
      <c r="BE7">
        <f>IF($BD6=0,$BE6,$BF6+1)</f>
        <v/>
      </c>
      <c r="BF7">
        <f>IF($BD7=0,0,$BE7+$BD7)</f>
        <v/>
      </c>
      <c r="BH7">
        <f>IFERROR(MATCH(7,$BF$4:$BF$13,0),0)</f>
        <v/>
      </c>
      <c r="BI7">
        <f>IF(7=$BG$4,1,0)</f>
        <v/>
      </c>
      <c r="BJ7">
        <f>IF(OR($BH7&gt;0,$BI7=1),0,IFERROR(INDEX($BC$5:$BC$41,MATCH(7,$BB$5:$BB$41,0)),0))</f>
        <v/>
      </c>
      <c r="BK7">
        <f>IF($BJ7&gt;0,IF(INDEX($AZ$5:$AZ$41,MATCH(7,$BB$5:$BB$41,0))=10,1,0),IF($BH7=10,1,0))</f>
        <v/>
      </c>
    </row>
    <row r="8" ht="15" customHeight="1">
      <c r="A8" s="649">
        <f>IF($BJ8&gt;0,INDEX($BA$5:$BA$41,MATCH(8,$BB$5:$BB$41,0)),IF(OR($BI8=1,$BH8&gt;0),"∑",""))</f>
        <v/>
      </c>
      <c r="B8" s="650">
        <f>IF($BJ8&gt;0,IF(INDEX('Final Calculation Sheet'!$F$4:$F$40,$BJ8-3)="","",INDEX('Final Calculation Sheet'!$F$4:$F$40,$BJ8-3)),"")</f>
        <v/>
      </c>
      <c r="C8" s="650">
        <f>IF($BJ8&gt;0,IF(INDEX('Final Calculation Sheet'!$G$4:$G$40,$BJ8-3)="","",INDEX('Final Calculation Sheet'!$G$4:$G$40,$BJ8-3)),IF(OR($BI8=1,$BH8&gt;0),IF($BI8=1,37,INDEX($BD$4:$BD$13,$BH8))&amp;" lot(s)",""))</f>
        <v/>
      </c>
      <c r="D8" s="651">
        <f>IF($BJ8&gt;0,IF(INDEX('Final Calculation Sheet'!$B$4:$B$40,$BJ8-3)="","",INDEX('Final Calculation Sheet'!$B$4:$B$40,$BJ8-3)),IF(OR($BI8=1,$BH8&gt;0),IF($BI8=1,"GRAND TOTAL  —  matching + remaining",IF($BH8=10,"REMAINING  —  did not match the search",IF($BH8=9,"ALL LOTS  —  nothing typed in the box","GROUP "&amp;$BH8&amp;" TOTAL  —  lots matching  "&amp;INDEX($AR$6:$AY$6,$BH8)))),""))</f>
        <v/>
      </c>
      <c r="E8" s="651">
        <f>IF($BJ8&gt;0,IF(INDEX('Final Calculation Sheet'!$D$4:$D$40,$BJ8-3)="","",INDEX('Final Calculation Sheet'!$D$4:$D$40,$BJ8-3)),IF(OR($BI8=1,$BH8&gt;0),"–",""))</f>
        <v/>
      </c>
      <c r="F8" s="651">
        <f>IF($BJ8&gt;0,IF(INDEX('Final Calculation Sheet'!$A$4:$A$40,$BJ8-3)="","",INDEX('Final Calculation Sheet'!$A$4:$A$40,$BJ8-3)),IF($BI8=1,SUM('Final Calculation Sheet'!$A$4:$A$40),IF($BH8&gt;0,SUMIFS('Final Calculation Sheet'!$A$4:$A$40,$AZ$5:$AZ$41,$BH8),"")))</f>
        <v/>
      </c>
      <c r="G8" s="651">
        <f>IF($BJ8&gt;0,IF(INDEX('Final Calculation Sheet'!$E$4:$E$40,$BJ8-3)="","",INDEX('Final Calculation Sheet'!$E$4:$E$40,$BJ8-3)),IF(OR($BI8=1,$BH8&gt;0),"–",""))</f>
        <v/>
      </c>
      <c r="H8" s="652">
        <f>IF($BJ8&gt;0,IF(INDEX('Final Calculation Sheet'!$C$4:$C$40,$BJ8-3)="","",INDEX('Final Calculation Sheet'!$C$4:$C$40,$BJ8-3)),IF(OR($BI8=1,$BH8&gt;0),"–",""))</f>
        <v/>
      </c>
      <c r="I8" s="652">
        <f>IF($BJ8&gt;0,IF(INDEX('Final Calculation Sheet'!$H$4:$H$40,$BJ8-3)="","",INDEX('Final Calculation Sheet'!$H$4:$H$40,$BJ8-3)),IF($BI8=1,SUM('Final Calculation Sheet'!$H$4:$H$40),IF($BH8&gt;0,SUMIFS('Final Calculation Sheet'!$H$4:$H$40,$AZ$5:$AZ$41,$BH8),"")))</f>
        <v/>
      </c>
      <c r="J8" s="652">
        <f>IF($BJ8&gt;0,IF(INDEX('Final Calculation Sheet'!$I$4:$I$40,$BJ8-3)="","",INDEX('Final Calculation Sheet'!$I$4:$I$40,$BJ8-3)),IF($BI8=1,SUM('Final Calculation Sheet'!$I$4:$I$40),IF($BH8&gt;0,SUMIFS('Final Calculation Sheet'!$I$4:$I$40,$AZ$5:$AZ$41,$BH8),"")))</f>
        <v/>
      </c>
      <c r="K8" s="652">
        <f>IF($BJ8&gt;0,IF(INDEX('Final Calculation Sheet'!$J$4:$J$40,$BJ8-3)="","",INDEX('Final Calculation Sheet'!$J$4:$J$40,$BJ8-3)),IF($BI8=1,SUM('Final Calculation Sheet'!$J$4:$J$40),IF($BH8&gt;0,SUMIFS('Final Calculation Sheet'!$J$4:$J$40,$AZ$5:$AZ$41,$BH8),"")))</f>
        <v/>
      </c>
      <c r="L8" s="652">
        <f>IF($BJ8&gt;0,IF(INDEX('Final Calculation Sheet'!$K$4:$K$40,$BJ8-3)="","",INDEX('Final Calculation Sheet'!$K$4:$K$40,$BJ8-3)),IF($BI8=1,SUM('Final Calculation Sheet'!$K$4:$K$40),IF($BH8&gt;0,SUMIFS('Final Calculation Sheet'!$K$4:$K$40,$AZ$5:$AZ$41,$BH8),"")))</f>
        <v/>
      </c>
      <c r="M8" s="652">
        <f>IF($BJ8&gt;0,IF(INDEX('Final Calculation Sheet'!$L$4:$L$40,$BJ8-3)="","",INDEX('Final Calculation Sheet'!$L$4:$L$40,$BJ8-3)),IF($BI8=1,SUM('Final Calculation Sheet'!$L$4:$L$40),IF($BH8&gt;0,SUMIFS('Final Calculation Sheet'!$L$4:$L$40,$AZ$5:$AZ$41,$BH8),"")))</f>
        <v/>
      </c>
      <c r="N8" s="652">
        <f>IF($BJ8&gt;0,IF(INDEX('Final Calculation Sheet'!$M$4:$M$40,$BJ8-3)="","",INDEX('Final Calculation Sheet'!$M$4:$M$40,$BJ8-3)),IF($BI8=1,SUM('Final Calculation Sheet'!$M$4:$M$40),IF($BH8&gt;0,SUMIFS('Final Calculation Sheet'!$M$4:$M$40,$AZ$5:$AZ$41,$BH8),"")))</f>
        <v/>
      </c>
      <c r="O8" s="653">
        <f>IF($BJ8&gt;0,IF(INDEX('Final Calculation Sheet'!$N$4:$N$40,$BJ8-3)="","",INDEX('Final Calculation Sheet'!$N$4:$N$40,$BJ8-3)),IF($BI8=1,SUM('Final Calculation Sheet'!$N$4:$N$40),IF($BH8&gt;0,SUMIFS('Final Calculation Sheet'!$N$4:$N$40,$AZ$5:$AZ$41,$BH8),"")))</f>
        <v/>
      </c>
      <c r="P8" s="652">
        <f>IF($BJ8&gt;0,IF(INDEX('Final Calculation Sheet'!$O$4:$O$40,$BJ8-3)="","",INDEX('Final Calculation Sheet'!$O$4:$O$40,$BJ8-3)),IF($BI8=1,SUM('Final Calculation Sheet'!$O$4:$O$40),IF($BH8&gt;0,SUMIFS('Final Calculation Sheet'!$O$4:$O$40,$AZ$5:$AZ$41,$BH8),"")))</f>
        <v/>
      </c>
      <c r="Q8" s="652">
        <f>IF($BJ8&gt;0,IF(INDEX('Final Calculation Sheet'!$P$4:$P$40,$BJ8-3)="","",INDEX('Final Calculation Sheet'!$P$4:$P$40,$BJ8-3)),IF($BI8=1,SUM('Final Calculation Sheet'!$P$4:$P$40),IF($BH8&gt;0,SUMIFS('Final Calculation Sheet'!$P$4:$P$40,$AZ$5:$AZ$41,$BH8),"")))</f>
        <v/>
      </c>
      <c r="R8" s="654">
        <f>IF($BJ8&gt;0,IF(INDEX('Final Calculation Sheet'!$Q$4:$Q$40,$BJ8-3)="","",INDEX('Final Calculation Sheet'!$Q$4:$Q$40,$BJ8-3)),IF(OR($BI8=1,$BH8&gt;0),"–",""))</f>
        <v/>
      </c>
      <c r="S8" s="652">
        <f>IF($BJ8&gt;0,IF(INDEX('Final Calculation Sheet'!$R$4:$R$40,$BJ8-3)="","",INDEX('Final Calculation Sheet'!$R$4:$R$40,$BJ8-3)),IF($BI8=1,SUM('Final Calculation Sheet'!$R$4:$R$40),IF($BH8&gt;0,SUMIFS('Final Calculation Sheet'!$R$4:$R$40,$AZ$5:$AZ$41,$BH8),"")))</f>
        <v/>
      </c>
      <c r="T8" s="652">
        <f>IF($BJ8&gt;0,IF(INDEX('Final Calculation Sheet'!$S$4:$S$40,$BJ8-3)="","",INDEX('Final Calculation Sheet'!$S$4:$S$40,$BJ8-3)),IF($BI8=1,SUM('Final Calculation Sheet'!$S$4:$S$40),IF($BH8&gt;0,SUMIFS('Final Calculation Sheet'!$S$4:$S$40,$AZ$5:$AZ$41,$BH8),"")))</f>
        <v/>
      </c>
      <c r="U8" s="652">
        <f>IF($BJ8&gt;0,IF(INDEX('Final Calculation Sheet'!$T$4:$T$40,$BJ8-3)="","",INDEX('Final Calculation Sheet'!$T$4:$T$40,$BJ8-3)),IF($BI8=1,SUM('Final Calculation Sheet'!$T$4:$T$40),IF($BH8&gt;0,SUMIFS('Final Calculation Sheet'!$T$4:$T$40,$AZ$5:$AZ$41,$BH8),"")))</f>
        <v/>
      </c>
      <c r="V8" s="655">
        <f>IF($BJ8&gt;0,IF(INDEX('Final Calculation Sheet'!$U$4:$U$40,$BJ8-3)="","",INDEX('Final Calculation Sheet'!$U$4:$U$40,$BJ8-3)),IF($BI8=1,SUM('Final Calculation Sheet'!$U$4:$U$40),IF($BH8&gt;0,SUMIFS('Final Calculation Sheet'!$U$4:$U$40,$AZ$5:$AZ$41,$BH8),"")))</f>
        <v/>
      </c>
      <c r="W8" s="652">
        <f>IF($BJ8&gt;0,IF(INDEX('Final Calculation Sheet'!$V$4:$V$40,$BJ8-3)="","",INDEX('Final Calculation Sheet'!$V$4:$V$40,$BJ8-3)),IF(OR($BI8=1,$BH8&gt;0),"–",""))</f>
        <v/>
      </c>
      <c r="X8" s="652">
        <f>IF($BJ8&gt;0,IF(INDEX('Final Calculation Sheet'!$W$4:$W$40,$BJ8-3)="","",INDEX('Final Calculation Sheet'!$W$4:$W$40,$BJ8-3)),IF($BI8=1,SUM('Final Calculation Sheet'!$W$4:$W$40),IF($BH8&gt;0,SUMIFS('Final Calculation Sheet'!$W$4:$W$40,$AZ$5:$AZ$41,$BH8),"")))</f>
        <v/>
      </c>
      <c r="Y8" s="652">
        <f>IF($BJ8&gt;0,IF(INDEX('Final Calculation Sheet'!$X$4:$X$40,$BJ8-3)="","",INDEX('Final Calculation Sheet'!$X$4:$X$40,$BJ8-3)),IF($BI8=1,SUM('Final Calculation Sheet'!$X$4:$X$40),IF($BH8&gt;0,SUMIFS('Final Calculation Sheet'!$X$4:$X$40,$AZ$5:$AZ$41,$BH8),"")))</f>
        <v/>
      </c>
      <c r="Z8" s="652">
        <f>IF($BJ8&gt;0,IF(INDEX('Final Calculation Sheet'!$Y$4:$Y$40,$BJ8-3)="","",INDEX('Final Calculation Sheet'!$Y$4:$Y$40,$BJ8-3)),IF(OR($BI8=1,$BH8&gt;0),"–",""))</f>
        <v/>
      </c>
      <c r="AA8" s="652">
        <f>IF($BJ8&gt;0,IF(INDEX('Final Calculation Sheet'!$Z$4:$Z$40,$BJ8-3)="","",INDEX('Final Calculation Sheet'!$Z$4:$Z$40,$BJ8-3)),IF($BI8=1,SUM('Final Calculation Sheet'!$Z$4:$Z$40),IF($BH8&gt;0,SUMIFS('Final Calculation Sheet'!$Z$4:$Z$40,$AZ$5:$AZ$41,$BH8),"")))</f>
        <v/>
      </c>
      <c r="AB8" s="652">
        <f>IF($BJ8&gt;0,IF(INDEX('Final Calculation Sheet'!$AA$4:$AA$40,$BJ8-3)="","",INDEX('Final Calculation Sheet'!$AA$4:$AA$40,$BJ8-3)),IF($BI8=1,SUM('Final Calculation Sheet'!$AA$4:$AA$40),IF($BH8&gt;0,SUMIFS('Final Calculation Sheet'!$AA$4:$AA$40,$AZ$5:$AZ$41,$BH8),"")))</f>
        <v/>
      </c>
      <c r="AC8" s="652">
        <f>IF($BJ8&gt;0,IF(INDEX('Final Calculation Sheet'!$AB$4:$AB$40,$BJ8-3)="","",INDEX('Final Calculation Sheet'!$AB$4:$AB$40,$BJ8-3)),IF(OR($BI8=1,$BH8&gt;0),"–",""))</f>
        <v/>
      </c>
      <c r="AD8" s="652">
        <f>IF($BJ8&gt;0,IF(INDEX('Final Calculation Sheet'!$AC$4:$AC$40,$BJ8-3)="","",INDEX('Final Calculation Sheet'!$AC$4:$AC$40,$BJ8-3)),IF($BI8=1,SUM('Final Calculation Sheet'!$AC$4:$AC$40),IF($BH8&gt;0,SUMIFS('Final Calculation Sheet'!$AC$4:$AC$40,$AZ$5:$AZ$41,$BH8),"")))</f>
        <v/>
      </c>
      <c r="AE8" s="652">
        <f>IF($BJ8&gt;0,IF(INDEX('Final Calculation Sheet'!$AD$4:$AD$40,$BJ8-3)="","",INDEX('Final Calculation Sheet'!$AD$4:$AD$40,$BJ8-3)),IF($BI8=1,SUM('Final Calculation Sheet'!$AD$4:$AD$40),IF($BH8&gt;0,SUMIFS('Final Calculation Sheet'!$AD$4:$AD$40,$AZ$5:$AZ$41,$BH8),"")))</f>
        <v/>
      </c>
      <c r="AF8" s="652">
        <f>IF($BJ8&gt;0,IF(INDEX('Final Calculation Sheet'!$AE$4:$AE$40,$BJ8-3)="","",INDEX('Final Calculation Sheet'!$AE$4:$AE$40,$BJ8-3)),IF(OR($BI8=1,$BH8&gt;0),"–",""))</f>
        <v/>
      </c>
      <c r="AG8" s="656">
        <f>IF($BJ8&gt;0,IF(INDEX('Final Calculation Sheet'!$AF$4:$AF$40,$BJ8-3)="","",INDEX('Final Calculation Sheet'!$AF$4:$AF$40,$BJ8-3)),IF(OR($BI8=1,$BH8&gt;0),"–",""))</f>
        <v/>
      </c>
      <c r="AH8" s="652">
        <f>IF($BJ8&gt;0,IF(INDEX('Final Calculation Sheet'!$AG$4:$AG$40,$BJ8-3)="","",INDEX('Final Calculation Sheet'!$AG$4:$AG$40,$BJ8-3)),IF(OR($BI8=1,$BH8&gt;0),"–",""))</f>
        <v/>
      </c>
      <c r="AI8" s="657">
        <f>IF($BJ8&gt;0,IF(INDEX('Final Calculation Sheet'!$AD$4:$AD$40,$BJ8-3)="","",IF(INDEX('Final Calculation Sheet'!$AD$4:$AD$40,$BJ8-3)&lt;=0,"SETTLED","OUTSTANDING")),IF(OR($BI8=1,$BH8&gt;0),IF(IF($BI8=1,SUM('Final Calculation Sheet'!$AD$4:$AD$40),SUMIFS('Final Calculation Sheet'!$AD$4:$AD$40,$AZ$5:$AZ$41,$BH8))&lt;=0,"ALL SETTLED","OUTSTANDING"),""))</f>
        <v/>
      </c>
      <c r="AK8">
        <f>IF($F$3="Lot No.",'Final Calculation Sheet'!$F$7,IF($F$3="Buyer",'Final Calculation Sheet'!$G$7,IF($F$3="Lot Name",'Final Calculation Sheet'!$B$7,IF($F$3="Bid Sheet",'Final Calculation Sheet'!$D$7,IF($F$3="Unit",'Final Calculation Sheet'!$E$7,'Final Calculation Sheet'!$F$7&amp;" "&amp;'Final Calculation Sheet'!$G$7&amp;" "&amp;'Final Calculation Sheet'!$B$7)))))</f>
        <v/>
      </c>
      <c r="AM8">
        <f>IF($B$3="",1,IF(AND(IF(COUNTIF($AR$9:$AY$9,1)=0,TRUE,SUMPRODUCT(($AR$9:$AY$9=1)*($AR$6:$AY$6&lt;&gt;"")*ISNUMBER(SEARCH($AR$6:$AY$6,$AK8)))&gt;0),IF(COUNTIF($AR$9:$AY$9,2)=0,TRUE,SUMPRODUCT(($AR$9:$AY$9=2)*($AR$6:$AY$6&lt;&gt;"")*ISNUMBER(SEARCH($AR$6:$AY$6,$AK8)))&gt;0),IF(COUNTIF($AR$9:$AY$9,3)=0,TRUE,SUMPRODUCT(($AR$9:$AY$9=3)*($AR$6:$AY$6&lt;&gt;"")*ISNUMBER(SEARCH($AR$6:$AY$6,$AK8)))&gt;0),IF(COUNTIF($AR$9:$AY$9,4)=0,TRUE,SUMPRODUCT(($AR$9:$AY$9=4)*($AR$6:$AY$6&lt;&gt;"")*ISNUMBER(SEARCH($AR$6:$AY$6,$AK8)))&gt;0),IF(COUNTIF($AR$9:$AY$9,5)=0,TRUE,SUMPRODUCT(($AR$9:$AY$9=5)*($AR$6:$AY$6&lt;&gt;"")*ISNUMBER(SEARCH($AR$6:$AY$6,$AK8)))&gt;0),IF(COUNTIF($AR$9:$AY$9,6)=0,TRUE,SUMPRODUCT(($AR$9:$AY$9=6)*($AR$6:$AY$6&lt;&gt;"")*ISNUMBER(SEARCH($AR$6:$AY$6,$AK8)))&gt;0),IF(COUNTIF($AR$9:$AY$9,7)=0,TRUE,SUMPRODUCT(($AR$9:$AY$9=7)*($AR$6:$AY$6&lt;&gt;"")*ISNUMBER(SEARCH($AR$6:$AY$6,$AK8)))&gt;0),IF(COUNTIF($AR$9:$AY$9,8)=0,TRUE,SUMPRODUCT(($AR$9:$AY$9=8)*($AR$6:$AY$6&lt;&gt;"")*ISNUMBER(SEARCH($AR$6:$AY$6,$AK8)))&gt;0)),1,0))</f>
        <v/>
      </c>
      <c r="AO8" t="inlineStr">
        <is>
          <t>Bid Sheet</t>
        </is>
      </c>
      <c r="AR8" t="n">
        <v>1</v>
      </c>
      <c r="AS8">
        <f>IF($AR$7="+",$AR$8+1,$AR$8)</f>
        <v/>
      </c>
      <c r="AT8">
        <f>IF($AS$7="+",$AS$8+1,$AS$8)</f>
        <v/>
      </c>
      <c r="AU8">
        <f>IF($AT$7="+",$AT$8+1,$AT$8)</f>
        <v/>
      </c>
      <c r="AV8">
        <f>IF($AU$7="+",$AU$8+1,$AU$8)</f>
        <v/>
      </c>
      <c r="AW8">
        <f>IF($AV$7="+",$AV$8+1,$AV$8)</f>
        <v/>
      </c>
      <c r="AX8">
        <f>IF($AW$7="+",$AW$8+1,$AW$8)</f>
        <v/>
      </c>
      <c r="AY8">
        <f>IF($AX$7="+",$AX$8+1,$AX$8)</f>
        <v/>
      </c>
      <c r="AZ8">
        <f>IF($B$3="",9,IF($AM8=0,10,IF(AND($AR$6&lt;&gt;"",ISNUMBER(SEARCH($AR$6,$AK8))),1,IF(AND($AS$6&lt;&gt;"",ISNUMBER(SEARCH($AS$6,$AK8))),2,IF(AND($AT$6&lt;&gt;"",ISNUMBER(SEARCH($AT$6,$AK8))),3,IF(AND($AU$6&lt;&gt;"",ISNUMBER(SEARCH($AU$6,$AK8))),4,IF(AND($AV$6&lt;&gt;"",ISNUMBER(SEARCH($AV$6,$AK8))),5,IF(AND($AW$6&lt;&gt;"",ISNUMBER(SEARCH($AW$6,$AK8))),6,IF(AND($AX$6&lt;&gt;"",ISNUMBER(SEARCH($AX$6,$AK8))),7,IF(AND($AY$6&lt;&gt;"",ISNUMBER(SEARCH($AY$6,$AK8))),8,0))))))))))</f>
        <v/>
      </c>
      <c r="BA8">
        <f>SUMPRODUCT(($AZ$5:$AZ$41=$AZ8)*($BC$5:$BC$41&lt;$BC8))+1</f>
        <v/>
      </c>
      <c r="BB8">
        <f>IF(INDEX($BF$4:$BF$13,$AZ8)=0,0,INDEX($BE$4:$BE$13,$AZ8)+$BA8-1)</f>
        <v/>
      </c>
      <c r="BC8" t="n">
        <v>7</v>
      </c>
      <c r="BD8">
        <f>COUNTIF($AZ$5:$AZ$41,5)</f>
        <v/>
      </c>
      <c r="BE8">
        <f>IF($BD7=0,$BE7,$BF7+1)</f>
        <v/>
      </c>
      <c r="BF8">
        <f>IF($BD8=0,0,$BE8+$BD8)</f>
        <v/>
      </c>
      <c r="BH8">
        <f>IFERROR(MATCH(8,$BF$4:$BF$13,0),0)</f>
        <v/>
      </c>
      <c r="BI8">
        <f>IF(8=$BG$4,1,0)</f>
        <v/>
      </c>
      <c r="BJ8">
        <f>IF(OR($BH8&gt;0,$BI8=1),0,IFERROR(INDEX($BC$5:$BC$41,MATCH(8,$BB$5:$BB$41,0)),0))</f>
        <v/>
      </c>
      <c r="BK8">
        <f>IF($BJ8&gt;0,IF(INDEX($AZ$5:$AZ$41,MATCH(8,$BB$5:$BB$41,0))=10,1,0),IF($BH8=10,1,0))</f>
        <v/>
      </c>
    </row>
    <row r="9" ht="15" customHeight="1">
      <c r="A9" s="649">
        <f>IF($BJ9&gt;0,INDEX($BA$5:$BA$41,MATCH(9,$BB$5:$BB$41,0)),IF(OR($BI9=1,$BH9&gt;0),"∑",""))</f>
        <v/>
      </c>
      <c r="B9" s="650">
        <f>IF($BJ9&gt;0,IF(INDEX('Final Calculation Sheet'!$F$4:$F$40,$BJ9-3)="","",INDEX('Final Calculation Sheet'!$F$4:$F$40,$BJ9-3)),"")</f>
        <v/>
      </c>
      <c r="C9" s="650">
        <f>IF($BJ9&gt;0,IF(INDEX('Final Calculation Sheet'!$G$4:$G$40,$BJ9-3)="","",INDEX('Final Calculation Sheet'!$G$4:$G$40,$BJ9-3)),IF(OR($BI9=1,$BH9&gt;0),IF($BI9=1,37,INDEX($BD$4:$BD$13,$BH9))&amp;" lot(s)",""))</f>
        <v/>
      </c>
      <c r="D9" s="651">
        <f>IF($BJ9&gt;0,IF(INDEX('Final Calculation Sheet'!$B$4:$B$40,$BJ9-3)="","",INDEX('Final Calculation Sheet'!$B$4:$B$40,$BJ9-3)),IF(OR($BI9=1,$BH9&gt;0),IF($BI9=1,"GRAND TOTAL  —  matching + remaining",IF($BH9=10,"REMAINING  —  did not match the search",IF($BH9=9,"ALL LOTS  —  nothing typed in the box","GROUP "&amp;$BH9&amp;" TOTAL  —  lots matching  "&amp;INDEX($AR$6:$AY$6,$BH9)))),""))</f>
        <v/>
      </c>
      <c r="E9" s="651">
        <f>IF($BJ9&gt;0,IF(INDEX('Final Calculation Sheet'!$D$4:$D$40,$BJ9-3)="","",INDEX('Final Calculation Sheet'!$D$4:$D$40,$BJ9-3)),IF(OR($BI9=1,$BH9&gt;0),"–",""))</f>
        <v/>
      </c>
      <c r="F9" s="651">
        <f>IF($BJ9&gt;0,IF(INDEX('Final Calculation Sheet'!$A$4:$A$40,$BJ9-3)="","",INDEX('Final Calculation Sheet'!$A$4:$A$40,$BJ9-3)),IF($BI9=1,SUM('Final Calculation Sheet'!$A$4:$A$40),IF($BH9&gt;0,SUMIFS('Final Calculation Sheet'!$A$4:$A$40,$AZ$5:$AZ$41,$BH9),"")))</f>
        <v/>
      </c>
      <c r="G9" s="651">
        <f>IF($BJ9&gt;0,IF(INDEX('Final Calculation Sheet'!$E$4:$E$40,$BJ9-3)="","",INDEX('Final Calculation Sheet'!$E$4:$E$40,$BJ9-3)),IF(OR($BI9=1,$BH9&gt;0),"–",""))</f>
        <v/>
      </c>
      <c r="H9" s="652">
        <f>IF($BJ9&gt;0,IF(INDEX('Final Calculation Sheet'!$C$4:$C$40,$BJ9-3)="","",INDEX('Final Calculation Sheet'!$C$4:$C$40,$BJ9-3)),IF(OR($BI9=1,$BH9&gt;0),"–",""))</f>
        <v/>
      </c>
      <c r="I9" s="652">
        <f>IF($BJ9&gt;0,IF(INDEX('Final Calculation Sheet'!$H$4:$H$40,$BJ9-3)="","",INDEX('Final Calculation Sheet'!$H$4:$H$40,$BJ9-3)),IF($BI9=1,SUM('Final Calculation Sheet'!$H$4:$H$40),IF($BH9&gt;0,SUMIFS('Final Calculation Sheet'!$H$4:$H$40,$AZ$5:$AZ$41,$BH9),"")))</f>
        <v/>
      </c>
      <c r="J9" s="652">
        <f>IF($BJ9&gt;0,IF(INDEX('Final Calculation Sheet'!$I$4:$I$40,$BJ9-3)="","",INDEX('Final Calculation Sheet'!$I$4:$I$40,$BJ9-3)),IF($BI9=1,SUM('Final Calculation Sheet'!$I$4:$I$40),IF($BH9&gt;0,SUMIFS('Final Calculation Sheet'!$I$4:$I$40,$AZ$5:$AZ$41,$BH9),"")))</f>
        <v/>
      </c>
      <c r="K9" s="652">
        <f>IF($BJ9&gt;0,IF(INDEX('Final Calculation Sheet'!$J$4:$J$40,$BJ9-3)="","",INDEX('Final Calculation Sheet'!$J$4:$J$40,$BJ9-3)),IF($BI9=1,SUM('Final Calculation Sheet'!$J$4:$J$40),IF($BH9&gt;0,SUMIFS('Final Calculation Sheet'!$J$4:$J$40,$AZ$5:$AZ$41,$BH9),"")))</f>
        <v/>
      </c>
      <c r="L9" s="652">
        <f>IF($BJ9&gt;0,IF(INDEX('Final Calculation Sheet'!$K$4:$K$40,$BJ9-3)="","",INDEX('Final Calculation Sheet'!$K$4:$K$40,$BJ9-3)),IF($BI9=1,SUM('Final Calculation Sheet'!$K$4:$K$40),IF($BH9&gt;0,SUMIFS('Final Calculation Sheet'!$K$4:$K$40,$AZ$5:$AZ$41,$BH9),"")))</f>
        <v/>
      </c>
      <c r="M9" s="652">
        <f>IF($BJ9&gt;0,IF(INDEX('Final Calculation Sheet'!$L$4:$L$40,$BJ9-3)="","",INDEX('Final Calculation Sheet'!$L$4:$L$40,$BJ9-3)),IF($BI9=1,SUM('Final Calculation Sheet'!$L$4:$L$40),IF($BH9&gt;0,SUMIFS('Final Calculation Sheet'!$L$4:$L$40,$AZ$5:$AZ$41,$BH9),"")))</f>
        <v/>
      </c>
      <c r="N9" s="652">
        <f>IF($BJ9&gt;0,IF(INDEX('Final Calculation Sheet'!$M$4:$M$40,$BJ9-3)="","",INDEX('Final Calculation Sheet'!$M$4:$M$40,$BJ9-3)),IF($BI9=1,SUM('Final Calculation Sheet'!$M$4:$M$40),IF($BH9&gt;0,SUMIFS('Final Calculation Sheet'!$M$4:$M$40,$AZ$5:$AZ$41,$BH9),"")))</f>
        <v/>
      </c>
      <c r="O9" s="653">
        <f>IF($BJ9&gt;0,IF(INDEX('Final Calculation Sheet'!$N$4:$N$40,$BJ9-3)="","",INDEX('Final Calculation Sheet'!$N$4:$N$40,$BJ9-3)),IF($BI9=1,SUM('Final Calculation Sheet'!$N$4:$N$40),IF($BH9&gt;0,SUMIFS('Final Calculation Sheet'!$N$4:$N$40,$AZ$5:$AZ$41,$BH9),"")))</f>
        <v/>
      </c>
      <c r="P9" s="652">
        <f>IF($BJ9&gt;0,IF(INDEX('Final Calculation Sheet'!$O$4:$O$40,$BJ9-3)="","",INDEX('Final Calculation Sheet'!$O$4:$O$40,$BJ9-3)),IF($BI9=1,SUM('Final Calculation Sheet'!$O$4:$O$40),IF($BH9&gt;0,SUMIFS('Final Calculation Sheet'!$O$4:$O$40,$AZ$5:$AZ$41,$BH9),"")))</f>
        <v/>
      </c>
      <c r="Q9" s="652">
        <f>IF($BJ9&gt;0,IF(INDEX('Final Calculation Sheet'!$P$4:$P$40,$BJ9-3)="","",INDEX('Final Calculation Sheet'!$P$4:$P$40,$BJ9-3)),IF($BI9=1,SUM('Final Calculation Sheet'!$P$4:$P$40),IF($BH9&gt;0,SUMIFS('Final Calculation Sheet'!$P$4:$P$40,$AZ$5:$AZ$41,$BH9),"")))</f>
        <v/>
      </c>
      <c r="R9" s="654">
        <f>IF($BJ9&gt;0,IF(INDEX('Final Calculation Sheet'!$Q$4:$Q$40,$BJ9-3)="","",INDEX('Final Calculation Sheet'!$Q$4:$Q$40,$BJ9-3)),IF(OR($BI9=1,$BH9&gt;0),"–",""))</f>
        <v/>
      </c>
      <c r="S9" s="652">
        <f>IF($BJ9&gt;0,IF(INDEX('Final Calculation Sheet'!$R$4:$R$40,$BJ9-3)="","",INDEX('Final Calculation Sheet'!$R$4:$R$40,$BJ9-3)),IF($BI9=1,SUM('Final Calculation Sheet'!$R$4:$R$40),IF($BH9&gt;0,SUMIFS('Final Calculation Sheet'!$R$4:$R$40,$AZ$5:$AZ$41,$BH9),"")))</f>
        <v/>
      </c>
      <c r="T9" s="652">
        <f>IF($BJ9&gt;0,IF(INDEX('Final Calculation Sheet'!$S$4:$S$40,$BJ9-3)="","",INDEX('Final Calculation Sheet'!$S$4:$S$40,$BJ9-3)),IF($BI9=1,SUM('Final Calculation Sheet'!$S$4:$S$40),IF($BH9&gt;0,SUMIFS('Final Calculation Sheet'!$S$4:$S$40,$AZ$5:$AZ$41,$BH9),"")))</f>
        <v/>
      </c>
      <c r="U9" s="652">
        <f>IF($BJ9&gt;0,IF(INDEX('Final Calculation Sheet'!$T$4:$T$40,$BJ9-3)="","",INDEX('Final Calculation Sheet'!$T$4:$T$40,$BJ9-3)),IF($BI9=1,SUM('Final Calculation Sheet'!$T$4:$T$40),IF($BH9&gt;0,SUMIFS('Final Calculation Sheet'!$T$4:$T$40,$AZ$5:$AZ$41,$BH9),"")))</f>
        <v/>
      </c>
      <c r="V9" s="655">
        <f>IF($BJ9&gt;0,IF(INDEX('Final Calculation Sheet'!$U$4:$U$40,$BJ9-3)="","",INDEX('Final Calculation Sheet'!$U$4:$U$40,$BJ9-3)),IF($BI9=1,SUM('Final Calculation Sheet'!$U$4:$U$40),IF($BH9&gt;0,SUMIFS('Final Calculation Sheet'!$U$4:$U$40,$AZ$5:$AZ$41,$BH9),"")))</f>
        <v/>
      </c>
      <c r="W9" s="652">
        <f>IF($BJ9&gt;0,IF(INDEX('Final Calculation Sheet'!$V$4:$V$40,$BJ9-3)="","",INDEX('Final Calculation Sheet'!$V$4:$V$40,$BJ9-3)),IF(OR($BI9=1,$BH9&gt;0),"–",""))</f>
        <v/>
      </c>
      <c r="X9" s="652">
        <f>IF($BJ9&gt;0,IF(INDEX('Final Calculation Sheet'!$W$4:$W$40,$BJ9-3)="","",INDEX('Final Calculation Sheet'!$W$4:$W$40,$BJ9-3)),IF($BI9=1,SUM('Final Calculation Sheet'!$W$4:$W$40),IF($BH9&gt;0,SUMIFS('Final Calculation Sheet'!$W$4:$W$40,$AZ$5:$AZ$41,$BH9),"")))</f>
        <v/>
      </c>
      <c r="Y9" s="652">
        <f>IF($BJ9&gt;0,IF(INDEX('Final Calculation Sheet'!$X$4:$X$40,$BJ9-3)="","",INDEX('Final Calculation Sheet'!$X$4:$X$40,$BJ9-3)),IF($BI9=1,SUM('Final Calculation Sheet'!$X$4:$X$40),IF($BH9&gt;0,SUMIFS('Final Calculation Sheet'!$X$4:$X$40,$AZ$5:$AZ$41,$BH9),"")))</f>
        <v/>
      </c>
      <c r="Z9" s="652">
        <f>IF($BJ9&gt;0,IF(INDEX('Final Calculation Sheet'!$Y$4:$Y$40,$BJ9-3)="","",INDEX('Final Calculation Sheet'!$Y$4:$Y$40,$BJ9-3)),IF(OR($BI9=1,$BH9&gt;0),"–",""))</f>
        <v/>
      </c>
      <c r="AA9" s="652">
        <f>IF($BJ9&gt;0,IF(INDEX('Final Calculation Sheet'!$Z$4:$Z$40,$BJ9-3)="","",INDEX('Final Calculation Sheet'!$Z$4:$Z$40,$BJ9-3)),IF($BI9=1,SUM('Final Calculation Sheet'!$Z$4:$Z$40),IF($BH9&gt;0,SUMIFS('Final Calculation Sheet'!$Z$4:$Z$40,$AZ$5:$AZ$41,$BH9),"")))</f>
        <v/>
      </c>
      <c r="AB9" s="652">
        <f>IF($BJ9&gt;0,IF(INDEX('Final Calculation Sheet'!$AA$4:$AA$40,$BJ9-3)="","",INDEX('Final Calculation Sheet'!$AA$4:$AA$40,$BJ9-3)),IF($BI9=1,SUM('Final Calculation Sheet'!$AA$4:$AA$40),IF($BH9&gt;0,SUMIFS('Final Calculation Sheet'!$AA$4:$AA$40,$AZ$5:$AZ$41,$BH9),"")))</f>
        <v/>
      </c>
      <c r="AC9" s="652">
        <f>IF($BJ9&gt;0,IF(INDEX('Final Calculation Sheet'!$AB$4:$AB$40,$BJ9-3)="","",INDEX('Final Calculation Sheet'!$AB$4:$AB$40,$BJ9-3)),IF(OR($BI9=1,$BH9&gt;0),"–",""))</f>
        <v/>
      </c>
      <c r="AD9" s="652">
        <f>IF($BJ9&gt;0,IF(INDEX('Final Calculation Sheet'!$AC$4:$AC$40,$BJ9-3)="","",INDEX('Final Calculation Sheet'!$AC$4:$AC$40,$BJ9-3)),IF($BI9=1,SUM('Final Calculation Sheet'!$AC$4:$AC$40),IF($BH9&gt;0,SUMIFS('Final Calculation Sheet'!$AC$4:$AC$40,$AZ$5:$AZ$41,$BH9),"")))</f>
        <v/>
      </c>
      <c r="AE9" s="652">
        <f>IF($BJ9&gt;0,IF(INDEX('Final Calculation Sheet'!$AD$4:$AD$40,$BJ9-3)="","",INDEX('Final Calculation Sheet'!$AD$4:$AD$40,$BJ9-3)),IF($BI9=1,SUM('Final Calculation Sheet'!$AD$4:$AD$40),IF($BH9&gt;0,SUMIFS('Final Calculation Sheet'!$AD$4:$AD$40,$AZ$5:$AZ$41,$BH9),"")))</f>
        <v/>
      </c>
      <c r="AF9" s="652">
        <f>IF($BJ9&gt;0,IF(INDEX('Final Calculation Sheet'!$AE$4:$AE$40,$BJ9-3)="","",INDEX('Final Calculation Sheet'!$AE$4:$AE$40,$BJ9-3)),IF(OR($BI9=1,$BH9&gt;0),"–",""))</f>
        <v/>
      </c>
      <c r="AG9" s="656">
        <f>IF($BJ9&gt;0,IF(INDEX('Final Calculation Sheet'!$AF$4:$AF$40,$BJ9-3)="","",INDEX('Final Calculation Sheet'!$AF$4:$AF$40,$BJ9-3)),IF(OR($BI9=1,$BH9&gt;0),"–",""))</f>
        <v/>
      </c>
      <c r="AH9" s="652">
        <f>IF($BJ9&gt;0,IF(INDEX('Final Calculation Sheet'!$AG$4:$AG$40,$BJ9-3)="","",INDEX('Final Calculation Sheet'!$AG$4:$AG$40,$BJ9-3)),IF(OR($BI9=1,$BH9&gt;0),"–",""))</f>
        <v/>
      </c>
      <c r="AI9" s="657">
        <f>IF($BJ9&gt;0,IF(INDEX('Final Calculation Sheet'!$AD$4:$AD$40,$BJ9-3)="","",IF(INDEX('Final Calculation Sheet'!$AD$4:$AD$40,$BJ9-3)&lt;=0,"SETTLED","OUTSTANDING")),IF(OR($BI9=1,$BH9&gt;0),IF(IF($BI9=1,SUM('Final Calculation Sheet'!$AD$4:$AD$40),SUMIFS('Final Calculation Sheet'!$AD$4:$AD$40,$AZ$5:$AZ$41,$BH9))&lt;=0,"ALL SETTLED","OUTSTANDING"),""))</f>
        <v/>
      </c>
      <c r="AK9">
        <f>IF($F$3="Lot No.",'Final Calculation Sheet'!$F$8,IF($F$3="Buyer",'Final Calculation Sheet'!$G$8,IF($F$3="Lot Name",'Final Calculation Sheet'!$B$8,IF($F$3="Bid Sheet",'Final Calculation Sheet'!$D$8,IF($F$3="Unit",'Final Calculation Sheet'!$E$8,'Final Calculation Sheet'!$F$8&amp;" "&amp;'Final Calculation Sheet'!$G$8&amp;" "&amp;'Final Calculation Sheet'!$B$8)))))</f>
        <v/>
      </c>
      <c r="AM9">
        <f>IF($B$3="",1,IF(AND(IF(COUNTIF($AR$9:$AY$9,1)=0,TRUE,SUMPRODUCT(($AR$9:$AY$9=1)*($AR$6:$AY$6&lt;&gt;"")*ISNUMBER(SEARCH($AR$6:$AY$6,$AK9)))&gt;0),IF(COUNTIF($AR$9:$AY$9,2)=0,TRUE,SUMPRODUCT(($AR$9:$AY$9=2)*($AR$6:$AY$6&lt;&gt;"")*ISNUMBER(SEARCH($AR$6:$AY$6,$AK9)))&gt;0),IF(COUNTIF($AR$9:$AY$9,3)=0,TRUE,SUMPRODUCT(($AR$9:$AY$9=3)*($AR$6:$AY$6&lt;&gt;"")*ISNUMBER(SEARCH($AR$6:$AY$6,$AK9)))&gt;0),IF(COUNTIF($AR$9:$AY$9,4)=0,TRUE,SUMPRODUCT(($AR$9:$AY$9=4)*($AR$6:$AY$6&lt;&gt;"")*ISNUMBER(SEARCH($AR$6:$AY$6,$AK9)))&gt;0),IF(COUNTIF($AR$9:$AY$9,5)=0,TRUE,SUMPRODUCT(($AR$9:$AY$9=5)*($AR$6:$AY$6&lt;&gt;"")*ISNUMBER(SEARCH($AR$6:$AY$6,$AK9)))&gt;0),IF(COUNTIF($AR$9:$AY$9,6)=0,TRUE,SUMPRODUCT(($AR$9:$AY$9=6)*($AR$6:$AY$6&lt;&gt;"")*ISNUMBER(SEARCH($AR$6:$AY$6,$AK9)))&gt;0),IF(COUNTIF($AR$9:$AY$9,7)=0,TRUE,SUMPRODUCT(($AR$9:$AY$9=7)*($AR$6:$AY$6&lt;&gt;"")*ISNUMBER(SEARCH($AR$6:$AY$6,$AK9)))&gt;0),IF(COUNTIF($AR$9:$AY$9,8)=0,TRUE,SUMPRODUCT(($AR$9:$AY$9=8)*($AR$6:$AY$6&lt;&gt;"")*ISNUMBER(SEARCH($AR$6:$AY$6,$AK9)))&gt;0)),1,0))</f>
        <v/>
      </c>
      <c r="AO9" t="inlineStr">
        <is>
          <t>Unit</t>
        </is>
      </c>
      <c r="AR9">
        <f>IF($AR$6="",0,$AR$8)</f>
        <v/>
      </c>
      <c r="AS9">
        <f>IF($AS$6="",0,$AS$8)</f>
        <v/>
      </c>
      <c r="AT9">
        <f>IF($AT$6="",0,$AT$8)</f>
        <v/>
      </c>
      <c r="AU9">
        <f>IF($AU$6="",0,$AU$8)</f>
        <v/>
      </c>
      <c r="AV9">
        <f>IF($AV$6="",0,$AV$8)</f>
        <v/>
      </c>
      <c r="AW9">
        <f>IF($AW$6="",0,$AW$8)</f>
        <v/>
      </c>
      <c r="AX9">
        <f>IF($AX$6="",0,$AX$8)</f>
        <v/>
      </c>
      <c r="AY9">
        <f>IF($AY$6="",0,$AY$8)</f>
        <v/>
      </c>
      <c r="AZ9">
        <f>IF($B$3="",9,IF($AM9=0,10,IF(AND($AR$6&lt;&gt;"",ISNUMBER(SEARCH($AR$6,$AK9))),1,IF(AND($AS$6&lt;&gt;"",ISNUMBER(SEARCH($AS$6,$AK9))),2,IF(AND($AT$6&lt;&gt;"",ISNUMBER(SEARCH($AT$6,$AK9))),3,IF(AND($AU$6&lt;&gt;"",ISNUMBER(SEARCH($AU$6,$AK9))),4,IF(AND($AV$6&lt;&gt;"",ISNUMBER(SEARCH($AV$6,$AK9))),5,IF(AND($AW$6&lt;&gt;"",ISNUMBER(SEARCH($AW$6,$AK9))),6,IF(AND($AX$6&lt;&gt;"",ISNUMBER(SEARCH($AX$6,$AK9))),7,IF(AND($AY$6&lt;&gt;"",ISNUMBER(SEARCH($AY$6,$AK9))),8,0))))))))))</f>
        <v/>
      </c>
      <c r="BA9">
        <f>SUMPRODUCT(($AZ$5:$AZ$41=$AZ9)*($BC$5:$BC$41&lt;$BC9))+1</f>
        <v/>
      </c>
      <c r="BB9">
        <f>IF(INDEX($BF$4:$BF$13,$AZ9)=0,0,INDEX($BE$4:$BE$13,$AZ9)+$BA9-1)</f>
        <v/>
      </c>
      <c r="BC9" t="n">
        <v>8</v>
      </c>
      <c r="BD9">
        <f>COUNTIF($AZ$5:$AZ$41,6)</f>
        <v/>
      </c>
      <c r="BE9">
        <f>IF($BD8=0,$BE8,$BF8+1)</f>
        <v/>
      </c>
      <c r="BF9">
        <f>IF($BD9=0,0,$BE9+$BD9)</f>
        <v/>
      </c>
      <c r="BH9">
        <f>IFERROR(MATCH(9,$BF$4:$BF$13,0),0)</f>
        <v/>
      </c>
      <c r="BI9">
        <f>IF(9=$BG$4,1,0)</f>
        <v/>
      </c>
      <c r="BJ9">
        <f>IF(OR($BH9&gt;0,$BI9=1),0,IFERROR(INDEX($BC$5:$BC$41,MATCH(9,$BB$5:$BB$41,0)),0))</f>
        <v/>
      </c>
      <c r="BK9">
        <f>IF($BJ9&gt;0,IF(INDEX($AZ$5:$AZ$41,MATCH(9,$BB$5:$BB$41,0))=10,1,0),IF($BH9=10,1,0))</f>
        <v/>
      </c>
    </row>
    <row r="10" ht="15" customHeight="1">
      <c r="A10" s="649">
        <f>IF($BJ10&gt;0,INDEX($BA$5:$BA$41,MATCH(10,$BB$5:$BB$41,0)),IF(OR($BI10=1,$BH10&gt;0),"∑",""))</f>
        <v/>
      </c>
      <c r="B10" s="650">
        <f>IF($BJ10&gt;0,IF(INDEX('Final Calculation Sheet'!$F$4:$F$40,$BJ10-3)="","",INDEX('Final Calculation Sheet'!$F$4:$F$40,$BJ10-3)),"")</f>
        <v/>
      </c>
      <c r="C10" s="650">
        <f>IF($BJ10&gt;0,IF(INDEX('Final Calculation Sheet'!$G$4:$G$40,$BJ10-3)="","",INDEX('Final Calculation Sheet'!$G$4:$G$40,$BJ10-3)),IF(OR($BI10=1,$BH10&gt;0),IF($BI10=1,37,INDEX($BD$4:$BD$13,$BH10))&amp;" lot(s)",""))</f>
        <v/>
      </c>
      <c r="D10" s="651">
        <f>IF($BJ10&gt;0,IF(INDEX('Final Calculation Sheet'!$B$4:$B$40,$BJ10-3)="","",INDEX('Final Calculation Sheet'!$B$4:$B$40,$BJ10-3)),IF(OR($BI10=1,$BH10&gt;0),IF($BI10=1,"GRAND TOTAL  —  matching + remaining",IF($BH10=10,"REMAINING  —  did not match the search",IF($BH10=9,"ALL LOTS  —  nothing typed in the box","GROUP "&amp;$BH10&amp;" TOTAL  —  lots matching  "&amp;INDEX($AR$6:$AY$6,$BH10)))),""))</f>
        <v/>
      </c>
      <c r="E10" s="651">
        <f>IF($BJ10&gt;0,IF(INDEX('Final Calculation Sheet'!$D$4:$D$40,$BJ10-3)="","",INDEX('Final Calculation Sheet'!$D$4:$D$40,$BJ10-3)),IF(OR($BI10=1,$BH10&gt;0),"–",""))</f>
        <v/>
      </c>
      <c r="F10" s="651">
        <f>IF($BJ10&gt;0,IF(INDEX('Final Calculation Sheet'!$A$4:$A$40,$BJ10-3)="","",INDEX('Final Calculation Sheet'!$A$4:$A$40,$BJ10-3)),IF($BI10=1,SUM('Final Calculation Sheet'!$A$4:$A$40),IF($BH10&gt;0,SUMIFS('Final Calculation Sheet'!$A$4:$A$40,$AZ$5:$AZ$41,$BH10),"")))</f>
        <v/>
      </c>
      <c r="G10" s="651">
        <f>IF($BJ10&gt;0,IF(INDEX('Final Calculation Sheet'!$E$4:$E$40,$BJ10-3)="","",INDEX('Final Calculation Sheet'!$E$4:$E$40,$BJ10-3)),IF(OR($BI10=1,$BH10&gt;0),"–",""))</f>
        <v/>
      </c>
      <c r="H10" s="652">
        <f>IF($BJ10&gt;0,IF(INDEX('Final Calculation Sheet'!$C$4:$C$40,$BJ10-3)="","",INDEX('Final Calculation Sheet'!$C$4:$C$40,$BJ10-3)),IF(OR($BI10=1,$BH10&gt;0),"–",""))</f>
        <v/>
      </c>
      <c r="I10" s="652">
        <f>IF($BJ10&gt;0,IF(INDEX('Final Calculation Sheet'!$H$4:$H$40,$BJ10-3)="","",INDEX('Final Calculation Sheet'!$H$4:$H$40,$BJ10-3)),IF($BI10=1,SUM('Final Calculation Sheet'!$H$4:$H$40),IF($BH10&gt;0,SUMIFS('Final Calculation Sheet'!$H$4:$H$40,$AZ$5:$AZ$41,$BH10),"")))</f>
        <v/>
      </c>
      <c r="J10" s="652">
        <f>IF($BJ10&gt;0,IF(INDEX('Final Calculation Sheet'!$I$4:$I$40,$BJ10-3)="","",INDEX('Final Calculation Sheet'!$I$4:$I$40,$BJ10-3)),IF($BI10=1,SUM('Final Calculation Sheet'!$I$4:$I$40),IF($BH10&gt;0,SUMIFS('Final Calculation Sheet'!$I$4:$I$40,$AZ$5:$AZ$41,$BH10),"")))</f>
        <v/>
      </c>
      <c r="K10" s="652">
        <f>IF($BJ10&gt;0,IF(INDEX('Final Calculation Sheet'!$J$4:$J$40,$BJ10-3)="","",INDEX('Final Calculation Sheet'!$J$4:$J$40,$BJ10-3)),IF($BI10=1,SUM('Final Calculation Sheet'!$J$4:$J$40),IF($BH10&gt;0,SUMIFS('Final Calculation Sheet'!$J$4:$J$40,$AZ$5:$AZ$41,$BH10),"")))</f>
        <v/>
      </c>
      <c r="L10" s="652">
        <f>IF($BJ10&gt;0,IF(INDEX('Final Calculation Sheet'!$K$4:$K$40,$BJ10-3)="","",INDEX('Final Calculation Sheet'!$K$4:$K$40,$BJ10-3)),IF($BI10=1,SUM('Final Calculation Sheet'!$K$4:$K$40),IF($BH10&gt;0,SUMIFS('Final Calculation Sheet'!$K$4:$K$40,$AZ$5:$AZ$41,$BH10),"")))</f>
        <v/>
      </c>
      <c r="M10" s="652">
        <f>IF($BJ10&gt;0,IF(INDEX('Final Calculation Sheet'!$L$4:$L$40,$BJ10-3)="","",INDEX('Final Calculation Sheet'!$L$4:$L$40,$BJ10-3)),IF($BI10=1,SUM('Final Calculation Sheet'!$L$4:$L$40),IF($BH10&gt;0,SUMIFS('Final Calculation Sheet'!$L$4:$L$40,$AZ$5:$AZ$41,$BH10),"")))</f>
        <v/>
      </c>
      <c r="N10" s="652">
        <f>IF($BJ10&gt;0,IF(INDEX('Final Calculation Sheet'!$M$4:$M$40,$BJ10-3)="","",INDEX('Final Calculation Sheet'!$M$4:$M$40,$BJ10-3)),IF($BI10=1,SUM('Final Calculation Sheet'!$M$4:$M$40),IF($BH10&gt;0,SUMIFS('Final Calculation Sheet'!$M$4:$M$40,$AZ$5:$AZ$41,$BH10),"")))</f>
        <v/>
      </c>
      <c r="O10" s="653">
        <f>IF($BJ10&gt;0,IF(INDEX('Final Calculation Sheet'!$N$4:$N$40,$BJ10-3)="","",INDEX('Final Calculation Sheet'!$N$4:$N$40,$BJ10-3)),IF($BI10=1,SUM('Final Calculation Sheet'!$N$4:$N$40),IF($BH10&gt;0,SUMIFS('Final Calculation Sheet'!$N$4:$N$40,$AZ$5:$AZ$41,$BH10),"")))</f>
        <v/>
      </c>
      <c r="P10" s="652">
        <f>IF($BJ10&gt;0,IF(INDEX('Final Calculation Sheet'!$O$4:$O$40,$BJ10-3)="","",INDEX('Final Calculation Sheet'!$O$4:$O$40,$BJ10-3)),IF($BI10=1,SUM('Final Calculation Sheet'!$O$4:$O$40),IF($BH10&gt;0,SUMIFS('Final Calculation Sheet'!$O$4:$O$40,$AZ$5:$AZ$41,$BH10),"")))</f>
        <v/>
      </c>
      <c r="Q10" s="652">
        <f>IF($BJ10&gt;0,IF(INDEX('Final Calculation Sheet'!$P$4:$P$40,$BJ10-3)="","",INDEX('Final Calculation Sheet'!$P$4:$P$40,$BJ10-3)),IF($BI10=1,SUM('Final Calculation Sheet'!$P$4:$P$40),IF($BH10&gt;0,SUMIFS('Final Calculation Sheet'!$P$4:$P$40,$AZ$5:$AZ$41,$BH10),"")))</f>
        <v/>
      </c>
      <c r="R10" s="654">
        <f>IF($BJ10&gt;0,IF(INDEX('Final Calculation Sheet'!$Q$4:$Q$40,$BJ10-3)="","",INDEX('Final Calculation Sheet'!$Q$4:$Q$40,$BJ10-3)),IF(OR($BI10=1,$BH10&gt;0),"–",""))</f>
        <v/>
      </c>
      <c r="S10" s="652">
        <f>IF($BJ10&gt;0,IF(INDEX('Final Calculation Sheet'!$R$4:$R$40,$BJ10-3)="","",INDEX('Final Calculation Sheet'!$R$4:$R$40,$BJ10-3)),IF($BI10=1,SUM('Final Calculation Sheet'!$R$4:$R$40),IF($BH10&gt;0,SUMIFS('Final Calculation Sheet'!$R$4:$R$40,$AZ$5:$AZ$41,$BH10),"")))</f>
        <v/>
      </c>
      <c r="T10" s="652">
        <f>IF($BJ10&gt;0,IF(INDEX('Final Calculation Sheet'!$S$4:$S$40,$BJ10-3)="","",INDEX('Final Calculation Sheet'!$S$4:$S$40,$BJ10-3)),IF($BI10=1,SUM('Final Calculation Sheet'!$S$4:$S$40),IF($BH10&gt;0,SUMIFS('Final Calculation Sheet'!$S$4:$S$40,$AZ$5:$AZ$41,$BH10),"")))</f>
        <v/>
      </c>
      <c r="U10" s="652">
        <f>IF($BJ10&gt;0,IF(INDEX('Final Calculation Sheet'!$T$4:$T$40,$BJ10-3)="","",INDEX('Final Calculation Sheet'!$T$4:$T$40,$BJ10-3)),IF($BI10=1,SUM('Final Calculation Sheet'!$T$4:$T$40),IF($BH10&gt;0,SUMIFS('Final Calculation Sheet'!$T$4:$T$40,$AZ$5:$AZ$41,$BH10),"")))</f>
        <v/>
      </c>
      <c r="V10" s="655">
        <f>IF($BJ10&gt;0,IF(INDEX('Final Calculation Sheet'!$U$4:$U$40,$BJ10-3)="","",INDEX('Final Calculation Sheet'!$U$4:$U$40,$BJ10-3)),IF($BI10=1,SUM('Final Calculation Sheet'!$U$4:$U$40),IF($BH10&gt;0,SUMIFS('Final Calculation Sheet'!$U$4:$U$40,$AZ$5:$AZ$41,$BH10),"")))</f>
        <v/>
      </c>
      <c r="W10" s="652">
        <f>IF($BJ10&gt;0,IF(INDEX('Final Calculation Sheet'!$V$4:$V$40,$BJ10-3)="","",INDEX('Final Calculation Sheet'!$V$4:$V$40,$BJ10-3)),IF(OR($BI10=1,$BH10&gt;0),"–",""))</f>
        <v/>
      </c>
      <c r="X10" s="652">
        <f>IF($BJ10&gt;0,IF(INDEX('Final Calculation Sheet'!$W$4:$W$40,$BJ10-3)="","",INDEX('Final Calculation Sheet'!$W$4:$W$40,$BJ10-3)),IF($BI10=1,SUM('Final Calculation Sheet'!$W$4:$W$40),IF($BH10&gt;0,SUMIFS('Final Calculation Sheet'!$W$4:$W$40,$AZ$5:$AZ$41,$BH10),"")))</f>
        <v/>
      </c>
      <c r="Y10" s="652">
        <f>IF($BJ10&gt;0,IF(INDEX('Final Calculation Sheet'!$X$4:$X$40,$BJ10-3)="","",INDEX('Final Calculation Sheet'!$X$4:$X$40,$BJ10-3)),IF($BI10=1,SUM('Final Calculation Sheet'!$X$4:$X$40),IF($BH10&gt;0,SUMIFS('Final Calculation Sheet'!$X$4:$X$40,$AZ$5:$AZ$41,$BH10),"")))</f>
        <v/>
      </c>
      <c r="Z10" s="652">
        <f>IF($BJ10&gt;0,IF(INDEX('Final Calculation Sheet'!$Y$4:$Y$40,$BJ10-3)="","",INDEX('Final Calculation Sheet'!$Y$4:$Y$40,$BJ10-3)),IF(OR($BI10=1,$BH10&gt;0),"–",""))</f>
        <v/>
      </c>
      <c r="AA10" s="652">
        <f>IF($BJ10&gt;0,IF(INDEX('Final Calculation Sheet'!$Z$4:$Z$40,$BJ10-3)="","",INDEX('Final Calculation Sheet'!$Z$4:$Z$40,$BJ10-3)),IF($BI10=1,SUM('Final Calculation Sheet'!$Z$4:$Z$40),IF($BH10&gt;0,SUMIFS('Final Calculation Sheet'!$Z$4:$Z$40,$AZ$5:$AZ$41,$BH10),"")))</f>
        <v/>
      </c>
      <c r="AB10" s="652">
        <f>IF($BJ10&gt;0,IF(INDEX('Final Calculation Sheet'!$AA$4:$AA$40,$BJ10-3)="","",INDEX('Final Calculation Sheet'!$AA$4:$AA$40,$BJ10-3)),IF($BI10=1,SUM('Final Calculation Sheet'!$AA$4:$AA$40),IF($BH10&gt;0,SUMIFS('Final Calculation Sheet'!$AA$4:$AA$40,$AZ$5:$AZ$41,$BH10),"")))</f>
        <v/>
      </c>
      <c r="AC10" s="652">
        <f>IF($BJ10&gt;0,IF(INDEX('Final Calculation Sheet'!$AB$4:$AB$40,$BJ10-3)="","",INDEX('Final Calculation Sheet'!$AB$4:$AB$40,$BJ10-3)),IF(OR($BI10=1,$BH10&gt;0),"–",""))</f>
        <v/>
      </c>
      <c r="AD10" s="652">
        <f>IF($BJ10&gt;0,IF(INDEX('Final Calculation Sheet'!$AC$4:$AC$40,$BJ10-3)="","",INDEX('Final Calculation Sheet'!$AC$4:$AC$40,$BJ10-3)),IF($BI10=1,SUM('Final Calculation Sheet'!$AC$4:$AC$40),IF($BH10&gt;0,SUMIFS('Final Calculation Sheet'!$AC$4:$AC$40,$AZ$5:$AZ$41,$BH10),"")))</f>
        <v/>
      </c>
      <c r="AE10" s="652">
        <f>IF($BJ10&gt;0,IF(INDEX('Final Calculation Sheet'!$AD$4:$AD$40,$BJ10-3)="","",INDEX('Final Calculation Sheet'!$AD$4:$AD$40,$BJ10-3)),IF($BI10=1,SUM('Final Calculation Sheet'!$AD$4:$AD$40),IF($BH10&gt;0,SUMIFS('Final Calculation Sheet'!$AD$4:$AD$40,$AZ$5:$AZ$41,$BH10),"")))</f>
        <v/>
      </c>
      <c r="AF10" s="652">
        <f>IF($BJ10&gt;0,IF(INDEX('Final Calculation Sheet'!$AE$4:$AE$40,$BJ10-3)="","",INDEX('Final Calculation Sheet'!$AE$4:$AE$40,$BJ10-3)),IF(OR($BI10=1,$BH10&gt;0),"–",""))</f>
        <v/>
      </c>
      <c r="AG10" s="656">
        <f>IF($BJ10&gt;0,IF(INDEX('Final Calculation Sheet'!$AF$4:$AF$40,$BJ10-3)="","",INDEX('Final Calculation Sheet'!$AF$4:$AF$40,$BJ10-3)),IF(OR($BI10=1,$BH10&gt;0),"–",""))</f>
        <v/>
      </c>
      <c r="AH10" s="652">
        <f>IF($BJ10&gt;0,IF(INDEX('Final Calculation Sheet'!$AG$4:$AG$40,$BJ10-3)="","",INDEX('Final Calculation Sheet'!$AG$4:$AG$40,$BJ10-3)),IF(OR($BI10=1,$BH10&gt;0),"–",""))</f>
        <v/>
      </c>
      <c r="AI10" s="657">
        <f>IF($BJ10&gt;0,IF(INDEX('Final Calculation Sheet'!$AD$4:$AD$40,$BJ10-3)="","",IF(INDEX('Final Calculation Sheet'!$AD$4:$AD$40,$BJ10-3)&lt;=0,"SETTLED","OUTSTANDING")),IF(OR($BI10=1,$BH10&gt;0),IF(IF($BI10=1,SUM('Final Calculation Sheet'!$AD$4:$AD$40),SUMIFS('Final Calculation Sheet'!$AD$4:$AD$40,$AZ$5:$AZ$41,$BH10))&lt;=0,"ALL SETTLED","OUTSTANDING"),""))</f>
        <v/>
      </c>
      <c r="AK10">
        <f>IF($F$3="Lot No.",'Final Calculation Sheet'!$F$9,IF($F$3="Buyer",'Final Calculation Sheet'!$G$9,IF($F$3="Lot Name",'Final Calculation Sheet'!$B$9,IF($F$3="Bid Sheet",'Final Calculation Sheet'!$D$9,IF($F$3="Unit",'Final Calculation Sheet'!$E$9,'Final Calculation Sheet'!$F$9&amp;" "&amp;'Final Calculation Sheet'!$G$9&amp;" "&amp;'Final Calculation Sheet'!$B$9)))))</f>
        <v/>
      </c>
      <c r="AM10">
        <f>IF($B$3="",1,IF(AND(IF(COUNTIF($AR$9:$AY$9,1)=0,TRUE,SUMPRODUCT(($AR$9:$AY$9=1)*($AR$6:$AY$6&lt;&gt;"")*ISNUMBER(SEARCH($AR$6:$AY$6,$AK10)))&gt;0),IF(COUNTIF($AR$9:$AY$9,2)=0,TRUE,SUMPRODUCT(($AR$9:$AY$9=2)*($AR$6:$AY$6&lt;&gt;"")*ISNUMBER(SEARCH($AR$6:$AY$6,$AK10)))&gt;0),IF(COUNTIF($AR$9:$AY$9,3)=0,TRUE,SUMPRODUCT(($AR$9:$AY$9=3)*($AR$6:$AY$6&lt;&gt;"")*ISNUMBER(SEARCH($AR$6:$AY$6,$AK10)))&gt;0),IF(COUNTIF($AR$9:$AY$9,4)=0,TRUE,SUMPRODUCT(($AR$9:$AY$9=4)*($AR$6:$AY$6&lt;&gt;"")*ISNUMBER(SEARCH($AR$6:$AY$6,$AK10)))&gt;0),IF(COUNTIF($AR$9:$AY$9,5)=0,TRUE,SUMPRODUCT(($AR$9:$AY$9=5)*($AR$6:$AY$6&lt;&gt;"")*ISNUMBER(SEARCH($AR$6:$AY$6,$AK10)))&gt;0),IF(COUNTIF($AR$9:$AY$9,6)=0,TRUE,SUMPRODUCT(($AR$9:$AY$9=6)*($AR$6:$AY$6&lt;&gt;"")*ISNUMBER(SEARCH($AR$6:$AY$6,$AK10)))&gt;0),IF(COUNTIF($AR$9:$AY$9,7)=0,TRUE,SUMPRODUCT(($AR$9:$AY$9=7)*($AR$6:$AY$6&lt;&gt;"")*ISNUMBER(SEARCH($AR$6:$AY$6,$AK10)))&gt;0),IF(COUNTIF($AR$9:$AY$9,8)=0,TRUE,SUMPRODUCT(($AR$9:$AY$9=8)*($AR$6:$AY$6&lt;&gt;"")*ISNUMBER(SEARCH($AR$6:$AY$6,$AK10)))&gt;0)),1,0))</f>
        <v/>
      </c>
      <c r="AZ10">
        <f>IF($B$3="",9,IF($AM10=0,10,IF(AND($AR$6&lt;&gt;"",ISNUMBER(SEARCH($AR$6,$AK10))),1,IF(AND($AS$6&lt;&gt;"",ISNUMBER(SEARCH($AS$6,$AK10))),2,IF(AND($AT$6&lt;&gt;"",ISNUMBER(SEARCH($AT$6,$AK10))),3,IF(AND($AU$6&lt;&gt;"",ISNUMBER(SEARCH($AU$6,$AK10))),4,IF(AND($AV$6&lt;&gt;"",ISNUMBER(SEARCH($AV$6,$AK10))),5,IF(AND($AW$6&lt;&gt;"",ISNUMBER(SEARCH($AW$6,$AK10))),6,IF(AND($AX$6&lt;&gt;"",ISNUMBER(SEARCH($AX$6,$AK10))),7,IF(AND($AY$6&lt;&gt;"",ISNUMBER(SEARCH($AY$6,$AK10))),8,0))))))))))</f>
        <v/>
      </c>
      <c r="BA10">
        <f>SUMPRODUCT(($AZ$5:$AZ$41=$AZ10)*($BC$5:$BC$41&lt;$BC10))+1</f>
        <v/>
      </c>
      <c r="BB10">
        <f>IF(INDEX($BF$4:$BF$13,$AZ10)=0,0,INDEX($BE$4:$BE$13,$AZ10)+$BA10-1)</f>
        <v/>
      </c>
      <c r="BC10" t="n">
        <v>9</v>
      </c>
      <c r="BD10">
        <f>COUNTIF($AZ$5:$AZ$41,7)</f>
        <v/>
      </c>
      <c r="BE10">
        <f>IF($BD9=0,$BE9,$BF9+1)</f>
        <v/>
      </c>
      <c r="BF10">
        <f>IF($BD10=0,0,$BE10+$BD10)</f>
        <v/>
      </c>
      <c r="BH10">
        <f>IFERROR(MATCH(10,$BF$4:$BF$13,0),0)</f>
        <v/>
      </c>
      <c r="BI10">
        <f>IF(10=$BG$4,1,0)</f>
        <v/>
      </c>
      <c r="BJ10">
        <f>IF(OR($BH10&gt;0,$BI10=1),0,IFERROR(INDEX($BC$5:$BC$41,MATCH(10,$BB$5:$BB$41,0)),0))</f>
        <v/>
      </c>
      <c r="BK10">
        <f>IF($BJ10&gt;0,IF(INDEX($AZ$5:$AZ$41,MATCH(10,$BB$5:$BB$41,0))=10,1,0),IF($BH10=10,1,0))</f>
        <v/>
      </c>
    </row>
    <row r="11" ht="15" customHeight="1">
      <c r="A11" s="649">
        <f>IF($BJ11&gt;0,INDEX($BA$5:$BA$41,MATCH(11,$BB$5:$BB$41,0)),IF(OR($BI11=1,$BH11&gt;0),"∑",""))</f>
        <v/>
      </c>
      <c r="B11" s="650">
        <f>IF($BJ11&gt;0,IF(INDEX('Final Calculation Sheet'!$F$4:$F$40,$BJ11-3)="","",INDEX('Final Calculation Sheet'!$F$4:$F$40,$BJ11-3)),"")</f>
        <v/>
      </c>
      <c r="C11" s="650">
        <f>IF($BJ11&gt;0,IF(INDEX('Final Calculation Sheet'!$G$4:$G$40,$BJ11-3)="","",INDEX('Final Calculation Sheet'!$G$4:$G$40,$BJ11-3)),IF(OR($BI11=1,$BH11&gt;0),IF($BI11=1,37,INDEX($BD$4:$BD$13,$BH11))&amp;" lot(s)",""))</f>
        <v/>
      </c>
      <c r="D11" s="651">
        <f>IF($BJ11&gt;0,IF(INDEX('Final Calculation Sheet'!$B$4:$B$40,$BJ11-3)="","",INDEX('Final Calculation Sheet'!$B$4:$B$40,$BJ11-3)),IF(OR($BI11=1,$BH11&gt;0),IF($BI11=1,"GRAND TOTAL  —  matching + remaining",IF($BH11=10,"REMAINING  —  did not match the search",IF($BH11=9,"ALL LOTS  —  nothing typed in the box","GROUP "&amp;$BH11&amp;" TOTAL  —  lots matching  "&amp;INDEX($AR$6:$AY$6,$BH11)))),""))</f>
        <v/>
      </c>
      <c r="E11" s="651">
        <f>IF($BJ11&gt;0,IF(INDEX('Final Calculation Sheet'!$D$4:$D$40,$BJ11-3)="","",INDEX('Final Calculation Sheet'!$D$4:$D$40,$BJ11-3)),IF(OR($BI11=1,$BH11&gt;0),"–",""))</f>
        <v/>
      </c>
      <c r="F11" s="651">
        <f>IF($BJ11&gt;0,IF(INDEX('Final Calculation Sheet'!$A$4:$A$40,$BJ11-3)="","",INDEX('Final Calculation Sheet'!$A$4:$A$40,$BJ11-3)),IF($BI11=1,SUM('Final Calculation Sheet'!$A$4:$A$40),IF($BH11&gt;0,SUMIFS('Final Calculation Sheet'!$A$4:$A$40,$AZ$5:$AZ$41,$BH11),"")))</f>
        <v/>
      </c>
      <c r="G11" s="651">
        <f>IF($BJ11&gt;0,IF(INDEX('Final Calculation Sheet'!$E$4:$E$40,$BJ11-3)="","",INDEX('Final Calculation Sheet'!$E$4:$E$40,$BJ11-3)),IF(OR($BI11=1,$BH11&gt;0),"–",""))</f>
        <v/>
      </c>
      <c r="H11" s="652">
        <f>IF($BJ11&gt;0,IF(INDEX('Final Calculation Sheet'!$C$4:$C$40,$BJ11-3)="","",INDEX('Final Calculation Sheet'!$C$4:$C$40,$BJ11-3)),IF(OR($BI11=1,$BH11&gt;0),"–",""))</f>
        <v/>
      </c>
      <c r="I11" s="652">
        <f>IF($BJ11&gt;0,IF(INDEX('Final Calculation Sheet'!$H$4:$H$40,$BJ11-3)="","",INDEX('Final Calculation Sheet'!$H$4:$H$40,$BJ11-3)),IF($BI11=1,SUM('Final Calculation Sheet'!$H$4:$H$40),IF($BH11&gt;0,SUMIFS('Final Calculation Sheet'!$H$4:$H$40,$AZ$5:$AZ$41,$BH11),"")))</f>
        <v/>
      </c>
      <c r="J11" s="652">
        <f>IF($BJ11&gt;0,IF(INDEX('Final Calculation Sheet'!$I$4:$I$40,$BJ11-3)="","",INDEX('Final Calculation Sheet'!$I$4:$I$40,$BJ11-3)),IF($BI11=1,SUM('Final Calculation Sheet'!$I$4:$I$40),IF($BH11&gt;0,SUMIFS('Final Calculation Sheet'!$I$4:$I$40,$AZ$5:$AZ$41,$BH11),"")))</f>
        <v/>
      </c>
      <c r="K11" s="652">
        <f>IF($BJ11&gt;0,IF(INDEX('Final Calculation Sheet'!$J$4:$J$40,$BJ11-3)="","",INDEX('Final Calculation Sheet'!$J$4:$J$40,$BJ11-3)),IF($BI11=1,SUM('Final Calculation Sheet'!$J$4:$J$40),IF($BH11&gt;0,SUMIFS('Final Calculation Sheet'!$J$4:$J$40,$AZ$5:$AZ$41,$BH11),"")))</f>
        <v/>
      </c>
      <c r="L11" s="652">
        <f>IF($BJ11&gt;0,IF(INDEX('Final Calculation Sheet'!$K$4:$K$40,$BJ11-3)="","",INDEX('Final Calculation Sheet'!$K$4:$K$40,$BJ11-3)),IF($BI11=1,SUM('Final Calculation Sheet'!$K$4:$K$40),IF($BH11&gt;0,SUMIFS('Final Calculation Sheet'!$K$4:$K$40,$AZ$5:$AZ$41,$BH11),"")))</f>
        <v/>
      </c>
      <c r="M11" s="652">
        <f>IF($BJ11&gt;0,IF(INDEX('Final Calculation Sheet'!$L$4:$L$40,$BJ11-3)="","",INDEX('Final Calculation Sheet'!$L$4:$L$40,$BJ11-3)),IF($BI11=1,SUM('Final Calculation Sheet'!$L$4:$L$40),IF($BH11&gt;0,SUMIFS('Final Calculation Sheet'!$L$4:$L$40,$AZ$5:$AZ$41,$BH11),"")))</f>
        <v/>
      </c>
      <c r="N11" s="652">
        <f>IF($BJ11&gt;0,IF(INDEX('Final Calculation Sheet'!$M$4:$M$40,$BJ11-3)="","",INDEX('Final Calculation Sheet'!$M$4:$M$40,$BJ11-3)),IF($BI11=1,SUM('Final Calculation Sheet'!$M$4:$M$40),IF($BH11&gt;0,SUMIFS('Final Calculation Sheet'!$M$4:$M$40,$AZ$5:$AZ$41,$BH11),"")))</f>
        <v/>
      </c>
      <c r="O11" s="653">
        <f>IF($BJ11&gt;0,IF(INDEX('Final Calculation Sheet'!$N$4:$N$40,$BJ11-3)="","",INDEX('Final Calculation Sheet'!$N$4:$N$40,$BJ11-3)),IF($BI11=1,SUM('Final Calculation Sheet'!$N$4:$N$40),IF($BH11&gt;0,SUMIFS('Final Calculation Sheet'!$N$4:$N$40,$AZ$5:$AZ$41,$BH11),"")))</f>
        <v/>
      </c>
      <c r="P11" s="652">
        <f>IF($BJ11&gt;0,IF(INDEX('Final Calculation Sheet'!$O$4:$O$40,$BJ11-3)="","",INDEX('Final Calculation Sheet'!$O$4:$O$40,$BJ11-3)),IF($BI11=1,SUM('Final Calculation Sheet'!$O$4:$O$40),IF($BH11&gt;0,SUMIFS('Final Calculation Sheet'!$O$4:$O$40,$AZ$5:$AZ$41,$BH11),"")))</f>
        <v/>
      </c>
      <c r="Q11" s="652">
        <f>IF($BJ11&gt;0,IF(INDEX('Final Calculation Sheet'!$P$4:$P$40,$BJ11-3)="","",INDEX('Final Calculation Sheet'!$P$4:$P$40,$BJ11-3)),IF($BI11=1,SUM('Final Calculation Sheet'!$P$4:$P$40),IF($BH11&gt;0,SUMIFS('Final Calculation Sheet'!$P$4:$P$40,$AZ$5:$AZ$41,$BH11),"")))</f>
        <v/>
      </c>
      <c r="R11" s="654">
        <f>IF($BJ11&gt;0,IF(INDEX('Final Calculation Sheet'!$Q$4:$Q$40,$BJ11-3)="","",INDEX('Final Calculation Sheet'!$Q$4:$Q$40,$BJ11-3)),IF(OR($BI11=1,$BH11&gt;0),"–",""))</f>
        <v/>
      </c>
      <c r="S11" s="652">
        <f>IF($BJ11&gt;0,IF(INDEX('Final Calculation Sheet'!$R$4:$R$40,$BJ11-3)="","",INDEX('Final Calculation Sheet'!$R$4:$R$40,$BJ11-3)),IF($BI11=1,SUM('Final Calculation Sheet'!$R$4:$R$40),IF($BH11&gt;0,SUMIFS('Final Calculation Sheet'!$R$4:$R$40,$AZ$5:$AZ$41,$BH11),"")))</f>
        <v/>
      </c>
      <c r="T11" s="652">
        <f>IF($BJ11&gt;0,IF(INDEX('Final Calculation Sheet'!$S$4:$S$40,$BJ11-3)="","",INDEX('Final Calculation Sheet'!$S$4:$S$40,$BJ11-3)),IF($BI11=1,SUM('Final Calculation Sheet'!$S$4:$S$40),IF($BH11&gt;0,SUMIFS('Final Calculation Sheet'!$S$4:$S$40,$AZ$5:$AZ$41,$BH11),"")))</f>
        <v/>
      </c>
      <c r="U11" s="652">
        <f>IF($BJ11&gt;0,IF(INDEX('Final Calculation Sheet'!$T$4:$T$40,$BJ11-3)="","",INDEX('Final Calculation Sheet'!$T$4:$T$40,$BJ11-3)),IF($BI11=1,SUM('Final Calculation Sheet'!$T$4:$T$40),IF($BH11&gt;0,SUMIFS('Final Calculation Sheet'!$T$4:$T$40,$AZ$5:$AZ$41,$BH11),"")))</f>
        <v/>
      </c>
      <c r="V11" s="655">
        <f>IF($BJ11&gt;0,IF(INDEX('Final Calculation Sheet'!$U$4:$U$40,$BJ11-3)="","",INDEX('Final Calculation Sheet'!$U$4:$U$40,$BJ11-3)),IF($BI11=1,SUM('Final Calculation Sheet'!$U$4:$U$40),IF($BH11&gt;0,SUMIFS('Final Calculation Sheet'!$U$4:$U$40,$AZ$5:$AZ$41,$BH11),"")))</f>
        <v/>
      </c>
      <c r="W11" s="652">
        <f>IF($BJ11&gt;0,IF(INDEX('Final Calculation Sheet'!$V$4:$V$40,$BJ11-3)="","",INDEX('Final Calculation Sheet'!$V$4:$V$40,$BJ11-3)),IF(OR($BI11=1,$BH11&gt;0),"–",""))</f>
        <v/>
      </c>
      <c r="X11" s="652">
        <f>IF($BJ11&gt;0,IF(INDEX('Final Calculation Sheet'!$W$4:$W$40,$BJ11-3)="","",INDEX('Final Calculation Sheet'!$W$4:$W$40,$BJ11-3)),IF($BI11=1,SUM('Final Calculation Sheet'!$W$4:$W$40),IF($BH11&gt;0,SUMIFS('Final Calculation Sheet'!$W$4:$W$40,$AZ$5:$AZ$41,$BH11),"")))</f>
        <v/>
      </c>
      <c r="Y11" s="652">
        <f>IF($BJ11&gt;0,IF(INDEX('Final Calculation Sheet'!$X$4:$X$40,$BJ11-3)="","",INDEX('Final Calculation Sheet'!$X$4:$X$40,$BJ11-3)),IF($BI11=1,SUM('Final Calculation Sheet'!$X$4:$X$40),IF($BH11&gt;0,SUMIFS('Final Calculation Sheet'!$X$4:$X$40,$AZ$5:$AZ$41,$BH11),"")))</f>
        <v/>
      </c>
      <c r="Z11" s="652">
        <f>IF($BJ11&gt;0,IF(INDEX('Final Calculation Sheet'!$Y$4:$Y$40,$BJ11-3)="","",INDEX('Final Calculation Sheet'!$Y$4:$Y$40,$BJ11-3)),IF(OR($BI11=1,$BH11&gt;0),"–",""))</f>
        <v/>
      </c>
      <c r="AA11" s="652">
        <f>IF($BJ11&gt;0,IF(INDEX('Final Calculation Sheet'!$Z$4:$Z$40,$BJ11-3)="","",INDEX('Final Calculation Sheet'!$Z$4:$Z$40,$BJ11-3)),IF($BI11=1,SUM('Final Calculation Sheet'!$Z$4:$Z$40),IF($BH11&gt;0,SUMIFS('Final Calculation Sheet'!$Z$4:$Z$40,$AZ$5:$AZ$41,$BH11),"")))</f>
        <v/>
      </c>
      <c r="AB11" s="652">
        <f>IF($BJ11&gt;0,IF(INDEX('Final Calculation Sheet'!$AA$4:$AA$40,$BJ11-3)="","",INDEX('Final Calculation Sheet'!$AA$4:$AA$40,$BJ11-3)),IF($BI11=1,SUM('Final Calculation Sheet'!$AA$4:$AA$40),IF($BH11&gt;0,SUMIFS('Final Calculation Sheet'!$AA$4:$AA$40,$AZ$5:$AZ$41,$BH11),"")))</f>
        <v/>
      </c>
      <c r="AC11" s="652">
        <f>IF($BJ11&gt;0,IF(INDEX('Final Calculation Sheet'!$AB$4:$AB$40,$BJ11-3)="","",INDEX('Final Calculation Sheet'!$AB$4:$AB$40,$BJ11-3)),IF(OR($BI11=1,$BH11&gt;0),"–",""))</f>
        <v/>
      </c>
      <c r="AD11" s="652">
        <f>IF($BJ11&gt;0,IF(INDEX('Final Calculation Sheet'!$AC$4:$AC$40,$BJ11-3)="","",INDEX('Final Calculation Sheet'!$AC$4:$AC$40,$BJ11-3)),IF($BI11=1,SUM('Final Calculation Sheet'!$AC$4:$AC$40),IF($BH11&gt;0,SUMIFS('Final Calculation Sheet'!$AC$4:$AC$40,$AZ$5:$AZ$41,$BH11),"")))</f>
        <v/>
      </c>
      <c r="AE11" s="652">
        <f>IF($BJ11&gt;0,IF(INDEX('Final Calculation Sheet'!$AD$4:$AD$40,$BJ11-3)="","",INDEX('Final Calculation Sheet'!$AD$4:$AD$40,$BJ11-3)),IF($BI11=1,SUM('Final Calculation Sheet'!$AD$4:$AD$40),IF($BH11&gt;0,SUMIFS('Final Calculation Sheet'!$AD$4:$AD$40,$AZ$5:$AZ$41,$BH11),"")))</f>
        <v/>
      </c>
      <c r="AF11" s="652">
        <f>IF($BJ11&gt;0,IF(INDEX('Final Calculation Sheet'!$AE$4:$AE$40,$BJ11-3)="","",INDEX('Final Calculation Sheet'!$AE$4:$AE$40,$BJ11-3)),IF(OR($BI11=1,$BH11&gt;0),"–",""))</f>
        <v/>
      </c>
      <c r="AG11" s="656">
        <f>IF($BJ11&gt;0,IF(INDEX('Final Calculation Sheet'!$AF$4:$AF$40,$BJ11-3)="","",INDEX('Final Calculation Sheet'!$AF$4:$AF$40,$BJ11-3)),IF(OR($BI11=1,$BH11&gt;0),"–",""))</f>
        <v/>
      </c>
      <c r="AH11" s="652">
        <f>IF($BJ11&gt;0,IF(INDEX('Final Calculation Sheet'!$AG$4:$AG$40,$BJ11-3)="","",INDEX('Final Calculation Sheet'!$AG$4:$AG$40,$BJ11-3)),IF(OR($BI11=1,$BH11&gt;0),"–",""))</f>
        <v/>
      </c>
      <c r="AI11" s="657">
        <f>IF($BJ11&gt;0,IF(INDEX('Final Calculation Sheet'!$AD$4:$AD$40,$BJ11-3)="","",IF(INDEX('Final Calculation Sheet'!$AD$4:$AD$40,$BJ11-3)&lt;=0,"SETTLED","OUTSTANDING")),IF(OR($BI11=1,$BH11&gt;0),IF(IF($BI11=1,SUM('Final Calculation Sheet'!$AD$4:$AD$40),SUMIFS('Final Calculation Sheet'!$AD$4:$AD$40,$AZ$5:$AZ$41,$BH11))&lt;=0,"ALL SETTLED","OUTSTANDING"),""))</f>
        <v/>
      </c>
      <c r="AK11">
        <f>IF($F$3="Lot No.",'Final Calculation Sheet'!$F$10,IF($F$3="Buyer",'Final Calculation Sheet'!$G$10,IF($F$3="Lot Name",'Final Calculation Sheet'!$B$10,IF($F$3="Bid Sheet",'Final Calculation Sheet'!$D$10,IF($F$3="Unit",'Final Calculation Sheet'!$E$10,'Final Calculation Sheet'!$F$10&amp;" "&amp;'Final Calculation Sheet'!$G$10&amp;" "&amp;'Final Calculation Sheet'!$B$10)))))</f>
        <v/>
      </c>
      <c r="AM11">
        <f>IF($B$3="",1,IF(AND(IF(COUNTIF($AR$9:$AY$9,1)=0,TRUE,SUMPRODUCT(($AR$9:$AY$9=1)*($AR$6:$AY$6&lt;&gt;"")*ISNUMBER(SEARCH($AR$6:$AY$6,$AK11)))&gt;0),IF(COUNTIF($AR$9:$AY$9,2)=0,TRUE,SUMPRODUCT(($AR$9:$AY$9=2)*($AR$6:$AY$6&lt;&gt;"")*ISNUMBER(SEARCH($AR$6:$AY$6,$AK11)))&gt;0),IF(COUNTIF($AR$9:$AY$9,3)=0,TRUE,SUMPRODUCT(($AR$9:$AY$9=3)*($AR$6:$AY$6&lt;&gt;"")*ISNUMBER(SEARCH($AR$6:$AY$6,$AK11)))&gt;0),IF(COUNTIF($AR$9:$AY$9,4)=0,TRUE,SUMPRODUCT(($AR$9:$AY$9=4)*($AR$6:$AY$6&lt;&gt;"")*ISNUMBER(SEARCH($AR$6:$AY$6,$AK11)))&gt;0),IF(COUNTIF($AR$9:$AY$9,5)=0,TRUE,SUMPRODUCT(($AR$9:$AY$9=5)*($AR$6:$AY$6&lt;&gt;"")*ISNUMBER(SEARCH($AR$6:$AY$6,$AK11)))&gt;0),IF(COUNTIF($AR$9:$AY$9,6)=0,TRUE,SUMPRODUCT(($AR$9:$AY$9=6)*($AR$6:$AY$6&lt;&gt;"")*ISNUMBER(SEARCH($AR$6:$AY$6,$AK11)))&gt;0),IF(COUNTIF($AR$9:$AY$9,7)=0,TRUE,SUMPRODUCT(($AR$9:$AY$9=7)*($AR$6:$AY$6&lt;&gt;"")*ISNUMBER(SEARCH($AR$6:$AY$6,$AK11)))&gt;0),IF(COUNTIF($AR$9:$AY$9,8)=0,TRUE,SUMPRODUCT(($AR$9:$AY$9=8)*($AR$6:$AY$6&lt;&gt;"")*ISNUMBER(SEARCH($AR$6:$AY$6,$AK11)))&gt;0)),1,0))</f>
        <v/>
      </c>
      <c r="AZ11">
        <f>IF($B$3="",9,IF($AM11=0,10,IF(AND($AR$6&lt;&gt;"",ISNUMBER(SEARCH($AR$6,$AK11))),1,IF(AND($AS$6&lt;&gt;"",ISNUMBER(SEARCH($AS$6,$AK11))),2,IF(AND($AT$6&lt;&gt;"",ISNUMBER(SEARCH($AT$6,$AK11))),3,IF(AND($AU$6&lt;&gt;"",ISNUMBER(SEARCH($AU$6,$AK11))),4,IF(AND($AV$6&lt;&gt;"",ISNUMBER(SEARCH($AV$6,$AK11))),5,IF(AND($AW$6&lt;&gt;"",ISNUMBER(SEARCH($AW$6,$AK11))),6,IF(AND($AX$6&lt;&gt;"",ISNUMBER(SEARCH($AX$6,$AK11))),7,IF(AND($AY$6&lt;&gt;"",ISNUMBER(SEARCH($AY$6,$AK11))),8,0))))))))))</f>
        <v/>
      </c>
      <c r="BA11">
        <f>SUMPRODUCT(($AZ$5:$AZ$41=$AZ11)*($BC$5:$BC$41&lt;$BC11))+1</f>
        <v/>
      </c>
      <c r="BB11">
        <f>IF(INDEX($BF$4:$BF$13,$AZ11)=0,0,INDEX($BE$4:$BE$13,$AZ11)+$BA11-1)</f>
        <v/>
      </c>
      <c r="BC11" t="n">
        <v>10</v>
      </c>
      <c r="BD11">
        <f>COUNTIF($AZ$5:$AZ$41,8)</f>
        <v/>
      </c>
      <c r="BE11">
        <f>IF($BD10=0,$BE10,$BF10+1)</f>
        <v/>
      </c>
      <c r="BF11">
        <f>IF($BD11=0,0,$BE11+$BD11)</f>
        <v/>
      </c>
      <c r="BH11">
        <f>IFERROR(MATCH(11,$BF$4:$BF$13,0),0)</f>
        <v/>
      </c>
      <c r="BI11">
        <f>IF(11=$BG$4,1,0)</f>
        <v/>
      </c>
      <c r="BJ11">
        <f>IF(OR($BH11&gt;0,$BI11=1),0,IFERROR(INDEX($BC$5:$BC$41,MATCH(11,$BB$5:$BB$41,0)),0))</f>
        <v/>
      </c>
      <c r="BK11">
        <f>IF($BJ11&gt;0,IF(INDEX($AZ$5:$AZ$41,MATCH(11,$BB$5:$BB$41,0))=10,1,0),IF($BH11=10,1,0))</f>
        <v/>
      </c>
    </row>
    <row r="12" ht="15" customHeight="1">
      <c r="A12" s="649">
        <f>IF($BJ12&gt;0,INDEX($BA$5:$BA$41,MATCH(12,$BB$5:$BB$41,0)),IF(OR($BI12=1,$BH12&gt;0),"∑",""))</f>
        <v/>
      </c>
      <c r="B12" s="650">
        <f>IF($BJ12&gt;0,IF(INDEX('Final Calculation Sheet'!$F$4:$F$40,$BJ12-3)="","",INDEX('Final Calculation Sheet'!$F$4:$F$40,$BJ12-3)),"")</f>
        <v/>
      </c>
      <c r="C12" s="650">
        <f>IF($BJ12&gt;0,IF(INDEX('Final Calculation Sheet'!$G$4:$G$40,$BJ12-3)="","",INDEX('Final Calculation Sheet'!$G$4:$G$40,$BJ12-3)),IF(OR($BI12=1,$BH12&gt;0),IF($BI12=1,37,INDEX($BD$4:$BD$13,$BH12))&amp;" lot(s)",""))</f>
        <v/>
      </c>
      <c r="D12" s="651">
        <f>IF($BJ12&gt;0,IF(INDEX('Final Calculation Sheet'!$B$4:$B$40,$BJ12-3)="","",INDEX('Final Calculation Sheet'!$B$4:$B$40,$BJ12-3)),IF(OR($BI12=1,$BH12&gt;0),IF($BI12=1,"GRAND TOTAL  —  matching + remaining",IF($BH12=10,"REMAINING  —  did not match the search",IF($BH12=9,"ALL LOTS  —  nothing typed in the box","GROUP "&amp;$BH12&amp;" TOTAL  —  lots matching  "&amp;INDEX($AR$6:$AY$6,$BH12)))),""))</f>
        <v/>
      </c>
      <c r="E12" s="651">
        <f>IF($BJ12&gt;0,IF(INDEX('Final Calculation Sheet'!$D$4:$D$40,$BJ12-3)="","",INDEX('Final Calculation Sheet'!$D$4:$D$40,$BJ12-3)),IF(OR($BI12=1,$BH12&gt;0),"–",""))</f>
        <v/>
      </c>
      <c r="F12" s="651">
        <f>IF($BJ12&gt;0,IF(INDEX('Final Calculation Sheet'!$A$4:$A$40,$BJ12-3)="","",INDEX('Final Calculation Sheet'!$A$4:$A$40,$BJ12-3)),IF($BI12=1,SUM('Final Calculation Sheet'!$A$4:$A$40),IF($BH12&gt;0,SUMIFS('Final Calculation Sheet'!$A$4:$A$40,$AZ$5:$AZ$41,$BH12),"")))</f>
        <v/>
      </c>
      <c r="G12" s="651">
        <f>IF($BJ12&gt;0,IF(INDEX('Final Calculation Sheet'!$E$4:$E$40,$BJ12-3)="","",INDEX('Final Calculation Sheet'!$E$4:$E$40,$BJ12-3)),IF(OR($BI12=1,$BH12&gt;0),"–",""))</f>
        <v/>
      </c>
      <c r="H12" s="652">
        <f>IF($BJ12&gt;0,IF(INDEX('Final Calculation Sheet'!$C$4:$C$40,$BJ12-3)="","",INDEX('Final Calculation Sheet'!$C$4:$C$40,$BJ12-3)),IF(OR($BI12=1,$BH12&gt;0),"–",""))</f>
        <v/>
      </c>
      <c r="I12" s="652">
        <f>IF($BJ12&gt;0,IF(INDEX('Final Calculation Sheet'!$H$4:$H$40,$BJ12-3)="","",INDEX('Final Calculation Sheet'!$H$4:$H$40,$BJ12-3)),IF($BI12=1,SUM('Final Calculation Sheet'!$H$4:$H$40),IF($BH12&gt;0,SUMIFS('Final Calculation Sheet'!$H$4:$H$40,$AZ$5:$AZ$41,$BH12),"")))</f>
        <v/>
      </c>
      <c r="J12" s="652">
        <f>IF($BJ12&gt;0,IF(INDEX('Final Calculation Sheet'!$I$4:$I$40,$BJ12-3)="","",INDEX('Final Calculation Sheet'!$I$4:$I$40,$BJ12-3)),IF($BI12=1,SUM('Final Calculation Sheet'!$I$4:$I$40),IF($BH12&gt;0,SUMIFS('Final Calculation Sheet'!$I$4:$I$40,$AZ$5:$AZ$41,$BH12),"")))</f>
        <v/>
      </c>
      <c r="K12" s="652">
        <f>IF($BJ12&gt;0,IF(INDEX('Final Calculation Sheet'!$J$4:$J$40,$BJ12-3)="","",INDEX('Final Calculation Sheet'!$J$4:$J$40,$BJ12-3)),IF($BI12=1,SUM('Final Calculation Sheet'!$J$4:$J$40),IF($BH12&gt;0,SUMIFS('Final Calculation Sheet'!$J$4:$J$40,$AZ$5:$AZ$41,$BH12),"")))</f>
        <v/>
      </c>
      <c r="L12" s="652">
        <f>IF($BJ12&gt;0,IF(INDEX('Final Calculation Sheet'!$K$4:$K$40,$BJ12-3)="","",INDEX('Final Calculation Sheet'!$K$4:$K$40,$BJ12-3)),IF($BI12=1,SUM('Final Calculation Sheet'!$K$4:$K$40),IF($BH12&gt;0,SUMIFS('Final Calculation Sheet'!$K$4:$K$40,$AZ$5:$AZ$41,$BH12),"")))</f>
        <v/>
      </c>
      <c r="M12" s="652">
        <f>IF($BJ12&gt;0,IF(INDEX('Final Calculation Sheet'!$L$4:$L$40,$BJ12-3)="","",INDEX('Final Calculation Sheet'!$L$4:$L$40,$BJ12-3)),IF($BI12=1,SUM('Final Calculation Sheet'!$L$4:$L$40),IF($BH12&gt;0,SUMIFS('Final Calculation Sheet'!$L$4:$L$40,$AZ$5:$AZ$41,$BH12),"")))</f>
        <v/>
      </c>
      <c r="N12" s="652">
        <f>IF($BJ12&gt;0,IF(INDEX('Final Calculation Sheet'!$M$4:$M$40,$BJ12-3)="","",INDEX('Final Calculation Sheet'!$M$4:$M$40,$BJ12-3)),IF($BI12=1,SUM('Final Calculation Sheet'!$M$4:$M$40),IF($BH12&gt;0,SUMIFS('Final Calculation Sheet'!$M$4:$M$40,$AZ$5:$AZ$41,$BH12),"")))</f>
        <v/>
      </c>
      <c r="O12" s="653">
        <f>IF($BJ12&gt;0,IF(INDEX('Final Calculation Sheet'!$N$4:$N$40,$BJ12-3)="","",INDEX('Final Calculation Sheet'!$N$4:$N$40,$BJ12-3)),IF($BI12=1,SUM('Final Calculation Sheet'!$N$4:$N$40),IF($BH12&gt;0,SUMIFS('Final Calculation Sheet'!$N$4:$N$40,$AZ$5:$AZ$41,$BH12),"")))</f>
        <v/>
      </c>
      <c r="P12" s="652">
        <f>IF($BJ12&gt;0,IF(INDEX('Final Calculation Sheet'!$O$4:$O$40,$BJ12-3)="","",INDEX('Final Calculation Sheet'!$O$4:$O$40,$BJ12-3)),IF($BI12=1,SUM('Final Calculation Sheet'!$O$4:$O$40),IF($BH12&gt;0,SUMIFS('Final Calculation Sheet'!$O$4:$O$40,$AZ$5:$AZ$41,$BH12),"")))</f>
        <v/>
      </c>
      <c r="Q12" s="652">
        <f>IF($BJ12&gt;0,IF(INDEX('Final Calculation Sheet'!$P$4:$P$40,$BJ12-3)="","",INDEX('Final Calculation Sheet'!$P$4:$P$40,$BJ12-3)),IF($BI12=1,SUM('Final Calculation Sheet'!$P$4:$P$40),IF($BH12&gt;0,SUMIFS('Final Calculation Sheet'!$P$4:$P$40,$AZ$5:$AZ$41,$BH12),"")))</f>
        <v/>
      </c>
      <c r="R12" s="654">
        <f>IF($BJ12&gt;0,IF(INDEX('Final Calculation Sheet'!$Q$4:$Q$40,$BJ12-3)="","",INDEX('Final Calculation Sheet'!$Q$4:$Q$40,$BJ12-3)),IF(OR($BI12=1,$BH12&gt;0),"–",""))</f>
        <v/>
      </c>
      <c r="S12" s="652">
        <f>IF($BJ12&gt;0,IF(INDEX('Final Calculation Sheet'!$R$4:$R$40,$BJ12-3)="","",INDEX('Final Calculation Sheet'!$R$4:$R$40,$BJ12-3)),IF($BI12=1,SUM('Final Calculation Sheet'!$R$4:$R$40),IF($BH12&gt;0,SUMIFS('Final Calculation Sheet'!$R$4:$R$40,$AZ$5:$AZ$41,$BH12),"")))</f>
        <v/>
      </c>
      <c r="T12" s="652">
        <f>IF($BJ12&gt;0,IF(INDEX('Final Calculation Sheet'!$S$4:$S$40,$BJ12-3)="","",INDEX('Final Calculation Sheet'!$S$4:$S$40,$BJ12-3)),IF($BI12=1,SUM('Final Calculation Sheet'!$S$4:$S$40),IF($BH12&gt;0,SUMIFS('Final Calculation Sheet'!$S$4:$S$40,$AZ$5:$AZ$41,$BH12),"")))</f>
        <v/>
      </c>
      <c r="U12" s="652">
        <f>IF($BJ12&gt;0,IF(INDEX('Final Calculation Sheet'!$T$4:$T$40,$BJ12-3)="","",INDEX('Final Calculation Sheet'!$T$4:$T$40,$BJ12-3)),IF($BI12=1,SUM('Final Calculation Sheet'!$T$4:$T$40),IF($BH12&gt;0,SUMIFS('Final Calculation Sheet'!$T$4:$T$40,$AZ$5:$AZ$41,$BH12),"")))</f>
        <v/>
      </c>
      <c r="V12" s="655">
        <f>IF($BJ12&gt;0,IF(INDEX('Final Calculation Sheet'!$U$4:$U$40,$BJ12-3)="","",INDEX('Final Calculation Sheet'!$U$4:$U$40,$BJ12-3)),IF($BI12=1,SUM('Final Calculation Sheet'!$U$4:$U$40),IF($BH12&gt;0,SUMIFS('Final Calculation Sheet'!$U$4:$U$40,$AZ$5:$AZ$41,$BH12),"")))</f>
        <v/>
      </c>
      <c r="W12" s="652">
        <f>IF($BJ12&gt;0,IF(INDEX('Final Calculation Sheet'!$V$4:$V$40,$BJ12-3)="","",INDEX('Final Calculation Sheet'!$V$4:$V$40,$BJ12-3)),IF(OR($BI12=1,$BH12&gt;0),"–",""))</f>
        <v/>
      </c>
      <c r="X12" s="652">
        <f>IF($BJ12&gt;0,IF(INDEX('Final Calculation Sheet'!$W$4:$W$40,$BJ12-3)="","",INDEX('Final Calculation Sheet'!$W$4:$W$40,$BJ12-3)),IF($BI12=1,SUM('Final Calculation Sheet'!$W$4:$W$40),IF($BH12&gt;0,SUMIFS('Final Calculation Sheet'!$W$4:$W$40,$AZ$5:$AZ$41,$BH12),"")))</f>
        <v/>
      </c>
      <c r="Y12" s="652">
        <f>IF($BJ12&gt;0,IF(INDEX('Final Calculation Sheet'!$X$4:$X$40,$BJ12-3)="","",INDEX('Final Calculation Sheet'!$X$4:$X$40,$BJ12-3)),IF($BI12=1,SUM('Final Calculation Sheet'!$X$4:$X$40),IF($BH12&gt;0,SUMIFS('Final Calculation Sheet'!$X$4:$X$40,$AZ$5:$AZ$41,$BH12),"")))</f>
        <v/>
      </c>
      <c r="Z12" s="652">
        <f>IF($BJ12&gt;0,IF(INDEX('Final Calculation Sheet'!$Y$4:$Y$40,$BJ12-3)="","",INDEX('Final Calculation Sheet'!$Y$4:$Y$40,$BJ12-3)),IF(OR($BI12=1,$BH12&gt;0),"–",""))</f>
        <v/>
      </c>
      <c r="AA12" s="652">
        <f>IF($BJ12&gt;0,IF(INDEX('Final Calculation Sheet'!$Z$4:$Z$40,$BJ12-3)="","",INDEX('Final Calculation Sheet'!$Z$4:$Z$40,$BJ12-3)),IF($BI12=1,SUM('Final Calculation Sheet'!$Z$4:$Z$40),IF($BH12&gt;0,SUMIFS('Final Calculation Sheet'!$Z$4:$Z$40,$AZ$5:$AZ$41,$BH12),"")))</f>
        <v/>
      </c>
      <c r="AB12" s="652">
        <f>IF($BJ12&gt;0,IF(INDEX('Final Calculation Sheet'!$AA$4:$AA$40,$BJ12-3)="","",INDEX('Final Calculation Sheet'!$AA$4:$AA$40,$BJ12-3)),IF($BI12=1,SUM('Final Calculation Sheet'!$AA$4:$AA$40),IF($BH12&gt;0,SUMIFS('Final Calculation Sheet'!$AA$4:$AA$40,$AZ$5:$AZ$41,$BH12),"")))</f>
        <v/>
      </c>
      <c r="AC12" s="652">
        <f>IF($BJ12&gt;0,IF(INDEX('Final Calculation Sheet'!$AB$4:$AB$40,$BJ12-3)="","",INDEX('Final Calculation Sheet'!$AB$4:$AB$40,$BJ12-3)),IF(OR($BI12=1,$BH12&gt;0),"–",""))</f>
        <v/>
      </c>
      <c r="AD12" s="652">
        <f>IF($BJ12&gt;0,IF(INDEX('Final Calculation Sheet'!$AC$4:$AC$40,$BJ12-3)="","",INDEX('Final Calculation Sheet'!$AC$4:$AC$40,$BJ12-3)),IF($BI12=1,SUM('Final Calculation Sheet'!$AC$4:$AC$40),IF($BH12&gt;0,SUMIFS('Final Calculation Sheet'!$AC$4:$AC$40,$AZ$5:$AZ$41,$BH12),"")))</f>
        <v/>
      </c>
      <c r="AE12" s="652">
        <f>IF($BJ12&gt;0,IF(INDEX('Final Calculation Sheet'!$AD$4:$AD$40,$BJ12-3)="","",INDEX('Final Calculation Sheet'!$AD$4:$AD$40,$BJ12-3)),IF($BI12=1,SUM('Final Calculation Sheet'!$AD$4:$AD$40),IF($BH12&gt;0,SUMIFS('Final Calculation Sheet'!$AD$4:$AD$40,$AZ$5:$AZ$41,$BH12),"")))</f>
        <v/>
      </c>
      <c r="AF12" s="652">
        <f>IF($BJ12&gt;0,IF(INDEX('Final Calculation Sheet'!$AE$4:$AE$40,$BJ12-3)="","",INDEX('Final Calculation Sheet'!$AE$4:$AE$40,$BJ12-3)),IF(OR($BI12=1,$BH12&gt;0),"–",""))</f>
        <v/>
      </c>
      <c r="AG12" s="656">
        <f>IF($BJ12&gt;0,IF(INDEX('Final Calculation Sheet'!$AF$4:$AF$40,$BJ12-3)="","",INDEX('Final Calculation Sheet'!$AF$4:$AF$40,$BJ12-3)),IF(OR($BI12=1,$BH12&gt;0),"–",""))</f>
        <v/>
      </c>
      <c r="AH12" s="652">
        <f>IF($BJ12&gt;0,IF(INDEX('Final Calculation Sheet'!$AG$4:$AG$40,$BJ12-3)="","",INDEX('Final Calculation Sheet'!$AG$4:$AG$40,$BJ12-3)),IF(OR($BI12=1,$BH12&gt;0),"–",""))</f>
        <v/>
      </c>
      <c r="AI12" s="657">
        <f>IF($BJ12&gt;0,IF(INDEX('Final Calculation Sheet'!$AD$4:$AD$40,$BJ12-3)="","",IF(INDEX('Final Calculation Sheet'!$AD$4:$AD$40,$BJ12-3)&lt;=0,"SETTLED","OUTSTANDING")),IF(OR($BI12=1,$BH12&gt;0),IF(IF($BI12=1,SUM('Final Calculation Sheet'!$AD$4:$AD$40),SUMIFS('Final Calculation Sheet'!$AD$4:$AD$40,$AZ$5:$AZ$41,$BH12))&lt;=0,"ALL SETTLED","OUTSTANDING"),""))</f>
        <v/>
      </c>
      <c r="AK12">
        <f>IF($F$3="Lot No.",'Final Calculation Sheet'!$F$11,IF($F$3="Buyer",'Final Calculation Sheet'!$G$11,IF($F$3="Lot Name",'Final Calculation Sheet'!$B$11,IF($F$3="Bid Sheet",'Final Calculation Sheet'!$D$11,IF($F$3="Unit",'Final Calculation Sheet'!$E$11,'Final Calculation Sheet'!$F$11&amp;" "&amp;'Final Calculation Sheet'!$G$11&amp;" "&amp;'Final Calculation Sheet'!$B$11)))))</f>
        <v/>
      </c>
      <c r="AM12">
        <f>IF($B$3="",1,IF(AND(IF(COUNTIF($AR$9:$AY$9,1)=0,TRUE,SUMPRODUCT(($AR$9:$AY$9=1)*($AR$6:$AY$6&lt;&gt;"")*ISNUMBER(SEARCH($AR$6:$AY$6,$AK12)))&gt;0),IF(COUNTIF($AR$9:$AY$9,2)=0,TRUE,SUMPRODUCT(($AR$9:$AY$9=2)*($AR$6:$AY$6&lt;&gt;"")*ISNUMBER(SEARCH($AR$6:$AY$6,$AK12)))&gt;0),IF(COUNTIF($AR$9:$AY$9,3)=0,TRUE,SUMPRODUCT(($AR$9:$AY$9=3)*($AR$6:$AY$6&lt;&gt;"")*ISNUMBER(SEARCH($AR$6:$AY$6,$AK12)))&gt;0),IF(COUNTIF($AR$9:$AY$9,4)=0,TRUE,SUMPRODUCT(($AR$9:$AY$9=4)*($AR$6:$AY$6&lt;&gt;"")*ISNUMBER(SEARCH($AR$6:$AY$6,$AK12)))&gt;0),IF(COUNTIF($AR$9:$AY$9,5)=0,TRUE,SUMPRODUCT(($AR$9:$AY$9=5)*($AR$6:$AY$6&lt;&gt;"")*ISNUMBER(SEARCH($AR$6:$AY$6,$AK12)))&gt;0),IF(COUNTIF($AR$9:$AY$9,6)=0,TRUE,SUMPRODUCT(($AR$9:$AY$9=6)*($AR$6:$AY$6&lt;&gt;"")*ISNUMBER(SEARCH($AR$6:$AY$6,$AK12)))&gt;0),IF(COUNTIF($AR$9:$AY$9,7)=0,TRUE,SUMPRODUCT(($AR$9:$AY$9=7)*($AR$6:$AY$6&lt;&gt;"")*ISNUMBER(SEARCH($AR$6:$AY$6,$AK12)))&gt;0),IF(COUNTIF($AR$9:$AY$9,8)=0,TRUE,SUMPRODUCT(($AR$9:$AY$9=8)*($AR$6:$AY$6&lt;&gt;"")*ISNUMBER(SEARCH($AR$6:$AY$6,$AK12)))&gt;0)),1,0))</f>
        <v/>
      </c>
      <c r="AZ12">
        <f>IF($B$3="",9,IF($AM12=0,10,IF(AND($AR$6&lt;&gt;"",ISNUMBER(SEARCH($AR$6,$AK12))),1,IF(AND($AS$6&lt;&gt;"",ISNUMBER(SEARCH($AS$6,$AK12))),2,IF(AND($AT$6&lt;&gt;"",ISNUMBER(SEARCH($AT$6,$AK12))),3,IF(AND($AU$6&lt;&gt;"",ISNUMBER(SEARCH($AU$6,$AK12))),4,IF(AND($AV$6&lt;&gt;"",ISNUMBER(SEARCH($AV$6,$AK12))),5,IF(AND($AW$6&lt;&gt;"",ISNUMBER(SEARCH($AW$6,$AK12))),6,IF(AND($AX$6&lt;&gt;"",ISNUMBER(SEARCH($AX$6,$AK12))),7,IF(AND($AY$6&lt;&gt;"",ISNUMBER(SEARCH($AY$6,$AK12))),8,0))))))))))</f>
        <v/>
      </c>
      <c r="BA12">
        <f>SUMPRODUCT(($AZ$5:$AZ$41=$AZ12)*($BC$5:$BC$41&lt;$BC12))+1</f>
        <v/>
      </c>
      <c r="BB12">
        <f>IF(INDEX($BF$4:$BF$13,$AZ12)=0,0,INDEX($BE$4:$BE$13,$AZ12)+$BA12-1)</f>
        <v/>
      </c>
      <c r="BC12" t="n">
        <v>11</v>
      </c>
      <c r="BD12">
        <f>COUNTIF($AZ$5:$AZ$41,9)</f>
        <v/>
      </c>
      <c r="BE12">
        <f>IF($BD11=0,$BE11,$BF11+1)</f>
        <v/>
      </c>
      <c r="BF12">
        <f>IF($BD12=0,0,$BE12+$BD12)</f>
        <v/>
      </c>
      <c r="BH12">
        <f>IFERROR(MATCH(12,$BF$4:$BF$13,0),0)</f>
        <v/>
      </c>
      <c r="BI12">
        <f>IF(12=$BG$4,1,0)</f>
        <v/>
      </c>
      <c r="BJ12">
        <f>IF(OR($BH12&gt;0,$BI12=1),0,IFERROR(INDEX($BC$5:$BC$41,MATCH(12,$BB$5:$BB$41,0)),0))</f>
        <v/>
      </c>
      <c r="BK12">
        <f>IF($BJ12&gt;0,IF(INDEX($AZ$5:$AZ$41,MATCH(12,$BB$5:$BB$41,0))=10,1,0),IF($BH12=10,1,0))</f>
        <v/>
      </c>
    </row>
    <row r="13" ht="15" customHeight="1">
      <c r="A13" s="649">
        <f>IF($BJ13&gt;0,INDEX($BA$5:$BA$41,MATCH(13,$BB$5:$BB$41,0)),IF(OR($BI13=1,$BH13&gt;0),"∑",""))</f>
        <v/>
      </c>
      <c r="B13" s="650">
        <f>IF($BJ13&gt;0,IF(INDEX('Final Calculation Sheet'!$F$4:$F$40,$BJ13-3)="","",INDEX('Final Calculation Sheet'!$F$4:$F$40,$BJ13-3)),"")</f>
        <v/>
      </c>
      <c r="C13" s="650">
        <f>IF($BJ13&gt;0,IF(INDEX('Final Calculation Sheet'!$G$4:$G$40,$BJ13-3)="","",INDEX('Final Calculation Sheet'!$G$4:$G$40,$BJ13-3)),IF(OR($BI13=1,$BH13&gt;0),IF($BI13=1,37,INDEX($BD$4:$BD$13,$BH13))&amp;" lot(s)",""))</f>
        <v/>
      </c>
      <c r="D13" s="651">
        <f>IF($BJ13&gt;0,IF(INDEX('Final Calculation Sheet'!$B$4:$B$40,$BJ13-3)="","",INDEX('Final Calculation Sheet'!$B$4:$B$40,$BJ13-3)),IF(OR($BI13=1,$BH13&gt;0),IF($BI13=1,"GRAND TOTAL  —  matching + remaining",IF($BH13=10,"REMAINING  —  did not match the search",IF($BH13=9,"ALL LOTS  —  nothing typed in the box","GROUP "&amp;$BH13&amp;" TOTAL  —  lots matching  "&amp;INDEX($AR$6:$AY$6,$BH13)))),""))</f>
        <v/>
      </c>
      <c r="E13" s="651">
        <f>IF($BJ13&gt;0,IF(INDEX('Final Calculation Sheet'!$D$4:$D$40,$BJ13-3)="","",INDEX('Final Calculation Sheet'!$D$4:$D$40,$BJ13-3)),IF(OR($BI13=1,$BH13&gt;0),"–",""))</f>
        <v/>
      </c>
      <c r="F13" s="651">
        <f>IF($BJ13&gt;0,IF(INDEX('Final Calculation Sheet'!$A$4:$A$40,$BJ13-3)="","",INDEX('Final Calculation Sheet'!$A$4:$A$40,$BJ13-3)),IF($BI13=1,SUM('Final Calculation Sheet'!$A$4:$A$40),IF($BH13&gt;0,SUMIFS('Final Calculation Sheet'!$A$4:$A$40,$AZ$5:$AZ$41,$BH13),"")))</f>
        <v/>
      </c>
      <c r="G13" s="651">
        <f>IF($BJ13&gt;0,IF(INDEX('Final Calculation Sheet'!$E$4:$E$40,$BJ13-3)="","",INDEX('Final Calculation Sheet'!$E$4:$E$40,$BJ13-3)),IF(OR($BI13=1,$BH13&gt;0),"–",""))</f>
        <v/>
      </c>
      <c r="H13" s="652">
        <f>IF($BJ13&gt;0,IF(INDEX('Final Calculation Sheet'!$C$4:$C$40,$BJ13-3)="","",INDEX('Final Calculation Sheet'!$C$4:$C$40,$BJ13-3)),IF(OR($BI13=1,$BH13&gt;0),"–",""))</f>
        <v/>
      </c>
      <c r="I13" s="652">
        <f>IF($BJ13&gt;0,IF(INDEX('Final Calculation Sheet'!$H$4:$H$40,$BJ13-3)="","",INDEX('Final Calculation Sheet'!$H$4:$H$40,$BJ13-3)),IF($BI13=1,SUM('Final Calculation Sheet'!$H$4:$H$40),IF($BH13&gt;0,SUMIFS('Final Calculation Sheet'!$H$4:$H$40,$AZ$5:$AZ$41,$BH13),"")))</f>
        <v/>
      </c>
      <c r="J13" s="652">
        <f>IF($BJ13&gt;0,IF(INDEX('Final Calculation Sheet'!$I$4:$I$40,$BJ13-3)="","",INDEX('Final Calculation Sheet'!$I$4:$I$40,$BJ13-3)),IF($BI13=1,SUM('Final Calculation Sheet'!$I$4:$I$40),IF($BH13&gt;0,SUMIFS('Final Calculation Sheet'!$I$4:$I$40,$AZ$5:$AZ$41,$BH13),"")))</f>
        <v/>
      </c>
      <c r="K13" s="652">
        <f>IF($BJ13&gt;0,IF(INDEX('Final Calculation Sheet'!$J$4:$J$40,$BJ13-3)="","",INDEX('Final Calculation Sheet'!$J$4:$J$40,$BJ13-3)),IF($BI13=1,SUM('Final Calculation Sheet'!$J$4:$J$40),IF($BH13&gt;0,SUMIFS('Final Calculation Sheet'!$J$4:$J$40,$AZ$5:$AZ$41,$BH13),"")))</f>
        <v/>
      </c>
      <c r="L13" s="652">
        <f>IF($BJ13&gt;0,IF(INDEX('Final Calculation Sheet'!$K$4:$K$40,$BJ13-3)="","",INDEX('Final Calculation Sheet'!$K$4:$K$40,$BJ13-3)),IF($BI13=1,SUM('Final Calculation Sheet'!$K$4:$K$40),IF($BH13&gt;0,SUMIFS('Final Calculation Sheet'!$K$4:$K$40,$AZ$5:$AZ$41,$BH13),"")))</f>
        <v/>
      </c>
      <c r="M13" s="652">
        <f>IF($BJ13&gt;0,IF(INDEX('Final Calculation Sheet'!$L$4:$L$40,$BJ13-3)="","",INDEX('Final Calculation Sheet'!$L$4:$L$40,$BJ13-3)),IF($BI13=1,SUM('Final Calculation Sheet'!$L$4:$L$40),IF($BH13&gt;0,SUMIFS('Final Calculation Sheet'!$L$4:$L$40,$AZ$5:$AZ$41,$BH13),"")))</f>
        <v/>
      </c>
      <c r="N13" s="652">
        <f>IF($BJ13&gt;0,IF(INDEX('Final Calculation Sheet'!$M$4:$M$40,$BJ13-3)="","",INDEX('Final Calculation Sheet'!$M$4:$M$40,$BJ13-3)),IF($BI13=1,SUM('Final Calculation Sheet'!$M$4:$M$40),IF($BH13&gt;0,SUMIFS('Final Calculation Sheet'!$M$4:$M$40,$AZ$5:$AZ$41,$BH13),"")))</f>
        <v/>
      </c>
      <c r="O13" s="653">
        <f>IF($BJ13&gt;0,IF(INDEX('Final Calculation Sheet'!$N$4:$N$40,$BJ13-3)="","",INDEX('Final Calculation Sheet'!$N$4:$N$40,$BJ13-3)),IF($BI13=1,SUM('Final Calculation Sheet'!$N$4:$N$40),IF($BH13&gt;0,SUMIFS('Final Calculation Sheet'!$N$4:$N$40,$AZ$5:$AZ$41,$BH13),"")))</f>
        <v/>
      </c>
      <c r="P13" s="652">
        <f>IF($BJ13&gt;0,IF(INDEX('Final Calculation Sheet'!$O$4:$O$40,$BJ13-3)="","",INDEX('Final Calculation Sheet'!$O$4:$O$40,$BJ13-3)),IF($BI13=1,SUM('Final Calculation Sheet'!$O$4:$O$40),IF($BH13&gt;0,SUMIFS('Final Calculation Sheet'!$O$4:$O$40,$AZ$5:$AZ$41,$BH13),"")))</f>
        <v/>
      </c>
      <c r="Q13" s="652">
        <f>IF($BJ13&gt;0,IF(INDEX('Final Calculation Sheet'!$P$4:$P$40,$BJ13-3)="","",INDEX('Final Calculation Sheet'!$P$4:$P$40,$BJ13-3)),IF($BI13=1,SUM('Final Calculation Sheet'!$P$4:$P$40),IF($BH13&gt;0,SUMIFS('Final Calculation Sheet'!$P$4:$P$40,$AZ$5:$AZ$41,$BH13),"")))</f>
        <v/>
      </c>
      <c r="R13" s="654">
        <f>IF($BJ13&gt;0,IF(INDEX('Final Calculation Sheet'!$Q$4:$Q$40,$BJ13-3)="","",INDEX('Final Calculation Sheet'!$Q$4:$Q$40,$BJ13-3)),IF(OR($BI13=1,$BH13&gt;0),"–",""))</f>
        <v/>
      </c>
      <c r="S13" s="652">
        <f>IF($BJ13&gt;0,IF(INDEX('Final Calculation Sheet'!$R$4:$R$40,$BJ13-3)="","",INDEX('Final Calculation Sheet'!$R$4:$R$40,$BJ13-3)),IF($BI13=1,SUM('Final Calculation Sheet'!$R$4:$R$40),IF($BH13&gt;0,SUMIFS('Final Calculation Sheet'!$R$4:$R$40,$AZ$5:$AZ$41,$BH13),"")))</f>
        <v/>
      </c>
      <c r="T13" s="652">
        <f>IF($BJ13&gt;0,IF(INDEX('Final Calculation Sheet'!$S$4:$S$40,$BJ13-3)="","",INDEX('Final Calculation Sheet'!$S$4:$S$40,$BJ13-3)),IF($BI13=1,SUM('Final Calculation Sheet'!$S$4:$S$40),IF($BH13&gt;0,SUMIFS('Final Calculation Sheet'!$S$4:$S$40,$AZ$5:$AZ$41,$BH13),"")))</f>
        <v/>
      </c>
      <c r="U13" s="652">
        <f>IF($BJ13&gt;0,IF(INDEX('Final Calculation Sheet'!$T$4:$T$40,$BJ13-3)="","",INDEX('Final Calculation Sheet'!$T$4:$T$40,$BJ13-3)),IF($BI13=1,SUM('Final Calculation Sheet'!$T$4:$T$40),IF($BH13&gt;0,SUMIFS('Final Calculation Sheet'!$T$4:$T$40,$AZ$5:$AZ$41,$BH13),"")))</f>
        <v/>
      </c>
      <c r="V13" s="655">
        <f>IF($BJ13&gt;0,IF(INDEX('Final Calculation Sheet'!$U$4:$U$40,$BJ13-3)="","",INDEX('Final Calculation Sheet'!$U$4:$U$40,$BJ13-3)),IF($BI13=1,SUM('Final Calculation Sheet'!$U$4:$U$40),IF($BH13&gt;0,SUMIFS('Final Calculation Sheet'!$U$4:$U$40,$AZ$5:$AZ$41,$BH13),"")))</f>
        <v/>
      </c>
      <c r="W13" s="652">
        <f>IF($BJ13&gt;0,IF(INDEX('Final Calculation Sheet'!$V$4:$V$40,$BJ13-3)="","",INDEX('Final Calculation Sheet'!$V$4:$V$40,$BJ13-3)),IF(OR($BI13=1,$BH13&gt;0),"–",""))</f>
        <v/>
      </c>
      <c r="X13" s="652">
        <f>IF($BJ13&gt;0,IF(INDEX('Final Calculation Sheet'!$W$4:$W$40,$BJ13-3)="","",INDEX('Final Calculation Sheet'!$W$4:$W$40,$BJ13-3)),IF($BI13=1,SUM('Final Calculation Sheet'!$W$4:$W$40),IF($BH13&gt;0,SUMIFS('Final Calculation Sheet'!$W$4:$W$40,$AZ$5:$AZ$41,$BH13),"")))</f>
        <v/>
      </c>
      <c r="Y13" s="652">
        <f>IF($BJ13&gt;0,IF(INDEX('Final Calculation Sheet'!$X$4:$X$40,$BJ13-3)="","",INDEX('Final Calculation Sheet'!$X$4:$X$40,$BJ13-3)),IF($BI13=1,SUM('Final Calculation Sheet'!$X$4:$X$40),IF($BH13&gt;0,SUMIFS('Final Calculation Sheet'!$X$4:$X$40,$AZ$5:$AZ$41,$BH13),"")))</f>
        <v/>
      </c>
      <c r="Z13" s="652">
        <f>IF($BJ13&gt;0,IF(INDEX('Final Calculation Sheet'!$Y$4:$Y$40,$BJ13-3)="","",INDEX('Final Calculation Sheet'!$Y$4:$Y$40,$BJ13-3)),IF(OR($BI13=1,$BH13&gt;0),"–",""))</f>
        <v/>
      </c>
      <c r="AA13" s="652">
        <f>IF($BJ13&gt;0,IF(INDEX('Final Calculation Sheet'!$Z$4:$Z$40,$BJ13-3)="","",INDEX('Final Calculation Sheet'!$Z$4:$Z$40,$BJ13-3)),IF($BI13=1,SUM('Final Calculation Sheet'!$Z$4:$Z$40),IF($BH13&gt;0,SUMIFS('Final Calculation Sheet'!$Z$4:$Z$40,$AZ$5:$AZ$41,$BH13),"")))</f>
        <v/>
      </c>
      <c r="AB13" s="652">
        <f>IF($BJ13&gt;0,IF(INDEX('Final Calculation Sheet'!$AA$4:$AA$40,$BJ13-3)="","",INDEX('Final Calculation Sheet'!$AA$4:$AA$40,$BJ13-3)),IF($BI13=1,SUM('Final Calculation Sheet'!$AA$4:$AA$40),IF($BH13&gt;0,SUMIFS('Final Calculation Sheet'!$AA$4:$AA$40,$AZ$5:$AZ$41,$BH13),"")))</f>
        <v/>
      </c>
      <c r="AC13" s="652">
        <f>IF($BJ13&gt;0,IF(INDEX('Final Calculation Sheet'!$AB$4:$AB$40,$BJ13-3)="","",INDEX('Final Calculation Sheet'!$AB$4:$AB$40,$BJ13-3)),IF(OR($BI13=1,$BH13&gt;0),"–",""))</f>
        <v/>
      </c>
      <c r="AD13" s="652">
        <f>IF($BJ13&gt;0,IF(INDEX('Final Calculation Sheet'!$AC$4:$AC$40,$BJ13-3)="","",INDEX('Final Calculation Sheet'!$AC$4:$AC$40,$BJ13-3)),IF($BI13=1,SUM('Final Calculation Sheet'!$AC$4:$AC$40),IF($BH13&gt;0,SUMIFS('Final Calculation Sheet'!$AC$4:$AC$40,$AZ$5:$AZ$41,$BH13),"")))</f>
        <v/>
      </c>
      <c r="AE13" s="652">
        <f>IF($BJ13&gt;0,IF(INDEX('Final Calculation Sheet'!$AD$4:$AD$40,$BJ13-3)="","",INDEX('Final Calculation Sheet'!$AD$4:$AD$40,$BJ13-3)),IF($BI13=1,SUM('Final Calculation Sheet'!$AD$4:$AD$40),IF($BH13&gt;0,SUMIFS('Final Calculation Sheet'!$AD$4:$AD$40,$AZ$5:$AZ$41,$BH13),"")))</f>
        <v/>
      </c>
      <c r="AF13" s="652">
        <f>IF($BJ13&gt;0,IF(INDEX('Final Calculation Sheet'!$AE$4:$AE$40,$BJ13-3)="","",INDEX('Final Calculation Sheet'!$AE$4:$AE$40,$BJ13-3)),IF(OR($BI13=1,$BH13&gt;0),"–",""))</f>
        <v/>
      </c>
      <c r="AG13" s="656">
        <f>IF($BJ13&gt;0,IF(INDEX('Final Calculation Sheet'!$AF$4:$AF$40,$BJ13-3)="","",INDEX('Final Calculation Sheet'!$AF$4:$AF$40,$BJ13-3)),IF(OR($BI13=1,$BH13&gt;0),"–",""))</f>
        <v/>
      </c>
      <c r="AH13" s="652">
        <f>IF($BJ13&gt;0,IF(INDEX('Final Calculation Sheet'!$AG$4:$AG$40,$BJ13-3)="","",INDEX('Final Calculation Sheet'!$AG$4:$AG$40,$BJ13-3)),IF(OR($BI13=1,$BH13&gt;0),"–",""))</f>
        <v/>
      </c>
      <c r="AI13" s="657">
        <f>IF($BJ13&gt;0,IF(INDEX('Final Calculation Sheet'!$AD$4:$AD$40,$BJ13-3)="","",IF(INDEX('Final Calculation Sheet'!$AD$4:$AD$40,$BJ13-3)&lt;=0,"SETTLED","OUTSTANDING")),IF(OR($BI13=1,$BH13&gt;0),IF(IF($BI13=1,SUM('Final Calculation Sheet'!$AD$4:$AD$40),SUMIFS('Final Calculation Sheet'!$AD$4:$AD$40,$AZ$5:$AZ$41,$BH13))&lt;=0,"ALL SETTLED","OUTSTANDING"),""))</f>
        <v/>
      </c>
      <c r="AK13">
        <f>IF($F$3="Lot No.",'Final Calculation Sheet'!$F$12,IF($F$3="Buyer",'Final Calculation Sheet'!$G$12,IF($F$3="Lot Name",'Final Calculation Sheet'!$B$12,IF($F$3="Bid Sheet",'Final Calculation Sheet'!$D$12,IF($F$3="Unit",'Final Calculation Sheet'!$E$12,'Final Calculation Sheet'!$F$12&amp;" "&amp;'Final Calculation Sheet'!$G$12&amp;" "&amp;'Final Calculation Sheet'!$B$12)))))</f>
        <v/>
      </c>
      <c r="AM13">
        <f>IF($B$3="",1,IF(AND(IF(COUNTIF($AR$9:$AY$9,1)=0,TRUE,SUMPRODUCT(($AR$9:$AY$9=1)*($AR$6:$AY$6&lt;&gt;"")*ISNUMBER(SEARCH($AR$6:$AY$6,$AK13)))&gt;0),IF(COUNTIF($AR$9:$AY$9,2)=0,TRUE,SUMPRODUCT(($AR$9:$AY$9=2)*($AR$6:$AY$6&lt;&gt;"")*ISNUMBER(SEARCH($AR$6:$AY$6,$AK13)))&gt;0),IF(COUNTIF($AR$9:$AY$9,3)=0,TRUE,SUMPRODUCT(($AR$9:$AY$9=3)*($AR$6:$AY$6&lt;&gt;"")*ISNUMBER(SEARCH($AR$6:$AY$6,$AK13)))&gt;0),IF(COUNTIF($AR$9:$AY$9,4)=0,TRUE,SUMPRODUCT(($AR$9:$AY$9=4)*($AR$6:$AY$6&lt;&gt;"")*ISNUMBER(SEARCH($AR$6:$AY$6,$AK13)))&gt;0),IF(COUNTIF($AR$9:$AY$9,5)=0,TRUE,SUMPRODUCT(($AR$9:$AY$9=5)*($AR$6:$AY$6&lt;&gt;"")*ISNUMBER(SEARCH($AR$6:$AY$6,$AK13)))&gt;0),IF(COUNTIF($AR$9:$AY$9,6)=0,TRUE,SUMPRODUCT(($AR$9:$AY$9=6)*($AR$6:$AY$6&lt;&gt;"")*ISNUMBER(SEARCH($AR$6:$AY$6,$AK13)))&gt;0),IF(COUNTIF($AR$9:$AY$9,7)=0,TRUE,SUMPRODUCT(($AR$9:$AY$9=7)*($AR$6:$AY$6&lt;&gt;"")*ISNUMBER(SEARCH($AR$6:$AY$6,$AK13)))&gt;0),IF(COUNTIF($AR$9:$AY$9,8)=0,TRUE,SUMPRODUCT(($AR$9:$AY$9=8)*($AR$6:$AY$6&lt;&gt;"")*ISNUMBER(SEARCH($AR$6:$AY$6,$AK13)))&gt;0)),1,0))</f>
        <v/>
      </c>
      <c r="AZ13">
        <f>IF($B$3="",9,IF($AM13=0,10,IF(AND($AR$6&lt;&gt;"",ISNUMBER(SEARCH($AR$6,$AK13))),1,IF(AND($AS$6&lt;&gt;"",ISNUMBER(SEARCH($AS$6,$AK13))),2,IF(AND($AT$6&lt;&gt;"",ISNUMBER(SEARCH($AT$6,$AK13))),3,IF(AND($AU$6&lt;&gt;"",ISNUMBER(SEARCH($AU$6,$AK13))),4,IF(AND($AV$6&lt;&gt;"",ISNUMBER(SEARCH($AV$6,$AK13))),5,IF(AND($AW$6&lt;&gt;"",ISNUMBER(SEARCH($AW$6,$AK13))),6,IF(AND($AX$6&lt;&gt;"",ISNUMBER(SEARCH($AX$6,$AK13))),7,IF(AND($AY$6&lt;&gt;"",ISNUMBER(SEARCH($AY$6,$AK13))),8,0))))))))))</f>
        <v/>
      </c>
      <c r="BA13">
        <f>SUMPRODUCT(($AZ$5:$AZ$41=$AZ13)*($BC$5:$BC$41&lt;$BC13))+1</f>
        <v/>
      </c>
      <c r="BB13">
        <f>IF(INDEX($BF$4:$BF$13,$AZ13)=0,0,INDEX($BE$4:$BE$13,$AZ13)+$BA13-1)</f>
        <v/>
      </c>
      <c r="BC13" t="n">
        <v>12</v>
      </c>
      <c r="BD13">
        <f>COUNTIF($AZ$5:$AZ$41,10)</f>
        <v/>
      </c>
      <c r="BE13">
        <f>IF($BD12=0,$BE12,$BF12+1)</f>
        <v/>
      </c>
      <c r="BF13">
        <f>IF($BD13=0,0,$BE13+$BD13)</f>
        <v/>
      </c>
      <c r="BH13">
        <f>IFERROR(MATCH(13,$BF$4:$BF$13,0),0)</f>
        <v/>
      </c>
      <c r="BI13">
        <f>IF(13=$BG$4,1,0)</f>
        <v/>
      </c>
      <c r="BJ13">
        <f>IF(OR($BH13&gt;0,$BI13=1),0,IFERROR(INDEX($BC$5:$BC$41,MATCH(13,$BB$5:$BB$41,0)),0))</f>
        <v/>
      </c>
      <c r="BK13">
        <f>IF($BJ13&gt;0,IF(INDEX($AZ$5:$AZ$41,MATCH(13,$BB$5:$BB$41,0))=10,1,0),IF($BH13=10,1,0))</f>
        <v/>
      </c>
    </row>
    <row r="14" ht="15" customHeight="1">
      <c r="A14" s="649">
        <f>IF($BJ14&gt;0,INDEX($BA$5:$BA$41,MATCH(14,$BB$5:$BB$41,0)),IF(OR($BI14=1,$BH14&gt;0),"∑",""))</f>
        <v/>
      </c>
      <c r="B14" s="650">
        <f>IF($BJ14&gt;0,IF(INDEX('Final Calculation Sheet'!$F$4:$F$40,$BJ14-3)="","",INDEX('Final Calculation Sheet'!$F$4:$F$40,$BJ14-3)),"")</f>
        <v/>
      </c>
      <c r="C14" s="650">
        <f>IF($BJ14&gt;0,IF(INDEX('Final Calculation Sheet'!$G$4:$G$40,$BJ14-3)="","",INDEX('Final Calculation Sheet'!$G$4:$G$40,$BJ14-3)),IF(OR($BI14=1,$BH14&gt;0),IF($BI14=1,37,INDEX($BD$4:$BD$13,$BH14))&amp;" lot(s)",""))</f>
        <v/>
      </c>
      <c r="D14" s="651">
        <f>IF($BJ14&gt;0,IF(INDEX('Final Calculation Sheet'!$B$4:$B$40,$BJ14-3)="","",INDEX('Final Calculation Sheet'!$B$4:$B$40,$BJ14-3)),IF(OR($BI14=1,$BH14&gt;0),IF($BI14=1,"GRAND TOTAL  —  matching + remaining",IF($BH14=10,"REMAINING  —  did not match the search",IF($BH14=9,"ALL LOTS  —  nothing typed in the box","GROUP "&amp;$BH14&amp;" TOTAL  —  lots matching  "&amp;INDEX($AR$6:$AY$6,$BH14)))),""))</f>
        <v/>
      </c>
      <c r="E14" s="651">
        <f>IF($BJ14&gt;0,IF(INDEX('Final Calculation Sheet'!$D$4:$D$40,$BJ14-3)="","",INDEX('Final Calculation Sheet'!$D$4:$D$40,$BJ14-3)),IF(OR($BI14=1,$BH14&gt;0),"–",""))</f>
        <v/>
      </c>
      <c r="F14" s="651">
        <f>IF($BJ14&gt;0,IF(INDEX('Final Calculation Sheet'!$A$4:$A$40,$BJ14-3)="","",INDEX('Final Calculation Sheet'!$A$4:$A$40,$BJ14-3)),IF($BI14=1,SUM('Final Calculation Sheet'!$A$4:$A$40),IF($BH14&gt;0,SUMIFS('Final Calculation Sheet'!$A$4:$A$40,$AZ$5:$AZ$41,$BH14),"")))</f>
        <v/>
      </c>
      <c r="G14" s="651">
        <f>IF($BJ14&gt;0,IF(INDEX('Final Calculation Sheet'!$E$4:$E$40,$BJ14-3)="","",INDEX('Final Calculation Sheet'!$E$4:$E$40,$BJ14-3)),IF(OR($BI14=1,$BH14&gt;0),"–",""))</f>
        <v/>
      </c>
      <c r="H14" s="652">
        <f>IF($BJ14&gt;0,IF(INDEX('Final Calculation Sheet'!$C$4:$C$40,$BJ14-3)="","",INDEX('Final Calculation Sheet'!$C$4:$C$40,$BJ14-3)),IF(OR($BI14=1,$BH14&gt;0),"–",""))</f>
        <v/>
      </c>
      <c r="I14" s="652">
        <f>IF($BJ14&gt;0,IF(INDEX('Final Calculation Sheet'!$H$4:$H$40,$BJ14-3)="","",INDEX('Final Calculation Sheet'!$H$4:$H$40,$BJ14-3)),IF($BI14=1,SUM('Final Calculation Sheet'!$H$4:$H$40),IF($BH14&gt;0,SUMIFS('Final Calculation Sheet'!$H$4:$H$40,$AZ$5:$AZ$41,$BH14),"")))</f>
        <v/>
      </c>
      <c r="J14" s="652">
        <f>IF($BJ14&gt;0,IF(INDEX('Final Calculation Sheet'!$I$4:$I$40,$BJ14-3)="","",INDEX('Final Calculation Sheet'!$I$4:$I$40,$BJ14-3)),IF($BI14=1,SUM('Final Calculation Sheet'!$I$4:$I$40),IF($BH14&gt;0,SUMIFS('Final Calculation Sheet'!$I$4:$I$40,$AZ$5:$AZ$41,$BH14),"")))</f>
        <v/>
      </c>
      <c r="K14" s="652">
        <f>IF($BJ14&gt;0,IF(INDEX('Final Calculation Sheet'!$J$4:$J$40,$BJ14-3)="","",INDEX('Final Calculation Sheet'!$J$4:$J$40,$BJ14-3)),IF($BI14=1,SUM('Final Calculation Sheet'!$J$4:$J$40),IF($BH14&gt;0,SUMIFS('Final Calculation Sheet'!$J$4:$J$40,$AZ$5:$AZ$41,$BH14),"")))</f>
        <v/>
      </c>
      <c r="L14" s="652">
        <f>IF($BJ14&gt;0,IF(INDEX('Final Calculation Sheet'!$K$4:$K$40,$BJ14-3)="","",INDEX('Final Calculation Sheet'!$K$4:$K$40,$BJ14-3)),IF($BI14=1,SUM('Final Calculation Sheet'!$K$4:$K$40),IF($BH14&gt;0,SUMIFS('Final Calculation Sheet'!$K$4:$K$40,$AZ$5:$AZ$41,$BH14),"")))</f>
        <v/>
      </c>
      <c r="M14" s="652">
        <f>IF($BJ14&gt;0,IF(INDEX('Final Calculation Sheet'!$L$4:$L$40,$BJ14-3)="","",INDEX('Final Calculation Sheet'!$L$4:$L$40,$BJ14-3)),IF($BI14=1,SUM('Final Calculation Sheet'!$L$4:$L$40),IF($BH14&gt;0,SUMIFS('Final Calculation Sheet'!$L$4:$L$40,$AZ$5:$AZ$41,$BH14),"")))</f>
        <v/>
      </c>
      <c r="N14" s="652">
        <f>IF($BJ14&gt;0,IF(INDEX('Final Calculation Sheet'!$M$4:$M$40,$BJ14-3)="","",INDEX('Final Calculation Sheet'!$M$4:$M$40,$BJ14-3)),IF($BI14=1,SUM('Final Calculation Sheet'!$M$4:$M$40),IF($BH14&gt;0,SUMIFS('Final Calculation Sheet'!$M$4:$M$40,$AZ$5:$AZ$41,$BH14),"")))</f>
        <v/>
      </c>
      <c r="O14" s="653">
        <f>IF($BJ14&gt;0,IF(INDEX('Final Calculation Sheet'!$N$4:$N$40,$BJ14-3)="","",INDEX('Final Calculation Sheet'!$N$4:$N$40,$BJ14-3)),IF($BI14=1,SUM('Final Calculation Sheet'!$N$4:$N$40),IF($BH14&gt;0,SUMIFS('Final Calculation Sheet'!$N$4:$N$40,$AZ$5:$AZ$41,$BH14),"")))</f>
        <v/>
      </c>
      <c r="P14" s="652">
        <f>IF($BJ14&gt;0,IF(INDEX('Final Calculation Sheet'!$O$4:$O$40,$BJ14-3)="","",INDEX('Final Calculation Sheet'!$O$4:$O$40,$BJ14-3)),IF($BI14=1,SUM('Final Calculation Sheet'!$O$4:$O$40),IF($BH14&gt;0,SUMIFS('Final Calculation Sheet'!$O$4:$O$40,$AZ$5:$AZ$41,$BH14),"")))</f>
        <v/>
      </c>
      <c r="Q14" s="652">
        <f>IF($BJ14&gt;0,IF(INDEX('Final Calculation Sheet'!$P$4:$P$40,$BJ14-3)="","",INDEX('Final Calculation Sheet'!$P$4:$P$40,$BJ14-3)),IF($BI14=1,SUM('Final Calculation Sheet'!$P$4:$P$40),IF($BH14&gt;0,SUMIFS('Final Calculation Sheet'!$P$4:$P$40,$AZ$5:$AZ$41,$BH14),"")))</f>
        <v/>
      </c>
      <c r="R14" s="654">
        <f>IF($BJ14&gt;0,IF(INDEX('Final Calculation Sheet'!$Q$4:$Q$40,$BJ14-3)="","",INDEX('Final Calculation Sheet'!$Q$4:$Q$40,$BJ14-3)),IF(OR($BI14=1,$BH14&gt;0),"–",""))</f>
        <v/>
      </c>
      <c r="S14" s="652">
        <f>IF($BJ14&gt;0,IF(INDEX('Final Calculation Sheet'!$R$4:$R$40,$BJ14-3)="","",INDEX('Final Calculation Sheet'!$R$4:$R$40,$BJ14-3)),IF($BI14=1,SUM('Final Calculation Sheet'!$R$4:$R$40),IF($BH14&gt;0,SUMIFS('Final Calculation Sheet'!$R$4:$R$40,$AZ$5:$AZ$41,$BH14),"")))</f>
        <v/>
      </c>
      <c r="T14" s="652">
        <f>IF($BJ14&gt;0,IF(INDEX('Final Calculation Sheet'!$S$4:$S$40,$BJ14-3)="","",INDEX('Final Calculation Sheet'!$S$4:$S$40,$BJ14-3)),IF($BI14=1,SUM('Final Calculation Sheet'!$S$4:$S$40),IF($BH14&gt;0,SUMIFS('Final Calculation Sheet'!$S$4:$S$40,$AZ$5:$AZ$41,$BH14),"")))</f>
        <v/>
      </c>
      <c r="U14" s="652">
        <f>IF($BJ14&gt;0,IF(INDEX('Final Calculation Sheet'!$T$4:$T$40,$BJ14-3)="","",INDEX('Final Calculation Sheet'!$T$4:$T$40,$BJ14-3)),IF($BI14=1,SUM('Final Calculation Sheet'!$T$4:$T$40),IF($BH14&gt;0,SUMIFS('Final Calculation Sheet'!$T$4:$T$40,$AZ$5:$AZ$41,$BH14),"")))</f>
        <v/>
      </c>
      <c r="V14" s="655">
        <f>IF($BJ14&gt;0,IF(INDEX('Final Calculation Sheet'!$U$4:$U$40,$BJ14-3)="","",INDEX('Final Calculation Sheet'!$U$4:$U$40,$BJ14-3)),IF($BI14=1,SUM('Final Calculation Sheet'!$U$4:$U$40),IF($BH14&gt;0,SUMIFS('Final Calculation Sheet'!$U$4:$U$40,$AZ$5:$AZ$41,$BH14),"")))</f>
        <v/>
      </c>
      <c r="W14" s="652">
        <f>IF($BJ14&gt;0,IF(INDEX('Final Calculation Sheet'!$V$4:$V$40,$BJ14-3)="","",INDEX('Final Calculation Sheet'!$V$4:$V$40,$BJ14-3)),IF(OR($BI14=1,$BH14&gt;0),"–",""))</f>
        <v/>
      </c>
      <c r="X14" s="652">
        <f>IF($BJ14&gt;0,IF(INDEX('Final Calculation Sheet'!$W$4:$W$40,$BJ14-3)="","",INDEX('Final Calculation Sheet'!$W$4:$W$40,$BJ14-3)),IF($BI14=1,SUM('Final Calculation Sheet'!$W$4:$W$40),IF($BH14&gt;0,SUMIFS('Final Calculation Sheet'!$W$4:$W$40,$AZ$5:$AZ$41,$BH14),"")))</f>
        <v/>
      </c>
      <c r="Y14" s="652">
        <f>IF($BJ14&gt;0,IF(INDEX('Final Calculation Sheet'!$X$4:$X$40,$BJ14-3)="","",INDEX('Final Calculation Sheet'!$X$4:$X$40,$BJ14-3)),IF($BI14=1,SUM('Final Calculation Sheet'!$X$4:$X$40),IF($BH14&gt;0,SUMIFS('Final Calculation Sheet'!$X$4:$X$40,$AZ$5:$AZ$41,$BH14),"")))</f>
        <v/>
      </c>
      <c r="Z14" s="652">
        <f>IF($BJ14&gt;0,IF(INDEX('Final Calculation Sheet'!$Y$4:$Y$40,$BJ14-3)="","",INDEX('Final Calculation Sheet'!$Y$4:$Y$40,$BJ14-3)),IF(OR($BI14=1,$BH14&gt;0),"–",""))</f>
        <v/>
      </c>
      <c r="AA14" s="652">
        <f>IF($BJ14&gt;0,IF(INDEX('Final Calculation Sheet'!$Z$4:$Z$40,$BJ14-3)="","",INDEX('Final Calculation Sheet'!$Z$4:$Z$40,$BJ14-3)),IF($BI14=1,SUM('Final Calculation Sheet'!$Z$4:$Z$40),IF($BH14&gt;0,SUMIFS('Final Calculation Sheet'!$Z$4:$Z$40,$AZ$5:$AZ$41,$BH14),"")))</f>
        <v/>
      </c>
      <c r="AB14" s="652">
        <f>IF($BJ14&gt;0,IF(INDEX('Final Calculation Sheet'!$AA$4:$AA$40,$BJ14-3)="","",INDEX('Final Calculation Sheet'!$AA$4:$AA$40,$BJ14-3)),IF($BI14=1,SUM('Final Calculation Sheet'!$AA$4:$AA$40),IF($BH14&gt;0,SUMIFS('Final Calculation Sheet'!$AA$4:$AA$40,$AZ$5:$AZ$41,$BH14),"")))</f>
        <v/>
      </c>
      <c r="AC14" s="652">
        <f>IF($BJ14&gt;0,IF(INDEX('Final Calculation Sheet'!$AB$4:$AB$40,$BJ14-3)="","",INDEX('Final Calculation Sheet'!$AB$4:$AB$40,$BJ14-3)),IF(OR($BI14=1,$BH14&gt;0),"–",""))</f>
        <v/>
      </c>
      <c r="AD14" s="652">
        <f>IF($BJ14&gt;0,IF(INDEX('Final Calculation Sheet'!$AC$4:$AC$40,$BJ14-3)="","",INDEX('Final Calculation Sheet'!$AC$4:$AC$40,$BJ14-3)),IF($BI14=1,SUM('Final Calculation Sheet'!$AC$4:$AC$40),IF($BH14&gt;0,SUMIFS('Final Calculation Sheet'!$AC$4:$AC$40,$AZ$5:$AZ$41,$BH14),"")))</f>
        <v/>
      </c>
      <c r="AE14" s="652">
        <f>IF($BJ14&gt;0,IF(INDEX('Final Calculation Sheet'!$AD$4:$AD$40,$BJ14-3)="","",INDEX('Final Calculation Sheet'!$AD$4:$AD$40,$BJ14-3)),IF($BI14=1,SUM('Final Calculation Sheet'!$AD$4:$AD$40),IF($BH14&gt;0,SUMIFS('Final Calculation Sheet'!$AD$4:$AD$40,$AZ$5:$AZ$41,$BH14),"")))</f>
        <v/>
      </c>
      <c r="AF14" s="652">
        <f>IF($BJ14&gt;0,IF(INDEX('Final Calculation Sheet'!$AE$4:$AE$40,$BJ14-3)="","",INDEX('Final Calculation Sheet'!$AE$4:$AE$40,$BJ14-3)),IF(OR($BI14=1,$BH14&gt;0),"–",""))</f>
        <v/>
      </c>
      <c r="AG14" s="656">
        <f>IF($BJ14&gt;0,IF(INDEX('Final Calculation Sheet'!$AF$4:$AF$40,$BJ14-3)="","",INDEX('Final Calculation Sheet'!$AF$4:$AF$40,$BJ14-3)),IF(OR($BI14=1,$BH14&gt;0),"–",""))</f>
        <v/>
      </c>
      <c r="AH14" s="652">
        <f>IF($BJ14&gt;0,IF(INDEX('Final Calculation Sheet'!$AG$4:$AG$40,$BJ14-3)="","",INDEX('Final Calculation Sheet'!$AG$4:$AG$40,$BJ14-3)),IF(OR($BI14=1,$BH14&gt;0),"–",""))</f>
        <v/>
      </c>
      <c r="AI14" s="657">
        <f>IF($BJ14&gt;0,IF(INDEX('Final Calculation Sheet'!$AD$4:$AD$40,$BJ14-3)="","",IF(INDEX('Final Calculation Sheet'!$AD$4:$AD$40,$BJ14-3)&lt;=0,"SETTLED","OUTSTANDING")),IF(OR($BI14=1,$BH14&gt;0),IF(IF($BI14=1,SUM('Final Calculation Sheet'!$AD$4:$AD$40),SUMIFS('Final Calculation Sheet'!$AD$4:$AD$40,$AZ$5:$AZ$41,$BH14))&lt;=0,"ALL SETTLED","OUTSTANDING"),""))</f>
        <v/>
      </c>
      <c r="AK14">
        <f>IF($F$3="Lot No.",'Final Calculation Sheet'!$F$13,IF($F$3="Buyer",'Final Calculation Sheet'!$G$13,IF($F$3="Lot Name",'Final Calculation Sheet'!$B$13,IF($F$3="Bid Sheet",'Final Calculation Sheet'!$D$13,IF($F$3="Unit",'Final Calculation Sheet'!$E$13,'Final Calculation Sheet'!$F$13&amp;" "&amp;'Final Calculation Sheet'!$G$13&amp;" "&amp;'Final Calculation Sheet'!$B$13)))))</f>
        <v/>
      </c>
      <c r="AM14">
        <f>IF($B$3="",1,IF(AND(IF(COUNTIF($AR$9:$AY$9,1)=0,TRUE,SUMPRODUCT(($AR$9:$AY$9=1)*($AR$6:$AY$6&lt;&gt;"")*ISNUMBER(SEARCH($AR$6:$AY$6,$AK14)))&gt;0),IF(COUNTIF($AR$9:$AY$9,2)=0,TRUE,SUMPRODUCT(($AR$9:$AY$9=2)*($AR$6:$AY$6&lt;&gt;"")*ISNUMBER(SEARCH($AR$6:$AY$6,$AK14)))&gt;0),IF(COUNTIF($AR$9:$AY$9,3)=0,TRUE,SUMPRODUCT(($AR$9:$AY$9=3)*($AR$6:$AY$6&lt;&gt;"")*ISNUMBER(SEARCH($AR$6:$AY$6,$AK14)))&gt;0),IF(COUNTIF($AR$9:$AY$9,4)=0,TRUE,SUMPRODUCT(($AR$9:$AY$9=4)*($AR$6:$AY$6&lt;&gt;"")*ISNUMBER(SEARCH($AR$6:$AY$6,$AK14)))&gt;0),IF(COUNTIF($AR$9:$AY$9,5)=0,TRUE,SUMPRODUCT(($AR$9:$AY$9=5)*($AR$6:$AY$6&lt;&gt;"")*ISNUMBER(SEARCH($AR$6:$AY$6,$AK14)))&gt;0),IF(COUNTIF($AR$9:$AY$9,6)=0,TRUE,SUMPRODUCT(($AR$9:$AY$9=6)*($AR$6:$AY$6&lt;&gt;"")*ISNUMBER(SEARCH($AR$6:$AY$6,$AK14)))&gt;0),IF(COUNTIF($AR$9:$AY$9,7)=0,TRUE,SUMPRODUCT(($AR$9:$AY$9=7)*($AR$6:$AY$6&lt;&gt;"")*ISNUMBER(SEARCH($AR$6:$AY$6,$AK14)))&gt;0),IF(COUNTIF($AR$9:$AY$9,8)=0,TRUE,SUMPRODUCT(($AR$9:$AY$9=8)*($AR$6:$AY$6&lt;&gt;"")*ISNUMBER(SEARCH($AR$6:$AY$6,$AK14)))&gt;0)),1,0))</f>
        <v/>
      </c>
      <c r="AZ14">
        <f>IF($B$3="",9,IF($AM14=0,10,IF(AND($AR$6&lt;&gt;"",ISNUMBER(SEARCH($AR$6,$AK14))),1,IF(AND($AS$6&lt;&gt;"",ISNUMBER(SEARCH($AS$6,$AK14))),2,IF(AND($AT$6&lt;&gt;"",ISNUMBER(SEARCH($AT$6,$AK14))),3,IF(AND($AU$6&lt;&gt;"",ISNUMBER(SEARCH($AU$6,$AK14))),4,IF(AND($AV$6&lt;&gt;"",ISNUMBER(SEARCH($AV$6,$AK14))),5,IF(AND($AW$6&lt;&gt;"",ISNUMBER(SEARCH($AW$6,$AK14))),6,IF(AND($AX$6&lt;&gt;"",ISNUMBER(SEARCH($AX$6,$AK14))),7,IF(AND($AY$6&lt;&gt;"",ISNUMBER(SEARCH($AY$6,$AK14))),8,0))))))))))</f>
        <v/>
      </c>
      <c r="BA14">
        <f>SUMPRODUCT(($AZ$5:$AZ$41=$AZ14)*($BC$5:$BC$41&lt;$BC14))+1</f>
        <v/>
      </c>
      <c r="BB14">
        <f>IF(INDEX($BF$4:$BF$13,$AZ14)=0,0,INDEX($BE$4:$BE$13,$AZ14)+$BA14-1)</f>
        <v/>
      </c>
      <c r="BC14" t="n">
        <v>13</v>
      </c>
      <c r="BH14">
        <f>IFERROR(MATCH(14,$BF$4:$BF$13,0),0)</f>
        <v/>
      </c>
      <c r="BI14">
        <f>IF(14=$BG$4,1,0)</f>
        <v/>
      </c>
      <c r="BJ14">
        <f>IF(OR($BH14&gt;0,$BI14=1),0,IFERROR(INDEX($BC$5:$BC$41,MATCH(14,$BB$5:$BB$41,0)),0))</f>
        <v/>
      </c>
      <c r="BK14">
        <f>IF($BJ14&gt;0,IF(INDEX($AZ$5:$AZ$41,MATCH(14,$BB$5:$BB$41,0))=10,1,0),IF($BH14=10,1,0))</f>
        <v/>
      </c>
    </row>
    <row r="15" ht="15" customHeight="1">
      <c r="A15" s="649">
        <f>IF($BJ15&gt;0,INDEX($BA$5:$BA$41,MATCH(15,$BB$5:$BB$41,0)),IF(OR($BI15=1,$BH15&gt;0),"∑",""))</f>
        <v/>
      </c>
      <c r="B15" s="650">
        <f>IF($BJ15&gt;0,IF(INDEX('Final Calculation Sheet'!$F$4:$F$40,$BJ15-3)="","",INDEX('Final Calculation Sheet'!$F$4:$F$40,$BJ15-3)),"")</f>
        <v/>
      </c>
      <c r="C15" s="650">
        <f>IF($BJ15&gt;0,IF(INDEX('Final Calculation Sheet'!$G$4:$G$40,$BJ15-3)="","",INDEX('Final Calculation Sheet'!$G$4:$G$40,$BJ15-3)),IF(OR($BI15=1,$BH15&gt;0),IF($BI15=1,37,INDEX($BD$4:$BD$13,$BH15))&amp;" lot(s)",""))</f>
        <v/>
      </c>
      <c r="D15" s="651">
        <f>IF($BJ15&gt;0,IF(INDEX('Final Calculation Sheet'!$B$4:$B$40,$BJ15-3)="","",INDEX('Final Calculation Sheet'!$B$4:$B$40,$BJ15-3)),IF(OR($BI15=1,$BH15&gt;0),IF($BI15=1,"GRAND TOTAL  —  matching + remaining",IF($BH15=10,"REMAINING  —  did not match the search",IF($BH15=9,"ALL LOTS  —  nothing typed in the box","GROUP "&amp;$BH15&amp;" TOTAL  —  lots matching  "&amp;INDEX($AR$6:$AY$6,$BH15)))),""))</f>
        <v/>
      </c>
      <c r="E15" s="651">
        <f>IF($BJ15&gt;0,IF(INDEX('Final Calculation Sheet'!$D$4:$D$40,$BJ15-3)="","",INDEX('Final Calculation Sheet'!$D$4:$D$40,$BJ15-3)),IF(OR($BI15=1,$BH15&gt;0),"–",""))</f>
        <v/>
      </c>
      <c r="F15" s="651">
        <f>IF($BJ15&gt;0,IF(INDEX('Final Calculation Sheet'!$A$4:$A$40,$BJ15-3)="","",INDEX('Final Calculation Sheet'!$A$4:$A$40,$BJ15-3)),IF($BI15=1,SUM('Final Calculation Sheet'!$A$4:$A$40),IF($BH15&gt;0,SUMIFS('Final Calculation Sheet'!$A$4:$A$40,$AZ$5:$AZ$41,$BH15),"")))</f>
        <v/>
      </c>
      <c r="G15" s="651">
        <f>IF($BJ15&gt;0,IF(INDEX('Final Calculation Sheet'!$E$4:$E$40,$BJ15-3)="","",INDEX('Final Calculation Sheet'!$E$4:$E$40,$BJ15-3)),IF(OR($BI15=1,$BH15&gt;0),"–",""))</f>
        <v/>
      </c>
      <c r="H15" s="652">
        <f>IF($BJ15&gt;0,IF(INDEX('Final Calculation Sheet'!$C$4:$C$40,$BJ15-3)="","",INDEX('Final Calculation Sheet'!$C$4:$C$40,$BJ15-3)),IF(OR($BI15=1,$BH15&gt;0),"–",""))</f>
        <v/>
      </c>
      <c r="I15" s="652">
        <f>IF($BJ15&gt;0,IF(INDEX('Final Calculation Sheet'!$H$4:$H$40,$BJ15-3)="","",INDEX('Final Calculation Sheet'!$H$4:$H$40,$BJ15-3)),IF($BI15=1,SUM('Final Calculation Sheet'!$H$4:$H$40),IF($BH15&gt;0,SUMIFS('Final Calculation Sheet'!$H$4:$H$40,$AZ$5:$AZ$41,$BH15),"")))</f>
        <v/>
      </c>
      <c r="J15" s="652">
        <f>IF($BJ15&gt;0,IF(INDEX('Final Calculation Sheet'!$I$4:$I$40,$BJ15-3)="","",INDEX('Final Calculation Sheet'!$I$4:$I$40,$BJ15-3)),IF($BI15=1,SUM('Final Calculation Sheet'!$I$4:$I$40),IF($BH15&gt;0,SUMIFS('Final Calculation Sheet'!$I$4:$I$40,$AZ$5:$AZ$41,$BH15),"")))</f>
        <v/>
      </c>
      <c r="K15" s="652">
        <f>IF($BJ15&gt;0,IF(INDEX('Final Calculation Sheet'!$J$4:$J$40,$BJ15-3)="","",INDEX('Final Calculation Sheet'!$J$4:$J$40,$BJ15-3)),IF($BI15=1,SUM('Final Calculation Sheet'!$J$4:$J$40),IF($BH15&gt;0,SUMIFS('Final Calculation Sheet'!$J$4:$J$40,$AZ$5:$AZ$41,$BH15),"")))</f>
        <v/>
      </c>
      <c r="L15" s="652">
        <f>IF($BJ15&gt;0,IF(INDEX('Final Calculation Sheet'!$K$4:$K$40,$BJ15-3)="","",INDEX('Final Calculation Sheet'!$K$4:$K$40,$BJ15-3)),IF($BI15=1,SUM('Final Calculation Sheet'!$K$4:$K$40),IF($BH15&gt;0,SUMIFS('Final Calculation Sheet'!$K$4:$K$40,$AZ$5:$AZ$41,$BH15),"")))</f>
        <v/>
      </c>
      <c r="M15" s="652">
        <f>IF($BJ15&gt;0,IF(INDEX('Final Calculation Sheet'!$L$4:$L$40,$BJ15-3)="","",INDEX('Final Calculation Sheet'!$L$4:$L$40,$BJ15-3)),IF($BI15=1,SUM('Final Calculation Sheet'!$L$4:$L$40),IF($BH15&gt;0,SUMIFS('Final Calculation Sheet'!$L$4:$L$40,$AZ$5:$AZ$41,$BH15),"")))</f>
        <v/>
      </c>
      <c r="N15" s="652">
        <f>IF($BJ15&gt;0,IF(INDEX('Final Calculation Sheet'!$M$4:$M$40,$BJ15-3)="","",INDEX('Final Calculation Sheet'!$M$4:$M$40,$BJ15-3)),IF($BI15=1,SUM('Final Calculation Sheet'!$M$4:$M$40),IF($BH15&gt;0,SUMIFS('Final Calculation Sheet'!$M$4:$M$40,$AZ$5:$AZ$41,$BH15),"")))</f>
        <v/>
      </c>
      <c r="O15" s="653">
        <f>IF($BJ15&gt;0,IF(INDEX('Final Calculation Sheet'!$N$4:$N$40,$BJ15-3)="","",INDEX('Final Calculation Sheet'!$N$4:$N$40,$BJ15-3)),IF($BI15=1,SUM('Final Calculation Sheet'!$N$4:$N$40),IF($BH15&gt;0,SUMIFS('Final Calculation Sheet'!$N$4:$N$40,$AZ$5:$AZ$41,$BH15),"")))</f>
        <v/>
      </c>
      <c r="P15" s="652">
        <f>IF($BJ15&gt;0,IF(INDEX('Final Calculation Sheet'!$O$4:$O$40,$BJ15-3)="","",INDEX('Final Calculation Sheet'!$O$4:$O$40,$BJ15-3)),IF($BI15=1,SUM('Final Calculation Sheet'!$O$4:$O$40),IF($BH15&gt;0,SUMIFS('Final Calculation Sheet'!$O$4:$O$40,$AZ$5:$AZ$41,$BH15),"")))</f>
        <v/>
      </c>
      <c r="Q15" s="652">
        <f>IF($BJ15&gt;0,IF(INDEX('Final Calculation Sheet'!$P$4:$P$40,$BJ15-3)="","",INDEX('Final Calculation Sheet'!$P$4:$P$40,$BJ15-3)),IF($BI15=1,SUM('Final Calculation Sheet'!$P$4:$P$40),IF($BH15&gt;0,SUMIFS('Final Calculation Sheet'!$P$4:$P$40,$AZ$5:$AZ$41,$BH15),"")))</f>
        <v/>
      </c>
      <c r="R15" s="654">
        <f>IF($BJ15&gt;0,IF(INDEX('Final Calculation Sheet'!$Q$4:$Q$40,$BJ15-3)="","",INDEX('Final Calculation Sheet'!$Q$4:$Q$40,$BJ15-3)),IF(OR($BI15=1,$BH15&gt;0),"–",""))</f>
        <v/>
      </c>
      <c r="S15" s="652">
        <f>IF($BJ15&gt;0,IF(INDEX('Final Calculation Sheet'!$R$4:$R$40,$BJ15-3)="","",INDEX('Final Calculation Sheet'!$R$4:$R$40,$BJ15-3)),IF($BI15=1,SUM('Final Calculation Sheet'!$R$4:$R$40),IF($BH15&gt;0,SUMIFS('Final Calculation Sheet'!$R$4:$R$40,$AZ$5:$AZ$41,$BH15),"")))</f>
        <v/>
      </c>
      <c r="T15" s="652">
        <f>IF($BJ15&gt;0,IF(INDEX('Final Calculation Sheet'!$S$4:$S$40,$BJ15-3)="","",INDEX('Final Calculation Sheet'!$S$4:$S$40,$BJ15-3)),IF($BI15=1,SUM('Final Calculation Sheet'!$S$4:$S$40),IF($BH15&gt;0,SUMIFS('Final Calculation Sheet'!$S$4:$S$40,$AZ$5:$AZ$41,$BH15),"")))</f>
        <v/>
      </c>
      <c r="U15" s="652">
        <f>IF($BJ15&gt;0,IF(INDEX('Final Calculation Sheet'!$T$4:$T$40,$BJ15-3)="","",INDEX('Final Calculation Sheet'!$T$4:$T$40,$BJ15-3)),IF($BI15=1,SUM('Final Calculation Sheet'!$T$4:$T$40),IF($BH15&gt;0,SUMIFS('Final Calculation Sheet'!$T$4:$T$40,$AZ$5:$AZ$41,$BH15),"")))</f>
        <v/>
      </c>
      <c r="V15" s="655">
        <f>IF($BJ15&gt;0,IF(INDEX('Final Calculation Sheet'!$U$4:$U$40,$BJ15-3)="","",INDEX('Final Calculation Sheet'!$U$4:$U$40,$BJ15-3)),IF($BI15=1,SUM('Final Calculation Sheet'!$U$4:$U$40),IF($BH15&gt;0,SUMIFS('Final Calculation Sheet'!$U$4:$U$40,$AZ$5:$AZ$41,$BH15),"")))</f>
        <v/>
      </c>
      <c r="W15" s="652">
        <f>IF($BJ15&gt;0,IF(INDEX('Final Calculation Sheet'!$V$4:$V$40,$BJ15-3)="","",INDEX('Final Calculation Sheet'!$V$4:$V$40,$BJ15-3)),IF(OR($BI15=1,$BH15&gt;0),"–",""))</f>
        <v/>
      </c>
      <c r="X15" s="652">
        <f>IF($BJ15&gt;0,IF(INDEX('Final Calculation Sheet'!$W$4:$W$40,$BJ15-3)="","",INDEX('Final Calculation Sheet'!$W$4:$W$40,$BJ15-3)),IF($BI15=1,SUM('Final Calculation Sheet'!$W$4:$W$40),IF($BH15&gt;0,SUMIFS('Final Calculation Sheet'!$W$4:$W$40,$AZ$5:$AZ$41,$BH15),"")))</f>
        <v/>
      </c>
      <c r="Y15" s="652">
        <f>IF($BJ15&gt;0,IF(INDEX('Final Calculation Sheet'!$X$4:$X$40,$BJ15-3)="","",INDEX('Final Calculation Sheet'!$X$4:$X$40,$BJ15-3)),IF($BI15=1,SUM('Final Calculation Sheet'!$X$4:$X$40),IF($BH15&gt;0,SUMIFS('Final Calculation Sheet'!$X$4:$X$40,$AZ$5:$AZ$41,$BH15),"")))</f>
        <v/>
      </c>
      <c r="Z15" s="652">
        <f>IF($BJ15&gt;0,IF(INDEX('Final Calculation Sheet'!$Y$4:$Y$40,$BJ15-3)="","",INDEX('Final Calculation Sheet'!$Y$4:$Y$40,$BJ15-3)),IF(OR($BI15=1,$BH15&gt;0),"–",""))</f>
        <v/>
      </c>
      <c r="AA15" s="652">
        <f>IF($BJ15&gt;0,IF(INDEX('Final Calculation Sheet'!$Z$4:$Z$40,$BJ15-3)="","",INDEX('Final Calculation Sheet'!$Z$4:$Z$40,$BJ15-3)),IF($BI15=1,SUM('Final Calculation Sheet'!$Z$4:$Z$40),IF($BH15&gt;0,SUMIFS('Final Calculation Sheet'!$Z$4:$Z$40,$AZ$5:$AZ$41,$BH15),"")))</f>
        <v/>
      </c>
      <c r="AB15" s="652">
        <f>IF($BJ15&gt;0,IF(INDEX('Final Calculation Sheet'!$AA$4:$AA$40,$BJ15-3)="","",INDEX('Final Calculation Sheet'!$AA$4:$AA$40,$BJ15-3)),IF($BI15=1,SUM('Final Calculation Sheet'!$AA$4:$AA$40),IF($BH15&gt;0,SUMIFS('Final Calculation Sheet'!$AA$4:$AA$40,$AZ$5:$AZ$41,$BH15),"")))</f>
        <v/>
      </c>
      <c r="AC15" s="652">
        <f>IF($BJ15&gt;0,IF(INDEX('Final Calculation Sheet'!$AB$4:$AB$40,$BJ15-3)="","",INDEX('Final Calculation Sheet'!$AB$4:$AB$40,$BJ15-3)),IF(OR($BI15=1,$BH15&gt;0),"–",""))</f>
        <v/>
      </c>
      <c r="AD15" s="652">
        <f>IF($BJ15&gt;0,IF(INDEX('Final Calculation Sheet'!$AC$4:$AC$40,$BJ15-3)="","",INDEX('Final Calculation Sheet'!$AC$4:$AC$40,$BJ15-3)),IF($BI15=1,SUM('Final Calculation Sheet'!$AC$4:$AC$40),IF($BH15&gt;0,SUMIFS('Final Calculation Sheet'!$AC$4:$AC$40,$AZ$5:$AZ$41,$BH15),"")))</f>
        <v/>
      </c>
      <c r="AE15" s="652">
        <f>IF($BJ15&gt;0,IF(INDEX('Final Calculation Sheet'!$AD$4:$AD$40,$BJ15-3)="","",INDEX('Final Calculation Sheet'!$AD$4:$AD$40,$BJ15-3)),IF($BI15=1,SUM('Final Calculation Sheet'!$AD$4:$AD$40),IF($BH15&gt;0,SUMIFS('Final Calculation Sheet'!$AD$4:$AD$40,$AZ$5:$AZ$41,$BH15),"")))</f>
        <v/>
      </c>
      <c r="AF15" s="652">
        <f>IF($BJ15&gt;0,IF(INDEX('Final Calculation Sheet'!$AE$4:$AE$40,$BJ15-3)="","",INDEX('Final Calculation Sheet'!$AE$4:$AE$40,$BJ15-3)),IF(OR($BI15=1,$BH15&gt;0),"–",""))</f>
        <v/>
      </c>
      <c r="AG15" s="656">
        <f>IF($BJ15&gt;0,IF(INDEX('Final Calculation Sheet'!$AF$4:$AF$40,$BJ15-3)="","",INDEX('Final Calculation Sheet'!$AF$4:$AF$40,$BJ15-3)),IF(OR($BI15=1,$BH15&gt;0),"–",""))</f>
        <v/>
      </c>
      <c r="AH15" s="652">
        <f>IF($BJ15&gt;0,IF(INDEX('Final Calculation Sheet'!$AG$4:$AG$40,$BJ15-3)="","",INDEX('Final Calculation Sheet'!$AG$4:$AG$40,$BJ15-3)),IF(OR($BI15=1,$BH15&gt;0),"–",""))</f>
        <v/>
      </c>
      <c r="AI15" s="657">
        <f>IF($BJ15&gt;0,IF(INDEX('Final Calculation Sheet'!$AD$4:$AD$40,$BJ15-3)="","",IF(INDEX('Final Calculation Sheet'!$AD$4:$AD$40,$BJ15-3)&lt;=0,"SETTLED","OUTSTANDING")),IF(OR($BI15=1,$BH15&gt;0),IF(IF($BI15=1,SUM('Final Calculation Sheet'!$AD$4:$AD$40),SUMIFS('Final Calculation Sheet'!$AD$4:$AD$40,$AZ$5:$AZ$41,$BH15))&lt;=0,"ALL SETTLED","OUTSTANDING"),""))</f>
        <v/>
      </c>
      <c r="AK15">
        <f>IF($F$3="Lot No.",'Final Calculation Sheet'!$F$14,IF($F$3="Buyer",'Final Calculation Sheet'!$G$14,IF($F$3="Lot Name",'Final Calculation Sheet'!$B$14,IF($F$3="Bid Sheet",'Final Calculation Sheet'!$D$14,IF($F$3="Unit",'Final Calculation Sheet'!$E$14,'Final Calculation Sheet'!$F$14&amp;" "&amp;'Final Calculation Sheet'!$G$14&amp;" "&amp;'Final Calculation Sheet'!$B$14)))))</f>
        <v/>
      </c>
      <c r="AM15">
        <f>IF($B$3="",1,IF(AND(IF(COUNTIF($AR$9:$AY$9,1)=0,TRUE,SUMPRODUCT(($AR$9:$AY$9=1)*($AR$6:$AY$6&lt;&gt;"")*ISNUMBER(SEARCH($AR$6:$AY$6,$AK15)))&gt;0),IF(COUNTIF($AR$9:$AY$9,2)=0,TRUE,SUMPRODUCT(($AR$9:$AY$9=2)*($AR$6:$AY$6&lt;&gt;"")*ISNUMBER(SEARCH($AR$6:$AY$6,$AK15)))&gt;0),IF(COUNTIF($AR$9:$AY$9,3)=0,TRUE,SUMPRODUCT(($AR$9:$AY$9=3)*($AR$6:$AY$6&lt;&gt;"")*ISNUMBER(SEARCH($AR$6:$AY$6,$AK15)))&gt;0),IF(COUNTIF($AR$9:$AY$9,4)=0,TRUE,SUMPRODUCT(($AR$9:$AY$9=4)*($AR$6:$AY$6&lt;&gt;"")*ISNUMBER(SEARCH($AR$6:$AY$6,$AK15)))&gt;0),IF(COUNTIF($AR$9:$AY$9,5)=0,TRUE,SUMPRODUCT(($AR$9:$AY$9=5)*($AR$6:$AY$6&lt;&gt;"")*ISNUMBER(SEARCH($AR$6:$AY$6,$AK15)))&gt;0),IF(COUNTIF($AR$9:$AY$9,6)=0,TRUE,SUMPRODUCT(($AR$9:$AY$9=6)*($AR$6:$AY$6&lt;&gt;"")*ISNUMBER(SEARCH($AR$6:$AY$6,$AK15)))&gt;0),IF(COUNTIF($AR$9:$AY$9,7)=0,TRUE,SUMPRODUCT(($AR$9:$AY$9=7)*($AR$6:$AY$6&lt;&gt;"")*ISNUMBER(SEARCH($AR$6:$AY$6,$AK15)))&gt;0),IF(COUNTIF($AR$9:$AY$9,8)=0,TRUE,SUMPRODUCT(($AR$9:$AY$9=8)*($AR$6:$AY$6&lt;&gt;"")*ISNUMBER(SEARCH($AR$6:$AY$6,$AK15)))&gt;0)),1,0))</f>
        <v/>
      </c>
      <c r="AZ15">
        <f>IF($B$3="",9,IF($AM15=0,10,IF(AND($AR$6&lt;&gt;"",ISNUMBER(SEARCH($AR$6,$AK15))),1,IF(AND($AS$6&lt;&gt;"",ISNUMBER(SEARCH($AS$6,$AK15))),2,IF(AND($AT$6&lt;&gt;"",ISNUMBER(SEARCH($AT$6,$AK15))),3,IF(AND($AU$6&lt;&gt;"",ISNUMBER(SEARCH($AU$6,$AK15))),4,IF(AND($AV$6&lt;&gt;"",ISNUMBER(SEARCH($AV$6,$AK15))),5,IF(AND($AW$6&lt;&gt;"",ISNUMBER(SEARCH($AW$6,$AK15))),6,IF(AND($AX$6&lt;&gt;"",ISNUMBER(SEARCH($AX$6,$AK15))),7,IF(AND($AY$6&lt;&gt;"",ISNUMBER(SEARCH($AY$6,$AK15))),8,0))))))))))</f>
        <v/>
      </c>
      <c r="BA15">
        <f>SUMPRODUCT(($AZ$5:$AZ$41=$AZ15)*($BC$5:$BC$41&lt;$BC15))+1</f>
        <v/>
      </c>
      <c r="BB15">
        <f>IF(INDEX($BF$4:$BF$13,$AZ15)=0,0,INDEX($BE$4:$BE$13,$AZ15)+$BA15-1)</f>
        <v/>
      </c>
      <c r="BC15" t="n">
        <v>14</v>
      </c>
      <c r="BH15">
        <f>IFERROR(MATCH(15,$BF$4:$BF$13,0),0)</f>
        <v/>
      </c>
      <c r="BI15">
        <f>IF(15=$BG$4,1,0)</f>
        <v/>
      </c>
      <c r="BJ15">
        <f>IF(OR($BH15&gt;0,$BI15=1),0,IFERROR(INDEX($BC$5:$BC$41,MATCH(15,$BB$5:$BB$41,0)),0))</f>
        <v/>
      </c>
      <c r="BK15">
        <f>IF($BJ15&gt;0,IF(INDEX($AZ$5:$AZ$41,MATCH(15,$BB$5:$BB$41,0))=10,1,0),IF($BH15=10,1,0))</f>
        <v/>
      </c>
    </row>
    <row r="16" ht="15" customHeight="1">
      <c r="A16" s="649">
        <f>IF($BJ16&gt;0,INDEX($BA$5:$BA$41,MATCH(16,$BB$5:$BB$41,0)),IF(OR($BI16=1,$BH16&gt;0),"∑",""))</f>
        <v/>
      </c>
      <c r="B16" s="650">
        <f>IF($BJ16&gt;0,IF(INDEX('Final Calculation Sheet'!$F$4:$F$40,$BJ16-3)="","",INDEX('Final Calculation Sheet'!$F$4:$F$40,$BJ16-3)),"")</f>
        <v/>
      </c>
      <c r="C16" s="650">
        <f>IF($BJ16&gt;0,IF(INDEX('Final Calculation Sheet'!$G$4:$G$40,$BJ16-3)="","",INDEX('Final Calculation Sheet'!$G$4:$G$40,$BJ16-3)),IF(OR($BI16=1,$BH16&gt;0),IF($BI16=1,37,INDEX($BD$4:$BD$13,$BH16))&amp;" lot(s)",""))</f>
        <v/>
      </c>
      <c r="D16" s="651">
        <f>IF($BJ16&gt;0,IF(INDEX('Final Calculation Sheet'!$B$4:$B$40,$BJ16-3)="","",INDEX('Final Calculation Sheet'!$B$4:$B$40,$BJ16-3)),IF(OR($BI16=1,$BH16&gt;0),IF($BI16=1,"GRAND TOTAL  —  matching + remaining",IF($BH16=10,"REMAINING  —  did not match the search",IF($BH16=9,"ALL LOTS  —  nothing typed in the box","GROUP "&amp;$BH16&amp;" TOTAL  —  lots matching  "&amp;INDEX($AR$6:$AY$6,$BH16)))),""))</f>
        <v/>
      </c>
      <c r="E16" s="651">
        <f>IF($BJ16&gt;0,IF(INDEX('Final Calculation Sheet'!$D$4:$D$40,$BJ16-3)="","",INDEX('Final Calculation Sheet'!$D$4:$D$40,$BJ16-3)),IF(OR($BI16=1,$BH16&gt;0),"–",""))</f>
        <v/>
      </c>
      <c r="F16" s="651">
        <f>IF($BJ16&gt;0,IF(INDEX('Final Calculation Sheet'!$A$4:$A$40,$BJ16-3)="","",INDEX('Final Calculation Sheet'!$A$4:$A$40,$BJ16-3)),IF($BI16=1,SUM('Final Calculation Sheet'!$A$4:$A$40),IF($BH16&gt;0,SUMIFS('Final Calculation Sheet'!$A$4:$A$40,$AZ$5:$AZ$41,$BH16),"")))</f>
        <v/>
      </c>
      <c r="G16" s="651">
        <f>IF($BJ16&gt;0,IF(INDEX('Final Calculation Sheet'!$E$4:$E$40,$BJ16-3)="","",INDEX('Final Calculation Sheet'!$E$4:$E$40,$BJ16-3)),IF(OR($BI16=1,$BH16&gt;0),"–",""))</f>
        <v/>
      </c>
      <c r="H16" s="652">
        <f>IF($BJ16&gt;0,IF(INDEX('Final Calculation Sheet'!$C$4:$C$40,$BJ16-3)="","",INDEX('Final Calculation Sheet'!$C$4:$C$40,$BJ16-3)),IF(OR($BI16=1,$BH16&gt;0),"–",""))</f>
        <v/>
      </c>
      <c r="I16" s="652">
        <f>IF($BJ16&gt;0,IF(INDEX('Final Calculation Sheet'!$H$4:$H$40,$BJ16-3)="","",INDEX('Final Calculation Sheet'!$H$4:$H$40,$BJ16-3)),IF($BI16=1,SUM('Final Calculation Sheet'!$H$4:$H$40),IF($BH16&gt;0,SUMIFS('Final Calculation Sheet'!$H$4:$H$40,$AZ$5:$AZ$41,$BH16),"")))</f>
        <v/>
      </c>
      <c r="J16" s="652">
        <f>IF($BJ16&gt;0,IF(INDEX('Final Calculation Sheet'!$I$4:$I$40,$BJ16-3)="","",INDEX('Final Calculation Sheet'!$I$4:$I$40,$BJ16-3)),IF($BI16=1,SUM('Final Calculation Sheet'!$I$4:$I$40),IF($BH16&gt;0,SUMIFS('Final Calculation Sheet'!$I$4:$I$40,$AZ$5:$AZ$41,$BH16),"")))</f>
        <v/>
      </c>
      <c r="K16" s="652">
        <f>IF($BJ16&gt;0,IF(INDEX('Final Calculation Sheet'!$J$4:$J$40,$BJ16-3)="","",INDEX('Final Calculation Sheet'!$J$4:$J$40,$BJ16-3)),IF($BI16=1,SUM('Final Calculation Sheet'!$J$4:$J$40),IF($BH16&gt;0,SUMIFS('Final Calculation Sheet'!$J$4:$J$40,$AZ$5:$AZ$41,$BH16),"")))</f>
        <v/>
      </c>
      <c r="L16" s="652">
        <f>IF($BJ16&gt;0,IF(INDEX('Final Calculation Sheet'!$K$4:$K$40,$BJ16-3)="","",INDEX('Final Calculation Sheet'!$K$4:$K$40,$BJ16-3)),IF($BI16=1,SUM('Final Calculation Sheet'!$K$4:$K$40),IF($BH16&gt;0,SUMIFS('Final Calculation Sheet'!$K$4:$K$40,$AZ$5:$AZ$41,$BH16),"")))</f>
        <v/>
      </c>
      <c r="M16" s="652">
        <f>IF($BJ16&gt;0,IF(INDEX('Final Calculation Sheet'!$L$4:$L$40,$BJ16-3)="","",INDEX('Final Calculation Sheet'!$L$4:$L$40,$BJ16-3)),IF($BI16=1,SUM('Final Calculation Sheet'!$L$4:$L$40),IF($BH16&gt;0,SUMIFS('Final Calculation Sheet'!$L$4:$L$40,$AZ$5:$AZ$41,$BH16),"")))</f>
        <v/>
      </c>
      <c r="N16" s="652">
        <f>IF($BJ16&gt;0,IF(INDEX('Final Calculation Sheet'!$M$4:$M$40,$BJ16-3)="","",INDEX('Final Calculation Sheet'!$M$4:$M$40,$BJ16-3)),IF($BI16=1,SUM('Final Calculation Sheet'!$M$4:$M$40),IF($BH16&gt;0,SUMIFS('Final Calculation Sheet'!$M$4:$M$40,$AZ$5:$AZ$41,$BH16),"")))</f>
        <v/>
      </c>
      <c r="O16" s="653">
        <f>IF($BJ16&gt;0,IF(INDEX('Final Calculation Sheet'!$N$4:$N$40,$BJ16-3)="","",INDEX('Final Calculation Sheet'!$N$4:$N$40,$BJ16-3)),IF($BI16=1,SUM('Final Calculation Sheet'!$N$4:$N$40),IF($BH16&gt;0,SUMIFS('Final Calculation Sheet'!$N$4:$N$40,$AZ$5:$AZ$41,$BH16),"")))</f>
        <v/>
      </c>
      <c r="P16" s="652">
        <f>IF($BJ16&gt;0,IF(INDEX('Final Calculation Sheet'!$O$4:$O$40,$BJ16-3)="","",INDEX('Final Calculation Sheet'!$O$4:$O$40,$BJ16-3)),IF($BI16=1,SUM('Final Calculation Sheet'!$O$4:$O$40),IF($BH16&gt;0,SUMIFS('Final Calculation Sheet'!$O$4:$O$40,$AZ$5:$AZ$41,$BH16),"")))</f>
        <v/>
      </c>
      <c r="Q16" s="652">
        <f>IF($BJ16&gt;0,IF(INDEX('Final Calculation Sheet'!$P$4:$P$40,$BJ16-3)="","",INDEX('Final Calculation Sheet'!$P$4:$P$40,$BJ16-3)),IF($BI16=1,SUM('Final Calculation Sheet'!$P$4:$P$40),IF($BH16&gt;0,SUMIFS('Final Calculation Sheet'!$P$4:$P$40,$AZ$5:$AZ$41,$BH16),"")))</f>
        <v/>
      </c>
      <c r="R16" s="654">
        <f>IF($BJ16&gt;0,IF(INDEX('Final Calculation Sheet'!$Q$4:$Q$40,$BJ16-3)="","",INDEX('Final Calculation Sheet'!$Q$4:$Q$40,$BJ16-3)),IF(OR($BI16=1,$BH16&gt;0),"–",""))</f>
        <v/>
      </c>
      <c r="S16" s="652">
        <f>IF($BJ16&gt;0,IF(INDEX('Final Calculation Sheet'!$R$4:$R$40,$BJ16-3)="","",INDEX('Final Calculation Sheet'!$R$4:$R$40,$BJ16-3)),IF($BI16=1,SUM('Final Calculation Sheet'!$R$4:$R$40),IF($BH16&gt;0,SUMIFS('Final Calculation Sheet'!$R$4:$R$40,$AZ$5:$AZ$41,$BH16),"")))</f>
        <v/>
      </c>
      <c r="T16" s="652">
        <f>IF($BJ16&gt;0,IF(INDEX('Final Calculation Sheet'!$S$4:$S$40,$BJ16-3)="","",INDEX('Final Calculation Sheet'!$S$4:$S$40,$BJ16-3)),IF($BI16=1,SUM('Final Calculation Sheet'!$S$4:$S$40),IF($BH16&gt;0,SUMIFS('Final Calculation Sheet'!$S$4:$S$40,$AZ$5:$AZ$41,$BH16),"")))</f>
        <v/>
      </c>
      <c r="U16" s="652">
        <f>IF($BJ16&gt;0,IF(INDEX('Final Calculation Sheet'!$T$4:$T$40,$BJ16-3)="","",INDEX('Final Calculation Sheet'!$T$4:$T$40,$BJ16-3)),IF($BI16=1,SUM('Final Calculation Sheet'!$T$4:$T$40),IF($BH16&gt;0,SUMIFS('Final Calculation Sheet'!$T$4:$T$40,$AZ$5:$AZ$41,$BH16),"")))</f>
        <v/>
      </c>
      <c r="V16" s="655">
        <f>IF($BJ16&gt;0,IF(INDEX('Final Calculation Sheet'!$U$4:$U$40,$BJ16-3)="","",INDEX('Final Calculation Sheet'!$U$4:$U$40,$BJ16-3)),IF($BI16=1,SUM('Final Calculation Sheet'!$U$4:$U$40),IF($BH16&gt;0,SUMIFS('Final Calculation Sheet'!$U$4:$U$40,$AZ$5:$AZ$41,$BH16),"")))</f>
        <v/>
      </c>
      <c r="W16" s="652">
        <f>IF($BJ16&gt;0,IF(INDEX('Final Calculation Sheet'!$V$4:$V$40,$BJ16-3)="","",INDEX('Final Calculation Sheet'!$V$4:$V$40,$BJ16-3)),IF(OR($BI16=1,$BH16&gt;0),"–",""))</f>
        <v/>
      </c>
      <c r="X16" s="652">
        <f>IF($BJ16&gt;0,IF(INDEX('Final Calculation Sheet'!$W$4:$W$40,$BJ16-3)="","",INDEX('Final Calculation Sheet'!$W$4:$W$40,$BJ16-3)),IF($BI16=1,SUM('Final Calculation Sheet'!$W$4:$W$40),IF($BH16&gt;0,SUMIFS('Final Calculation Sheet'!$W$4:$W$40,$AZ$5:$AZ$41,$BH16),"")))</f>
        <v/>
      </c>
      <c r="Y16" s="652">
        <f>IF($BJ16&gt;0,IF(INDEX('Final Calculation Sheet'!$X$4:$X$40,$BJ16-3)="","",INDEX('Final Calculation Sheet'!$X$4:$X$40,$BJ16-3)),IF($BI16=1,SUM('Final Calculation Sheet'!$X$4:$X$40),IF($BH16&gt;0,SUMIFS('Final Calculation Sheet'!$X$4:$X$40,$AZ$5:$AZ$41,$BH16),"")))</f>
        <v/>
      </c>
      <c r="Z16" s="652">
        <f>IF($BJ16&gt;0,IF(INDEX('Final Calculation Sheet'!$Y$4:$Y$40,$BJ16-3)="","",INDEX('Final Calculation Sheet'!$Y$4:$Y$40,$BJ16-3)),IF(OR($BI16=1,$BH16&gt;0),"–",""))</f>
        <v/>
      </c>
      <c r="AA16" s="652">
        <f>IF($BJ16&gt;0,IF(INDEX('Final Calculation Sheet'!$Z$4:$Z$40,$BJ16-3)="","",INDEX('Final Calculation Sheet'!$Z$4:$Z$40,$BJ16-3)),IF($BI16=1,SUM('Final Calculation Sheet'!$Z$4:$Z$40),IF($BH16&gt;0,SUMIFS('Final Calculation Sheet'!$Z$4:$Z$40,$AZ$5:$AZ$41,$BH16),"")))</f>
        <v/>
      </c>
      <c r="AB16" s="652">
        <f>IF($BJ16&gt;0,IF(INDEX('Final Calculation Sheet'!$AA$4:$AA$40,$BJ16-3)="","",INDEX('Final Calculation Sheet'!$AA$4:$AA$40,$BJ16-3)),IF($BI16=1,SUM('Final Calculation Sheet'!$AA$4:$AA$40),IF($BH16&gt;0,SUMIFS('Final Calculation Sheet'!$AA$4:$AA$40,$AZ$5:$AZ$41,$BH16),"")))</f>
        <v/>
      </c>
      <c r="AC16" s="652">
        <f>IF($BJ16&gt;0,IF(INDEX('Final Calculation Sheet'!$AB$4:$AB$40,$BJ16-3)="","",INDEX('Final Calculation Sheet'!$AB$4:$AB$40,$BJ16-3)),IF(OR($BI16=1,$BH16&gt;0),"–",""))</f>
        <v/>
      </c>
      <c r="AD16" s="652">
        <f>IF($BJ16&gt;0,IF(INDEX('Final Calculation Sheet'!$AC$4:$AC$40,$BJ16-3)="","",INDEX('Final Calculation Sheet'!$AC$4:$AC$40,$BJ16-3)),IF($BI16=1,SUM('Final Calculation Sheet'!$AC$4:$AC$40),IF($BH16&gt;0,SUMIFS('Final Calculation Sheet'!$AC$4:$AC$40,$AZ$5:$AZ$41,$BH16),"")))</f>
        <v/>
      </c>
      <c r="AE16" s="652">
        <f>IF($BJ16&gt;0,IF(INDEX('Final Calculation Sheet'!$AD$4:$AD$40,$BJ16-3)="","",INDEX('Final Calculation Sheet'!$AD$4:$AD$40,$BJ16-3)),IF($BI16=1,SUM('Final Calculation Sheet'!$AD$4:$AD$40),IF($BH16&gt;0,SUMIFS('Final Calculation Sheet'!$AD$4:$AD$40,$AZ$5:$AZ$41,$BH16),"")))</f>
        <v/>
      </c>
      <c r="AF16" s="652">
        <f>IF($BJ16&gt;0,IF(INDEX('Final Calculation Sheet'!$AE$4:$AE$40,$BJ16-3)="","",INDEX('Final Calculation Sheet'!$AE$4:$AE$40,$BJ16-3)),IF(OR($BI16=1,$BH16&gt;0),"–",""))</f>
        <v/>
      </c>
      <c r="AG16" s="656">
        <f>IF($BJ16&gt;0,IF(INDEX('Final Calculation Sheet'!$AF$4:$AF$40,$BJ16-3)="","",INDEX('Final Calculation Sheet'!$AF$4:$AF$40,$BJ16-3)),IF(OR($BI16=1,$BH16&gt;0),"–",""))</f>
        <v/>
      </c>
      <c r="AH16" s="652">
        <f>IF($BJ16&gt;0,IF(INDEX('Final Calculation Sheet'!$AG$4:$AG$40,$BJ16-3)="","",INDEX('Final Calculation Sheet'!$AG$4:$AG$40,$BJ16-3)),IF(OR($BI16=1,$BH16&gt;0),"–",""))</f>
        <v/>
      </c>
      <c r="AI16" s="657">
        <f>IF($BJ16&gt;0,IF(INDEX('Final Calculation Sheet'!$AD$4:$AD$40,$BJ16-3)="","",IF(INDEX('Final Calculation Sheet'!$AD$4:$AD$40,$BJ16-3)&lt;=0,"SETTLED","OUTSTANDING")),IF(OR($BI16=1,$BH16&gt;0),IF(IF($BI16=1,SUM('Final Calculation Sheet'!$AD$4:$AD$40),SUMIFS('Final Calculation Sheet'!$AD$4:$AD$40,$AZ$5:$AZ$41,$BH16))&lt;=0,"ALL SETTLED","OUTSTANDING"),""))</f>
        <v/>
      </c>
      <c r="AK16">
        <f>IF($F$3="Lot No.",'Final Calculation Sheet'!$F$15,IF($F$3="Buyer",'Final Calculation Sheet'!$G$15,IF($F$3="Lot Name",'Final Calculation Sheet'!$B$15,IF($F$3="Bid Sheet",'Final Calculation Sheet'!$D$15,IF($F$3="Unit",'Final Calculation Sheet'!$E$15,'Final Calculation Sheet'!$F$15&amp;" "&amp;'Final Calculation Sheet'!$G$15&amp;" "&amp;'Final Calculation Sheet'!$B$15)))))</f>
        <v/>
      </c>
      <c r="AM16">
        <f>IF($B$3="",1,IF(AND(IF(COUNTIF($AR$9:$AY$9,1)=0,TRUE,SUMPRODUCT(($AR$9:$AY$9=1)*($AR$6:$AY$6&lt;&gt;"")*ISNUMBER(SEARCH($AR$6:$AY$6,$AK16)))&gt;0),IF(COUNTIF($AR$9:$AY$9,2)=0,TRUE,SUMPRODUCT(($AR$9:$AY$9=2)*($AR$6:$AY$6&lt;&gt;"")*ISNUMBER(SEARCH($AR$6:$AY$6,$AK16)))&gt;0),IF(COUNTIF($AR$9:$AY$9,3)=0,TRUE,SUMPRODUCT(($AR$9:$AY$9=3)*($AR$6:$AY$6&lt;&gt;"")*ISNUMBER(SEARCH($AR$6:$AY$6,$AK16)))&gt;0),IF(COUNTIF($AR$9:$AY$9,4)=0,TRUE,SUMPRODUCT(($AR$9:$AY$9=4)*($AR$6:$AY$6&lt;&gt;"")*ISNUMBER(SEARCH($AR$6:$AY$6,$AK16)))&gt;0),IF(COUNTIF($AR$9:$AY$9,5)=0,TRUE,SUMPRODUCT(($AR$9:$AY$9=5)*($AR$6:$AY$6&lt;&gt;"")*ISNUMBER(SEARCH($AR$6:$AY$6,$AK16)))&gt;0),IF(COUNTIF($AR$9:$AY$9,6)=0,TRUE,SUMPRODUCT(($AR$9:$AY$9=6)*($AR$6:$AY$6&lt;&gt;"")*ISNUMBER(SEARCH($AR$6:$AY$6,$AK16)))&gt;0),IF(COUNTIF($AR$9:$AY$9,7)=0,TRUE,SUMPRODUCT(($AR$9:$AY$9=7)*($AR$6:$AY$6&lt;&gt;"")*ISNUMBER(SEARCH($AR$6:$AY$6,$AK16)))&gt;0),IF(COUNTIF($AR$9:$AY$9,8)=0,TRUE,SUMPRODUCT(($AR$9:$AY$9=8)*($AR$6:$AY$6&lt;&gt;"")*ISNUMBER(SEARCH($AR$6:$AY$6,$AK16)))&gt;0)),1,0))</f>
        <v/>
      </c>
      <c r="AZ16">
        <f>IF($B$3="",9,IF($AM16=0,10,IF(AND($AR$6&lt;&gt;"",ISNUMBER(SEARCH($AR$6,$AK16))),1,IF(AND($AS$6&lt;&gt;"",ISNUMBER(SEARCH($AS$6,$AK16))),2,IF(AND($AT$6&lt;&gt;"",ISNUMBER(SEARCH($AT$6,$AK16))),3,IF(AND($AU$6&lt;&gt;"",ISNUMBER(SEARCH($AU$6,$AK16))),4,IF(AND($AV$6&lt;&gt;"",ISNUMBER(SEARCH($AV$6,$AK16))),5,IF(AND($AW$6&lt;&gt;"",ISNUMBER(SEARCH($AW$6,$AK16))),6,IF(AND($AX$6&lt;&gt;"",ISNUMBER(SEARCH($AX$6,$AK16))),7,IF(AND($AY$6&lt;&gt;"",ISNUMBER(SEARCH($AY$6,$AK16))),8,0))))))))))</f>
        <v/>
      </c>
      <c r="BA16">
        <f>SUMPRODUCT(($AZ$5:$AZ$41=$AZ16)*($BC$5:$BC$41&lt;$BC16))+1</f>
        <v/>
      </c>
      <c r="BB16">
        <f>IF(INDEX($BF$4:$BF$13,$AZ16)=0,0,INDEX($BE$4:$BE$13,$AZ16)+$BA16-1)</f>
        <v/>
      </c>
      <c r="BC16" t="n">
        <v>15</v>
      </c>
      <c r="BH16">
        <f>IFERROR(MATCH(16,$BF$4:$BF$13,0),0)</f>
        <v/>
      </c>
      <c r="BI16">
        <f>IF(16=$BG$4,1,0)</f>
        <v/>
      </c>
      <c r="BJ16">
        <f>IF(OR($BH16&gt;0,$BI16=1),0,IFERROR(INDEX($BC$5:$BC$41,MATCH(16,$BB$5:$BB$41,0)),0))</f>
        <v/>
      </c>
      <c r="BK16">
        <f>IF($BJ16&gt;0,IF(INDEX($AZ$5:$AZ$41,MATCH(16,$BB$5:$BB$41,0))=10,1,0),IF($BH16=10,1,0))</f>
        <v/>
      </c>
    </row>
    <row r="17" ht="15" customHeight="1">
      <c r="A17" s="649">
        <f>IF($BJ17&gt;0,INDEX($BA$5:$BA$41,MATCH(17,$BB$5:$BB$41,0)),IF(OR($BI17=1,$BH17&gt;0),"∑",""))</f>
        <v/>
      </c>
      <c r="B17" s="650">
        <f>IF($BJ17&gt;0,IF(INDEX('Final Calculation Sheet'!$F$4:$F$40,$BJ17-3)="","",INDEX('Final Calculation Sheet'!$F$4:$F$40,$BJ17-3)),"")</f>
        <v/>
      </c>
      <c r="C17" s="650">
        <f>IF($BJ17&gt;0,IF(INDEX('Final Calculation Sheet'!$G$4:$G$40,$BJ17-3)="","",INDEX('Final Calculation Sheet'!$G$4:$G$40,$BJ17-3)),IF(OR($BI17=1,$BH17&gt;0),IF($BI17=1,37,INDEX($BD$4:$BD$13,$BH17))&amp;" lot(s)",""))</f>
        <v/>
      </c>
      <c r="D17" s="651">
        <f>IF($BJ17&gt;0,IF(INDEX('Final Calculation Sheet'!$B$4:$B$40,$BJ17-3)="","",INDEX('Final Calculation Sheet'!$B$4:$B$40,$BJ17-3)),IF(OR($BI17=1,$BH17&gt;0),IF($BI17=1,"GRAND TOTAL  —  matching + remaining",IF($BH17=10,"REMAINING  —  did not match the search",IF($BH17=9,"ALL LOTS  —  nothing typed in the box","GROUP "&amp;$BH17&amp;" TOTAL  —  lots matching  "&amp;INDEX($AR$6:$AY$6,$BH17)))),""))</f>
        <v/>
      </c>
      <c r="E17" s="651">
        <f>IF($BJ17&gt;0,IF(INDEX('Final Calculation Sheet'!$D$4:$D$40,$BJ17-3)="","",INDEX('Final Calculation Sheet'!$D$4:$D$40,$BJ17-3)),IF(OR($BI17=1,$BH17&gt;0),"–",""))</f>
        <v/>
      </c>
      <c r="F17" s="651">
        <f>IF($BJ17&gt;0,IF(INDEX('Final Calculation Sheet'!$A$4:$A$40,$BJ17-3)="","",INDEX('Final Calculation Sheet'!$A$4:$A$40,$BJ17-3)),IF($BI17=1,SUM('Final Calculation Sheet'!$A$4:$A$40),IF($BH17&gt;0,SUMIFS('Final Calculation Sheet'!$A$4:$A$40,$AZ$5:$AZ$41,$BH17),"")))</f>
        <v/>
      </c>
      <c r="G17" s="651">
        <f>IF($BJ17&gt;0,IF(INDEX('Final Calculation Sheet'!$E$4:$E$40,$BJ17-3)="","",INDEX('Final Calculation Sheet'!$E$4:$E$40,$BJ17-3)),IF(OR($BI17=1,$BH17&gt;0),"–",""))</f>
        <v/>
      </c>
      <c r="H17" s="652">
        <f>IF($BJ17&gt;0,IF(INDEX('Final Calculation Sheet'!$C$4:$C$40,$BJ17-3)="","",INDEX('Final Calculation Sheet'!$C$4:$C$40,$BJ17-3)),IF(OR($BI17=1,$BH17&gt;0),"–",""))</f>
        <v/>
      </c>
      <c r="I17" s="652">
        <f>IF($BJ17&gt;0,IF(INDEX('Final Calculation Sheet'!$H$4:$H$40,$BJ17-3)="","",INDEX('Final Calculation Sheet'!$H$4:$H$40,$BJ17-3)),IF($BI17=1,SUM('Final Calculation Sheet'!$H$4:$H$40),IF($BH17&gt;0,SUMIFS('Final Calculation Sheet'!$H$4:$H$40,$AZ$5:$AZ$41,$BH17),"")))</f>
        <v/>
      </c>
      <c r="J17" s="652">
        <f>IF($BJ17&gt;0,IF(INDEX('Final Calculation Sheet'!$I$4:$I$40,$BJ17-3)="","",INDEX('Final Calculation Sheet'!$I$4:$I$40,$BJ17-3)),IF($BI17=1,SUM('Final Calculation Sheet'!$I$4:$I$40),IF($BH17&gt;0,SUMIFS('Final Calculation Sheet'!$I$4:$I$40,$AZ$5:$AZ$41,$BH17),"")))</f>
        <v/>
      </c>
      <c r="K17" s="652">
        <f>IF($BJ17&gt;0,IF(INDEX('Final Calculation Sheet'!$J$4:$J$40,$BJ17-3)="","",INDEX('Final Calculation Sheet'!$J$4:$J$40,$BJ17-3)),IF($BI17=1,SUM('Final Calculation Sheet'!$J$4:$J$40),IF($BH17&gt;0,SUMIFS('Final Calculation Sheet'!$J$4:$J$40,$AZ$5:$AZ$41,$BH17),"")))</f>
        <v/>
      </c>
      <c r="L17" s="652">
        <f>IF($BJ17&gt;0,IF(INDEX('Final Calculation Sheet'!$K$4:$K$40,$BJ17-3)="","",INDEX('Final Calculation Sheet'!$K$4:$K$40,$BJ17-3)),IF($BI17=1,SUM('Final Calculation Sheet'!$K$4:$K$40),IF($BH17&gt;0,SUMIFS('Final Calculation Sheet'!$K$4:$K$40,$AZ$5:$AZ$41,$BH17),"")))</f>
        <v/>
      </c>
      <c r="M17" s="652">
        <f>IF($BJ17&gt;0,IF(INDEX('Final Calculation Sheet'!$L$4:$L$40,$BJ17-3)="","",INDEX('Final Calculation Sheet'!$L$4:$L$40,$BJ17-3)),IF($BI17=1,SUM('Final Calculation Sheet'!$L$4:$L$40),IF($BH17&gt;0,SUMIFS('Final Calculation Sheet'!$L$4:$L$40,$AZ$5:$AZ$41,$BH17),"")))</f>
        <v/>
      </c>
      <c r="N17" s="652">
        <f>IF($BJ17&gt;0,IF(INDEX('Final Calculation Sheet'!$M$4:$M$40,$BJ17-3)="","",INDEX('Final Calculation Sheet'!$M$4:$M$40,$BJ17-3)),IF($BI17=1,SUM('Final Calculation Sheet'!$M$4:$M$40),IF($BH17&gt;0,SUMIFS('Final Calculation Sheet'!$M$4:$M$40,$AZ$5:$AZ$41,$BH17),"")))</f>
        <v/>
      </c>
      <c r="O17" s="653">
        <f>IF($BJ17&gt;0,IF(INDEX('Final Calculation Sheet'!$N$4:$N$40,$BJ17-3)="","",INDEX('Final Calculation Sheet'!$N$4:$N$40,$BJ17-3)),IF($BI17=1,SUM('Final Calculation Sheet'!$N$4:$N$40),IF($BH17&gt;0,SUMIFS('Final Calculation Sheet'!$N$4:$N$40,$AZ$5:$AZ$41,$BH17),"")))</f>
        <v/>
      </c>
      <c r="P17" s="652">
        <f>IF($BJ17&gt;0,IF(INDEX('Final Calculation Sheet'!$O$4:$O$40,$BJ17-3)="","",INDEX('Final Calculation Sheet'!$O$4:$O$40,$BJ17-3)),IF($BI17=1,SUM('Final Calculation Sheet'!$O$4:$O$40),IF($BH17&gt;0,SUMIFS('Final Calculation Sheet'!$O$4:$O$40,$AZ$5:$AZ$41,$BH17),"")))</f>
        <v/>
      </c>
      <c r="Q17" s="652">
        <f>IF($BJ17&gt;0,IF(INDEX('Final Calculation Sheet'!$P$4:$P$40,$BJ17-3)="","",INDEX('Final Calculation Sheet'!$P$4:$P$40,$BJ17-3)),IF($BI17=1,SUM('Final Calculation Sheet'!$P$4:$P$40),IF($BH17&gt;0,SUMIFS('Final Calculation Sheet'!$P$4:$P$40,$AZ$5:$AZ$41,$BH17),"")))</f>
        <v/>
      </c>
      <c r="R17" s="654">
        <f>IF($BJ17&gt;0,IF(INDEX('Final Calculation Sheet'!$Q$4:$Q$40,$BJ17-3)="","",INDEX('Final Calculation Sheet'!$Q$4:$Q$40,$BJ17-3)),IF(OR($BI17=1,$BH17&gt;0),"–",""))</f>
        <v/>
      </c>
      <c r="S17" s="652">
        <f>IF($BJ17&gt;0,IF(INDEX('Final Calculation Sheet'!$R$4:$R$40,$BJ17-3)="","",INDEX('Final Calculation Sheet'!$R$4:$R$40,$BJ17-3)),IF($BI17=1,SUM('Final Calculation Sheet'!$R$4:$R$40),IF($BH17&gt;0,SUMIFS('Final Calculation Sheet'!$R$4:$R$40,$AZ$5:$AZ$41,$BH17),"")))</f>
        <v/>
      </c>
      <c r="T17" s="652">
        <f>IF($BJ17&gt;0,IF(INDEX('Final Calculation Sheet'!$S$4:$S$40,$BJ17-3)="","",INDEX('Final Calculation Sheet'!$S$4:$S$40,$BJ17-3)),IF($BI17=1,SUM('Final Calculation Sheet'!$S$4:$S$40),IF($BH17&gt;0,SUMIFS('Final Calculation Sheet'!$S$4:$S$40,$AZ$5:$AZ$41,$BH17),"")))</f>
        <v/>
      </c>
      <c r="U17" s="652">
        <f>IF($BJ17&gt;0,IF(INDEX('Final Calculation Sheet'!$T$4:$T$40,$BJ17-3)="","",INDEX('Final Calculation Sheet'!$T$4:$T$40,$BJ17-3)),IF($BI17=1,SUM('Final Calculation Sheet'!$T$4:$T$40),IF($BH17&gt;0,SUMIFS('Final Calculation Sheet'!$T$4:$T$40,$AZ$5:$AZ$41,$BH17),"")))</f>
        <v/>
      </c>
      <c r="V17" s="655">
        <f>IF($BJ17&gt;0,IF(INDEX('Final Calculation Sheet'!$U$4:$U$40,$BJ17-3)="","",INDEX('Final Calculation Sheet'!$U$4:$U$40,$BJ17-3)),IF($BI17=1,SUM('Final Calculation Sheet'!$U$4:$U$40),IF($BH17&gt;0,SUMIFS('Final Calculation Sheet'!$U$4:$U$40,$AZ$5:$AZ$41,$BH17),"")))</f>
        <v/>
      </c>
      <c r="W17" s="652">
        <f>IF($BJ17&gt;0,IF(INDEX('Final Calculation Sheet'!$V$4:$V$40,$BJ17-3)="","",INDEX('Final Calculation Sheet'!$V$4:$V$40,$BJ17-3)),IF(OR($BI17=1,$BH17&gt;0),"–",""))</f>
        <v/>
      </c>
      <c r="X17" s="652">
        <f>IF($BJ17&gt;0,IF(INDEX('Final Calculation Sheet'!$W$4:$W$40,$BJ17-3)="","",INDEX('Final Calculation Sheet'!$W$4:$W$40,$BJ17-3)),IF($BI17=1,SUM('Final Calculation Sheet'!$W$4:$W$40),IF($BH17&gt;0,SUMIFS('Final Calculation Sheet'!$W$4:$W$40,$AZ$5:$AZ$41,$BH17),"")))</f>
        <v/>
      </c>
      <c r="Y17" s="652">
        <f>IF($BJ17&gt;0,IF(INDEX('Final Calculation Sheet'!$X$4:$X$40,$BJ17-3)="","",INDEX('Final Calculation Sheet'!$X$4:$X$40,$BJ17-3)),IF($BI17=1,SUM('Final Calculation Sheet'!$X$4:$X$40),IF($BH17&gt;0,SUMIFS('Final Calculation Sheet'!$X$4:$X$40,$AZ$5:$AZ$41,$BH17),"")))</f>
        <v/>
      </c>
      <c r="Z17" s="652">
        <f>IF($BJ17&gt;0,IF(INDEX('Final Calculation Sheet'!$Y$4:$Y$40,$BJ17-3)="","",INDEX('Final Calculation Sheet'!$Y$4:$Y$40,$BJ17-3)),IF(OR($BI17=1,$BH17&gt;0),"–",""))</f>
        <v/>
      </c>
      <c r="AA17" s="652">
        <f>IF($BJ17&gt;0,IF(INDEX('Final Calculation Sheet'!$Z$4:$Z$40,$BJ17-3)="","",INDEX('Final Calculation Sheet'!$Z$4:$Z$40,$BJ17-3)),IF($BI17=1,SUM('Final Calculation Sheet'!$Z$4:$Z$40),IF($BH17&gt;0,SUMIFS('Final Calculation Sheet'!$Z$4:$Z$40,$AZ$5:$AZ$41,$BH17),"")))</f>
        <v/>
      </c>
      <c r="AB17" s="652">
        <f>IF($BJ17&gt;0,IF(INDEX('Final Calculation Sheet'!$AA$4:$AA$40,$BJ17-3)="","",INDEX('Final Calculation Sheet'!$AA$4:$AA$40,$BJ17-3)),IF($BI17=1,SUM('Final Calculation Sheet'!$AA$4:$AA$40),IF($BH17&gt;0,SUMIFS('Final Calculation Sheet'!$AA$4:$AA$40,$AZ$5:$AZ$41,$BH17),"")))</f>
        <v/>
      </c>
      <c r="AC17" s="652">
        <f>IF($BJ17&gt;0,IF(INDEX('Final Calculation Sheet'!$AB$4:$AB$40,$BJ17-3)="","",INDEX('Final Calculation Sheet'!$AB$4:$AB$40,$BJ17-3)),IF(OR($BI17=1,$BH17&gt;0),"–",""))</f>
        <v/>
      </c>
      <c r="AD17" s="652">
        <f>IF($BJ17&gt;0,IF(INDEX('Final Calculation Sheet'!$AC$4:$AC$40,$BJ17-3)="","",INDEX('Final Calculation Sheet'!$AC$4:$AC$40,$BJ17-3)),IF($BI17=1,SUM('Final Calculation Sheet'!$AC$4:$AC$40),IF($BH17&gt;0,SUMIFS('Final Calculation Sheet'!$AC$4:$AC$40,$AZ$5:$AZ$41,$BH17),"")))</f>
        <v/>
      </c>
      <c r="AE17" s="652">
        <f>IF($BJ17&gt;0,IF(INDEX('Final Calculation Sheet'!$AD$4:$AD$40,$BJ17-3)="","",INDEX('Final Calculation Sheet'!$AD$4:$AD$40,$BJ17-3)),IF($BI17=1,SUM('Final Calculation Sheet'!$AD$4:$AD$40),IF($BH17&gt;0,SUMIFS('Final Calculation Sheet'!$AD$4:$AD$40,$AZ$5:$AZ$41,$BH17),"")))</f>
        <v/>
      </c>
      <c r="AF17" s="652">
        <f>IF($BJ17&gt;0,IF(INDEX('Final Calculation Sheet'!$AE$4:$AE$40,$BJ17-3)="","",INDEX('Final Calculation Sheet'!$AE$4:$AE$40,$BJ17-3)),IF(OR($BI17=1,$BH17&gt;0),"–",""))</f>
        <v/>
      </c>
      <c r="AG17" s="656">
        <f>IF($BJ17&gt;0,IF(INDEX('Final Calculation Sheet'!$AF$4:$AF$40,$BJ17-3)="","",INDEX('Final Calculation Sheet'!$AF$4:$AF$40,$BJ17-3)),IF(OR($BI17=1,$BH17&gt;0),"–",""))</f>
        <v/>
      </c>
      <c r="AH17" s="652">
        <f>IF($BJ17&gt;0,IF(INDEX('Final Calculation Sheet'!$AG$4:$AG$40,$BJ17-3)="","",INDEX('Final Calculation Sheet'!$AG$4:$AG$40,$BJ17-3)),IF(OR($BI17=1,$BH17&gt;0),"–",""))</f>
        <v/>
      </c>
      <c r="AI17" s="657">
        <f>IF($BJ17&gt;0,IF(INDEX('Final Calculation Sheet'!$AD$4:$AD$40,$BJ17-3)="","",IF(INDEX('Final Calculation Sheet'!$AD$4:$AD$40,$BJ17-3)&lt;=0,"SETTLED","OUTSTANDING")),IF(OR($BI17=1,$BH17&gt;0),IF(IF($BI17=1,SUM('Final Calculation Sheet'!$AD$4:$AD$40),SUMIFS('Final Calculation Sheet'!$AD$4:$AD$40,$AZ$5:$AZ$41,$BH17))&lt;=0,"ALL SETTLED","OUTSTANDING"),""))</f>
        <v/>
      </c>
      <c r="AK17">
        <f>IF($F$3="Lot No.",'Final Calculation Sheet'!$F$16,IF($F$3="Buyer",'Final Calculation Sheet'!$G$16,IF($F$3="Lot Name",'Final Calculation Sheet'!$B$16,IF($F$3="Bid Sheet",'Final Calculation Sheet'!$D$16,IF($F$3="Unit",'Final Calculation Sheet'!$E$16,'Final Calculation Sheet'!$F$16&amp;" "&amp;'Final Calculation Sheet'!$G$16&amp;" "&amp;'Final Calculation Sheet'!$B$16)))))</f>
        <v/>
      </c>
      <c r="AM17">
        <f>IF($B$3="",1,IF(AND(IF(COUNTIF($AR$9:$AY$9,1)=0,TRUE,SUMPRODUCT(($AR$9:$AY$9=1)*($AR$6:$AY$6&lt;&gt;"")*ISNUMBER(SEARCH($AR$6:$AY$6,$AK17)))&gt;0),IF(COUNTIF($AR$9:$AY$9,2)=0,TRUE,SUMPRODUCT(($AR$9:$AY$9=2)*($AR$6:$AY$6&lt;&gt;"")*ISNUMBER(SEARCH($AR$6:$AY$6,$AK17)))&gt;0),IF(COUNTIF($AR$9:$AY$9,3)=0,TRUE,SUMPRODUCT(($AR$9:$AY$9=3)*($AR$6:$AY$6&lt;&gt;"")*ISNUMBER(SEARCH($AR$6:$AY$6,$AK17)))&gt;0),IF(COUNTIF($AR$9:$AY$9,4)=0,TRUE,SUMPRODUCT(($AR$9:$AY$9=4)*($AR$6:$AY$6&lt;&gt;"")*ISNUMBER(SEARCH($AR$6:$AY$6,$AK17)))&gt;0),IF(COUNTIF($AR$9:$AY$9,5)=0,TRUE,SUMPRODUCT(($AR$9:$AY$9=5)*($AR$6:$AY$6&lt;&gt;"")*ISNUMBER(SEARCH($AR$6:$AY$6,$AK17)))&gt;0),IF(COUNTIF($AR$9:$AY$9,6)=0,TRUE,SUMPRODUCT(($AR$9:$AY$9=6)*($AR$6:$AY$6&lt;&gt;"")*ISNUMBER(SEARCH($AR$6:$AY$6,$AK17)))&gt;0),IF(COUNTIF($AR$9:$AY$9,7)=0,TRUE,SUMPRODUCT(($AR$9:$AY$9=7)*($AR$6:$AY$6&lt;&gt;"")*ISNUMBER(SEARCH($AR$6:$AY$6,$AK17)))&gt;0),IF(COUNTIF($AR$9:$AY$9,8)=0,TRUE,SUMPRODUCT(($AR$9:$AY$9=8)*($AR$6:$AY$6&lt;&gt;"")*ISNUMBER(SEARCH($AR$6:$AY$6,$AK17)))&gt;0)),1,0))</f>
        <v/>
      </c>
      <c r="AZ17">
        <f>IF($B$3="",9,IF($AM17=0,10,IF(AND($AR$6&lt;&gt;"",ISNUMBER(SEARCH($AR$6,$AK17))),1,IF(AND($AS$6&lt;&gt;"",ISNUMBER(SEARCH($AS$6,$AK17))),2,IF(AND($AT$6&lt;&gt;"",ISNUMBER(SEARCH($AT$6,$AK17))),3,IF(AND($AU$6&lt;&gt;"",ISNUMBER(SEARCH($AU$6,$AK17))),4,IF(AND($AV$6&lt;&gt;"",ISNUMBER(SEARCH($AV$6,$AK17))),5,IF(AND($AW$6&lt;&gt;"",ISNUMBER(SEARCH($AW$6,$AK17))),6,IF(AND($AX$6&lt;&gt;"",ISNUMBER(SEARCH($AX$6,$AK17))),7,IF(AND($AY$6&lt;&gt;"",ISNUMBER(SEARCH($AY$6,$AK17))),8,0))))))))))</f>
        <v/>
      </c>
      <c r="BA17">
        <f>SUMPRODUCT(($AZ$5:$AZ$41=$AZ17)*($BC$5:$BC$41&lt;$BC17))+1</f>
        <v/>
      </c>
      <c r="BB17">
        <f>IF(INDEX($BF$4:$BF$13,$AZ17)=0,0,INDEX($BE$4:$BE$13,$AZ17)+$BA17-1)</f>
        <v/>
      </c>
      <c r="BC17" t="n">
        <v>16</v>
      </c>
      <c r="BH17">
        <f>IFERROR(MATCH(17,$BF$4:$BF$13,0),0)</f>
        <v/>
      </c>
      <c r="BI17">
        <f>IF(17=$BG$4,1,0)</f>
        <v/>
      </c>
      <c r="BJ17">
        <f>IF(OR($BH17&gt;0,$BI17=1),0,IFERROR(INDEX($BC$5:$BC$41,MATCH(17,$BB$5:$BB$41,0)),0))</f>
        <v/>
      </c>
      <c r="BK17">
        <f>IF($BJ17&gt;0,IF(INDEX($AZ$5:$AZ$41,MATCH(17,$BB$5:$BB$41,0))=10,1,0),IF($BH17=10,1,0))</f>
        <v/>
      </c>
    </row>
    <row r="18" ht="15" customHeight="1">
      <c r="A18" s="649">
        <f>IF($BJ18&gt;0,INDEX($BA$5:$BA$41,MATCH(18,$BB$5:$BB$41,0)),IF(OR($BI18=1,$BH18&gt;0),"∑",""))</f>
        <v/>
      </c>
      <c r="B18" s="650">
        <f>IF($BJ18&gt;0,IF(INDEX('Final Calculation Sheet'!$F$4:$F$40,$BJ18-3)="","",INDEX('Final Calculation Sheet'!$F$4:$F$40,$BJ18-3)),"")</f>
        <v/>
      </c>
      <c r="C18" s="650">
        <f>IF($BJ18&gt;0,IF(INDEX('Final Calculation Sheet'!$G$4:$G$40,$BJ18-3)="","",INDEX('Final Calculation Sheet'!$G$4:$G$40,$BJ18-3)),IF(OR($BI18=1,$BH18&gt;0),IF($BI18=1,37,INDEX($BD$4:$BD$13,$BH18))&amp;" lot(s)",""))</f>
        <v/>
      </c>
      <c r="D18" s="651">
        <f>IF($BJ18&gt;0,IF(INDEX('Final Calculation Sheet'!$B$4:$B$40,$BJ18-3)="","",INDEX('Final Calculation Sheet'!$B$4:$B$40,$BJ18-3)),IF(OR($BI18=1,$BH18&gt;0),IF($BI18=1,"GRAND TOTAL  —  matching + remaining",IF($BH18=10,"REMAINING  —  did not match the search",IF($BH18=9,"ALL LOTS  —  nothing typed in the box","GROUP "&amp;$BH18&amp;" TOTAL  —  lots matching  "&amp;INDEX($AR$6:$AY$6,$BH18)))),""))</f>
        <v/>
      </c>
      <c r="E18" s="651">
        <f>IF($BJ18&gt;0,IF(INDEX('Final Calculation Sheet'!$D$4:$D$40,$BJ18-3)="","",INDEX('Final Calculation Sheet'!$D$4:$D$40,$BJ18-3)),IF(OR($BI18=1,$BH18&gt;0),"–",""))</f>
        <v/>
      </c>
      <c r="F18" s="651">
        <f>IF($BJ18&gt;0,IF(INDEX('Final Calculation Sheet'!$A$4:$A$40,$BJ18-3)="","",INDEX('Final Calculation Sheet'!$A$4:$A$40,$BJ18-3)),IF($BI18=1,SUM('Final Calculation Sheet'!$A$4:$A$40),IF($BH18&gt;0,SUMIFS('Final Calculation Sheet'!$A$4:$A$40,$AZ$5:$AZ$41,$BH18),"")))</f>
        <v/>
      </c>
      <c r="G18" s="651">
        <f>IF($BJ18&gt;0,IF(INDEX('Final Calculation Sheet'!$E$4:$E$40,$BJ18-3)="","",INDEX('Final Calculation Sheet'!$E$4:$E$40,$BJ18-3)),IF(OR($BI18=1,$BH18&gt;0),"–",""))</f>
        <v/>
      </c>
      <c r="H18" s="652">
        <f>IF($BJ18&gt;0,IF(INDEX('Final Calculation Sheet'!$C$4:$C$40,$BJ18-3)="","",INDEX('Final Calculation Sheet'!$C$4:$C$40,$BJ18-3)),IF(OR($BI18=1,$BH18&gt;0),"–",""))</f>
        <v/>
      </c>
      <c r="I18" s="652">
        <f>IF($BJ18&gt;0,IF(INDEX('Final Calculation Sheet'!$H$4:$H$40,$BJ18-3)="","",INDEX('Final Calculation Sheet'!$H$4:$H$40,$BJ18-3)),IF($BI18=1,SUM('Final Calculation Sheet'!$H$4:$H$40),IF($BH18&gt;0,SUMIFS('Final Calculation Sheet'!$H$4:$H$40,$AZ$5:$AZ$41,$BH18),"")))</f>
        <v/>
      </c>
      <c r="J18" s="652">
        <f>IF($BJ18&gt;0,IF(INDEX('Final Calculation Sheet'!$I$4:$I$40,$BJ18-3)="","",INDEX('Final Calculation Sheet'!$I$4:$I$40,$BJ18-3)),IF($BI18=1,SUM('Final Calculation Sheet'!$I$4:$I$40),IF($BH18&gt;0,SUMIFS('Final Calculation Sheet'!$I$4:$I$40,$AZ$5:$AZ$41,$BH18),"")))</f>
        <v/>
      </c>
      <c r="K18" s="652">
        <f>IF($BJ18&gt;0,IF(INDEX('Final Calculation Sheet'!$J$4:$J$40,$BJ18-3)="","",INDEX('Final Calculation Sheet'!$J$4:$J$40,$BJ18-3)),IF($BI18=1,SUM('Final Calculation Sheet'!$J$4:$J$40),IF($BH18&gt;0,SUMIFS('Final Calculation Sheet'!$J$4:$J$40,$AZ$5:$AZ$41,$BH18),"")))</f>
        <v/>
      </c>
      <c r="L18" s="652">
        <f>IF($BJ18&gt;0,IF(INDEX('Final Calculation Sheet'!$K$4:$K$40,$BJ18-3)="","",INDEX('Final Calculation Sheet'!$K$4:$K$40,$BJ18-3)),IF($BI18=1,SUM('Final Calculation Sheet'!$K$4:$K$40),IF($BH18&gt;0,SUMIFS('Final Calculation Sheet'!$K$4:$K$40,$AZ$5:$AZ$41,$BH18),"")))</f>
        <v/>
      </c>
      <c r="M18" s="652">
        <f>IF($BJ18&gt;0,IF(INDEX('Final Calculation Sheet'!$L$4:$L$40,$BJ18-3)="","",INDEX('Final Calculation Sheet'!$L$4:$L$40,$BJ18-3)),IF($BI18=1,SUM('Final Calculation Sheet'!$L$4:$L$40),IF($BH18&gt;0,SUMIFS('Final Calculation Sheet'!$L$4:$L$40,$AZ$5:$AZ$41,$BH18),"")))</f>
        <v/>
      </c>
      <c r="N18" s="652">
        <f>IF($BJ18&gt;0,IF(INDEX('Final Calculation Sheet'!$M$4:$M$40,$BJ18-3)="","",INDEX('Final Calculation Sheet'!$M$4:$M$40,$BJ18-3)),IF($BI18=1,SUM('Final Calculation Sheet'!$M$4:$M$40),IF($BH18&gt;0,SUMIFS('Final Calculation Sheet'!$M$4:$M$40,$AZ$5:$AZ$41,$BH18),"")))</f>
        <v/>
      </c>
      <c r="O18" s="653">
        <f>IF($BJ18&gt;0,IF(INDEX('Final Calculation Sheet'!$N$4:$N$40,$BJ18-3)="","",INDEX('Final Calculation Sheet'!$N$4:$N$40,$BJ18-3)),IF($BI18=1,SUM('Final Calculation Sheet'!$N$4:$N$40),IF($BH18&gt;0,SUMIFS('Final Calculation Sheet'!$N$4:$N$40,$AZ$5:$AZ$41,$BH18),"")))</f>
        <v/>
      </c>
      <c r="P18" s="652">
        <f>IF($BJ18&gt;0,IF(INDEX('Final Calculation Sheet'!$O$4:$O$40,$BJ18-3)="","",INDEX('Final Calculation Sheet'!$O$4:$O$40,$BJ18-3)),IF($BI18=1,SUM('Final Calculation Sheet'!$O$4:$O$40),IF($BH18&gt;0,SUMIFS('Final Calculation Sheet'!$O$4:$O$40,$AZ$5:$AZ$41,$BH18),"")))</f>
        <v/>
      </c>
      <c r="Q18" s="652">
        <f>IF($BJ18&gt;0,IF(INDEX('Final Calculation Sheet'!$P$4:$P$40,$BJ18-3)="","",INDEX('Final Calculation Sheet'!$P$4:$P$40,$BJ18-3)),IF($BI18=1,SUM('Final Calculation Sheet'!$P$4:$P$40),IF($BH18&gt;0,SUMIFS('Final Calculation Sheet'!$P$4:$P$40,$AZ$5:$AZ$41,$BH18),"")))</f>
        <v/>
      </c>
      <c r="R18" s="654">
        <f>IF($BJ18&gt;0,IF(INDEX('Final Calculation Sheet'!$Q$4:$Q$40,$BJ18-3)="","",INDEX('Final Calculation Sheet'!$Q$4:$Q$40,$BJ18-3)),IF(OR($BI18=1,$BH18&gt;0),"–",""))</f>
        <v/>
      </c>
      <c r="S18" s="652">
        <f>IF($BJ18&gt;0,IF(INDEX('Final Calculation Sheet'!$R$4:$R$40,$BJ18-3)="","",INDEX('Final Calculation Sheet'!$R$4:$R$40,$BJ18-3)),IF($BI18=1,SUM('Final Calculation Sheet'!$R$4:$R$40),IF($BH18&gt;0,SUMIFS('Final Calculation Sheet'!$R$4:$R$40,$AZ$5:$AZ$41,$BH18),"")))</f>
        <v/>
      </c>
      <c r="T18" s="652">
        <f>IF($BJ18&gt;0,IF(INDEX('Final Calculation Sheet'!$S$4:$S$40,$BJ18-3)="","",INDEX('Final Calculation Sheet'!$S$4:$S$40,$BJ18-3)),IF($BI18=1,SUM('Final Calculation Sheet'!$S$4:$S$40),IF($BH18&gt;0,SUMIFS('Final Calculation Sheet'!$S$4:$S$40,$AZ$5:$AZ$41,$BH18),"")))</f>
        <v/>
      </c>
      <c r="U18" s="652">
        <f>IF($BJ18&gt;0,IF(INDEX('Final Calculation Sheet'!$T$4:$T$40,$BJ18-3)="","",INDEX('Final Calculation Sheet'!$T$4:$T$40,$BJ18-3)),IF($BI18=1,SUM('Final Calculation Sheet'!$T$4:$T$40),IF($BH18&gt;0,SUMIFS('Final Calculation Sheet'!$T$4:$T$40,$AZ$5:$AZ$41,$BH18),"")))</f>
        <v/>
      </c>
      <c r="V18" s="655">
        <f>IF($BJ18&gt;0,IF(INDEX('Final Calculation Sheet'!$U$4:$U$40,$BJ18-3)="","",INDEX('Final Calculation Sheet'!$U$4:$U$40,$BJ18-3)),IF($BI18=1,SUM('Final Calculation Sheet'!$U$4:$U$40),IF($BH18&gt;0,SUMIFS('Final Calculation Sheet'!$U$4:$U$40,$AZ$5:$AZ$41,$BH18),"")))</f>
        <v/>
      </c>
      <c r="W18" s="652">
        <f>IF($BJ18&gt;0,IF(INDEX('Final Calculation Sheet'!$V$4:$V$40,$BJ18-3)="","",INDEX('Final Calculation Sheet'!$V$4:$V$40,$BJ18-3)),IF(OR($BI18=1,$BH18&gt;0),"–",""))</f>
        <v/>
      </c>
      <c r="X18" s="652">
        <f>IF($BJ18&gt;0,IF(INDEX('Final Calculation Sheet'!$W$4:$W$40,$BJ18-3)="","",INDEX('Final Calculation Sheet'!$W$4:$W$40,$BJ18-3)),IF($BI18=1,SUM('Final Calculation Sheet'!$W$4:$W$40),IF($BH18&gt;0,SUMIFS('Final Calculation Sheet'!$W$4:$W$40,$AZ$5:$AZ$41,$BH18),"")))</f>
        <v/>
      </c>
      <c r="Y18" s="652">
        <f>IF($BJ18&gt;0,IF(INDEX('Final Calculation Sheet'!$X$4:$X$40,$BJ18-3)="","",INDEX('Final Calculation Sheet'!$X$4:$X$40,$BJ18-3)),IF($BI18=1,SUM('Final Calculation Sheet'!$X$4:$X$40),IF($BH18&gt;0,SUMIFS('Final Calculation Sheet'!$X$4:$X$40,$AZ$5:$AZ$41,$BH18),"")))</f>
        <v/>
      </c>
      <c r="Z18" s="652">
        <f>IF($BJ18&gt;0,IF(INDEX('Final Calculation Sheet'!$Y$4:$Y$40,$BJ18-3)="","",INDEX('Final Calculation Sheet'!$Y$4:$Y$40,$BJ18-3)),IF(OR($BI18=1,$BH18&gt;0),"–",""))</f>
        <v/>
      </c>
      <c r="AA18" s="652">
        <f>IF($BJ18&gt;0,IF(INDEX('Final Calculation Sheet'!$Z$4:$Z$40,$BJ18-3)="","",INDEX('Final Calculation Sheet'!$Z$4:$Z$40,$BJ18-3)),IF($BI18=1,SUM('Final Calculation Sheet'!$Z$4:$Z$40),IF($BH18&gt;0,SUMIFS('Final Calculation Sheet'!$Z$4:$Z$40,$AZ$5:$AZ$41,$BH18),"")))</f>
        <v/>
      </c>
      <c r="AB18" s="652">
        <f>IF($BJ18&gt;0,IF(INDEX('Final Calculation Sheet'!$AA$4:$AA$40,$BJ18-3)="","",INDEX('Final Calculation Sheet'!$AA$4:$AA$40,$BJ18-3)),IF($BI18=1,SUM('Final Calculation Sheet'!$AA$4:$AA$40),IF($BH18&gt;0,SUMIFS('Final Calculation Sheet'!$AA$4:$AA$40,$AZ$5:$AZ$41,$BH18),"")))</f>
        <v/>
      </c>
      <c r="AC18" s="652">
        <f>IF($BJ18&gt;0,IF(INDEX('Final Calculation Sheet'!$AB$4:$AB$40,$BJ18-3)="","",INDEX('Final Calculation Sheet'!$AB$4:$AB$40,$BJ18-3)),IF(OR($BI18=1,$BH18&gt;0),"–",""))</f>
        <v/>
      </c>
      <c r="AD18" s="652">
        <f>IF($BJ18&gt;0,IF(INDEX('Final Calculation Sheet'!$AC$4:$AC$40,$BJ18-3)="","",INDEX('Final Calculation Sheet'!$AC$4:$AC$40,$BJ18-3)),IF($BI18=1,SUM('Final Calculation Sheet'!$AC$4:$AC$40),IF($BH18&gt;0,SUMIFS('Final Calculation Sheet'!$AC$4:$AC$40,$AZ$5:$AZ$41,$BH18),"")))</f>
        <v/>
      </c>
      <c r="AE18" s="652">
        <f>IF($BJ18&gt;0,IF(INDEX('Final Calculation Sheet'!$AD$4:$AD$40,$BJ18-3)="","",INDEX('Final Calculation Sheet'!$AD$4:$AD$40,$BJ18-3)),IF($BI18=1,SUM('Final Calculation Sheet'!$AD$4:$AD$40),IF($BH18&gt;0,SUMIFS('Final Calculation Sheet'!$AD$4:$AD$40,$AZ$5:$AZ$41,$BH18),"")))</f>
        <v/>
      </c>
      <c r="AF18" s="652">
        <f>IF($BJ18&gt;0,IF(INDEX('Final Calculation Sheet'!$AE$4:$AE$40,$BJ18-3)="","",INDEX('Final Calculation Sheet'!$AE$4:$AE$40,$BJ18-3)),IF(OR($BI18=1,$BH18&gt;0),"–",""))</f>
        <v/>
      </c>
      <c r="AG18" s="656">
        <f>IF($BJ18&gt;0,IF(INDEX('Final Calculation Sheet'!$AF$4:$AF$40,$BJ18-3)="","",INDEX('Final Calculation Sheet'!$AF$4:$AF$40,$BJ18-3)),IF(OR($BI18=1,$BH18&gt;0),"–",""))</f>
        <v/>
      </c>
      <c r="AH18" s="652">
        <f>IF($BJ18&gt;0,IF(INDEX('Final Calculation Sheet'!$AG$4:$AG$40,$BJ18-3)="","",INDEX('Final Calculation Sheet'!$AG$4:$AG$40,$BJ18-3)),IF(OR($BI18=1,$BH18&gt;0),"–",""))</f>
        <v/>
      </c>
      <c r="AI18" s="657">
        <f>IF($BJ18&gt;0,IF(INDEX('Final Calculation Sheet'!$AD$4:$AD$40,$BJ18-3)="","",IF(INDEX('Final Calculation Sheet'!$AD$4:$AD$40,$BJ18-3)&lt;=0,"SETTLED","OUTSTANDING")),IF(OR($BI18=1,$BH18&gt;0),IF(IF($BI18=1,SUM('Final Calculation Sheet'!$AD$4:$AD$40),SUMIFS('Final Calculation Sheet'!$AD$4:$AD$40,$AZ$5:$AZ$41,$BH18))&lt;=0,"ALL SETTLED","OUTSTANDING"),""))</f>
        <v/>
      </c>
      <c r="AK18">
        <f>IF($F$3="Lot No.",'Final Calculation Sheet'!$F$17,IF($F$3="Buyer",'Final Calculation Sheet'!$G$17,IF($F$3="Lot Name",'Final Calculation Sheet'!$B$17,IF($F$3="Bid Sheet",'Final Calculation Sheet'!$D$17,IF($F$3="Unit",'Final Calculation Sheet'!$E$17,'Final Calculation Sheet'!$F$17&amp;" "&amp;'Final Calculation Sheet'!$G$17&amp;" "&amp;'Final Calculation Sheet'!$B$17)))))</f>
        <v/>
      </c>
      <c r="AM18">
        <f>IF($B$3="",1,IF(AND(IF(COUNTIF($AR$9:$AY$9,1)=0,TRUE,SUMPRODUCT(($AR$9:$AY$9=1)*($AR$6:$AY$6&lt;&gt;"")*ISNUMBER(SEARCH($AR$6:$AY$6,$AK18)))&gt;0),IF(COUNTIF($AR$9:$AY$9,2)=0,TRUE,SUMPRODUCT(($AR$9:$AY$9=2)*($AR$6:$AY$6&lt;&gt;"")*ISNUMBER(SEARCH($AR$6:$AY$6,$AK18)))&gt;0),IF(COUNTIF($AR$9:$AY$9,3)=0,TRUE,SUMPRODUCT(($AR$9:$AY$9=3)*($AR$6:$AY$6&lt;&gt;"")*ISNUMBER(SEARCH($AR$6:$AY$6,$AK18)))&gt;0),IF(COUNTIF($AR$9:$AY$9,4)=0,TRUE,SUMPRODUCT(($AR$9:$AY$9=4)*($AR$6:$AY$6&lt;&gt;"")*ISNUMBER(SEARCH($AR$6:$AY$6,$AK18)))&gt;0),IF(COUNTIF($AR$9:$AY$9,5)=0,TRUE,SUMPRODUCT(($AR$9:$AY$9=5)*($AR$6:$AY$6&lt;&gt;"")*ISNUMBER(SEARCH($AR$6:$AY$6,$AK18)))&gt;0),IF(COUNTIF($AR$9:$AY$9,6)=0,TRUE,SUMPRODUCT(($AR$9:$AY$9=6)*($AR$6:$AY$6&lt;&gt;"")*ISNUMBER(SEARCH($AR$6:$AY$6,$AK18)))&gt;0),IF(COUNTIF($AR$9:$AY$9,7)=0,TRUE,SUMPRODUCT(($AR$9:$AY$9=7)*($AR$6:$AY$6&lt;&gt;"")*ISNUMBER(SEARCH($AR$6:$AY$6,$AK18)))&gt;0),IF(COUNTIF($AR$9:$AY$9,8)=0,TRUE,SUMPRODUCT(($AR$9:$AY$9=8)*($AR$6:$AY$6&lt;&gt;"")*ISNUMBER(SEARCH($AR$6:$AY$6,$AK18)))&gt;0)),1,0))</f>
        <v/>
      </c>
      <c r="AZ18">
        <f>IF($B$3="",9,IF($AM18=0,10,IF(AND($AR$6&lt;&gt;"",ISNUMBER(SEARCH($AR$6,$AK18))),1,IF(AND($AS$6&lt;&gt;"",ISNUMBER(SEARCH($AS$6,$AK18))),2,IF(AND($AT$6&lt;&gt;"",ISNUMBER(SEARCH($AT$6,$AK18))),3,IF(AND($AU$6&lt;&gt;"",ISNUMBER(SEARCH($AU$6,$AK18))),4,IF(AND($AV$6&lt;&gt;"",ISNUMBER(SEARCH($AV$6,$AK18))),5,IF(AND($AW$6&lt;&gt;"",ISNUMBER(SEARCH($AW$6,$AK18))),6,IF(AND($AX$6&lt;&gt;"",ISNUMBER(SEARCH($AX$6,$AK18))),7,IF(AND($AY$6&lt;&gt;"",ISNUMBER(SEARCH($AY$6,$AK18))),8,0))))))))))</f>
        <v/>
      </c>
      <c r="BA18">
        <f>SUMPRODUCT(($AZ$5:$AZ$41=$AZ18)*($BC$5:$BC$41&lt;$BC18))+1</f>
        <v/>
      </c>
      <c r="BB18">
        <f>IF(INDEX($BF$4:$BF$13,$AZ18)=0,0,INDEX($BE$4:$BE$13,$AZ18)+$BA18-1)</f>
        <v/>
      </c>
      <c r="BC18" t="n">
        <v>17</v>
      </c>
      <c r="BH18">
        <f>IFERROR(MATCH(18,$BF$4:$BF$13,0),0)</f>
        <v/>
      </c>
      <c r="BI18">
        <f>IF(18=$BG$4,1,0)</f>
        <v/>
      </c>
      <c r="BJ18">
        <f>IF(OR($BH18&gt;0,$BI18=1),0,IFERROR(INDEX($BC$5:$BC$41,MATCH(18,$BB$5:$BB$41,0)),0))</f>
        <v/>
      </c>
      <c r="BK18">
        <f>IF($BJ18&gt;0,IF(INDEX($AZ$5:$AZ$41,MATCH(18,$BB$5:$BB$41,0))=10,1,0),IF($BH18=10,1,0))</f>
        <v/>
      </c>
    </row>
    <row r="19" ht="15" customHeight="1">
      <c r="A19" s="649">
        <f>IF($BJ19&gt;0,INDEX($BA$5:$BA$41,MATCH(19,$BB$5:$BB$41,0)),IF(OR($BI19=1,$BH19&gt;0),"∑",""))</f>
        <v/>
      </c>
      <c r="B19" s="650">
        <f>IF($BJ19&gt;0,IF(INDEX('Final Calculation Sheet'!$F$4:$F$40,$BJ19-3)="","",INDEX('Final Calculation Sheet'!$F$4:$F$40,$BJ19-3)),"")</f>
        <v/>
      </c>
      <c r="C19" s="650">
        <f>IF($BJ19&gt;0,IF(INDEX('Final Calculation Sheet'!$G$4:$G$40,$BJ19-3)="","",INDEX('Final Calculation Sheet'!$G$4:$G$40,$BJ19-3)),IF(OR($BI19=1,$BH19&gt;0),IF($BI19=1,37,INDEX($BD$4:$BD$13,$BH19))&amp;" lot(s)",""))</f>
        <v/>
      </c>
      <c r="D19" s="651">
        <f>IF($BJ19&gt;0,IF(INDEX('Final Calculation Sheet'!$B$4:$B$40,$BJ19-3)="","",INDEX('Final Calculation Sheet'!$B$4:$B$40,$BJ19-3)),IF(OR($BI19=1,$BH19&gt;0),IF($BI19=1,"GRAND TOTAL  —  matching + remaining",IF($BH19=10,"REMAINING  —  did not match the search",IF($BH19=9,"ALL LOTS  —  nothing typed in the box","GROUP "&amp;$BH19&amp;" TOTAL  —  lots matching  "&amp;INDEX($AR$6:$AY$6,$BH19)))),""))</f>
        <v/>
      </c>
      <c r="E19" s="651">
        <f>IF($BJ19&gt;0,IF(INDEX('Final Calculation Sheet'!$D$4:$D$40,$BJ19-3)="","",INDEX('Final Calculation Sheet'!$D$4:$D$40,$BJ19-3)),IF(OR($BI19=1,$BH19&gt;0),"–",""))</f>
        <v/>
      </c>
      <c r="F19" s="651">
        <f>IF($BJ19&gt;0,IF(INDEX('Final Calculation Sheet'!$A$4:$A$40,$BJ19-3)="","",INDEX('Final Calculation Sheet'!$A$4:$A$40,$BJ19-3)),IF($BI19=1,SUM('Final Calculation Sheet'!$A$4:$A$40),IF($BH19&gt;0,SUMIFS('Final Calculation Sheet'!$A$4:$A$40,$AZ$5:$AZ$41,$BH19),"")))</f>
        <v/>
      </c>
      <c r="G19" s="651">
        <f>IF($BJ19&gt;0,IF(INDEX('Final Calculation Sheet'!$E$4:$E$40,$BJ19-3)="","",INDEX('Final Calculation Sheet'!$E$4:$E$40,$BJ19-3)),IF(OR($BI19=1,$BH19&gt;0),"–",""))</f>
        <v/>
      </c>
      <c r="H19" s="652">
        <f>IF($BJ19&gt;0,IF(INDEX('Final Calculation Sheet'!$C$4:$C$40,$BJ19-3)="","",INDEX('Final Calculation Sheet'!$C$4:$C$40,$BJ19-3)),IF(OR($BI19=1,$BH19&gt;0),"–",""))</f>
        <v/>
      </c>
      <c r="I19" s="652">
        <f>IF($BJ19&gt;0,IF(INDEX('Final Calculation Sheet'!$H$4:$H$40,$BJ19-3)="","",INDEX('Final Calculation Sheet'!$H$4:$H$40,$BJ19-3)),IF($BI19=1,SUM('Final Calculation Sheet'!$H$4:$H$40),IF($BH19&gt;0,SUMIFS('Final Calculation Sheet'!$H$4:$H$40,$AZ$5:$AZ$41,$BH19),"")))</f>
        <v/>
      </c>
      <c r="J19" s="652">
        <f>IF($BJ19&gt;0,IF(INDEX('Final Calculation Sheet'!$I$4:$I$40,$BJ19-3)="","",INDEX('Final Calculation Sheet'!$I$4:$I$40,$BJ19-3)),IF($BI19=1,SUM('Final Calculation Sheet'!$I$4:$I$40),IF($BH19&gt;0,SUMIFS('Final Calculation Sheet'!$I$4:$I$40,$AZ$5:$AZ$41,$BH19),"")))</f>
        <v/>
      </c>
      <c r="K19" s="652">
        <f>IF($BJ19&gt;0,IF(INDEX('Final Calculation Sheet'!$J$4:$J$40,$BJ19-3)="","",INDEX('Final Calculation Sheet'!$J$4:$J$40,$BJ19-3)),IF($BI19=1,SUM('Final Calculation Sheet'!$J$4:$J$40),IF($BH19&gt;0,SUMIFS('Final Calculation Sheet'!$J$4:$J$40,$AZ$5:$AZ$41,$BH19),"")))</f>
        <v/>
      </c>
      <c r="L19" s="652">
        <f>IF($BJ19&gt;0,IF(INDEX('Final Calculation Sheet'!$K$4:$K$40,$BJ19-3)="","",INDEX('Final Calculation Sheet'!$K$4:$K$40,$BJ19-3)),IF($BI19=1,SUM('Final Calculation Sheet'!$K$4:$K$40),IF($BH19&gt;0,SUMIFS('Final Calculation Sheet'!$K$4:$K$40,$AZ$5:$AZ$41,$BH19),"")))</f>
        <v/>
      </c>
      <c r="M19" s="652">
        <f>IF($BJ19&gt;0,IF(INDEX('Final Calculation Sheet'!$L$4:$L$40,$BJ19-3)="","",INDEX('Final Calculation Sheet'!$L$4:$L$40,$BJ19-3)),IF($BI19=1,SUM('Final Calculation Sheet'!$L$4:$L$40),IF($BH19&gt;0,SUMIFS('Final Calculation Sheet'!$L$4:$L$40,$AZ$5:$AZ$41,$BH19),"")))</f>
        <v/>
      </c>
      <c r="N19" s="652">
        <f>IF($BJ19&gt;0,IF(INDEX('Final Calculation Sheet'!$M$4:$M$40,$BJ19-3)="","",INDEX('Final Calculation Sheet'!$M$4:$M$40,$BJ19-3)),IF($BI19=1,SUM('Final Calculation Sheet'!$M$4:$M$40),IF($BH19&gt;0,SUMIFS('Final Calculation Sheet'!$M$4:$M$40,$AZ$5:$AZ$41,$BH19),"")))</f>
        <v/>
      </c>
      <c r="O19" s="653">
        <f>IF($BJ19&gt;0,IF(INDEX('Final Calculation Sheet'!$N$4:$N$40,$BJ19-3)="","",INDEX('Final Calculation Sheet'!$N$4:$N$40,$BJ19-3)),IF($BI19=1,SUM('Final Calculation Sheet'!$N$4:$N$40),IF($BH19&gt;0,SUMIFS('Final Calculation Sheet'!$N$4:$N$40,$AZ$5:$AZ$41,$BH19),"")))</f>
        <v/>
      </c>
      <c r="P19" s="652">
        <f>IF($BJ19&gt;0,IF(INDEX('Final Calculation Sheet'!$O$4:$O$40,$BJ19-3)="","",INDEX('Final Calculation Sheet'!$O$4:$O$40,$BJ19-3)),IF($BI19=1,SUM('Final Calculation Sheet'!$O$4:$O$40),IF($BH19&gt;0,SUMIFS('Final Calculation Sheet'!$O$4:$O$40,$AZ$5:$AZ$41,$BH19),"")))</f>
        <v/>
      </c>
      <c r="Q19" s="652">
        <f>IF($BJ19&gt;0,IF(INDEX('Final Calculation Sheet'!$P$4:$P$40,$BJ19-3)="","",INDEX('Final Calculation Sheet'!$P$4:$P$40,$BJ19-3)),IF($BI19=1,SUM('Final Calculation Sheet'!$P$4:$P$40),IF($BH19&gt;0,SUMIFS('Final Calculation Sheet'!$P$4:$P$40,$AZ$5:$AZ$41,$BH19),"")))</f>
        <v/>
      </c>
      <c r="R19" s="654">
        <f>IF($BJ19&gt;0,IF(INDEX('Final Calculation Sheet'!$Q$4:$Q$40,$BJ19-3)="","",INDEX('Final Calculation Sheet'!$Q$4:$Q$40,$BJ19-3)),IF(OR($BI19=1,$BH19&gt;0),"–",""))</f>
        <v/>
      </c>
      <c r="S19" s="652">
        <f>IF($BJ19&gt;0,IF(INDEX('Final Calculation Sheet'!$R$4:$R$40,$BJ19-3)="","",INDEX('Final Calculation Sheet'!$R$4:$R$40,$BJ19-3)),IF($BI19=1,SUM('Final Calculation Sheet'!$R$4:$R$40),IF($BH19&gt;0,SUMIFS('Final Calculation Sheet'!$R$4:$R$40,$AZ$5:$AZ$41,$BH19),"")))</f>
        <v/>
      </c>
      <c r="T19" s="652">
        <f>IF($BJ19&gt;0,IF(INDEX('Final Calculation Sheet'!$S$4:$S$40,$BJ19-3)="","",INDEX('Final Calculation Sheet'!$S$4:$S$40,$BJ19-3)),IF($BI19=1,SUM('Final Calculation Sheet'!$S$4:$S$40),IF($BH19&gt;0,SUMIFS('Final Calculation Sheet'!$S$4:$S$40,$AZ$5:$AZ$41,$BH19),"")))</f>
        <v/>
      </c>
      <c r="U19" s="652">
        <f>IF($BJ19&gt;0,IF(INDEX('Final Calculation Sheet'!$T$4:$T$40,$BJ19-3)="","",INDEX('Final Calculation Sheet'!$T$4:$T$40,$BJ19-3)),IF($BI19=1,SUM('Final Calculation Sheet'!$T$4:$T$40),IF($BH19&gt;0,SUMIFS('Final Calculation Sheet'!$T$4:$T$40,$AZ$5:$AZ$41,$BH19),"")))</f>
        <v/>
      </c>
      <c r="V19" s="655">
        <f>IF($BJ19&gt;0,IF(INDEX('Final Calculation Sheet'!$U$4:$U$40,$BJ19-3)="","",INDEX('Final Calculation Sheet'!$U$4:$U$40,$BJ19-3)),IF($BI19=1,SUM('Final Calculation Sheet'!$U$4:$U$40),IF($BH19&gt;0,SUMIFS('Final Calculation Sheet'!$U$4:$U$40,$AZ$5:$AZ$41,$BH19),"")))</f>
        <v/>
      </c>
      <c r="W19" s="652">
        <f>IF($BJ19&gt;0,IF(INDEX('Final Calculation Sheet'!$V$4:$V$40,$BJ19-3)="","",INDEX('Final Calculation Sheet'!$V$4:$V$40,$BJ19-3)),IF(OR($BI19=1,$BH19&gt;0),"–",""))</f>
        <v/>
      </c>
      <c r="X19" s="652">
        <f>IF($BJ19&gt;0,IF(INDEX('Final Calculation Sheet'!$W$4:$W$40,$BJ19-3)="","",INDEX('Final Calculation Sheet'!$W$4:$W$40,$BJ19-3)),IF($BI19=1,SUM('Final Calculation Sheet'!$W$4:$W$40),IF($BH19&gt;0,SUMIFS('Final Calculation Sheet'!$W$4:$W$40,$AZ$5:$AZ$41,$BH19),"")))</f>
        <v/>
      </c>
      <c r="Y19" s="652">
        <f>IF($BJ19&gt;0,IF(INDEX('Final Calculation Sheet'!$X$4:$X$40,$BJ19-3)="","",INDEX('Final Calculation Sheet'!$X$4:$X$40,$BJ19-3)),IF($BI19=1,SUM('Final Calculation Sheet'!$X$4:$X$40),IF($BH19&gt;0,SUMIFS('Final Calculation Sheet'!$X$4:$X$40,$AZ$5:$AZ$41,$BH19),"")))</f>
        <v/>
      </c>
      <c r="Z19" s="652">
        <f>IF($BJ19&gt;0,IF(INDEX('Final Calculation Sheet'!$Y$4:$Y$40,$BJ19-3)="","",INDEX('Final Calculation Sheet'!$Y$4:$Y$40,$BJ19-3)),IF(OR($BI19=1,$BH19&gt;0),"–",""))</f>
        <v/>
      </c>
      <c r="AA19" s="652">
        <f>IF($BJ19&gt;0,IF(INDEX('Final Calculation Sheet'!$Z$4:$Z$40,$BJ19-3)="","",INDEX('Final Calculation Sheet'!$Z$4:$Z$40,$BJ19-3)),IF($BI19=1,SUM('Final Calculation Sheet'!$Z$4:$Z$40),IF($BH19&gt;0,SUMIFS('Final Calculation Sheet'!$Z$4:$Z$40,$AZ$5:$AZ$41,$BH19),"")))</f>
        <v/>
      </c>
      <c r="AB19" s="652">
        <f>IF($BJ19&gt;0,IF(INDEX('Final Calculation Sheet'!$AA$4:$AA$40,$BJ19-3)="","",INDEX('Final Calculation Sheet'!$AA$4:$AA$40,$BJ19-3)),IF($BI19=1,SUM('Final Calculation Sheet'!$AA$4:$AA$40),IF($BH19&gt;0,SUMIFS('Final Calculation Sheet'!$AA$4:$AA$40,$AZ$5:$AZ$41,$BH19),"")))</f>
        <v/>
      </c>
      <c r="AC19" s="652">
        <f>IF($BJ19&gt;0,IF(INDEX('Final Calculation Sheet'!$AB$4:$AB$40,$BJ19-3)="","",INDEX('Final Calculation Sheet'!$AB$4:$AB$40,$BJ19-3)),IF(OR($BI19=1,$BH19&gt;0),"–",""))</f>
        <v/>
      </c>
      <c r="AD19" s="652">
        <f>IF($BJ19&gt;0,IF(INDEX('Final Calculation Sheet'!$AC$4:$AC$40,$BJ19-3)="","",INDEX('Final Calculation Sheet'!$AC$4:$AC$40,$BJ19-3)),IF($BI19=1,SUM('Final Calculation Sheet'!$AC$4:$AC$40),IF($BH19&gt;0,SUMIFS('Final Calculation Sheet'!$AC$4:$AC$40,$AZ$5:$AZ$41,$BH19),"")))</f>
        <v/>
      </c>
      <c r="AE19" s="652">
        <f>IF($BJ19&gt;0,IF(INDEX('Final Calculation Sheet'!$AD$4:$AD$40,$BJ19-3)="","",INDEX('Final Calculation Sheet'!$AD$4:$AD$40,$BJ19-3)),IF($BI19=1,SUM('Final Calculation Sheet'!$AD$4:$AD$40),IF($BH19&gt;0,SUMIFS('Final Calculation Sheet'!$AD$4:$AD$40,$AZ$5:$AZ$41,$BH19),"")))</f>
        <v/>
      </c>
      <c r="AF19" s="652">
        <f>IF($BJ19&gt;0,IF(INDEX('Final Calculation Sheet'!$AE$4:$AE$40,$BJ19-3)="","",INDEX('Final Calculation Sheet'!$AE$4:$AE$40,$BJ19-3)),IF(OR($BI19=1,$BH19&gt;0),"–",""))</f>
        <v/>
      </c>
      <c r="AG19" s="656">
        <f>IF($BJ19&gt;0,IF(INDEX('Final Calculation Sheet'!$AF$4:$AF$40,$BJ19-3)="","",INDEX('Final Calculation Sheet'!$AF$4:$AF$40,$BJ19-3)),IF(OR($BI19=1,$BH19&gt;0),"–",""))</f>
        <v/>
      </c>
      <c r="AH19" s="652">
        <f>IF($BJ19&gt;0,IF(INDEX('Final Calculation Sheet'!$AG$4:$AG$40,$BJ19-3)="","",INDEX('Final Calculation Sheet'!$AG$4:$AG$40,$BJ19-3)),IF(OR($BI19=1,$BH19&gt;0),"–",""))</f>
        <v/>
      </c>
      <c r="AI19" s="657">
        <f>IF($BJ19&gt;0,IF(INDEX('Final Calculation Sheet'!$AD$4:$AD$40,$BJ19-3)="","",IF(INDEX('Final Calculation Sheet'!$AD$4:$AD$40,$BJ19-3)&lt;=0,"SETTLED","OUTSTANDING")),IF(OR($BI19=1,$BH19&gt;0),IF(IF($BI19=1,SUM('Final Calculation Sheet'!$AD$4:$AD$40),SUMIFS('Final Calculation Sheet'!$AD$4:$AD$40,$AZ$5:$AZ$41,$BH19))&lt;=0,"ALL SETTLED","OUTSTANDING"),""))</f>
        <v/>
      </c>
      <c r="AK19">
        <f>IF($F$3="Lot No.",'Final Calculation Sheet'!$F$18,IF($F$3="Buyer",'Final Calculation Sheet'!$G$18,IF($F$3="Lot Name",'Final Calculation Sheet'!$B$18,IF($F$3="Bid Sheet",'Final Calculation Sheet'!$D$18,IF($F$3="Unit",'Final Calculation Sheet'!$E$18,'Final Calculation Sheet'!$F$18&amp;" "&amp;'Final Calculation Sheet'!$G$18&amp;" "&amp;'Final Calculation Sheet'!$B$18)))))</f>
        <v/>
      </c>
      <c r="AM19">
        <f>IF($B$3="",1,IF(AND(IF(COUNTIF($AR$9:$AY$9,1)=0,TRUE,SUMPRODUCT(($AR$9:$AY$9=1)*($AR$6:$AY$6&lt;&gt;"")*ISNUMBER(SEARCH($AR$6:$AY$6,$AK19)))&gt;0),IF(COUNTIF($AR$9:$AY$9,2)=0,TRUE,SUMPRODUCT(($AR$9:$AY$9=2)*($AR$6:$AY$6&lt;&gt;"")*ISNUMBER(SEARCH($AR$6:$AY$6,$AK19)))&gt;0),IF(COUNTIF($AR$9:$AY$9,3)=0,TRUE,SUMPRODUCT(($AR$9:$AY$9=3)*($AR$6:$AY$6&lt;&gt;"")*ISNUMBER(SEARCH($AR$6:$AY$6,$AK19)))&gt;0),IF(COUNTIF($AR$9:$AY$9,4)=0,TRUE,SUMPRODUCT(($AR$9:$AY$9=4)*($AR$6:$AY$6&lt;&gt;"")*ISNUMBER(SEARCH($AR$6:$AY$6,$AK19)))&gt;0),IF(COUNTIF($AR$9:$AY$9,5)=0,TRUE,SUMPRODUCT(($AR$9:$AY$9=5)*($AR$6:$AY$6&lt;&gt;"")*ISNUMBER(SEARCH($AR$6:$AY$6,$AK19)))&gt;0),IF(COUNTIF($AR$9:$AY$9,6)=0,TRUE,SUMPRODUCT(($AR$9:$AY$9=6)*($AR$6:$AY$6&lt;&gt;"")*ISNUMBER(SEARCH($AR$6:$AY$6,$AK19)))&gt;0),IF(COUNTIF($AR$9:$AY$9,7)=0,TRUE,SUMPRODUCT(($AR$9:$AY$9=7)*($AR$6:$AY$6&lt;&gt;"")*ISNUMBER(SEARCH($AR$6:$AY$6,$AK19)))&gt;0),IF(COUNTIF($AR$9:$AY$9,8)=0,TRUE,SUMPRODUCT(($AR$9:$AY$9=8)*($AR$6:$AY$6&lt;&gt;"")*ISNUMBER(SEARCH($AR$6:$AY$6,$AK19)))&gt;0)),1,0))</f>
        <v/>
      </c>
      <c r="AZ19">
        <f>IF($B$3="",9,IF($AM19=0,10,IF(AND($AR$6&lt;&gt;"",ISNUMBER(SEARCH($AR$6,$AK19))),1,IF(AND($AS$6&lt;&gt;"",ISNUMBER(SEARCH($AS$6,$AK19))),2,IF(AND($AT$6&lt;&gt;"",ISNUMBER(SEARCH($AT$6,$AK19))),3,IF(AND($AU$6&lt;&gt;"",ISNUMBER(SEARCH($AU$6,$AK19))),4,IF(AND($AV$6&lt;&gt;"",ISNUMBER(SEARCH($AV$6,$AK19))),5,IF(AND($AW$6&lt;&gt;"",ISNUMBER(SEARCH($AW$6,$AK19))),6,IF(AND($AX$6&lt;&gt;"",ISNUMBER(SEARCH($AX$6,$AK19))),7,IF(AND($AY$6&lt;&gt;"",ISNUMBER(SEARCH($AY$6,$AK19))),8,0))))))))))</f>
        <v/>
      </c>
      <c r="BA19">
        <f>SUMPRODUCT(($AZ$5:$AZ$41=$AZ19)*($BC$5:$BC$41&lt;$BC19))+1</f>
        <v/>
      </c>
      <c r="BB19">
        <f>IF(INDEX($BF$4:$BF$13,$AZ19)=0,0,INDEX($BE$4:$BE$13,$AZ19)+$BA19-1)</f>
        <v/>
      </c>
      <c r="BC19" t="n">
        <v>18</v>
      </c>
      <c r="BH19">
        <f>IFERROR(MATCH(19,$BF$4:$BF$13,0),0)</f>
        <v/>
      </c>
      <c r="BI19">
        <f>IF(19=$BG$4,1,0)</f>
        <v/>
      </c>
      <c r="BJ19">
        <f>IF(OR($BH19&gt;0,$BI19=1),0,IFERROR(INDEX($BC$5:$BC$41,MATCH(19,$BB$5:$BB$41,0)),0))</f>
        <v/>
      </c>
      <c r="BK19">
        <f>IF($BJ19&gt;0,IF(INDEX($AZ$5:$AZ$41,MATCH(19,$BB$5:$BB$41,0))=10,1,0),IF($BH19=10,1,0))</f>
        <v/>
      </c>
    </row>
    <row r="20" ht="15" customHeight="1">
      <c r="A20" s="649">
        <f>IF($BJ20&gt;0,INDEX($BA$5:$BA$41,MATCH(20,$BB$5:$BB$41,0)),IF(OR($BI20=1,$BH20&gt;0),"∑",""))</f>
        <v/>
      </c>
      <c r="B20" s="650">
        <f>IF($BJ20&gt;0,IF(INDEX('Final Calculation Sheet'!$F$4:$F$40,$BJ20-3)="","",INDEX('Final Calculation Sheet'!$F$4:$F$40,$BJ20-3)),"")</f>
        <v/>
      </c>
      <c r="C20" s="650">
        <f>IF($BJ20&gt;0,IF(INDEX('Final Calculation Sheet'!$G$4:$G$40,$BJ20-3)="","",INDEX('Final Calculation Sheet'!$G$4:$G$40,$BJ20-3)),IF(OR($BI20=1,$BH20&gt;0),IF($BI20=1,37,INDEX($BD$4:$BD$13,$BH20))&amp;" lot(s)",""))</f>
        <v/>
      </c>
      <c r="D20" s="651">
        <f>IF($BJ20&gt;0,IF(INDEX('Final Calculation Sheet'!$B$4:$B$40,$BJ20-3)="","",INDEX('Final Calculation Sheet'!$B$4:$B$40,$BJ20-3)),IF(OR($BI20=1,$BH20&gt;0),IF($BI20=1,"GRAND TOTAL  —  matching + remaining",IF($BH20=10,"REMAINING  —  did not match the search",IF($BH20=9,"ALL LOTS  —  nothing typed in the box","GROUP "&amp;$BH20&amp;" TOTAL  —  lots matching  "&amp;INDEX($AR$6:$AY$6,$BH20)))),""))</f>
        <v/>
      </c>
      <c r="E20" s="651">
        <f>IF($BJ20&gt;0,IF(INDEX('Final Calculation Sheet'!$D$4:$D$40,$BJ20-3)="","",INDEX('Final Calculation Sheet'!$D$4:$D$40,$BJ20-3)),IF(OR($BI20=1,$BH20&gt;0),"–",""))</f>
        <v/>
      </c>
      <c r="F20" s="651">
        <f>IF($BJ20&gt;0,IF(INDEX('Final Calculation Sheet'!$A$4:$A$40,$BJ20-3)="","",INDEX('Final Calculation Sheet'!$A$4:$A$40,$BJ20-3)),IF($BI20=1,SUM('Final Calculation Sheet'!$A$4:$A$40),IF($BH20&gt;0,SUMIFS('Final Calculation Sheet'!$A$4:$A$40,$AZ$5:$AZ$41,$BH20),"")))</f>
        <v/>
      </c>
      <c r="G20" s="651">
        <f>IF($BJ20&gt;0,IF(INDEX('Final Calculation Sheet'!$E$4:$E$40,$BJ20-3)="","",INDEX('Final Calculation Sheet'!$E$4:$E$40,$BJ20-3)),IF(OR($BI20=1,$BH20&gt;0),"–",""))</f>
        <v/>
      </c>
      <c r="H20" s="652">
        <f>IF($BJ20&gt;0,IF(INDEX('Final Calculation Sheet'!$C$4:$C$40,$BJ20-3)="","",INDEX('Final Calculation Sheet'!$C$4:$C$40,$BJ20-3)),IF(OR($BI20=1,$BH20&gt;0),"–",""))</f>
        <v/>
      </c>
      <c r="I20" s="652">
        <f>IF($BJ20&gt;0,IF(INDEX('Final Calculation Sheet'!$H$4:$H$40,$BJ20-3)="","",INDEX('Final Calculation Sheet'!$H$4:$H$40,$BJ20-3)),IF($BI20=1,SUM('Final Calculation Sheet'!$H$4:$H$40),IF($BH20&gt;0,SUMIFS('Final Calculation Sheet'!$H$4:$H$40,$AZ$5:$AZ$41,$BH20),"")))</f>
        <v/>
      </c>
      <c r="J20" s="652">
        <f>IF($BJ20&gt;0,IF(INDEX('Final Calculation Sheet'!$I$4:$I$40,$BJ20-3)="","",INDEX('Final Calculation Sheet'!$I$4:$I$40,$BJ20-3)),IF($BI20=1,SUM('Final Calculation Sheet'!$I$4:$I$40),IF($BH20&gt;0,SUMIFS('Final Calculation Sheet'!$I$4:$I$40,$AZ$5:$AZ$41,$BH20),"")))</f>
        <v/>
      </c>
      <c r="K20" s="652">
        <f>IF($BJ20&gt;0,IF(INDEX('Final Calculation Sheet'!$J$4:$J$40,$BJ20-3)="","",INDEX('Final Calculation Sheet'!$J$4:$J$40,$BJ20-3)),IF($BI20=1,SUM('Final Calculation Sheet'!$J$4:$J$40),IF($BH20&gt;0,SUMIFS('Final Calculation Sheet'!$J$4:$J$40,$AZ$5:$AZ$41,$BH20),"")))</f>
        <v/>
      </c>
      <c r="L20" s="652">
        <f>IF($BJ20&gt;0,IF(INDEX('Final Calculation Sheet'!$K$4:$K$40,$BJ20-3)="","",INDEX('Final Calculation Sheet'!$K$4:$K$40,$BJ20-3)),IF($BI20=1,SUM('Final Calculation Sheet'!$K$4:$K$40),IF($BH20&gt;0,SUMIFS('Final Calculation Sheet'!$K$4:$K$40,$AZ$5:$AZ$41,$BH20),"")))</f>
        <v/>
      </c>
      <c r="M20" s="652">
        <f>IF($BJ20&gt;0,IF(INDEX('Final Calculation Sheet'!$L$4:$L$40,$BJ20-3)="","",INDEX('Final Calculation Sheet'!$L$4:$L$40,$BJ20-3)),IF($BI20=1,SUM('Final Calculation Sheet'!$L$4:$L$40),IF($BH20&gt;0,SUMIFS('Final Calculation Sheet'!$L$4:$L$40,$AZ$5:$AZ$41,$BH20),"")))</f>
        <v/>
      </c>
      <c r="N20" s="652">
        <f>IF($BJ20&gt;0,IF(INDEX('Final Calculation Sheet'!$M$4:$M$40,$BJ20-3)="","",INDEX('Final Calculation Sheet'!$M$4:$M$40,$BJ20-3)),IF($BI20=1,SUM('Final Calculation Sheet'!$M$4:$M$40),IF($BH20&gt;0,SUMIFS('Final Calculation Sheet'!$M$4:$M$40,$AZ$5:$AZ$41,$BH20),"")))</f>
        <v/>
      </c>
      <c r="O20" s="653">
        <f>IF($BJ20&gt;0,IF(INDEX('Final Calculation Sheet'!$N$4:$N$40,$BJ20-3)="","",INDEX('Final Calculation Sheet'!$N$4:$N$40,$BJ20-3)),IF($BI20=1,SUM('Final Calculation Sheet'!$N$4:$N$40),IF($BH20&gt;0,SUMIFS('Final Calculation Sheet'!$N$4:$N$40,$AZ$5:$AZ$41,$BH20),"")))</f>
        <v/>
      </c>
      <c r="P20" s="652">
        <f>IF($BJ20&gt;0,IF(INDEX('Final Calculation Sheet'!$O$4:$O$40,$BJ20-3)="","",INDEX('Final Calculation Sheet'!$O$4:$O$40,$BJ20-3)),IF($BI20=1,SUM('Final Calculation Sheet'!$O$4:$O$40),IF($BH20&gt;0,SUMIFS('Final Calculation Sheet'!$O$4:$O$40,$AZ$5:$AZ$41,$BH20),"")))</f>
        <v/>
      </c>
      <c r="Q20" s="652">
        <f>IF($BJ20&gt;0,IF(INDEX('Final Calculation Sheet'!$P$4:$P$40,$BJ20-3)="","",INDEX('Final Calculation Sheet'!$P$4:$P$40,$BJ20-3)),IF($BI20=1,SUM('Final Calculation Sheet'!$P$4:$P$40),IF($BH20&gt;0,SUMIFS('Final Calculation Sheet'!$P$4:$P$40,$AZ$5:$AZ$41,$BH20),"")))</f>
        <v/>
      </c>
      <c r="R20" s="654">
        <f>IF($BJ20&gt;0,IF(INDEX('Final Calculation Sheet'!$Q$4:$Q$40,$BJ20-3)="","",INDEX('Final Calculation Sheet'!$Q$4:$Q$40,$BJ20-3)),IF(OR($BI20=1,$BH20&gt;0),"–",""))</f>
        <v/>
      </c>
      <c r="S20" s="652">
        <f>IF($BJ20&gt;0,IF(INDEX('Final Calculation Sheet'!$R$4:$R$40,$BJ20-3)="","",INDEX('Final Calculation Sheet'!$R$4:$R$40,$BJ20-3)),IF($BI20=1,SUM('Final Calculation Sheet'!$R$4:$R$40),IF($BH20&gt;0,SUMIFS('Final Calculation Sheet'!$R$4:$R$40,$AZ$5:$AZ$41,$BH20),"")))</f>
        <v/>
      </c>
      <c r="T20" s="652">
        <f>IF($BJ20&gt;0,IF(INDEX('Final Calculation Sheet'!$S$4:$S$40,$BJ20-3)="","",INDEX('Final Calculation Sheet'!$S$4:$S$40,$BJ20-3)),IF($BI20=1,SUM('Final Calculation Sheet'!$S$4:$S$40),IF($BH20&gt;0,SUMIFS('Final Calculation Sheet'!$S$4:$S$40,$AZ$5:$AZ$41,$BH20),"")))</f>
        <v/>
      </c>
      <c r="U20" s="652">
        <f>IF($BJ20&gt;0,IF(INDEX('Final Calculation Sheet'!$T$4:$T$40,$BJ20-3)="","",INDEX('Final Calculation Sheet'!$T$4:$T$40,$BJ20-3)),IF($BI20=1,SUM('Final Calculation Sheet'!$T$4:$T$40),IF($BH20&gt;0,SUMIFS('Final Calculation Sheet'!$T$4:$T$40,$AZ$5:$AZ$41,$BH20),"")))</f>
        <v/>
      </c>
      <c r="V20" s="655">
        <f>IF($BJ20&gt;0,IF(INDEX('Final Calculation Sheet'!$U$4:$U$40,$BJ20-3)="","",INDEX('Final Calculation Sheet'!$U$4:$U$40,$BJ20-3)),IF($BI20=1,SUM('Final Calculation Sheet'!$U$4:$U$40),IF($BH20&gt;0,SUMIFS('Final Calculation Sheet'!$U$4:$U$40,$AZ$5:$AZ$41,$BH20),"")))</f>
        <v/>
      </c>
      <c r="W20" s="652">
        <f>IF($BJ20&gt;0,IF(INDEX('Final Calculation Sheet'!$V$4:$V$40,$BJ20-3)="","",INDEX('Final Calculation Sheet'!$V$4:$V$40,$BJ20-3)),IF(OR($BI20=1,$BH20&gt;0),"–",""))</f>
        <v/>
      </c>
      <c r="X20" s="652">
        <f>IF($BJ20&gt;0,IF(INDEX('Final Calculation Sheet'!$W$4:$W$40,$BJ20-3)="","",INDEX('Final Calculation Sheet'!$W$4:$W$40,$BJ20-3)),IF($BI20=1,SUM('Final Calculation Sheet'!$W$4:$W$40),IF($BH20&gt;0,SUMIFS('Final Calculation Sheet'!$W$4:$W$40,$AZ$5:$AZ$41,$BH20),"")))</f>
        <v/>
      </c>
      <c r="Y20" s="652">
        <f>IF($BJ20&gt;0,IF(INDEX('Final Calculation Sheet'!$X$4:$X$40,$BJ20-3)="","",INDEX('Final Calculation Sheet'!$X$4:$X$40,$BJ20-3)),IF($BI20=1,SUM('Final Calculation Sheet'!$X$4:$X$40),IF($BH20&gt;0,SUMIFS('Final Calculation Sheet'!$X$4:$X$40,$AZ$5:$AZ$41,$BH20),"")))</f>
        <v/>
      </c>
      <c r="Z20" s="652">
        <f>IF($BJ20&gt;0,IF(INDEX('Final Calculation Sheet'!$Y$4:$Y$40,$BJ20-3)="","",INDEX('Final Calculation Sheet'!$Y$4:$Y$40,$BJ20-3)),IF(OR($BI20=1,$BH20&gt;0),"–",""))</f>
        <v/>
      </c>
      <c r="AA20" s="652">
        <f>IF($BJ20&gt;0,IF(INDEX('Final Calculation Sheet'!$Z$4:$Z$40,$BJ20-3)="","",INDEX('Final Calculation Sheet'!$Z$4:$Z$40,$BJ20-3)),IF($BI20=1,SUM('Final Calculation Sheet'!$Z$4:$Z$40),IF($BH20&gt;0,SUMIFS('Final Calculation Sheet'!$Z$4:$Z$40,$AZ$5:$AZ$41,$BH20),"")))</f>
        <v/>
      </c>
      <c r="AB20" s="652">
        <f>IF($BJ20&gt;0,IF(INDEX('Final Calculation Sheet'!$AA$4:$AA$40,$BJ20-3)="","",INDEX('Final Calculation Sheet'!$AA$4:$AA$40,$BJ20-3)),IF($BI20=1,SUM('Final Calculation Sheet'!$AA$4:$AA$40),IF($BH20&gt;0,SUMIFS('Final Calculation Sheet'!$AA$4:$AA$40,$AZ$5:$AZ$41,$BH20),"")))</f>
        <v/>
      </c>
      <c r="AC20" s="652">
        <f>IF($BJ20&gt;0,IF(INDEX('Final Calculation Sheet'!$AB$4:$AB$40,$BJ20-3)="","",INDEX('Final Calculation Sheet'!$AB$4:$AB$40,$BJ20-3)),IF(OR($BI20=1,$BH20&gt;0),"–",""))</f>
        <v/>
      </c>
      <c r="AD20" s="652">
        <f>IF($BJ20&gt;0,IF(INDEX('Final Calculation Sheet'!$AC$4:$AC$40,$BJ20-3)="","",INDEX('Final Calculation Sheet'!$AC$4:$AC$40,$BJ20-3)),IF($BI20=1,SUM('Final Calculation Sheet'!$AC$4:$AC$40),IF($BH20&gt;0,SUMIFS('Final Calculation Sheet'!$AC$4:$AC$40,$AZ$5:$AZ$41,$BH20),"")))</f>
        <v/>
      </c>
      <c r="AE20" s="652">
        <f>IF($BJ20&gt;0,IF(INDEX('Final Calculation Sheet'!$AD$4:$AD$40,$BJ20-3)="","",INDEX('Final Calculation Sheet'!$AD$4:$AD$40,$BJ20-3)),IF($BI20=1,SUM('Final Calculation Sheet'!$AD$4:$AD$40),IF($BH20&gt;0,SUMIFS('Final Calculation Sheet'!$AD$4:$AD$40,$AZ$5:$AZ$41,$BH20),"")))</f>
        <v/>
      </c>
      <c r="AF20" s="652">
        <f>IF($BJ20&gt;0,IF(INDEX('Final Calculation Sheet'!$AE$4:$AE$40,$BJ20-3)="","",INDEX('Final Calculation Sheet'!$AE$4:$AE$40,$BJ20-3)),IF(OR($BI20=1,$BH20&gt;0),"–",""))</f>
        <v/>
      </c>
      <c r="AG20" s="656">
        <f>IF($BJ20&gt;0,IF(INDEX('Final Calculation Sheet'!$AF$4:$AF$40,$BJ20-3)="","",INDEX('Final Calculation Sheet'!$AF$4:$AF$40,$BJ20-3)),IF(OR($BI20=1,$BH20&gt;0),"–",""))</f>
        <v/>
      </c>
      <c r="AH20" s="652">
        <f>IF($BJ20&gt;0,IF(INDEX('Final Calculation Sheet'!$AG$4:$AG$40,$BJ20-3)="","",INDEX('Final Calculation Sheet'!$AG$4:$AG$40,$BJ20-3)),IF(OR($BI20=1,$BH20&gt;0),"–",""))</f>
        <v/>
      </c>
      <c r="AI20" s="657">
        <f>IF($BJ20&gt;0,IF(INDEX('Final Calculation Sheet'!$AD$4:$AD$40,$BJ20-3)="","",IF(INDEX('Final Calculation Sheet'!$AD$4:$AD$40,$BJ20-3)&lt;=0,"SETTLED","OUTSTANDING")),IF(OR($BI20=1,$BH20&gt;0),IF(IF($BI20=1,SUM('Final Calculation Sheet'!$AD$4:$AD$40),SUMIFS('Final Calculation Sheet'!$AD$4:$AD$40,$AZ$5:$AZ$41,$BH20))&lt;=0,"ALL SETTLED","OUTSTANDING"),""))</f>
        <v/>
      </c>
      <c r="AK20">
        <f>IF($F$3="Lot No.",'Final Calculation Sheet'!$F$19,IF($F$3="Buyer",'Final Calculation Sheet'!$G$19,IF($F$3="Lot Name",'Final Calculation Sheet'!$B$19,IF($F$3="Bid Sheet",'Final Calculation Sheet'!$D$19,IF($F$3="Unit",'Final Calculation Sheet'!$E$19,'Final Calculation Sheet'!$F$19&amp;" "&amp;'Final Calculation Sheet'!$G$19&amp;" "&amp;'Final Calculation Sheet'!$B$19)))))</f>
        <v/>
      </c>
      <c r="AM20">
        <f>IF($B$3="",1,IF(AND(IF(COUNTIF($AR$9:$AY$9,1)=0,TRUE,SUMPRODUCT(($AR$9:$AY$9=1)*($AR$6:$AY$6&lt;&gt;"")*ISNUMBER(SEARCH($AR$6:$AY$6,$AK20)))&gt;0),IF(COUNTIF($AR$9:$AY$9,2)=0,TRUE,SUMPRODUCT(($AR$9:$AY$9=2)*($AR$6:$AY$6&lt;&gt;"")*ISNUMBER(SEARCH($AR$6:$AY$6,$AK20)))&gt;0),IF(COUNTIF($AR$9:$AY$9,3)=0,TRUE,SUMPRODUCT(($AR$9:$AY$9=3)*($AR$6:$AY$6&lt;&gt;"")*ISNUMBER(SEARCH($AR$6:$AY$6,$AK20)))&gt;0),IF(COUNTIF($AR$9:$AY$9,4)=0,TRUE,SUMPRODUCT(($AR$9:$AY$9=4)*($AR$6:$AY$6&lt;&gt;"")*ISNUMBER(SEARCH($AR$6:$AY$6,$AK20)))&gt;0),IF(COUNTIF($AR$9:$AY$9,5)=0,TRUE,SUMPRODUCT(($AR$9:$AY$9=5)*($AR$6:$AY$6&lt;&gt;"")*ISNUMBER(SEARCH($AR$6:$AY$6,$AK20)))&gt;0),IF(COUNTIF($AR$9:$AY$9,6)=0,TRUE,SUMPRODUCT(($AR$9:$AY$9=6)*($AR$6:$AY$6&lt;&gt;"")*ISNUMBER(SEARCH($AR$6:$AY$6,$AK20)))&gt;0),IF(COUNTIF($AR$9:$AY$9,7)=0,TRUE,SUMPRODUCT(($AR$9:$AY$9=7)*($AR$6:$AY$6&lt;&gt;"")*ISNUMBER(SEARCH($AR$6:$AY$6,$AK20)))&gt;0),IF(COUNTIF($AR$9:$AY$9,8)=0,TRUE,SUMPRODUCT(($AR$9:$AY$9=8)*($AR$6:$AY$6&lt;&gt;"")*ISNUMBER(SEARCH($AR$6:$AY$6,$AK20)))&gt;0)),1,0))</f>
        <v/>
      </c>
      <c r="AZ20">
        <f>IF($B$3="",9,IF($AM20=0,10,IF(AND($AR$6&lt;&gt;"",ISNUMBER(SEARCH($AR$6,$AK20))),1,IF(AND($AS$6&lt;&gt;"",ISNUMBER(SEARCH($AS$6,$AK20))),2,IF(AND($AT$6&lt;&gt;"",ISNUMBER(SEARCH($AT$6,$AK20))),3,IF(AND($AU$6&lt;&gt;"",ISNUMBER(SEARCH($AU$6,$AK20))),4,IF(AND($AV$6&lt;&gt;"",ISNUMBER(SEARCH($AV$6,$AK20))),5,IF(AND($AW$6&lt;&gt;"",ISNUMBER(SEARCH($AW$6,$AK20))),6,IF(AND($AX$6&lt;&gt;"",ISNUMBER(SEARCH($AX$6,$AK20))),7,IF(AND($AY$6&lt;&gt;"",ISNUMBER(SEARCH($AY$6,$AK20))),8,0))))))))))</f>
        <v/>
      </c>
      <c r="BA20">
        <f>SUMPRODUCT(($AZ$5:$AZ$41=$AZ20)*($BC$5:$BC$41&lt;$BC20))+1</f>
        <v/>
      </c>
      <c r="BB20">
        <f>IF(INDEX($BF$4:$BF$13,$AZ20)=0,0,INDEX($BE$4:$BE$13,$AZ20)+$BA20-1)</f>
        <v/>
      </c>
      <c r="BC20" t="n">
        <v>19</v>
      </c>
      <c r="BH20">
        <f>IFERROR(MATCH(20,$BF$4:$BF$13,0),0)</f>
        <v/>
      </c>
      <c r="BI20">
        <f>IF(20=$BG$4,1,0)</f>
        <v/>
      </c>
      <c r="BJ20">
        <f>IF(OR($BH20&gt;0,$BI20=1),0,IFERROR(INDEX($BC$5:$BC$41,MATCH(20,$BB$5:$BB$41,0)),0))</f>
        <v/>
      </c>
      <c r="BK20">
        <f>IF($BJ20&gt;0,IF(INDEX($AZ$5:$AZ$41,MATCH(20,$BB$5:$BB$41,0))=10,1,0),IF($BH20=10,1,0))</f>
        <v/>
      </c>
    </row>
    <row r="21" ht="15" customHeight="1">
      <c r="A21" s="649">
        <f>IF($BJ21&gt;0,INDEX($BA$5:$BA$41,MATCH(21,$BB$5:$BB$41,0)),IF(OR($BI21=1,$BH21&gt;0),"∑",""))</f>
        <v/>
      </c>
      <c r="B21" s="650">
        <f>IF($BJ21&gt;0,IF(INDEX('Final Calculation Sheet'!$F$4:$F$40,$BJ21-3)="","",INDEX('Final Calculation Sheet'!$F$4:$F$40,$BJ21-3)),"")</f>
        <v/>
      </c>
      <c r="C21" s="650">
        <f>IF($BJ21&gt;0,IF(INDEX('Final Calculation Sheet'!$G$4:$G$40,$BJ21-3)="","",INDEX('Final Calculation Sheet'!$G$4:$G$40,$BJ21-3)),IF(OR($BI21=1,$BH21&gt;0),IF($BI21=1,37,INDEX($BD$4:$BD$13,$BH21))&amp;" lot(s)",""))</f>
        <v/>
      </c>
      <c r="D21" s="651">
        <f>IF($BJ21&gt;0,IF(INDEX('Final Calculation Sheet'!$B$4:$B$40,$BJ21-3)="","",INDEX('Final Calculation Sheet'!$B$4:$B$40,$BJ21-3)),IF(OR($BI21=1,$BH21&gt;0),IF($BI21=1,"GRAND TOTAL  —  matching + remaining",IF($BH21=10,"REMAINING  —  did not match the search",IF($BH21=9,"ALL LOTS  —  nothing typed in the box","GROUP "&amp;$BH21&amp;" TOTAL  —  lots matching  "&amp;INDEX($AR$6:$AY$6,$BH21)))),""))</f>
        <v/>
      </c>
      <c r="E21" s="651">
        <f>IF($BJ21&gt;0,IF(INDEX('Final Calculation Sheet'!$D$4:$D$40,$BJ21-3)="","",INDEX('Final Calculation Sheet'!$D$4:$D$40,$BJ21-3)),IF(OR($BI21=1,$BH21&gt;0),"–",""))</f>
        <v/>
      </c>
      <c r="F21" s="651">
        <f>IF($BJ21&gt;0,IF(INDEX('Final Calculation Sheet'!$A$4:$A$40,$BJ21-3)="","",INDEX('Final Calculation Sheet'!$A$4:$A$40,$BJ21-3)),IF($BI21=1,SUM('Final Calculation Sheet'!$A$4:$A$40),IF($BH21&gt;0,SUMIFS('Final Calculation Sheet'!$A$4:$A$40,$AZ$5:$AZ$41,$BH21),"")))</f>
        <v/>
      </c>
      <c r="G21" s="651">
        <f>IF($BJ21&gt;0,IF(INDEX('Final Calculation Sheet'!$E$4:$E$40,$BJ21-3)="","",INDEX('Final Calculation Sheet'!$E$4:$E$40,$BJ21-3)),IF(OR($BI21=1,$BH21&gt;0),"–",""))</f>
        <v/>
      </c>
      <c r="H21" s="652">
        <f>IF($BJ21&gt;0,IF(INDEX('Final Calculation Sheet'!$C$4:$C$40,$BJ21-3)="","",INDEX('Final Calculation Sheet'!$C$4:$C$40,$BJ21-3)),IF(OR($BI21=1,$BH21&gt;0),"–",""))</f>
        <v/>
      </c>
      <c r="I21" s="652">
        <f>IF($BJ21&gt;0,IF(INDEX('Final Calculation Sheet'!$H$4:$H$40,$BJ21-3)="","",INDEX('Final Calculation Sheet'!$H$4:$H$40,$BJ21-3)),IF($BI21=1,SUM('Final Calculation Sheet'!$H$4:$H$40),IF($BH21&gt;0,SUMIFS('Final Calculation Sheet'!$H$4:$H$40,$AZ$5:$AZ$41,$BH21),"")))</f>
        <v/>
      </c>
      <c r="J21" s="652">
        <f>IF($BJ21&gt;0,IF(INDEX('Final Calculation Sheet'!$I$4:$I$40,$BJ21-3)="","",INDEX('Final Calculation Sheet'!$I$4:$I$40,$BJ21-3)),IF($BI21=1,SUM('Final Calculation Sheet'!$I$4:$I$40),IF($BH21&gt;0,SUMIFS('Final Calculation Sheet'!$I$4:$I$40,$AZ$5:$AZ$41,$BH21),"")))</f>
        <v/>
      </c>
      <c r="K21" s="652">
        <f>IF($BJ21&gt;0,IF(INDEX('Final Calculation Sheet'!$J$4:$J$40,$BJ21-3)="","",INDEX('Final Calculation Sheet'!$J$4:$J$40,$BJ21-3)),IF($BI21=1,SUM('Final Calculation Sheet'!$J$4:$J$40),IF($BH21&gt;0,SUMIFS('Final Calculation Sheet'!$J$4:$J$40,$AZ$5:$AZ$41,$BH21),"")))</f>
        <v/>
      </c>
      <c r="L21" s="652">
        <f>IF($BJ21&gt;0,IF(INDEX('Final Calculation Sheet'!$K$4:$K$40,$BJ21-3)="","",INDEX('Final Calculation Sheet'!$K$4:$K$40,$BJ21-3)),IF($BI21=1,SUM('Final Calculation Sheet'!$K$4:$K$40),IF($BH21&gt;0,SUMIFS('Final Calculation Sheet'!$K$4:$K$40,$AZ$5:$AZ$41,$BH21),"")))</f>
        <v/>
      </c>
      <c r="M21" s="652">
        <f>IF($BJ21&gt;0,IF(INDEX('Final Calculation Sheet'!$L$4:$L$40,$BJ21-3)="","",INDEX('Final Calculation Sheet'!$L$4:$L$40,$BJ21-3)),IF($BI21=1,SUM('Final Calculation Sheet'!$L$4:$L$40),IF($BH21&gt;0,SUMIFS('Final Calculation Sheet'!$L$4:$L$40,$AZ$5:$AZ$41,$BH21),"")))</f>
        <v/>
      </c>
      <c r="N21" s="652">
        <f>IF($BJ21&gt;0,IF(INDEX('Final Calculation Sheet'!$M$4:$M$40,$BJ21-3)="","",INDEX('Final Calculation Sheet'!$M$4:$M$40,$BJ21-3)),IF($BI21=1,SUM('Final Calculation Sheet'!$M$4:$M$40),IF($BH21&gt;0,SUMIFS('Final Calculation Sheet'!$M$4:$M$40,$AZ$5:$AZ$41,$BH21),"")))</f>
        <v/>
      </c>
      <c r="O21" s="653">
        <f>IF($BJ21&gt;0,IF(INDEX('Final Calculation Sheet'!$N$4:$N$40,$BJ21-3)="","",INDEX('Final Calculation Sheet'!$N$4:$N$40,$BJ21-3)),IF($BI21=1,SUM('Final Calculation Sheet'!$N$4:$N$40),IF($BH21&gt;0,SUMIFS('Final Calculation Sheet'!$N$4:$N$40,$AZ$5:$AZ$41,$BH21),"")))</f>
        <v/>
      </c>
      <c r="P21" s="652">
        <f>IF($BJ21&gt;0,IF(INDEX('Final Calculation Sheet'!$O$4:$O$40,$BJ21-3)="","",INDEX('Final Calculation Sheet'!$O$4:$O$40,$BJ21-3)),IF($BI21=1,SUM('Final Calculation Sheet'!$O$4:$O$40),IF($BH21&gt;0,SUMIFS('Final Calculation Sheet'!$O$4:$O$40,$AZ$5:$AZ$41,$BH21),"")))</f>
        <v/>
      </c>
      <c r="Q21" s="652">
        <f>IF($BJ21&gt;0,IF(INDEX('Final Calculation Sheet'!$P$4:$P$40,$BJ21-3)="","",INDEX('Final Calculation Sheet'!$P$4:$P$40,$BJ21-3)),IF($BI21=1,SUM('Final Calculation Sheet'!$P$4:$P$40),IF($BH21&gt;0,SUMIFS('Final Calculation Sheet'!$P$4:$P$40,$AZ$5:$AZ$41,$BH21),"")))</f>
        <v/>
      </c>
      <c r="R21" s="654">
        <f>IF($BJ21&gt;0,IF(INDEX('Final Calculation Sheet'!$Q$4:$Q$40,$BJ21-3)="","",INDEX('Final Calculation Sheet'!$Q$4:$Q$40,$BJ21-3)),IF(OR($BI21=1,$BH21&gt;0),"–",""))</f>
        <v/>
      </c>
      <c r="S21" s="652">
        <f>IF($BJ21&gt;0,IF(INDEX('Final Calculation Sheet'!$R$4:$R$40,$BJ21-3)="","",INDEX('Final Calculation Sheet'!$R$4:$R$40,$BJ21-3)),IF($BI21=1,SUM('Final Calculation Sheet'!$R$4:$R$40),IF($BH21&gt;0,SUMIFS('Final Calculation Sheet'!$R$4:$R$40,$AZ$5:$AZ$41,$BH21),"")))</f>
        <v/>
      </c>
      <c r="T21" s="652">
        <f>IF($BJ21&gt;0,IF(INDEX('Final Calculation Sheet'!$S$4:$S$40,$BJ21-3)="","",INDEX('Final Calculation Sheet'!$S$4:$S$40,$BJ21-3)),IF($BI21=1,SUM('Final Calculation Sheet'!$S$4:$S$40),IF($BH21&gt;0,SUMIFS('Final Calculation Sheet'!$S$4:$S$40,$AZ$5:$AZ$41,$BH21),"")))</f>
        <v/>
      </c>
      <c r="U21" s="652">
        <f>IF($BJ21&gt;0,IF(INDEX('Final Calculation Sheet'!$T$4:$T$40,$BJ21-3)="","",INDEX('Final Calculation Sheet'!$T$4:$T$40,$BJ21-3)),IF($BI21=1,SUM('Final Calculation Sheet'!$T$4:$T$40),IF($BH21&gt;0,SUMIFS('Final Calculation Sheet'!$T$4:$T$40,$AZ$5:$AZ$41,$BH21),"")))</f>
        <v/>
      </c>
      <c r="V21" s="655">
        <f>IF($BJ21&gt;0,IF(INDEX('Final Calculation Sheet'!$U$4:$U$40,$BJ21-3)="","",INDEX('Final Calculation Sheet'!$U$4:$U$40,$BJ21-3)),IF($BI21=1,SUM('Final Calculation Sheet'!$U$4:$U$40),IF($BH21&gt;0,SUMIFS('Final Calculation Sheet'!$U$4:$U$40,$AZ$5:$AZ$41,$BH21),"")))</f>
        <v/>
      </c>
      <c r="W21" s="652">
        <f>IF($BJ21&gt;0,IF(INDEX('Final Calculation Sheet'!$V$4:$V$40,$BJ21-3)="","",INDEX('Final Calculation Sheet'!$V$4:$V$40,$BJ21-3)),IF(OR($BI21=1,$BH21&gt;0),"–",""))</f>
        <v/>
      </c>
      <c r="X21" s="652">
        <f>IF($BJ21&gt;0,IF(INDEX('Final Calculation Sheet'!$W$4:$W$40,$BJ21-3)="","",INDEX('Final Calculation Sheet'!$W$4:$W$40,$BJ21-3)),IF($BI21=1,SUM('Final Calculation Sheet'!$W$4:$W$40),IF($BH21&gt;0,SUMIFS('Final Calculation Sheet'!$W$4:$W$40,$AZ$5:$AZ$41,$BH21),"")))</f>
        <v/>
      </c>
      <c r="Y21" s="652">
        <f>IF($BJ21&gt;0,IF(INDEX('Final Calculation Sheet'!$X$4:$X$40,$BJ21-3)="","",INDEX('Final Calculation Sheet'!$X$4:$X$40,$BJ21-3)),IF($BI21=1,SUM('Final Calculation Sheet'!$X$4:$X$40),IF($BH21&gt;0,SUMIFS('Final Calculation Sheet'!$X$4:$X$40,$AZ$5:$AZ$41,$BH21),"")))</f>
        <v/>
      </c>
      <c r="Z21" s="652">
        <f>IF($BJ21&gt;0,IF(INDEX('Final Calculation Sheet'!$Y$4:$Y$40,$BJ21-3)="","",INDEX('Final Calculation Sheet'!$Y$4:$Y$40,$BJ21-3)),IF(OR($BI21=1,$BH21&gt;0),"–",""))</f>
        <v/>
      </c>
      <c r="AA21" s="652">
        <f>IF($BJ21&gt;0,IF(INDEX('Final Calculation Sheet'!$Z$4:$Z$40,$BJ21-3)="","",INDEX('Final Calculation Sheet'!$Z$4:$Z$40,$BJ21-3)),IF($BI21=1,SUM('Final Calculation Sheet'!$Z$4:$Z$40),IF($BH21&gt;0,SUMIFS('Final Calculation Sheet'!$Z$4:$Z$40,$AZ$5:$AZ$41,$BH21),"")))</f>
        <v/>
      </c>
      <c r="AB21" s="652">
        <f>IF($BJ21&gt;0,IF(INDEX('Final Calculation Sheet'!$AA$4:$AA$40,$BJ21-3)="","",INDEX('Final Calculation Sheet'!$AA$4:$AA$40,$BJ21-3)),IF($BI21=1,SUM('Final Calculation Sheet'!$AA$4:$AA$40),IF($BH21&gt;0,SUMIFS('Final Calculation Sheet'!$AA$4:$AA$40,$AZ$5:$AZ$41,$BH21),"")))</f>
        <v/>
      </c>
      <c r="AC21" s="652">
        <f>IF($BJ21&gt;0,IF(INDEX('Final Calculation Sheet'!$AB$4:$AB$40,$BJ21-3)="","",INDEX('Final Calculation Sheet'!$AB$4:$AB$40,$BJ21-3)),IF(OR($BI21=1,$BH21&gt;0),"–",""))</f>
        <v/>
      </c>
      <c r="AD21" s="652">
        <f>IF($BJ21&gt;0,IF(INDEX('Final Calculation Sheet'!$AC$4:$AC$40,$BJ21-3)="","",INDEX('Final Calculation Sheet'!$AC$4:$AC$40,$BJ21-3)),IF($BI21=1,SUM('Final Calculation Sheet'!$AC$4:$AC$40),IF($BH21&gt;0,SUMIFS('Final Calculation Sheet'!$AC$4:$AC$40,$AZ$5:$AZ$41,$BH21),"")))</f>
        <v/>
      </c>
      <c r="AE21" s="652">
        <f>IF($BJ21&gt;0,IF(INDEX('Final Calculation Sheet'!$AD$4:$AD$40,$BJ21-3)="","",INDEX('Final Calculation Sheet'!$AD$4:$AD$40,$BJ21-3)),IF($BI21=1,SUM('Final Calculation Sheet'!$AD$4:$AD$40),IF($BH21&gt;0,SUMIFS('Final Calculation Sheet'!$AD$4:$AD$40,$AZ$5:$AZ$41,$BH21),"")))</f>
        <v/>
      </c>
      <c r="AF21" s="652">
        <f>IF($BJ21&gt;0,IF(INDEX('Final Calculation Sheet'!$AE$4:$AE$40,$BJ21-3)="","",INDEX('Final Calculation Sheet'!$AE$4:$AE$40,$BJ21-3)),IF(OR($BI21=1,$BH21&gt;0),"–",""))</f>
        <v/>
      </c>
      <c r="AG21" s="656">
        <f>IF($BJ21&gt;0,IF(INDEX('Final Calculation Sheet'!$AF$4:$AF$40,$BJ21-3)="","",INDEX('Final Calculation Sheet'!$AF$4:$AF$40,$BJ21-3)),IF(OR($BI21=1,$BH21&gt;0),"–",""))</f>
        <v/>
      </c>
      <c r="AH21" s="652">
        <f>IF($BJ21&gt;0,IF(INDEX('Final Calculation Sheet'!$AG$4:$AG$40,$BJ21-3)="","",INDEX('Final Calculation Sheet'!$AG$4:$AG$40,$BJ21-3)),IF(OR($BI21=1,$BH21&gt;0),"–",""))</f>
        <v/>
      </c>
      <c r="AI21" s="657">
        <f>IF($BJ21&gt;0,IF(INDEX('Final Calculation Sheet'!$AD$4:$AD$40,$BJ21-3)="","",IF(INDEX('Final Calculation Sheet'!$AD$4:$AD$40,$BJ21-3)&lt;=0,"SETTLED","OUTSTANDING")),IF(OR($BI21=1,$BH21&gt;0),IF(IF($BI21=1,SUM('Final Calculation Sheet'!$AD$4:$AD$40),SUMIFS('Final Calculation Sheet'!$AD$4:$AD$40,$AZ$5:$AZ$41,$BH21))&lt;=0,"ALL SETTLED","OUTSTANDING"),""))</f>
        <v/>
      </c>
      <c r="AK21">
        <f>IF($F$3="Lot No.",'Final Calculation Sheet'!$F$20,IF($F$3="Buyer",'Final Calculation Sheet'!$G$20,IF($F$3="Lot Name",'Final Calculation Sheet'!$B$20,IF($F$3="Bid Sheet",'Final Calculation Sheet'!$D$20,IF($F$3="Unit",'Final Calculation Sheet'!$E$20,'Final Calculation Sheet'!$F$20&amp;" "&amp;'Final Calculation Sheet'!$G$20&amp;" "&amp;'Final Calculation Sheet'!$B$20)))))</f>
        <v/>
      </c>
      <c r="AM21">
        <f>IF($B$3="",1,IF(AND(IF(COUNTIF($AR$9:$AY$9,1)=0,TRUE,SUMPRODUCT(($AR$9:$AY$9=1)*($AR$6:$AY$6&lt;&gt;"")*ISNUMBER(SEARCH($AR$6:$AY$6,$AK21)))&gt;0),IF(COUNTIF($AR$9:$AY$9,2)=0,TRUE,SUMPRODUCT(($AR$9:$AY$9=2)*($AR$6:$AY$6&lt;&gt;"")*ISNUMBER(SEARCH($AR$6:$AY$6,$AK21)))&gt;0),IF(COUNTIF($AR$9:$AY$9,3)=0,TRUE,SUMPRODUCT(($AR$9:$AY$9=3)*($AR$6:$AY$6&lt;&gt;"")*ISNUMBER(SEARCH($AR$6:$AY$6,$AK21)))&gt;0),IF(COUNTIF($AR$9:$AY$9,4)=0,TRUE,SUMPRODUCT(($AR$9:$AY$9=4)*($AR$6:$AY$6&lt;&gt;"")*ISNUMBER(SEARCH($AR$6:$AY$6,$AK21)))&gt;0),IF(COUNTIF($AR$9:$AY$9,5)=0,TRUE,SUMPRODUCT(($AR$9:$AY$9=5)*($AR$6:$AY$6&lt;&gt;"")*ISNUMBER(SEARCH($AR$6:$AY$6,$AK21)))&gt;0),IF(COUNTIF($AR$9:$AY$9,6)=0,TRUE,SUMPRODUCT(($AR$9:$AY$9=6)*($AR$6:$AY$6&lt;&gt;"")*ISNUMBER(SEARCH($AR$6:$AY$6,$AK21)))&gt;0),IF(COUNTIF($AR$9:$AY$9,7)=0,TRUE,SUMPRODUCT(($AR$9:$AY$9=7)*($AR$6:$AY$6&lt;&gt;"")*ISNUMBER(SEARCH($AR$6:$AY$6,$AK21)))&gt;0),IF(COUNTIF($AR$9:$AY$9,8)=0,TRUE,SUMPRODUCT(($AR$9:$AY$9=8)*($AR$6:$AY$6&lt;&gt;"")*ISNUMBER(SEARCH($AR$6:$AY$6,$AK21)))&gt;0)),1,0))</f>
        <v/>
      </c>
      <c r="AZ21">
        <f>IF($B$3="",9,IF($AM21=0,10,IF(AND($AR$6&lt;&gt;"",ISNUMBER(SEARCH($AR$6,$AK21))),1,IF(AND($AS$6&lt;&gt;"",ISNUMBER(SEARCH($AS$6,$AK21))),2,IF(AND($AT$6&lt;&gt;"",ISNUMBER(SEARCH($AT$6,$AK21))),3,IF(AND($AU$6&lt;&gt;"",ISNUMBER(SEARCH($AU$6,$AK21))),4,IF(AND($AV$6&lt;&gt;"",ISNUMBER(SEARCH($AV$6,$AK21))),5,IF(AND($AW$6&lt;&gt;"",ISNUMBER(SEARCH($AW$6,$AK21))),6,IF(AND($AX$6&lt;&gt;"",ISNUMBER(SEARCH($AX$6,$AK21))),7,IF(AND($AY$6&lt;&gt;"",ISNUMBER(SEARCH($AY$6,$AK21))),8,0))))))))))</f>
        <v/>
      </c>
      <c r="BA21">
        <f>SUMPRODUCT(($AZ$5:$AZ$41=$AZ21)*($BC$5:$BC$41&lt;$BC21))+1</f>
        <v/>
      </c>
      <c r="BB21">
        <f>IF(INDEX($BF$4:$BF$13,$AZ21)=0,0,INDEX($BE$4:$BE$13,$AZ21)+$BA21-1)</f>
        <v/>
      </c>
      <c r="BC21" t="n">
        <v>20</v>
      </c>
      <c r="BH21">
        <f>IFERROR(MATCH(21,$BF$4:$BF$13,0),0)</f>
        <v/>
      </c>
      <c r="BI21">
        <f>IF(21=$BG$4,1,0)</f>
        <v/>
      </c>
      <c r="BJ21">
        <f>IF(OR($BH21&gt;0,$BI21=1),0,IFERROR(INDEX($BC$5:$BC$41,MATCH(21,$BB$5:$BB$41,0)),0))</f>
        <v/>
      </c>
      <c r="BK21">
        <f>IF($BJ21&gt;0,IF(INDEX($AZ$5:$AZ$41,MATCH(21,$BB$5:$BB$41,0))=10,1,0),IF($BH21=10,1,0))</f>
        <v/>
      </c>
    </row>
    <row r="22" ht="15" customHeight="1">
      <c r="A22" s="649">
        <f>IF($BJ22&gt;0,INDEX($BA$5:$BA$41,MATCH(22,$BB$5:$BB$41,0)),IF(OR($BI22=1,$BH22&gt;0),"∑",""))</f>
        <v/>
      </c>
      <c r="B22" s="650">
        <f>IF($BJ22&gt;0,IF(INDEX('Final Calculation Sheet'!$F$4:$F$40,$BJ22-3)="","",INDEX('Final Calculation Sheet'!$F$4:$F$40,$BJ22-3)),"")</f>
        <v/>
      </c>
      <c r="C22" s="650">
        <f>IF($BJ22&gt;0,IF(INDEX('Final Calculation Sheet'!$G$4:$G$40,$BJ22-3)="","",INDEX('Final Calculation Sheet'!$G$4:$G$40,$BJ22-3)),IF(OR($BI22=1,$BH22&gt;0),IF($BI22=1,37,INDEX($BD$4:$BD$13,$BH22))&amp;" lot(s)",""))</f>
        <v/>
      </c>
      <c r="D22" s="651">
        <f>IF($BJ22&gt;0,IF(INDEX('Final Calculation Sheet'!$B$4:$B$40,$BJ22-3)="","",INDEX('Final Calculation Sheet'!$B$4:$B$40,$BJ22-3)),IF(OR($BI22=1,$BH22&gt;0),IF($BI22=1,"GRAND TOTAL  —  matching + remaining",IF($BH22=10,"REMAINING  —  did not match the search",IF($BH22=9,"ALL LOTS  —  nothing typed in the box","GROUP "&amp;$BH22&amp;" TOTAL  —  lots matching  "&amp;INDEX($AR$6:$AY$6,$BH22)))),""))</f>
        <v/>
      </c>
      <c r="E22" s="651">
        <f>IF($BJ22&gt;0,IF(INDEX('Final Calculation Sheet'!$D$4:$D$40,$BJ22-3)="","",INDEX('Final Calculation Sheet'!$D$4:$D$40,$BJ22-3)),IF(OR($BI22=1,$BH22&gt;0),"–",""))</f>
        <v/>
      </c>
      <c r="F22" s="651">
        <f>IF($BJ22&gt;0,IF(INDEX('Final Calculation Sheet'!$A$4:$A$40,$BJ22-3)="","",INDEX('Final Calculation Sheet'!$A$4:$A$40,$BJ22-3)),IF($BI22=1,SUM('Final Calculation Sheet'!$A$4:$A$40),IF($BH22&gt;0,SUMIFS('Final Calculation Sheet'!$A$4:$A$40,$AZ$5:$AZ$41,$BH22),"")))</f>
        <v/>
      </c>
      <c r="G22" s="651">
        <f>IF($BJ22&gt;0,IF(INDEX('Final Calculation Sheet'!$E$4:$E$40,$BJ22-3)="","",INDEX('Final Calculation Sheet'!$E$4:$E$40,$BJ22-3)),IF(OR($BI22=1,$BH22&gt;0),"–",""))</f>
        <v/>
      </c>
      <c r="H22" s="652">
        <f>IF($BJ22&gt;0,IF(INDEX('Final Calculation Sheet'!$C$4:$C$40,$BJ22-3)="","",INDEX('Final Calculation Sheet'!$C$4:$C$40,$BJ22-3)),IF(OR($BI22=1,$BH22&gt;0),"–",""))</f>
        <v/>
      </c>
      <c r="I22" s="652">
        <f>IF($BJ22&gt;0,IF(INDEX('Final Calculation Sheet'!$H$4:$H$40,$BJ22-3)="","",INDEX('Final Calculation Sheet'!$H$4:$H$40,$BJ22-3)),IF($BI22=1,SUM('Final Calculation Sheet'!$H$4:$H$40),IF($BH22&gt;0,SUMIFS('Final Calculation Sheet'!$H$4:$H$40,$AZ$5:$AZ$41,$BH22),"")))</f>
        <v/>
      </c>
      <c r="J22" s="652">
        <f>IF($BJ22&gt;0,IF(INDEX('Final Calculation Sheet'!$I$4:$I$40,$BJ22-3)="","",INDEX('Final Calculation Sheet'!$I$4:$I$40,$BJ22-3)),IF($BI22=1,SUM('Final Calculation Sheet'!$I$4:$I$40),IF($BH22&gt;0,SUMIFS('Final Calculation Sheet'!$I$4:$I$40,$AZ$5:$AZ$41,$BH22),"")))</f>
        <v/>
      </c>
      <c r="K22" s="652">
        <f>IF($BJ22&gt;0,IF(INDEX('Final Calculation Sheet'!$J$4:$J$40,$BJ22-3)="","",INDEX('Final Calculation Sheet'!$J$4:$J$40,$BJ22-3)),IF($BI22=1,SUM('Final Calculation Sheet'!$J$4:$J$40),IF($BH22&gt;0,SUMIFS('Final Calculation Sheet'!$J$4:$J$40,$AZ$5:$AZ$41,$BH22),"")))</f>
        <v/>
      </c>
      <c r="L22" s="652">
        <f>IF($BJ22&gt;0,IF(INDEX('Final Calculation Sheet'!$K$4:$K$40,$BJ22-3)="","",INDEX('Final Calculation Sheet'!$K$4:$K$40,$BJ22-3)),IF($BI22=1,SUM('Final Calculation Sheet'!$K$4:$K$40),IF($BH22&gt;0,SUMIFS('Final Calculation Sheet'!$K$4:$K$40,$AZ$5:$AZ$41,$BH22),"")))</f>
        <v/>
      </c>
      <c r="M22" s="652">
        <f>IF($BJ22&gt;0,IF(INDEX('Final Calculation Sheet'!$L$4:$L$40,$BJ22-3)="","",INDEX('Final Calculation Sheet'!$L$4:$L$40,$BJ22-3)),IF($BI22=1,SUM('Final Calculation Sheet'!$L$4:$L$40),IF($BH22&gt;0,SUMIFS('Final Calculation Sheet'!$L$4:$L$40,$AZ$5:$AZ$41,$BH22),"")))</f>
        <v/>
      </c>
      <c r="N22" s="652">
        <f>IF($BJ22&gt;0,IF(INDEX('Final Calculation Sheet'!$M$4:$M$40,$BJ22-3)="","",INDEX('Final Calculation Sheet'!$M$4:$M$40,$BJ22-3)),IF($BI22=1,SUM('Final Calculation Sheet'!$M$4:$M$40),IF($BH22&gt;0,SUMIFS('Final Calculation Sheet'!$M$4:$M$40,$AZ$5:$AZ$41,$BH22),"")))</f>
        <v/>
      </c>
      <c r="O22" s="653">
        <f>IF($BJ22&gt;0,IF(INDEX('Final Calculation Sheet'!$N$4:$N$40,$BJ22-3)="","",INDEX('Final Calculation Sheet'!$N$4:$N$40,$BJ22-3)),IF($BI22=1,SUM('Final Calculation Sheet'!$N$4:$N$40),IF($BH22&gt;0,SUMIFS('Final Calculation Sheet'!$N$4:$N$40,$AZ$5:$AZ$41,$BH22),"")))</f>
        <v/>
      </c>
      <c r="P22" s="652">
        <f>IF($BJ22&gt;0,IF(INDEX('Final Calculation Sheet'!$O$4:$O$40,$BJ22-3)="","",INDEX('Final Calculation Sheet'!$O$4:$O$40,$BJ22-3)),IF($BI22=1,SUM('Final Calculation Sheet'!$O$4:$O$40),IF($BH22&gt;0,SUMIFS('Final Calculation Sheet'!$O$4:$O$40,$AZ$5:$AZ$41,$BH22),"")))</f>
        <v/>
      </c>
      <c r="Q22" s="652">
        <f>IF($BJ22&gt;0,IF(INDEX('Final Calculation Sheet'!$P$4:$P$40,$BJ22-3)="","",INDEX('Final Calculation Sheet'!$P$4:$P$40,$BJ22-3)),IF($BI22=1,SUM('Final Calculation Sheet'!$P$4:$P$40),IF($BH22&gt;0,SUMIFS('Final Calculation Sheet'!$P$4:$P$40,$AZ$5:$AZ$41,$BH22),"")))</f>
        <v/>
      </c>
      <c r="R22" s="654">
        <f>IF($BJ22&gt;0,IF(INDEX('Final Calculation Sheet'!$Q$4:$Q$40,$BJ22-3)="","",INDEX('Final Calculation Sheet'!$Q$4:$Q$40,$BJ22-3)),IF(OR($BI22=1,$BH22&gt;0),"–",""))</f>
        <v/>
      </c>
      <c r="S22" s="652">
        <f>IF($BJ22&gt;0,IF(INDEX('Final Calculation Sheet'!$R$4:$R$40,$BJ22-3)="","",INDEX('Final Calculation Sheet'!$R$4:$R$40,$BJ22-3)),IF($BI22=1,SUM('Final Calculation Sheet'!$R$4:$R$40),IF($BH22&gt;0,SUMIFS('Final Calculation Sheet'!$R$4:$R$40,$AZ$5:$AZ$41,$BH22),"")))</f>
        <v/>
      </c>
      <c r="T22" s="652">
        <f>IF($BJ22&gt;0,IF(INDEX('Final Calculation Sheet'!$S$4:$S$40,$BJ22-3)="","",INDEX('Final Calculation Sheet'!$S$4:$S$40,$BJ22-3)),IF($BI22=1,SUM('Final Calculation Sheet'!$S$4:$S$40),IF($BH22&gt;0,SUMIFS('Final Calculation Sheet'!$S$4:$S$40,$AZ$5:$AZ$41,$BH22),"")))</f>
        <v/>
      </c>
      <c r="U22" s="652">
        <f>IF($BJ22&gt;0,IF(INDEX('Final Calculation Sheet'!$T$4:$T$40,$BJ22-3)="","",INDEX('Final Calculation Sheet'!$T$4:$T$40,$BJ22-3)),IF($BI22=1,SUM('Final Calculation Sheet'!$T$4:$T$40),IF($BH22&gt;0,SUMIFS('Final Calculation Sheet'!$T$4:$T$40,$AZ$5:$AZ$41,$BH22),"")))</f>
        <v/>
      </c>
      <c r="V22" s="655">
        <f>IF($BJ22&gt;0,IF(INDEX('Final Calculation Sheet'!$U$4:$U$40,$BJ22-3)="","",INDEX('Final Calculation Sheet'!$U$4:$U$40,$BJ22-3)),IF($BI22=1,SUM('Final Calculation Sheet'!$U$4:$U$40),IF($BH22&gt;0,SUMIFS('Final Calculation Sheet'!$U$4:$U$40,$AZ$5:$AZ$41,$BH22),"")))</f>
        <v/>
      </c>
      <c r="W22" s="652">
        <f>IF($BJ22&gt;0,IF(INDEX('Final Calculation Sheet'!$V$4:$V$40,$BJ22-3)="","",INDEX('Final Calculation Sheet'!$V$4:$V$40,$BJ22-3)),IF(OR($BI22=1,$BH22&gt;0),"–",""))</f>
        <v/>
      </c>
      <c r="X22" s="652">
        <f>IF($BJ22&gt;0,IF(INDEX('Final Calculation Sheet'!$W$4:$W$40,$BJ22-3)="","",INDEX('Final Calculation Sheet'!$W$4:$W$40,$BJ22-3)),IF($BI22=1,SUM('Final Calculation Sheet'!$W$4:$W$40),IF($BH22&gt;0,SUMIFS('Final Calculation Sheet'!$W$4:$W$40,$AZ$5:$AZ$41,$BH22),"")))</f>
        <v/>
      </c>
      <c r="Y22" s="652">
        <f>IF($BJ22&gt;0,IF(INDEX('Final Calculation Sheet'!$X$4:$X$40,$BJ22-3)="","",INDEX('Final Calculation Sheet'!$X$4:$X$40,$BJ22-3)),IF($BI22=1,SUM('Final Calculation Sheet'!$X$4:$X$40),IF($BH22&gt;0,SUMIFS('Final Calculation Sheet'!$X$4:$X$40,$AZ$5:$AZ$41,$BH22),"")))</f>
        <v/>
      </c>
      <c r="Z22" s="652">
        <f>IF($BJ22&gt;0,IF(INDEX('Final Calculation Sheet'!$Y$4:$Y$40,$BJ22-3)="","",INDEX('Final Calculation Sheet'!$Y$4:$Y$40,$BJ22-3)),IF(OR($BI22=1,$BH22&gt;0),"–",""))</f>
        <v/>
      </c>
      <c r="AA22" s="652">
        <f>IF($BJ22&gt;0,IF(INDEX('Final Calculation Sheet'!$Z$4:$Z$40,$BJ22-3)="","",INDEX('Final Calculation Sheet'!$Z$4:$Z$40,$BJ22-3)),IF($BI22=1,SUM('Final Calculation Sheet'!$Z$4:$Z$40),IF($BH22&gt;0,SUMIFS('Final Calculation Sheet'!$Z$4:$Z$40,$AZ$5:$AZ$41,$BH22),"")))</f>
        <v/>
      </c>
      <c r="AB22" s="652">
        <f>IF($BJ22&gt;0,IF(INDEX('Final Calculation Sheet'!$AA$4:$AA$40,$BJ22-3)="","",INDEX('Final Calculation Sheet'!$AA$4:$AA$40,$BJ22-3)),IF($BI22=1,SUM('Final Calculation Sheet'!$AA$4:$AA$40),IF($BH22&gt;0,SUMIFS('Final Calculation Sheet'!$AA$4:$AA$40,$AZ$5:$AZ$41,$BH22),"")))</f>
        <v/>
      </c>
      <c r="AC22" s="652">
        <f>IF($BJ22&gt;0,IF(INDEX('Final Calculation Sheet'!$AB$4:$AB$40,$BJ22-3)="","",INDEX('Final Calculation Sheet'!$AB$4:$AB$40,$BJ22-3)),IF(OR($BI22=1,$BH22&gt;0),"–",""))</f>
        <v/>
      </c>
      <c r="AD22" s="652">
        <f>IF($BJ22&gt;0,IF(INDEX('Final Calculation Sheet'!$AC$4:$AC$40,$BJ22-3)="","",INDEX('Final Calculation Sheet'!$AC$4:$AC$40,$BJ22-3)),IF($BI22=1,SUM('Final Calculation Sheet'!$AC$4:$AC$40),IF($BH22&gt;0,SUMIFS('Final Calculation Sheet'!$AC$4:$AC$40,$AZ$5:$AZ$41,$BH22),"")))</f>
        <v/>
      </c>
      <c r="AE22" s="652">
        <f>IF($BJ22&gt;0,IF(INDEX('Final Calculation Sheet'!$AD$4:$AD$40,$BJ22-3)="","",INDEX('Final Calculation Sheet'!$AD$4:$AD$40,$BJ22-3)),IF($BI22=1,SUM('Final Calculation Sheet'!$AD$4:$AD$40),IF($BH22&gt;0,SUMIFS('Final Calculation Sheet'!$AD$4:$AD$40,$AZ$5:$AZ$41,$BH22),"")))</f>
        <v/>
      </c>
      <c r="AF22" s="652">
        <f>IF($BJ22&gt;0,IF(INDEX('Final Calculation Sheet'!$AE$4:$AE$40,$BJ22-3)="","",INDEX('Final Calculation Sheet'!$AE$4:$AE$40,$BJ22-3)),IF(OR($BI22=1,$BH22&gt;0),"–",""))</f>
        <v/>
      </c>
      <c r="AG22" s="656">
        <f>IF($BJ22&gt;0,IF(INDEX('Final Calculation Sheet'!$AF$4:$AF$40,$BJ22-3)="","",INDEX('Final Calculation Sheet'!$AF$4:$AF$40,$BJ22-3)),IF(OR($BI22=1,$BH22&gt;0),"–",""))</f>
        <v/>
      </c>
      <c r="AH22" s="652">
        <f>IF($BJ22&gt;0,IF(INDEX('Final Calculation Sheet'!$AG$4:$AG$40,$BJ22-3)="","",INDEX('Final Calculation Sheet'!$AG$4:$AG$40,$BJ22-3)),IF(OR($BI22=1,$BH22&gt;0),"–",""))</f>
        <v/>
      </c>
      <c r="AI22" s="657">
        <f>IF($BJ22&gt;0,IF(INDEX('Final Calculation Sheet'!$AD$4:$AD$40,$BJ22-3)="","",IF(INDEX('Final Calculation Sheet'!$AD$4:$AD$40,$BJ22-3)&lt;=0,"SETTLED","OUTSTANDING")),IF(OR($BI22=1,$BH22&gt;0),IF(IF($BI22=1,SUM('Final Calculation Sheet'!$AD$4:$AD$40),SUMIFS('Final Calculation Sheet'!$AD$4:$AD$40,$AZ$5:$AZ$41,$BH22))&lt;=0,"ALL SETTLED","OUTSTANDING"),""))</f>
        <v/>
      </c>
      <c r="AK22">
        <f>IF($F$3="Lot No.",'Final Calculation Sheet'!$F$21,IF($F$3="Buyer",'Final Calculation Sheet'!$G$21,IF($F$3="Lot Name",'Final Calculation Sheet'!$B$21,IF($F$3="Bid Sheet",'Final Calculation Sheet'!$D$21,IF($F$3="Unit",'Final Calculation Sheet'!$E$21,'Final Calculation Sheet'!$F$21&amp;" "&amp;'Final Calculation Sheet'!$G$21&amp;" "&amp;'Final Calculation Sheet'!$B$21)))))</f>
        <v/>
      </c>
      <c r="AM22">
        <f>IF($B$3="",1,IF(AND(IF(COUNTIF($AR$9:$AY$9,1)=0,TRUE,SUMPRODUCT(($AR$9:$AY$9=1)*($AR$6:$AY$6&lt;&gt;"")*ISNUMBER(SEARCH($AR$6:$AY$6,$AK22)))&gt;0),IF(COUNTIF($AR$9:$AY$9,2)=0,TRUE,SUMPRODUCT(($AR$9:$AY$9=2)*($AR$6:$AY$6&lt;&gt;"")*ISNUMBER(SEARCH($AR$6:$AY$6,$AK22)))&gt;0),IF(COUNTIF($AR$9:$AY$9,3)=0,TRUE,SUMPRODUCT(($AR$9:$AY$9=3)*($AR$6:$AY$6&lt;&gt;"")*ISNUMBER(SEARCH($AR$6:$AY$6,$AK22)))&gt;0),IF(COUNTIF($AR$9:$AY$9,4)=0,TRUE,SUMPRODUCT(($AR$9:$AY$9=4)*($AR$6:$AY$6&lt;&gt;"")*ISNUMBER(SEARCH($AR$6:$AY$6,$AK22)))&gt;0),IF(COUNTIF($AR$9:$AY$9,5)=0,TRUE,SUMPRODUCT(($AR$9:$AY$9=5)*($AR$6:$AY$6&lt;&gt;"")*ISNUMBER(SEARCH($AR$6:$AY$6,$AK22)))&gt;0),IF(COUNTIF($AR$9:$AY$9,6)=0,TRUE,SUMPRODUCT(($AR$9:$AY$9=6)*($AR$6:$AY$6&lt;&gt;"")*ISNUMBER(SEARCH($AR$6:$AY$6,$AK22)))&gt;0),IF(COUNTIF($AR$9:$AY$9,7)=0,TRUE,SUMPRODUCT(($AR$9:$AY$9=7)*($AR$6:$AY$6&lt;&gt;"")*ISNUMBER(SEARCH($AR$6:$AY$6,$AK22)))&gt;0),IF(COUNTIF($AR$9:$AY$9,8)=0,TRUE,SUMPRODUCT(($AR$9:$AY$9=8)*($AR$6:$AY$6&lt;&gt;"")*ISNUMBER(SEARCH($AR$6:$AY$6,$AK22)))&gt;0)),1,0))</f>
        <v/>
      </c>
      <c r="AZ22">
        <f>IF($B$3="",9,IF($AM22=0,10,IF(AND($AR$6&lt;&gt;"",ISNUMBER(SEARCH($AR$6,$AK22))),1,IF(AND($AS$6&lt;&gt;"",ISNUMBER(SEARCH($AS$6,$AK22))),2,IF(AND($AT$6&lt;&gt;"",ISNUMBER(SEARCH($AT$6,$AK22))),3,IF(AND($AU$6&lt;&gt;"",ISNUMBER(SEARCH($AU$6,$AK22))),4,IF(AND($AV$6&lt;&gt;"",ISNUMBER(SEARCH($AV$6,$AK22))),5,IF(AND($AW$6&lt;&gt;"",ISNUMBER(SEARCH($AW$6,$AK22))),6,IF(AND($AX$6&lt;&gt;"",ISNUMBER(SEARCH($AX$6,$AK22))),7,IF(AND($AY$6&lt;&gt;"",ISNUMBER(SEARCH($AY$6,$AK22))),8,0))))))))))</f>
        <v/>
      </c>
      <c r="BA22">
        <f>SUMPRODUCT(($AZ$5:$AZ$41=$AZ22)*($BC$5:$BC$41&lt;$BC22))+1</f>
        <v/>
      </c>
      <c r="BB22">
        <f>IF(INDEX($BF$4:$BF$13,$AZ22)=0,0,INDEX($BE$4:$BE$13,$AZ22)+$BA22-1)</f>
        <v/>
      </c>
      <c r="BC22" t="n">
        <v>21</v>
      </c>
      <c r="BH22">
        <f>IFERROR(MATCH(22,$BF$4:$BF$13,0),0)</f>
        <v/>
      </c>
      <c r="BI22">
        <f>IF(22=$BG$4,1,0)</f>
        <v/>
      </c>
      <c r="BJ22">
        <f>IF(OR($BH22&gt;0,$BI22=1),0,IFERROR(INDEX($BC$5:$BC$41,MATCH(22,$BB$5:$BB$41,0)),0))</f>
        <v/>
      </c>
      <c r="BK22">
        <f>IF($BJ22&gt;0,IF(INDEX($AZ$5:$AZ$41,MATCH(22,$BB$5:$BB$41,0))=10,1,0),IF($BH22=10,1,0))</f>
        <v/>
      </c>
    </row>
    <row r="23" ht="15" customHeight="1">
      <c r="A23" s="649">
        <f>IF($BJ23&gt;0,INDEX($BA$5:$BA$41,MATCH(23,$BB$5:$BB$41,0)),IF(OR($BI23=1,$BH23&gt;0),"∑",""))</f>
        <v/>
      </c>
      <c r="B23" s="650">
        <f>IF($BJ23&gt;0,IF(INDEX('Final Calculation Sheet'!$F$4:$F$40,$BJ23-3)="","",INDEX('Final Calculation Sheet'!$F$4:$F$40,$BJ23-3)),"")</f>
        <v/>
      </c>
      <c r="C23" s="650">
        <f>IF($BJ23&gt;0,IF(INDEX('Final Calculation Sheet'!$G$4:$G$40,$BJ23-3)="","",INDEX('Final Calculation Sheet'!$G$4:$G$40,$BJ23-3)),IF(OR($BI23=1,$BH23&gt;0),IF($BI23=1,37,INDEX($BD$4:$BD$13,$BH23))&amp;" lot(s)",""))</f>
        <v/>
      </c>
      <c r="D23" s="651">
        <f>IF($BJ23&gt;0,IF(INDEX('Final Calculation Sheet'!$B$4:$B$40,$BJ23-3)="","",INDEX('Final Calculation Sheet'!$B$4:$B$40,$BJ23-3)),IF(OR($BI23=1,$BH23&gt;0),IF($BI23=1,"GRAND TOTAL  —  matching + remaining",IF($BH23=10,"REMAINING  —  did not match the search",IF($BH23=9,"ALL LOTS  —  nothing typed in the box","GROUP "&amp;$BH23&amp;" TOTAL  —  lots matching  "&amp;INDEX($AR$6:$AY$6,$BH23)))),""))</f>
        <v/>
      </c>
      <c r="E23" s="651">
        <f>IF($BJ23&gt;0,IF(INDEX('Final Calculation Sheet'!$D$4:$D$40,$BJ23-3)="","",INDEX('Final Calculation Sheet'!$D$4:$D$40,$BJ23-3)),IF(OR($BI23=1,$BH23&gt;0),"–",""))</f>
        <v/>
      </c>
      <c r="F23" s="651">
        <f>IF($BJ23&gt;0,IF(INDEX('Final Calculation Sheet'!$A$4:$A$40,$BJ23-3)="","",INDEX('Final Calculation Sheet'!$A$4:$A$40,$BJ23-3)),IF($BI23=1,SUM('Final Calculation Sheet'!$A$4:$A$40),IF($BH23&gt;0,SUMIFS('Final Calculation Sheet'!$A$4:$A$40,$AZ$5:$AZ$41,$BH23),"")))</f>
        <v/>
      </c>
      <c r="G23" s="651">
        <f>IF($BJ23&gt;0,IF(INDEX('Final Calculation Sheet'!$E$4:$E$40,$BJ23-3)="","",INDEX('Final Calculation Sheet'!$E$4:$E$40,$BJ23-3)),IF(OR($BI23=1,$BH23&gt;0),"–",""))</f>
        <v/>
      </c>
      <c r="H23" s="652">
        <f>IF($BJ23&gt;0,IF(INDEX('Final Calculation Sheet'!$C$4:$C$40,$BJ23-3)="","",INDEX('Final Calculation Sheet'!$C$4:$C$40,$BJ23-3)),IF(OR($BI23=1,$BH23&gt;0),"–",""))</f>
        <v/>
      </c>
      <c r="I23" s="652">
        <f>IF($BJ23&gt;0,IF(INDEX('Final Calculation Sheet'!$H$4:$H$40,$BJ23-3)="","",INDEX('Final Calculation Sheet'!$H$4:$H$40,$BJ23-3)),IF($BI23=1,SUM('Final Calculation Sheet'!$H$4:$H$40),IF($BH23&gt;0,SUMIFS('Final Calculation Sheet'!$H$4:$H$40,$AZ$5:$AZ$41,$BH23),"")))</f>
        <v/>
      </c>
      <c r="J23" s="652">
        <f>IF($BJ23&gt;0,IF(INDEX('Final Calculation Sheet'!$I$4:$I$40,$BJ23-3)="","",INDEX('Final Calculation Sheet'!$I$4:$I$40,$BJ23-3)),IF($BI23=1,SUM('Final Calculation Sheet'!$I$4:$I$40),IF($BH23&gt;0,SUMIFS('Final Calculation Sheet'!$I$4:$I$40,$AZ$5:$AZ$41,$BH23),"")))</f>
        <v/>
      </c>
      <c r="K23" s="652">
        <f>IF($BJ23&gt;0,IF(INDEX('Final Calculation Sheet'!$J$4:$J$40,$BJ23-3)="","",INDEX('Final Calculation Sheet'!$J$4:$J$40,$BJ23-3)),IF($BI23=1,SUM('Final Calculation Sheet'!$J$4:$J$40),IF($BH23&gt;0,SUMIFS('Final Calculation Sheet'!$J$4:$J$40,$AZ$5:$AZ$41,$BH23),"")))</f>
        <v/>
      </c>
      <c r="L23" s="652">
        <f>IF($BJ23&gt;0,IF(INDEX('Final Calculation Sheet'!$K$4:$K$40,$BJ23-3)="","",INDEX('Final Calculation Sheet'!$K$4:$K$40,$BJ23-3)),IF($BI23=1,SUM('Final Calculation Sheet'!$K$4:$K$40),IF($BH23&gt;0,SUMIFS('Final Calculation Sheet'!$K$4:$K$40,$AZ$5:$AZ$41,$BH23),"")))</f>
        <v/>
      </c>
      <c r="M23" s="652">
        <f>IF($BJ23&gt;0,IF(INDEX('Final Calculation Sheet'!$L$4:$L$40,$BJ23-3)="","",INDEX('Final Calculation Sheet'!$L$4:$L$40,$BJ23-3)),IF($BI23=1,SUM('Final Calculation Sheet'!$L$4:$L$40),IF($BH23&gt;0,SUMIFS('Final Calculation Sheet'!$L$4:$L$40,$AZ$5:$AZ$41,$BH23),"")))</f>
        <v/>
      </c>
      <c r="N23" s="652">
        <f>IF($BJ23&gt;0,IF(INDEX('Final Calculation Sheet'!$M$4:$M$40,$BJ23-3)="","",INDEX('Final Calculation Sheet'!$M$4:$M$40,$BJ23-3)),IF($BI23=1,SUM('Final Calculation Sheet'!$M$4:$M$40),IF($BH23&gt;0,SUMIFS('Final Calculation Sheet'!$M$4:$M$40,$AZ$5:$AZ$41,$BH23),"")))</f>
        <v/>
      </c>
      <c r="O23" s="653">
        <f>IF($BJ23&gt;0,IF(INDEX('Final Calculation Sheet'!$N$4:$N$40,$BJ23-3)="","",INDEX('Final Calculation Sheet'!$N$4:$N$40,$BJ23-3)),IF($BI23=1,SUM('Final Calculation Sheet'!$N$4:$N$40),IF($BH23&gt;0,SUMIFS('Final Calculation Sheet'!$N$4:$N$40,$AZ$5:$AZ$41,$BH23),"")))</f>
        <v/>
      </c>
      <c r="P23" s="652">
        <f>IF($BJ23&gt;0,IF(INDEX('Final Calculation Sheet'!$O$4:$O$40,$BJ23-3)="","",INDEX('Final Calculation Sheet'!$O$4:$O$40,$BJ23-3)),IF($BI23=1,SUM('Final Calculation Sheet'!$O$4:$O$40),IF($BH23&gt;0,SUMIFS('Final Calculation Sheet'!$O$4:$O$40,$AZ$5:$AZ$41,$BH23),"")))</f>
        <v/>
      </c>
      <c r="Q23" s="652">
        <f>IF($BJ23&gt;0,IF(INDEX('Final Calculation Sheet'!$P$4:$P$40,$BJ23-3)="","",INDEX('Final Calculation Sheet'!$P$4:$P$40,$BJ23-3)),IF($BI23=1,SUM('Final Calculation Sheet'!$P$4:$P$40),IF($BH23&gt;0,SUMIFS('Final Calculation Sheet'!$P$4:$P$40,$AZ$5:$AZ$41,$BH23),"")))</f>
        <v/>
      </c>
      <c r="R23" s="654">
        <f>IF($BJ23&gt;0,IF(INDEX('Final Calculation Sheet'!$Q$4:$Q$40,$BJ23-3)="","",INDEX('Final Calculation Sheet'!$Q$4:$Q$40,$BJ23-3)),IF(OR($BI23=1,$BH23&gt;0),"–",""))</f>
        <v/>
      </c>
      <c r="S23" s="652">
        <f>IF($BJ23&gt;0,IF(INDEX('Final Calculation Sheet'!$R$4:$R$40,$BJ23-3)="","",INDEX('Final Calculation Sheet'!$R$4:$R$40,$BJ23-3)),IF($BI23=1,SUM('Final Calculation Sheet'!$R$4:$R$40),IF($BH23&gt;0,SUMIFS('Final Calculation Sheet'!$R$4:$R$40,$AZ$5:$AZ$41,$BH23),"")))</f>
        <v/>
      </c>
      <c r="T23" s="652">
        <f>IF($BJ23&gt;0,IF(INDEX('Final Calculation Sheet'!$S$4:$S$40,$BJ23-3)="","",INDEX('Final Calculation Sheet'!$S$4:$S$40,$BJ23-3)),IF($BI23=1,SUM('Final Calculation Sheet'!$S$4:$S$40),IF($BH23&gt;0,SUMIFS('Final Calculation Sheet'!$S$4:$S$40,$AZ$5:$AZ$41,$BH23),"")))</f>
        <v/>
      </c>
      <c r="U23" s="652">
        <f>IF($BJ23&gt;0,IF(INDEX('Final Calculation Sheet'!$T$4:$T$40,$BJ23-3)="","",INDEX('Final Calculation Sheet'!$T$4:$T$40,$BJ23-3)),IF($BI23=1,SUM('Final Calculation Sheet'!$T$4:$T$40),IF($BH23&gt;0,SUMIFS('Final Calculation Sheet'!$T$4:$T$40,$AZ$5:$AZ$41,$BH23),"")))</f>
        <v/>
      </c>
      <c r="V23" s="655">
        <f>IF($BJ23&gt;0,IF(INDEX('Final Calculation Sheet'!$U$4:$U$40,$BJ23-3)="","",INDEX('Final Calculation Sheet'!$U$4:$U$40,$BJ23-3)),IF($BI23=1,SUM('Final Calculation Sheet'!$U$4:$U$40),IF($BH23&gt;0,SUMIFS('Final Calculation Sheet'!$U$4:$U$40,$AZ$5:$AZ$41,$BH23),"")))</f>
        <v/>
      </c>
      <c r="W23" s="652">
        <f>IF($BJ23&gt;0,IF(INDEX('Final Calculation Sheet'!$V$4:$V$40,$BJ23-3)="","",INDEX('Final Calculation Sheet'!$V$4:$V$40,$BJ23-3)),IF(OR($BI23=1,$BH23&gt;0),"–",""))</f>
        <v/>
      </c>
      <c r="X23" s="652">
        <f>IF($BJ23&gt;0,IF(INDEX('Final Calculation Sheet'!$W$4:$W$40,$BJ23-3)="","",INDEX('Final Calculation Sheet'!$W$4:$W$40,$BJ23-3)),IF($BI23=1,SUM('Final Calculation Sheet'!$W$4:$W$40),IF($BH23&gt;0,SUMIFS('Final Calculation Sheet'!$W$4:$W$40,$AZ$5:$AZ$41,$BH23),"")))</f>
        <v/>
      </c>
      <c r="Y23" s="652">
        <f>IF($BJ23&gt;0,IF(INDEX('Final Calculation Sheet'!$X$4:$X$40,$BJ23-3)="","",INDEX('Final Calculation Sheet'!$X$4:$X$40,$BJ23-3)),IF($BI23=1,SUM('Final Calculation Sheet'!$X$4:$X$40),IF($BH23&gt;0,SUMIFS('Final Calculation Sheet'!$X$4:$X$40,$AZ$5:$AZ$41,$BH23),"")))</f>
        <v/>
      </c>
      <c r="Z23" s="652">
        <f>IF($BJ23&gt;0,IF(INDEX('Final Calculation Sheet'!$Y$4:$Y$40,$BJ23-3)="","",INDEX('Final Calculation Sheet'!$Y$4:$Y$40,$BJ23-3)),IF(OR($BI23=1,$BH23&gt;0),"–",""))</f>
        <v/>
      </c>
      <c r="AA23" s="652">
        <f>IF($BJ23&gt;0,IF(INDEX('Final Calculation Sheet'!$Z$4:$Z$40,$BJ23-3)="","",INDEX('Final Calculation Sheet'!$Z$4:$Z$40,$BJ23-3)),IF($BI23=1,SUM('Final Calculation Sheet'!$Z$4:$Z$40),IF($BH23&gt;0,SUMIFS('Final Calculation Sheet'!$Z$4:$Z$40,$AZ$5:$AZ$41,$BH23),"")))</f>
        <v/>
      </c>
      <c r="AB23" s="652">
        <f>IF($BJ23&gt;0,IF(INDEX('Final Calculation Sheet'!$AA$4:$AA$40,$BJ23-3)="","",INDEX('Final Calculation Sheet'!$AA$4:$AA$40,$BJ23-3)),IF($BI23=1,SUM('Final Calculation Sheet'!$AA$4:$AA$40),IF($BH23&gt;0,SUMIFS('Final Calculation Sheet'!$AA$4:$AA$40,$AZ$5:$AZ$41,$BH23),"")))</f>
        <v/>
      </c>
      <c r="AC23" s="652">
        <f>IF($BJ23&gt;0,IF(INDEX('Final Calculation Sheet'!$AB$4:$AB$40,$BJ23-3)="","",INDEX('Final Calculation Sheet'!$AB$4:$AB$40,$BJ23-3)),IF(OR($BI23=1,$BH23&gt;0),"–",""))</f>
        <v/>
      </c>
      <c r="AD23" s="652">
        <f>IF($BJ23&gt;0,IF(INDEX('Final Calculation Sheet'!$AC$4:$AC$40,$BJ23-3)="","",INDEX('Final Calculation Sheet'!$AC$4:$AC$40,$BJ23-3)),IF($BI23=1,SUM('Final Calculation Sheet'!$AC$4:$AC$40),IF($BH23&gt;0,SUMIFS('Final Calculation Sheet'!$AC$4:$AC$40,$AZ$5:$AZ$41,$BH23),"")))</f>
        <v/>
      </c>
      <c r="AE23" s="652">
        <f>IF($BJ23&gt;0,IF(INDEX('Final Calculation Sheet'!$AD$4:$AD$40,$BJ23-3)="","",INDEX('Final Calculation Sheet'!$AD$4:$AD$40,$BJ23-3)),IF($BI23=1,SUM('Final Calculation Sheet'!$AD$4:$AD$40),IF($BH23&gt;0,SUMIFS('Final Calculation Sheet'!$AD$4:$AD$40,$AZ$5:$AZ$41,$BH23),"")))</f>
        <v/>
      </c>
      <c r="AF23" s="652">
        <f>IF($BJ23&gt;0,IF(INDEX('Final Calculation Sheet'!$AE$4:$AE$40,$BJ23-3)="","",INDEX('Final Calculation Sheet'!$AE$4:$AE$40,$BJ23-3)),IF(OR($BI23=1,$BH23&gt;0),"–",""))</f>
        <v/>
      </c>
      <c r="AG23" s="656">
        <f>IF($BJ23&gt;0,IF(INDEX('Final Calculation Sheet'!$AF$4:$AF$40,$BJ23-3)="","",INDEX('Final Calculation Sheet'!$AF$4:$AF$40,$BJ23-3)),IF(OR($BI23=1,$BH23&gt;0),"–",""))</f>
        <v/>
      </c>
      <c r="AH23" s="652">
        <f>IF($BJ23&gt;0,IF(INDEX('Final Calculation Sheet'!$AG$4:$AG$40,$BJ23-3)="","",INDEX('Final Calculation Sheet'!$AG$4:$AG$40,$BJ23-3)),IF(OR($BI23=1,$BH23&gt;0),"–",""))</f>
        <v/>
      </c>
      <c r="AI23" s="657">
        <f>IF($BJ23&gt;0,IF(INDEX('Final Calculation Sheet'!$AD$4:$AD$40,$BJ23-3)="","",IF(INDEX('Final Calculation Sheet'!$AD$4:$AD$40,$BJ23-3)&lt;=0,"SETTLED","OUTSTANDING")),IF(OR($BI23=1,$BH23&gt;0),IF(IF($BI23=1,SUM('Final Calculation Sheet'!$AD$4:$AD$40),SUMIFS('Final Calculation Sheet'!$AD$4:$AD$40,$AZ$5:$AZ$41,$BH23))&lt;=0,"ALL SETTLED","OUTSTANDING"),""))</f>
        <v/>
      </c>
      <c r="AK23">
        <f>IF($F$3="Lot No.",'Final Calculation Sheet'!$F$22,IF($F$3="Buyer",'Final Calculation Sheet'!$G$22,IF($F$3="Lot Name",'Final Calculation Sheet'!$B$22,IF($F$3="Bid Sheet",'Final Calculation Sheet'!$D$22,IF($F$3="Unit",'Final Calculation Sheet'!$E$22,'Final Calculation Sheet'!$F$22&amp;" "&amp;'Final Calculation Sheet'!$G$22&amp;" "&amp;'Final Calculation Sheet'!$B$22)))))</f>
        <v/>
      </c>
      <c r="AM23">
        <f>IF($B$3="",1,IF(AND(IF(COUNTIF($AR$9:$AY$9,1)=0,TRUE,SUMPRODUCT(($AR$9:$AY$9=1)*($AR$6:$AY$6&lt;&gt;"")*ISNUMBER(SEARCH($AR$6:$AY$6,$AK23)))&gt;0),IF(COUNTIF($AR$9:$AY$9,2)=0,TRUE,SUMPRODUCT(($AR$9:$AY$9=2)*($AR$6:$AY$6&lt;&gt;"")*ISNUMBER(SEARCH($AR$6:$AY$6,$AK23)))&gt;0),IF(COUNTIF($AR$9:$AY$9,3)=0,TRUE,SUMPRODUCT(($AR$9:$AY$9=3)*($AR$6:$AY$6&lt;&gt;"")*ISNUMBER(SEARCH($AR$6:$AY$6,$AK23)))&gt;0),IF(COUNTIF($AR$9:$AY$9,4)=0,TRUE,SUMPRODUCT(($AR$9:$AY$9=4)*($AR$6:$AY$6&lt;&gt;"")*ISNUMBER(SEARCH($AR$6:$AY$6,$AK23)))&gt;0),IF(COUNTIF($AR$9:$AY$9,5)=0,TRUE,SUMPRODUCT(($AR$9:$AY$9=5)*($AR$6:$AY$6&lt;&gt;"")*ISNUMBER(SEARCH($AR$6:$AY$6,$AK23)))&gt;0),IF(COUNTIF($AR$9:$AY$9,6)=0,TRUE,SUMPRODUCT(($AR$9:$AY$9=6)*($AR$6:$AY$6&lt;&gt;"")*ISNUMBER(SEARCH($AR$6:$AY$6,$AK23)))&gt;0),IF(COUNTIF($AR$9:$AY$9,7)=0,TRUE,SUMPRODUCT(($AR$9:$AY$9=7)*($AR$6:$AY$6&lt;&gt;"")*ISNUMBER(SEARCH($AR$6:$AY$6,$AK23)))&gt;0),IF(COUNTIF($AR$9:$AY$9,8)=0,TRUE,SUMPRODUCT(($AR$9:$AY$9=8)*($AR$6:$AY$6&lt;&gt;"")*ISNUMBER(SEARCH($AR$6:$AY$6,$AK23)))&gt;0)),1,0))</f>
        <v/>
      </c>
      <c r="AZ23">
        <f>IF($B$3="",9,IF($AM23=0,10,IF(AND($AR$6&lt;&gt;"",ISNUMBER(SEARCH($AR$6,$AK23))),1,IF(AND($AS$6&lt;&gt;"",ISNUMBER(SEARCH($AS$6,$AK23))),2,IF(AND($AT$6&lt;&gt;"",ISNUMBER(SEARCH($AT$6,$AK23))),3,IF(AND($AU$6&lt;&gt;"",ISNUMBER(SEARCH($AU$6,$AK23))),4,IF(AND($AV$6&lt;&gt;"",ISNUMBER(SEARCH($AV$6,$AK23))),5,IF(AND($AW$6&lt;&gt;"",ISNUMBER(SEARCH($AW$6,$AK23))),6,IF(AND($AX$6&lt;&gt;"",ISNUMBER(SEARCH($AX$6,$AK23))),7,IF(AND($AY$6&lt;&gt;"",ISNUMBER(SEARCH($AY$6,$AK23))),8,0))))))))))</f>
        <v/>
      </c>
      <c r="BA23">
        <f>SUMPRODUCT(($AZ$5:$AZ$41=$AZ23)*($BC$5:$BC$41&lt;$BC23))+1</f>
        <v/>
      </c>
      <c r="BB23">
        <f>IF(INDEX($BF$4:$BF$13,$AZ23)=0,0,INDEX($BE$4:$BE$13,$AZ23)+$BA23-1)</f>
        <v/>
      </c>
      <c r="BC23" t="n">
        <v>22</v>
      </c>
      <c r="BH23">
        <f>IFERROR(MATCH(23,$BF$4:$BF$13,0),0)</f>
        <v/>
      </c>
      <c r="BI23">
        <f>IF(23=$BG$4,1,0)</f>
        <v/>
      </c>
      <c r="BJ23">
        <f>IF(OR($BH23&gt;0,$BI23=1),0,IFERROR(INDEX($BC$5:$BC$41,MATCH(23,$BB$5:$BB$41,0)),0))</f>
        <v/>
      </c>
      <c r="BK23">
        <f>IF($BJ23&gt;0,IF(INDEX($AZ$5:$AZ$41,MATCH(23,$BB$5:$BB$41,0))=10,1,0),IF($BH23=10,1,0))</f>
        <v/>
      </c>
    </row>
    <row r="24" ht="15" customHeight="1">
      <c r="A24" s="649">
        <f>IF($BJ24&gt;0,INDEX($BA$5:$BA$41,MATCH(24,$BB$5:$BB$41,0)),IF(OR($BI24=1,$BH24&gt;0),"∑",""))</f>
        <v/>
      </c>
      <c r="B24" s="650">
        <f>IF($BJ24&gt;0,IF(INDEX('Final Calculation Sheet'!$F$4:$F$40,$BJ24-3)="","",INDEX('Final Calculation Sheet'!$F$4:$F$40,$BJ24-3)),"")</f>
        <v/>
      </c>
      <c r="C24" s="650">
        <f>IF($BJ24&gt;0,IF(INDEX('Final Calculation Sheet'!$G$4:$G$40,$BJ24-3)="","",INDEX('Final Calculation Sheet'!$G$4:$G$40,$BJ24-3)),IF(OR($BI24=1,$BH24&gt;0),IF($BI24=1,37,INDEX($BD$4:$BD$13,$BH24))&amp;" lot(s)",""))</f>
        <v/>
      </c>
      <c r="D24" s="651">
        <f>IF($BJ24&gt;0,IF(INDEX('Final Calculation Sheet'!$B$4:$B$40,$BJ24-3)="","",INDEX('Final Calculation Sheet'!$B$4:$B$40,$BJ24-3)),IF(OR($BI24=1,$BH24&gt;0),IF($BI24=1,"GRAND TOTAL  —  matching + remaining",IF($BH24=10,"REMAINING  —  did not match the search",IF($BH24=9,"ALL LOTS  —  nothing typed in the box","GROUP "&amp;$BH24&amp;" TOTAL  —  lots matching  "&amp;INDEX($AR$6:$AY$6,$BH24)))),""))</f>
        <v/>
      </c>
      <c r="E24" s="651">
        <f>IF($BJ24&gt;0,IF(INDEX('Final Calculation Sheet'!$D$4:$D$40,$BJ24-3)="","",INDEX('Final Calculation Sheet'!$D$4:$D$40,$BJ24-3)),IF(OR($BI24=1,$BH24&gt;0),"–",""))</f>
        <v/>
      </c>
      <c r="F24" s="651">
        <f>IF($BJ24&gt;0,IF(INDEX('Final Calculation Sheet'!$A$4:$A$40,$BJ24-3)="","",INDEX('Final Calculation Sheet'!$A$4:$A$40,$BJ24-3)),IF($BI24=1,SUM('Final Calculation Sheet'!$A$4:$A$40),IF($BH24&gt;0,SUMIFS('Final Calculation Sheet'!$A$4:$A$40,$AZ$5:$AZ$41,$BH24),"")))</f>
        <v/>
      </c>
      <c r="G24" s="651">
        <f>IF($BJ24&gt;0,IF(INDEX('Final Calculation Sheet'!$E$4:$E$40,$BJ24-3)="","",INDEX('Final Calculation Sheet'!$E$4:$E$40,$BJ24-3)),IF(OR($BI24=1,$BH24&gt;0),"–",""))</f>
        <v/>
      </c>
      <c r="H24" s="652">
        <f>IF($BJ24&gt;0,IF(INDEX('Final Calculation Sheet'!$C$4:$C$40,$BJ24-3)="","",INDEX('Final Calculation Sheet'!$C$4:$C$40,$BJ24-3)),IF(OR($BI24=1,$BH24&gt;0),"–",""))</f>
        <v/>
      </c>
      <c r="I24" s="652">
        <f>IF($BJ24&gt;0,IF(INDEX('Final Calculation Sheet'!$H$4:$H$40,$BJ24-3)="","",INDEX('Final Calculation Sheet'!$H$4:$H$40,$BJ24-3)),IF($BI24=1,SUM('Final Calculation Sheet'!$H$4:$H$40),IF($BH24&gt;0,SUMIFS('Final Calculation Sheet'!$H$4:$H$40,$AZ$5:$AZ$41,$BH24),"")))</f>
        <v/>
      </c>
      <c r="J24" s="652">
        <f>IF($BJ24&gt;0,IF(INDEX('Final Calculation Sheet'!$I$4:$I$40,$BJ24-3)="","",INDEX('Final Calculation Sheet'!$I$4:$I$40,$BJ24-3)),IF($BI24=1,SUM('Final Calculation Sheet'!$I$4:$I$40),IF($BH24&gt;0,SUMIFS('Final Calculation Sheet'!$I$4:$I$40,$AZ$5:$AZ$41,$BH24),"")))</f>
        <v/>
      </c>
      <c r="K24" s="652">
        <f>IF($BJ24&gt;0,IF(INDEX('Final Calculation Sheet'!$J$4:$J$40,$BJ24-3)="","",INDEX('Final Calculation Sheet'!$J$4:$J$40,$BJ24-3)),IF($BI24=1,SUM('Final Calculation Sheet'!$J$4:$J$40),IF($BH24&gt;0,SUMIFS('Final Calculation Sheet'!$J$4:$J$40,$AZ$5:$AZ$41,$BH24),"")))</f>
        <v/>
      </c>
      <c r="L24" s="652">
        <f>IF($BJ24&gt;0,IF(INDEX('Final Calculation Sheet'!$K$4:$K$40,$BJ24-3)="","",INDEX('Final Calculation Sheet'!$K$4:$K$40,$BJ24-3)),IF($BI24=1,SUM('Final Calculation Sheet'!$K$4:$K$40),IF($BH24&gt;0,SUMIFS('Final Calculation Sheet'!$K$4:$K$40,$AZ$5:$AZ$41,$BH24),"")))</f>
        <v/>
      </c>
      <c r="M24" s="652">
        <f>IF($BJ24&gt;0,IF(INDEX('Final Calculation Sheet'!$L$4:$L$40,$BJ24-3)="","",INDEX('Final Calculation Sheet'!$L$4:$L$40,$BJ24-3)),IF($BI24=1,SUM('Final Calculation Sheet'!$L$4:$L$40),IF($BH24&gt;0,SUMIFS('Final Calculation Sheet'!$L$4:$L$40,$AZ$5:$AZ$41,$BH24),"")))</f>
        <v/>
      </c>
      <c r="N24" s="652">
        <f>IF($BJ24&gt;0,IF(INDEX('Final Calculation Sheet'!$M$4:$M$40,$BJ24-3)="","",INDEX('Final Calculation Sheet'!$M$4:$M$40,$BJ24-3)),IF($BI24=1,SUM('Final Calculation Sheet'!$M$4:$M$40),IF($BH24&gt;0,SUMIFS('Final Calculation Sheet'!$M$4:$M$40,$AZ$5:$AZ$41,$BH24),"")))</f>
        <v/>
      </c>
      <c r="O24" s="653">
        <f>IF($BJ24&gt;0,IF(INDEX('Final Calculation Sheet'!$N$4:$N$40,$BJ24-3)="","",INDEX('Final Calculation Sheet'!$N$4:$N$40,$BJ24-3)),IF($BI24=1,SUM('Final Calculation Sheet'!$N$4:$N$40),IF($BH24&gt;0,SUMIFS('Final Calculation Sheet'!$N$4:$N$40,$AZ$5:$AZ$41,$BH24),"")))</f>
        <v/>
      </c>
      <c r="P24" s="652">
        <f>IF($BJ24&gt;0,IF(INDEX('Final Calculation Sheet'!$O$4:$O$40,$BJ24-3)="","",INDEX('Final Calculation Sheet'!$O$4:$O$40,$BJ24-3)),IF($BI24=1,SUM('Final Calculation Sheet'!$O$4:$O$40),IF($BH24&gt;0,SUMIFS('Final Calculation Sheet'!$O$4:$O$40,$AZ$5:$AZ$41,$BH24),"")))</f>
        <v/>
      </c>
      <c r="Q24" s="652">
        <f>IF($BJ24&gt;0,IF(INDEX('Final Calculation Sheet'!$P$4:$P$40,$BJ24-3)="","",INDEX('Final Calculation Sheet'!$P$4:$P$40,$BJ24-3)),IF($BI24=1,SUM('Final Calculation Sheet'!$P$4:$P$40),IF($BH24&gt;0,SUMIFS('Final Calculation Sheet'!$P$4:$P$40,$AZ$5:$AZ$41,$BH24),"")))</f>
        <v/>
      </c>
      <c r="R24" s="654">
        <f>IF($BJ24&gt;0,IF(INDEX('Final Calculation Sheet'!$Q$4:$Q$40,$BJ24-3)="","",INDEX('Final Calculation Sheet'!$Q$4:$Q$40,$BJ24-3)),IF(OR($BI24=1,$BH24&gt;0),"–",""))</f>
        <v/>
      </c>
      <c r="S24" s="652">
        <f>IF($BJ24&gt;0,IF(INDEX('Final Calculation Sheet'!$R$4:$R$40,$BJ24-3)="","",INDEX('Final Calculation Sheet'!$R$4:$R$40,$BJ24-3)),IF($BI24=1,SUM('Final Calculation Sheet'!$R$4:$R$40),IF($BH24&gt;0,SUMIFS('Final Calculation Sheet'!$R$4:$R$40,$AZ$5:$AZ$41,$BH24),"")))</f>
        <v/>
      </c>
      <c r="T24" s="652">
        <f>IF($BJ24&gt;0,IF(INDEX('Final Calculation Sheet'!$S$4:$S$40,$BJ24-3)="","",INDEX('Final Calculation Sheet'!$S$4:$S$40,$BJ24-3)),IF($BI24=1,SUM('Final Calculation Sheet'!$S$4:$S$40),IF($BH24&gt;0,SUMIFS('Final Calculation Sheet'!$S$4:$S$40,$AZ$5:$AZ$41,$BH24),"")))</f>
        <v/>
      </c>
      <c r="U24" s="652">
        <f>IF($BJ24&gt;0,IF(INDEX('Final Calculation Sheet'!$T$4:$T$40,$BJ24-3)="","",INDEX('Final Calculation Sheet'!$T$4:$T$40,$BJ24-3)),IF($BI24=1,SUM('Final Calculation Sheet'!$T$4:$T$40),IF($BH24&gt;0,SUMIFS('Final Calculation Sheet'!$T$4:$T$40,$AZ$5:$AZ$41,$BH24),"")))</f>
        <v/>
      </c>
      <c r="V24" s="655">
        <f>IF($BJ24&gt;0,IF(INDEX('Final Calculation Sheet'!$U$4:$U$40,$BJ24-3)="","",INDEX('Final Calculation Sheet'!$U$4:$U$40,$BJ24-3)),IF($BI24=1,SUM('Final Calculation Sheet'!$U$4:$U$40),IF($BH24&gt;0,SUMIFS('Final Calculation Sheet'!$U$4:$U$40,$AZ$5:$AZ$41,$BH24),"")))</f>
        <v/>
      </c>
      <c r="W24" s="652">
        <f>IF($BJ24&gt;0,IF(INDEX('Final Calculation Sheet'!$V$4:$V$40,$BJ24-3)="","",INDEX('Final Calculation Sheet'!$V$4:$V$40,$BJ24-3)),IF(OR($BI24=1,$BH24&gt;0),"–",""))</f>
        <v/>
      </c>
      <c r="X24" s="652">
        <f>IF($BJ24&gt;0,IF(INDEX('Final Calculation Sheet'!$W$4:$W$40,$BJ24-3)="","",INDEX('Final Calculation Sheet'!$W$4:$W$40,$BJ24-3)),IF($BI24=1,SUM('Final Calculation Sheet'!$W$4:$W$40),IF($BH24&gt;0,SUMIFS('Final Calculation Sheet'!$W$4:$W$40,$AZ$5:$AZ$41,$BH24),"")))</f>
        <v/>
      </c>
      <c r="Y24" s="652">
        <f>IF($BJ24&gt;0,IF(INDEX('Final Calculation Sheet'!$X$4:$X$40,$BJ24-3)="","",INDEX('Final Calculation Sheet'!$X$4:$X$40,$BJ24-3)),IF($BI24=1,SUM('Final Calculation Sheet'!$X$4:$X$40),IF($BH24&gt;0,SUMIFS('Final Calculation Sheet'!$X$4:$X$40,$AZ$5:$AZ$41,$BH24),"")))</f>
        <v/>
      </c>
      <c r="Z24" s="652">
        <f>IF($BJ24&gt;0,IF(INDEX('Final Calculation Sheet'!$Y$4:$Y$40,$BJ24-3)="","",INDEX('Final Calculation Sheet'!$Y$4:$Y$40,$BJ24-3)),IF(OR($BI24=1,$BH24&gt;0),"–",""))</f>
        <v/>
      </c>
      <c r="AA24" s="652">
        <f>IF($BJ24&gt;0,IF(INDEX('Final Calculation Sheet'!$Z$4:$Z$40,$BJ24-3)="","",INDEX('Final Calculation Sheet'!$Z$4:$Z$40,$BJ24-3)),IF($BI24=1,SUM('Final Calculation Sheet'!$Z$4:$Z$40),IF($BH24&gt;0,SUMIFS('Final Calculation Sheet'!$Z$4:$Z$40,$AZ$5:$AZ$41,$BH24),"")))</f>
        <v/>
      </c>
      <c r="AB24" s="652">
        <f>IF($BJ24&gt;0,IF(INDEX('Final Calculation Sheet'!$AA$4:$AA$40,$BJ24-3)="","",INDEX('Final Calculation Sheet'!$AA$4:$AA$40,$BJ24-3)),IF($BI24=1,SUM('Final Calculation Sheet'!$AA$4:$AA$40),IF($BH24&gt;0,SUMIFS('Final Calculation Sheet'!$AA$4:$AA$40,$AZ$5:$AZ$41,$BH24),"")))</f>
        <v/>
      </c>
      <c r="AC24" s="652">
        <f>IF($BJ24&gt;0,IF(INDEX('Final Calculation Sheet'!$AB$4:$AB$40,$BJ24-3)="","",INDEX('Final Calculation Sheet'!$AB$4:$AB$40,$BJ24-3)),IF(OR($BI24=1,$BH24&gt;0),"–",""))</f>
        <v/>
      </c>
      <c r="AD24" s="652">
        <f>IF($BJ24&gt;0,IF(INDEX('Final Calculation Sheet'!$AC$4:$AC$40,$BJ24-3)="","",INDEX('Final Calculation Sheet'!$AC$4:$AC$40,$BJ24-3)),IF($BI24=1,SUM('Final Calculation Sheet'!$AC$4:$AC$40),IF($BH24&gt;0,SUMIFS('Final Calculation Sheet'!$AC$4:$AC$40,$AZ$5:$AZ$41,$BH24),"")))</f>
        <v/>
      </c>
      <c r="AE24" s="652">
        <f>IF($BJ24&gt;0,IF(INDEX('Final Calculation Sheet'!$AD$4:$AD$40,$BJ24-3)="","",INDEX('Final Calculation Sheet'!$AD$4:$AD$40,$BJ24-3)),IF($BI24=1,SUM('Final Calculation Sheet'!$AD$4:$AD$40),IF($BH24&gt;0,SUMIFS('Final Calculation Sheet'!$AD$4:$AD$40,$AZ$5:$AZ$41,$BH24),"")))</f>
        <v/>
      </c>
      <c r="AF24" s="652">
        <f>IF($BJ24&gt;0,IF(INDEX('Final Calculation Sheet'!$AE$4:$AE$40,$BJ24-3)="","",INDEX('Final Calculation Sheet'!$AE$4:$AE$40,$BJ24-3)),IF(OR($BI24=1,$BH24&gt;0),"–",""))</f>
        <v/>
      </c>
      <c r="AG24" s="656">
        <f>IF($BJ24&gt;0,IF(INDEX('Final Calculation Sheet'!$AF$4:$AF$40,$BJ24-3)="","",INDEX('Final Calculation Sheet'!$AF$4:$AF$40,$BJ24-3)),IF(OR($BI24=1,$BH24&gt;0),"–",""))</f>
        <v/>
      </c>
      <c r="AH24" s="652">
        <f>IF($BJ24&gt;0,IF(INDEX('Final Calculation Sheet'!$AG$4:$AG$40,$BJ24-3)="","",INDEX('Final Calculation Sheet'!$AG$4:$AG$40,$BJ24-3)),IF(OR($BI24=1,$BH24&gt;0),"–",""))</f>
        <v/>
      </c>
      <c r="AI24" s="657">
        <f>IF($BJ24&gt;0,IF(INDEX('Final Calculation Sheet'!$AD$4:$AD$40,$BJ24-3)="","",IF(INDEX('Final Calculation Sheet'!$AD$4:$AD$40,$BJ24-3)&lt;=0,"SETTLED","OUTSTANDING")),IF(OR($BI24=1,$BH24&gt;0),IF(IF($BI24=1,SUM('Final Calculation Sheet'!$AD$4:$AD$40),SUMIFS('Final Calculation Sheet'!$AD$4:$AD$40,$AZ$5:$AZ$41,$BH24))&lt;=0,"ALL SETTLED","OUTSTANDING"),""))</f>
        <v/>
      </c>
      <c r="AK24">
        <f>IF($F$3="Lot No.",'Final Calculation Sheet'!$F$23,IF($F$3="Buyer",'Final Calculation Sheet'!$G$23,IF($F$3="Lot Name",'Final Calculation Sheet'!$B$23,IF($F$3="Bid Sheet",'Final Calculation Sheet'!$D$23,IF($F$3="Unit",'Final Calculation Sheet'!$E$23,'Final Calculation Sheet'!$F$23&amp;" "&amp;'Final Calculation Sheet'!$G$23&amp;" "&amp;'Final Calculation Sheet'!$B$23)))))</f>
        <v/>
      </c>
      <c r="AM24">
        <f>IF($B$3="",1,IF(AND(IF(COUNTIF($AR$9:$AY$9,1)=0,TRUE,SUMPRODUCT(($AR$9:$AY$9=1)*($AR$6:$AY$6&lt;&gt;"")*ISNUMBER(SEARCH($AR$6:$AY$6,$AK24)))&gt;0),IF(COUNTIF($AR$9:$AY$9,2)=0,TRUE,SUMPRODUCT(($AR$9:$AY$9=2)*($AR$6:$AY$6&lt;&gt;"")*ISNUMBER(SEARCH($AR$6:$AY$6,$AK24)))&gt;0),IF(COUNTIF($AR$9:$AY$9,3)=0,TRUE,SUMPRODUCT(($AR$9:$AY$9=3)*($AR$6:$AY$6&lt;&gt;"")*ISNUMBER(SEARCH($AR$6:$AY$6,$AK24)))&gt;0),IF(COUNTIF($AR$9:$AY$9,4)=0,TRUE,SUMPRODUCT(($AR$9:$AY$9=4)*($AR$6:$AY$6&lt;&gt;"")*ISNUMBER(SEARCH($AR$6:$AY$6,$AK24)))&gt;0),IF(COUNTIF($AR$9:$AY$9,5)=0,TRUE,SUMPRODUCT(($AR$9:$AY$9=5)*($AR$6:$AY$6&lt;&gt;"")*ISNUMBER(SEARCH($AR$6:$AY$6,$AK24)))&gt;0),IF(COUNTIF($AR$9:$AY$9,6)=0,TRUE,SUMPRODUCT(($AR$9:$AY$9=6)*($AR$6:$AY$6&lt;&gt;"")*ISNUMBER(SEARCH($AR$6:$AY$6,$AK24)))&gt;0),IF(COUNTIF($AR$9:$AY$9,7)=0,TRUE,SUMPRODUCT(($AR$9:$AY$9=7)*($AR$6:$AY$6&lt;&gt;"")*ISNUMBER(SEARCH($AR$6:$AY$6,$AK24)))&gt;0),IF(COUNTIF($AR$9:$AY$9,8)=0,TRUE,SUMPRODUCT(($AR$9:$AY$9=8)*($AR$6:$AY$6&lt;&gt;"")*ISNUMBER(SEARCH($AR$6:$AY$6,$AK24)))&gt;0)),1,0))</f>
        <v/>
      </c>
      <c r="AZ24">
        <f>IF($B$3="",9,IF($AM24=0,10,IF(AND($AR$6&lt;&gt;"",ISNUMBER(SEARCH($AR$6,$AK24))),1,IF(AND($AS$6&lt;&gt;"",ISNUMBER(SEARCH($AS$6,$AK24))),2,IF(AND($AT$6&lt;&gt;"",ISNUMBER(SEARCH($AT$6,$AK24))),3,IF(AND($AU$6&lt;&gt;"",ISNUMBER(SEARCH($AU$6,$AK24))),4,IF(AND($AV$6&lt;&gt;"",ISNUMBER(SEARCH($AV$6,$AK24))),5,IF(AND($AW$6&lt;&gt;"",ISNUMBER(SEARCH($AW$6,$AK24))),6,IF(AND($AX$6&lt;&gt;"",ISNUMBER(SEARCH($AX$6,$AK24))),7,IF(AND($AY$6&lt;&gt;"",ISNUMBER(SEARCH($AY$6,$AK24))),8,0))))))))))</f>
        <v/>
      </c>
      <c r="BA24">
        <f>SUMPRODUCT(($AZ$5:$AZ$41=$AZ24)*($BC$5:$BC$41&lt;$BC24))+1</f>
        <v/>
      </c>
      <c r="BB24">
        <f>IF(INDEX($BF$4:$BF$13,$AZ24)=0,0,INDEX($BE$4:$BE$13,$AZ24)+$BA24-1)</f>
        <v/>
      </c>
      <c r="BC24" t="n">
        <v>23</v>
      </c>
      <c r="BH24">
        <f>IFERROR(MATCH(24,$BF$4:$BF$13,0),0)</f>
        <v/>
      </c>
      <c r="BI24">
        <f>IF(24=$BG$4,1,0)</f>
        <v/>
      </c>
      <c r="BJ24">
        <f>IF(OR($BH24&gt;0,$BI24=1),0,IFERROR(INDEX($BC$5:$BC$41,MATCH(24,$BB$5:$BB$41,0)),0))</f>
        <v/>
      </c>
      <c r="BK24">
        <f>IF($BJ24&gt;0,IF(INDEX($AZ$5:$AZ$41,MATCH(24,$BB$5:$BB$41,0))=10,1,0),IF($BH24=10,1,0))</f>
        <v/>
      </c>
    </row>
    <row r="25" ht="15" customHeight="1">
      <c r="A25" s="649">
        <f>IF($BJ25&gt;0,INDEX($BA$5:$BA$41,MATCH(25,$BB$5:$BB$41,0)),IF(OR($BI25=1,$BH25&gt;0),"∑",""))</f>
        <v/>
      </c>
      <c r="B25" s="650">
        <f>IF($BJ25&gt;0,IF(INDEX('Final Calculation Sheet'!$F$4:$F$40,$BJ25-3)="","",INDEX('Final Calculation Sheet'!$F$4:$F$40,$BJ25-3)),"")</f>
        <v/>
      </c>
      <c r="C25" s="650">
        <f>IF($BJ25&gt;0,IF(INDEX('Final Calculation Sheet'!$G$4:$G$40,$BJ25-3)="","",INDEX('Final Calculation Sheet'!$G$4:$G$40,$BJ25-3)),IF(OR($BI25=1,$BH25&gt;0),IF($BI25=1,37,INDEX($BD$4:$BD$13,$BH25))&amp;" lot(s)",""))</f>
        <v/>
      </c>
      <c r="D25" s="651">
        <f>IF($BJ25&gt;0,IF(INDEX('Final Calculation Sheet'!$B$4:$B$40,$BJ25-3)="","",INDEX('Final Calculation Sheet'!$B$4:$B$40,$BJ25-3)),IF(OR($BI25=1,$BH25&gt;0),IF($BI25=1,"GRAND TOTAL  —  matching + remaining",IF($BH25=10,"REMAINING  —  did not match the search",IF($BH25=9,"ALL LOTS  —  nothing typed in the box","GROUP "&amp;$BH25&amp;" TOTAL  —  lots matching  "&amp;INDEX($AR$6:$AY$6,$BH25)))),""))</f>
        <v/>
      </c>
      <c r="E25" s="651">
        <f>IF($BJ25&gt;0,IF(INDEX('Final Calculation Sheet'!$D$4:$D$40,$BJ25-3)="","",INDEX('Final Calculation Sheet'!$D$4:$D$40,$BJ25-3)),IF(OR($BI25=1,$BH25&gt;0),"–",""))</f>
        <v/>
      </c>
      <c r="F25" s="651">
        <f>IF($BJ25&gt;0,IF(INDEX('Final Calculation Sheet'!$A$4:$A$40,$BJ25-3)="","",INDEX('Final Calculation Sheet'!$A$4:$A$40,$BJ25-3)),IF($BI25=1,SUM('Final Calculation Sheet'!$A$4:$A$40),IF($BH25&gt;0,SUMIFS('Final Calculation Sheet'!$A$4:$A$40,$AZ$5:$AZ$41,$BH25),"")))</f>
        <v/>
      </c>
      <c r="G25" s="651">
        <f>IF($BJ25&gt;0,IF(INDEX('Final Calculation Sheet'!$E$4:$E$40,$BJ25-3)="","",INDEX('Final Calculation Sheet'!$E$4:$E$40,$BJ25-3)),IF(OR($BI25=1,$BH25&gt;0),"–",""))</f>
        <v/>
      </c>
      <c r="H25" s="652">
        <f>IF($BJ25&gt;0,IF(INDEX('Final Calculation Sheet'!$C$4:$C$40,$BJ25-3)="","",INDEX('Final Calculation Sheet'!$C$4:$C$40,$BJ25-3)),IF(OR($BI25=1,$BH25&gt;0),"–",""))</f>
        <v/>
      </c>
      <c r="I25" s="652">
        <f>IF($BJ25&gt;0,IF(INDEX('Final Calculation Sheet'!$H$4:$H$40,$BJ25-3)="","",INDEX('Final Calculation Sheet'!$H$4:$H$40,$BJ25-3)),IF($BI25=1,SUM('Final Calculation Sheet'!$H$4:$H$40),IF($BH25&gt;0,SUMIFS('Final Calculation Sheet'!$H$4:$H$40,$AZ$5:$AZ$41,$BH25),"")))</f>
        <v/>
      </c>
      <c r="J25" s="652">
        <f>IF($BJ25&gt;0,IF(INDEX('Final Calculation Sheet'!$I$4:$I$40,$BJ25-3)="","",INDEX('Final Calculation Sheet'!$I$4:$I$40,$BJ25-3)),IF($BI25=1,SUM('Final Calculation Sheet'!$I$4:$I$40),IF($BH25&gt;0,SUMIFS('Final Calculation Sheet'!$I$4:$I$40,$AZ$5:$AZ$41,$BH25),"")))</f>
        <v/>
      </c>
      <c r="K25" s="652">
        <f>IF($BJ25&gt;0,IF(INDEX('Final Calculation Sheet'!$J$4:$J$40,$BJ25-3)="","",INDEX('Final Calculation Sheet'!$J$4:$J$40,$BJ25-3)),IF($BI25=1,SUM('Final Calculation Sheet'!$J$4:$J$40),IF($BH25&gt;0,SUMIFS('Final Calculation Sheet'!$J$4:$J$40,$AZ$5:$AZ$41,$BH25),"")))</f>
        <v/>
      </c>
      <c r="L25" s="652">
        <f>IF($BJ25&gt;0,IF(INDEX('Final Calculation Sheet'!$K$4:$K$40,$BJ25-3)="","",INDEX('Final Calculation Sheet'!$K$4:$K$40,$BJ25-3)),IF($BI25=1,SUM('Final Calculation Sheet'!$K$4:$K$40),IF($BH25&gt;0,SUMIFS('Final Calculation Sheet'!$K$4:$K$40,$AZ$5:$AZ$41,$BH25),"")))</f>
        <v/>
      </c>
      <c r="M25" s="652">
        <f>IF($BJ25&gt;0,IF(INDEX('Final Calculation Sheet'!$L$4:$L$40,$BJ25-3)="","",INDEX('Final Calculation Sheet'!$L$4:$L$40,$BJ25-3)),IF($BI25=1,SUM('Final Calculation Sheet'!$L$4:$L$40),IF($BH25&gt;0,SUMIFS('Final Calculation Sheet'!$L$4:$L$40,$AZ$5:$AZ$41,$BH25),"")))</f>
        <v/>
      </c>
      <c r="N25" s="652">
        <f>IF($BJ25&gt;0,IF(INDEX('Final Calculation Sheet'!$M$4:$M$40,$BJ25-3)="","",INDEX('Final Calculation Sheet'!$M$4:$M$40,$BJ25-3)),IF($BI25=1,SUM('Final Calculation Sheet'!$M$4:$M$40),IF($BH25&gt;0,SUMIFS('Final Calculation Sheet'!$M$4:$M$40,$AZ$5:$AZ$41,$BH25),"")))</f>
        <v/>
      </c>
      <c r="O25" s="653">
        <f>IF($BJ25&gt;0,IF(INDEX('Final Calculation Sheet'!$N$4:$N$40,$BJ25-3)="","",INDEX('Final Calculation Sheet'!$N$4:$N$40,$BJ25-3)),IF($BI25=1,SUM('Final Calculation Sheet'!$N$4:$N$40),IF($BH25&gt;0,SUMIFS('Final Calculation Sheet'!$N$4:$N$40,$AZ$5:$AZ$41,$BH25),"")))</f>
        <v/>
      </c>
      <c r="P25" s="652">
        <f>IF($BJ25&gt;0,IF(INDEX('Final Calculation Sheet'!$O$4:$O$40,$BJ25-3)="","",INDEX('Final Calculation Sheet'!$O$4:$O$40,$BJ25-3)),IF($BI25=1,SUM('Final Calculation Sheet'!$O$4:$O$40),IF($BH25&gt;0,SUMIFS('Final Calculation Sheet'!$O$4:$O$40,$AZ$5:$AZ$41,$BH25),"")))</f>
        <v/>
      </c>
      <c r="Q25" s="652">
        <f>IF($BJ25&gt;0,IF(INDEX('Final Calculation Sheet'!$P$4:$P$40,$BJ25-3)="","",INDEX('Final Calculation Sheet'!$P$4:$P$40,$BJ25-3)),IF($BI25=1,SUM('Final Calculation Sheet'!$P$4:$P$40),IF($BH25&gt;0,SUMIFS('Final Calculation Sheet'!$P$4:$P$40,$AZ$5:$AZ$41,$BH25),"")))</f>
        <v/>
      </c>
      <c r="R25" s="654">
        <f>IF($BJ25&gt;0,IF(INDEX('Final Calculation Sheet'!$Q$4:$Q$40,$BJ25-3)="","",INDEX('Final Calculation Sheet'!$Q$4:$Q$40,$BJ25-3)),IF(OR($BI25=1,$BH25&gt;0),"–",""))</f>
        <v/>
      </c>
      <c r="S25" s="652">
        <f>IF($BJ25&gt;0,IF(INDEX('Final Calculation Sheet'!$R$4:$R$40,$BJ25-3)="","",INDEX('Final Calculation Sheet'!$R$4:$R$40,$BJ25-3)),IF($BI25=1,SUM('Final Calculation Sheet'!$R$4:$R$40),IF($BH25&gt;0,SUMIFS('Final Calculation Sheet'!$R$4:$R$40,$AZ$5:$AZ$41,$BH25),"")))</f>
        <v/>
      </c>
      <c r="T25" s="652">
        <f>IF($BJ25&gt;0,IF(INDEX('Final Calculation Sheet'!$S$4:$S$40,$BJ25-3)="","",INDEX('Final Calculation Sheet'!$S$4:$S$40,$BJ25-3)),IF($BI25=1,SUM('Final Calculation Sheet'!$S$4:$S$40),IF($BH25&gt;0,SUMIFS('Final Calculation Sheet'!$S$4:$S$40,$AZ$5:$AZ$41,$BH25),"")))</f>
        <v/>
      </c>
      <c r="U25" s="652">
        <f>IF($BJ25&gt;0,IF(INDEX('Final Calculation Sheet'!$T$4:$T$40,$BJ25-3)="","",INDEX('Final Calculation Sheet'!$T$4:$T$40,$BJ25-3)),IF($BI25=1,SUM('Final Calculation Sheet'!$T$4:$T$40),IF($BH25&gt;0,SUMIFS('Final Calculation Sheet'!$T$4:$T$40,$AZ$5:$AZ$41,$BH25),"")))</f>
        <v/>
      </c>
      <c r="V25" s="655">
        <f>IF($BJ25&gt;0,IF(INDEX('Final Calculation Sheet'!$U$4:$U$40,$BJ25-3)="","",INDEX('Final Calculation Sheet'!$U$4:$U$40,$BJ25-3)),IF($BI25=1,SUM('Final Calculation Sheet'!$U$4:$U$40),IF($BH25&gt;0,SUMIFS('Final Calculation Sheet'!$U$4:$U$40,$AZ$5:$AZ$41,$BH25),"")))</f>
        <v/>
      </c>
      <c r="W25" s="652">
        <f>IF($BJ25&gt;0,IF(INDEX('Final Calculation Sheet'!$V$4:$V$40,$BJ25-3)="","",INDEX('Final Calculation Sheet'!$V$4:$V$40,$BJ25-3)),IF(OR($BI25=1,$BH25&gt;0),"–",""))</f>
        <v/>
      </c>
      <c r="X25" s="652">
        <f>IF($BJ25&gt;0,IF(INDEX('Final Calculation Sheet'!$W$4:$W$40,$BJ25-3)="","",INDEX('Final Calculation Sheet'!$W$4:$W$40,$BJ25-3)),IF($BI25=1,SUM('Final Calculation Sheet'!$W$4:$W$40),IF($BH25&gt;0,SUMIFS('Final Calculation Sheet'!$W$4:$W$40,$AZ$5:$AZ$41,$BH25),"")))</f>
        <v/>
      </c>
      <c r="Y25" s="652">
        <f>IF($BJ25&gt;0,IF(INDEX('Final Calculation Sheet'!$X$4:$X$40,$BJ25-3)="","",INDEX('Final Calculation Sheet'!$X$4:$X$40,$BJ25-3)),IF($BI25=1,SUM('Final Calculation Sheet'!$X$4:$X$40),IF($BH25&gt;0,SUMIFS('Final Calculation Sheet'!$X$4:$X$40,$AZ$5:$AZ$41,$BH25),"")))</f>
        <v/>
      </c>
      <c r="Z25" s="652">
        <f>IF($BJ25&gt;0,IF(INDEX('Final Calculation Sheet'!$Y$4:$Y$40,$BJ25-3)="","",INDEX('Final Calculation Sheet'!$Y$4:$Y$40,$BJ25-3)),IF(OR($BI25=1,$BH25&gt;0),"–",""))</f>
        <v/>
      </c>
      <c r="AA25" s="652">
        <f>IF($BJ25&gt;0,IF(INDEX('Final Calculation Sheet'!$Z$4:$Z$40,$BJ25-3)="","",INDEX('Final Calculation Sheet'!$Z$4:$Z$40,$BJ25-3)),IF($BI25=1,SUM('Final Calculation Sheet'!$Z$4:$Z$40),IF($BH25&gt;0,SUMIFS('Final Calculation Sheet'!$Z$4:$Z$40,$AZ$5:$AZ$41,$BH25),"")))</f>
        <v/>
      </c>
      <c r="AB25" s="652">
        <f>IF($BJ25&gt;0,IF(INDEX('Final Calculation Sheet'!$AA$4:$AA$40,$BJ25-3)="","",INDEX('Final Calculation Sheet'!$AA$4:$AA$40,$BJ25-3)),IF($BI25=1,SUM('Final Calculation Sheet'!$AA$4:$AA$40),IF($BH25&gt;0,SUMIFS('Final Calculation Sheet'!$AA$4:$AA$40,$AZ$5:$AZ$41,$BH25),"")))</f>
        <v/>
      </c>
      <c r="AC25" s="652">
        <f>IF($BJ25&gt;0,IF(INDEX('Final Calculation Sheet'!$AB$4:$AB$40,$BJ25-3)="","",INDEX('Final Calculation Sheet'!$AB$4:$AB$40,$BJ25-3)),IF(OR($BI25=1,$BH25&gt;0),"–",""))</f>
        <v/>
      </c>
      <c r="AD25" s="652">
        <f>IF($BJ25&gt;0,IF(INDEX('Final Calculation Sheet'!$AC$4:$AC$40,$BJ25-3)="","",INDEX('Final Calculation Sheet'!$AC$4:$AC$40,$BJ25-3)),IF($BI25=1,SUM('Final Calculation Sheet'!$AC$4:$AC$40),IF($BH25&gt;0,SUMIFS('Final Calculation Sheet'!$AC$4:$AC$40,$AZ$5:$AZ$41,$BH25),"")))</f>
        <v/>
      </c>
      <c r="AE25" s="652">
        <f>IF($BJ25&gt;0,IF(INDEX('Final Calculation Sheet'!$AD$4:$AD$40,$BJ25-3)="","",INDEX('Final Calculation Sheet'!$AD$4:$AD$40,$BJ25-3)),IF($BI25=1,SUM('Final Calculation Sheet'!$AD$4:$AD$40),IF($BH25&gt;0,SUMIFS('Final Calculation Sheet'!$AD$4:$AD$40,$AZ$5:$AZ$41,$BH25),"")))</f>
        <v/>
      </c>
      <c r="AF25" s="652">
        <f>IF($BJ25&gt;0,IF(INDEX('Final Calculation Sheet'!$AE$4:$AE$40,$BJ25-3)="","",INDEX('Final Calculation Sheet'!$AE$4:$AE$40,$BJ25-3)),IF(OR($BI25=1,$BH25&gt;0),"–",""))</f>
        <v/>
      </c>
      <c r="AG25" s="656">
        <f>IF($BJ25&gt;0,IF(INDEX('Final Calculation Sheet'!$AF$4:$AF$40,$BJ25-3)="","",INDEX('Final Calculation Sheet'!$AF$4:$AF$40,$BJ25-3)),IF(OR($BI25=1,$BH25&gt;0),"–",""))</f>
        <v/>
      </c>
      <c r="AH25" s="652">
        <f>IF($BJ25&gt;0,IF(INDEX('Final Calculation Sheet'!$AG$4:$AG$40,$BJ25-3)="","",INDEX('Final Calculation Sheet'!$AG$4:$AG$40,$BJ25-3)),IF(OR($BI25=1,$BH25&gt;0),"–",""))</f>
        <v/>
      </c>
      <c r="AI25" s="657">
        <f>IF($BJ25&gt;0,IF(INDEX('Final Calculation Sheet'!$AD$4:$AD$40,$BJ25-3)="","",IF(INDEX('Final Calculation Sheet'!$AD$4:$AD$40,$BJ25-3)&lt;=0,"SETTLED","OUTSTANDING")),IF(OR($BI25=1,$BH25&gt;0),IF(IF($BI25=1,SUM('Final Calculation Sheet'!$AD$4:$AD$40),SUMIFS('Final Calculation Sheet'!$AD$4:$AD$40,$AZ$5:$AZ$41,$BH25))&lt;=0,"ALL SETTLED","OUTSTANDING"),""))</f>
        <v/>
      </c>
      <c r="AK25">
        <f>IF($F$3="Lot No.",'Final Calculation Sheet'!$F$24,IF($F$3="Buyer",'Final Calculation Sheet'!$G$24,IF($F$3="Lot Name",'Final Calculation Sheet'!$B$24,IF($F$3="Bid Sheet",'Final Calculation Sheet'!$D$24,IF($F$3="Unit",'Final Calculation Sheet'!$E$24,'Final Calculation Sheet'!$F$24&amp;" "&amp;'Final Calculation Sheet'!$G$24&amp;" "&amp;'Final Calculation Sheet'!$B$24)))))</f>
        <v/>
      </c>
      <c r="AM25">
        <f>IF($B$3="",1,IF(AND(IF(COUNTIF($AR$9:$AY$9,1)=0,TRUE,SUMPRODUCT(($AR$9:$AY$9=1)*($AR$6:$AY$6&lt;&gt;"")*ISNUMBER(SEARCH($AR$6:$AY$6,$AK25)))&gt;0),IF(COUNTIF($AR$9:$AY$9,2)=0,TRUE,SUMPRODUCT(($AR$9:$AY$9=2)*($AR$6:$AY$6&lt;&gt;"")*ISNUMBER(SEARCH($AR$6:$AY$6,$AK25)))&gt;0),IF(COUNTIF($AR$9:$AY$9,3)=0,TRUE,SUMPRODUCT(($AR$9:$AY$9=3)*($AR$6:$AY$6&lt;&gt;"")*ISNUMBER(SEARCH($AR$6:$AY$6,$AK25)))&gt;0),IF(COUNTIF($AR$9:$AY$9,4)=0,TRUE,SUMPRODUCT(($AR$9:$AY$9=4)*($AR$6:$AY$6&lt;&gt;"")*ISNUMBER(SEARCH($AR$6:$AY$6,$AK25)))&gt;0),IF(COUNTIF($AR$9:$AY$9,5)=0,TRUE,SUMPRODUCT(($AR$9:$AY$9=5)*($AR$6:$AY$6&lt;&gt;"")*ISNUMBER(SEARCH($AR$6:$AY$6,$AK25)))&gt;0),IF(COUNTIF($AR$9:$AY$9,6)=0,TRUE,SUMPRODUCT(($AR$9:$AY$9=6)*($AR$6:$AY$6&lt;&gt;"")*ISNUMBER(SEARCH($AR$6:$AY$6,$AK25)))&gt;0),IF(COUNTIF($AR$9:$AY$9,7)=0,TRUE,SUMPRODUCT(($AR$9:$AY$9=7)*($AR$6:$AY$6&lt;&gt;"")*ISNUMBER(SEARCH($AR$6:$AY$6,$AK25)))&gt;0),IF(COUNTIF($AR$9:$AY$9,8)=0,TRUE,SUMPRODUCT(($AR$9:$AY$9=8)*($AR$6:$AY$6&lt;&gt;"")*ISNUMBER(SEARCH($AR$6:$AY$6,$AK25)))&gt;0)),1,0))</f>
        <v/>
      </c>
      <c r="AZ25">
        <f>IF($B$3="",9,IF($AM25=0,10,IF(AND($AR$6&lt;&gt;"",ISNUMBER(SEARCH($AR$6,$AK25))),1,IF(AND($AS$6&lt;&gt;"",ISNUMBER(SEARCH($AS$6,$AK25))),2,IF(AND($AT$6&lt;&gt;"",ISNUMBER(SEARCH($AT$6,$AK25))),3,IF(AND($AU$6&lt;&gt;"",ISNUMBER(SEARCH($AU$6,$AK25))),4,IF(AND($AV$6&lt;&gt;"",ISNUMBER(SEARCH($AV$6,$AK25))),5,IF(AND($AW$6&lt;&gt;"",ISNUMBER(SEARCH($AW$6,$AK25))),6,IF(AND($AX$6&lt;&gt;"",ISNUMBER(SEARCH($AX$6,$AK25))),7,IF(AND($AY$6&lt;&gt;"",ISNUMBER(SEARCH($AY$6,$AK25))),8,0))))))))))</f>
        <v/>
      </c>
      <c r="BA25">
        <f>SUMPRODUCT(($AZ$5:$AZ$41=$AZ25)*($BC$5:$BC$41&lt;$BC25))+1</f>
        <v/>
      </c>
      <c r="BB25">
        <f>IF(INDEX($BF$4:$BF$13,$AZ25)=0,0,INDEX($BE$4:$BE$13,$AZ25)+$BA25-1)</f>
        <v/>
      </c>
      <c r="BC25" t="n">
        <v>24</v>
      </c>
      <c r="BH25">
        <f>IFERROR(MATCH(25,$BF$4:$BF$13,0),0)</f>
        <v/>
      </c>
      <c r="BI25">
        <f>IF(25=$BG$4,1,0)</f>
        <v/>
      </c>
      <c r="BJ25">
        <f>IF(OR($BH25&gt;0,$BI25=1),0,IFERROR(INDEX($BC$5:$BC$41,MATCH(25,$BB$5:$BB$41,0)),0))</f>
        <v/>
      </c>
      <c r="BK25">
        <f>IF($BJ25&gt;0,IF(INDEX($AZ$5:$AZ$41,MATCH(25,$BB$5:$BB$41,0))=10,1,0),IF($BH25=10,1,0))</f>
        <v/>
      </c>
    </row>
    <row r="26" ht="15" customHeight="1">
      <c r="A26" s="649">
        <f>IF($BJ26&gt;0,INDEX($BA$5:$BA$41,MATCH(26,$BB$5:$BB$41,0)),IF(OR($BI26=1,$BH26&gt;0),"∑",""))</f>
        <v/>
      </c>
      <c r="B26" s="650">
        <f>IF($BJ26&gt;0,IF(INDEX('Final Calculation Sheet'!$F$4:$F$40,$BJ26-3)="","",INDEX('Final Calculation Sheet'!$F$4:$F$40,$BJ26-3)),"")</f>
        <v/>
      </c>
      <c r="C26" s="650">
        <f>IF($BJ26&gt;0,IF(INDEX('Final Calculation Sheet'!$G$4:$G$40,$BJ26-3)="","",INDEX('Final Calculation Sheet'!$G$4:$G$40,$BJ26-3)),IF(OR($BI26=1,$BH26&gt;0),IF($BI26=1,37,INDEX($BD$4:$BD$13,$BH26))&amp;" lot(s)",""))</f>
        <v/>
      </c>
      <c r="D26" s="651">
        <f>IF($BJ26&gt;0,IF(INDEX('Final Calculation Sheet'!$B$4:$B$40,$BJ26-3)="","",INDEX('Final Calculation Sheet'!$B$4:$B$40,$BJ26-3)),IF(OR($BI26=1,$BH26&gt;0),IF($BI26=1,"GRAND TOTAL  —  matching + remaining",IF($BH26=10,"REMAINING  —  did not match the search",IF($BH26=9,"ALL LOTS  —  nothing typed in the box","GROUP "&amp;$BH26&amp;" TOTAL  —  lots matching  "&amp;INDEX($AR$6:$AY$6,$BH26)))),""))</f>
        <v/>
      </c>
      <c r="E26" s="651">
        <f>IF($BJ26&gt;0,IF(INDEX('Final Calculation Sheet'!$D$4:$D$40,$BJ26-3)="","",INDEX('Final Calculation Sheet'!$D$4:$D$40,$BJ26-3)),IF(OR($BI26=1,$BH26&gt;0),"–",""))</f>
        <v/>
      </c>
      <c r="F26" s="651">
        <f>IF($BJ26&gt;0,IF(INDEX('Final Calculation Sheet'!$A$4:$A$40,$BJ26-3)="","",INDEX('Final Calculation Sheet'!$A$4:$A$40,$BJ26-3)),IF($BI26=1,SUM('Final Calculation Sheet'!$A$4:$A$40),IF($BH26&gt;0,SUMIFS('Final Calculation Sheet'!$A$4:$A$40,$AZ$5:$AZ$41,$BH26),"")))</f>
        <v/>
      </c>
      <c r="G26" s="651">
        <f>IF($BJ26&gt;0,IF(INDEX('Final Calculation Sheet'!$E$4:$E$40,$BJ26-3)="","",INDEX('Final Calculation Sheet'!$E$4:$E$40,$BJ26-3)),IF(OR($BI26=1,$BH26&gt;0),"–",""))</f>
        <v/>
      </c>
      <c r="H26" s="652">
        <f>IF($BJ26&gt;0,IF(INDEX('Final Calculation Sheet'!$C$4:$C$40,$BJ26-3)="","",INDEX('Final Calculation Sheet'!$C$4:$C$40,$BJ26-3)),IF(OR($BI26=1,$BH26&gt;0),"–",""))</f>
        <v/>
      </c>
      <c r="I26" s="652">
        <f>IF($BJ26&gt;0,IF(INDEX('Final Calculation Sheet'!$H$4:$H$40,$BJ26-3)="","",INDEX('Final Calculation Sheet'!$H$4:$H$40,$BJ26-3)),IF($BI26=1,SUM('Final Calculation Sheet'!$H$4:$H$40),IF($BH26&gt;0,SUMIFS('Final Calculation Sheet'!$H$4:$H$40,$AZ$5:$AZ$41,$BH26),"")))</f>
        <v/>
      </c>
      <c r="J26" s="652">
        <f>IF($BJ26&gt;0,IF(INDEX('Final Calculation Sheet'!$I$4:$I$40,$BJ26-3)="","",INDEX('Final Calculation Sheet'!$I$4:$I$40,$BJ26-3)),IF($BI26=1,SUM('Final Calculation Sheet'!$I$4:$I$40),IF($BH26&gt;0,SUMIFS('Final Calculation Sheet'!$I$4:$I$40,$AZ$5:$AZ$41,$BH26),"")))</f>
        <v/>
      </c>
      <c r="K26" s="652">
        <f>IF($BJ26&gt;0,IF(INDEX('Final Calculation Sheet'!$J$4:$J$40,$BJ26-3)="","",INDEX('Final Calculation Sheet'!$J$4:$J$40,$BJ26-3)),IF($BI26=1,SUM('Final Calculation Sheet'!$J$4:$J$40),IF($BH26&gt;0,SUMIFS('Final Calculation Sheet'!$J$4:$J$40,$AZ$5:$AZ$41,$BH26),"")))</f>
        <v/>
      </c>
      <c r="L26" s="652">
        <f>IF($BJ26&gt;0,IF(INDEX('Final Calculation Sheet'!$K$4:$K$40,$BJ26-3)="","",INDEX('Final Calculation Sheet'!$K$4:$K$40,$BJ26-3)),IF($BI26=1,SUM('Final Calculation Sheet'!$K$4:$K$40),IF($BH26&gt;0,SUMIFS('Final Calculation Sheet'!$K$4:$K$40,$AZ$5:$AZ$41,$BH26),"")))</f>
        <v/>
      </c>
      <c r="M26" s="652">
        <f>IF($BJ26&gt;0,IF(INDEX('Final Calculation Sheet'!$L$4:$L$40,$BJ26-3)="","",INDEX('Final Calculation Sheet'!$L$4:$L$40,$BJ26-3)),IF($BI26=1,SUM('Final Calculation Sheet'!$L$4:$L$40),IF($BH26&gt;0,SUMIFS('Final Calculation Sheet'!$L$4:$L$40,$AZ$5:$AZ$41,$BH26),"")))</f>
        <v/>
      </c>
      <c r="N26" s="652">
        <f>IF($BJ26&gt;0,IF(INDEX('Final Calculation Sheet'!$M$4:$M$40,$BJ26-3)="","",INDEX('Final Calculation Sheet'!$M$4:$M$40,$BJ26-3)),IF($BI26=1,SUM('Final Calculation Sheet'!$M$4:$M$40),IF($BH26&gt;0,SUMIFS('Final Calculation Sheet'!$M$4:$M$40,$AZ$5:$AZ$41,$BH26),"")))</f>
        <v/>
      </c>
      <c r="O26" s="653">
        <f>IF($BJ26&gt;0,IF(INDEX('Final Calculation Sheet'!$N$4:$N$40,$BJ26-3)="","",INDEX('Final Calculation Sheet'!$N$4:$N$40,$BJ26-3)),IF($BI26=1,SUM('Final Calculation Sheet'!$N$4:$N$40),IF($BH26&gt;0,SUMIFS('Final Calculation Sheet'!$N$4:$N$40,$AZ$5:$AZ$41,$BH26),"")))</f>
        <v/>
      </c>
      <c r="P26" s="652">
        <f>IF($BJ26&gt;0,IF(INDEX('Final Calculation Sheet'!$O$4:$O$40,$BJ26-3)="","",INDEX('Final Calculation Sheet'!$O$4:$O$40,$BJ26-3)),IF($BI26=1,SUM('Final Calculation Sheet'!$O$4:$O$40),IF($BH26&gt;0,SUMIFS('Final Calculation Sheet'!$O$4:$O$40,$AZ$5:$AZ$41,$BH26),"")))</f>
        <v/>
      </c>
      <c r="Q26" s="652">
        <f>IF($BJ26&gt;0,IF(INDEX('Final Calculation Sheet'!$P$4:$P$40,$BJ26-3)="","",INDEX('Final Calculation Sheet'!$P$4:$P$40,$BJ26-3)),IF($BI26=1,SUM('Final Calculation Sheet'!$P$4:$P$40),IF($BH26&gt;0,SUMIFS('Final Calculation Sheet'!$P$4:$P$40,$AZ$5:$AZ$41,$BH26),"")))</f>
        <v/>
      </c>
      <c r="R26" s="654">
        <f>IF($BJ26&gt;0,IF(INDEX('Final Calculation Sheet'!$Q$4:$Q$40,$BJ26-3)="","",INDEX('Final Calculation Sheet'!$Q$4:$Q$40,$BJ26-3)),IF(OR($BI26=1,$BH26&gt;0),"–",""))</f>
        <v/>
      </c>
      <c r="S26" s="652">
        <f>IF($BJ26&gt;0,IF(INDEX('Final Calculation Sheet'!$R$4:$R$40,$BJ26-3)="","",INDEX('Final Calculation Sheet'!$R$4:$R$40,$BJ26-3)),IF($BI26=1,SUM('Final Calculation Sheet'!$R$4:$R$40),IF($BH26&gt;0,SUMIFS('Final Calculation Sheet'!$R$4:$R$40,$AZ$5:$AZ$41,$BH26),"")))</f>
        <v/>
      </c>
      <c r="T26" s="652">
        <f>IF($BJ26&gt;0,IF(INDEX('Final Calculation Sheet'!$S$4:$S$40,$BJ26-3)="","",INDEX('Final Calculation Sheet'!$S$4:$S$40,$BJ26-3)),IF($BI26=1,SUM('Final Calculation Sheet'!$S$4:$S$40),IF($BH26&gt;0,SUMIFS('Final Calculation Sheet'!$S$4:$S$40,$AZ$5:$AZ$41,$BH26),"")))</f>
        <v/>
      </c>
      <c r="U26" s="652">
        <f>IF($BJ26&gt;0,IF(INDEX('Final Calculation Sheet'!$T$4:$T$40,$BJ26-3)="","",INDEX('Final Calculation Sheet'!$T$4:$T$40,$BJ26-3)),IF($BI26=1,SUM('Final Calculation Sheet'!$T$4:$T$40),IF($BH26&gt;0,SUMIFS('Final Calculation Sheet'!$T$4:$T$40,$AZ$5:$AZ$41,$BH26),"")))</f>
        <v/>
      </c>
      <c r="V26" s="655">
        <f>IF($BJ26&gt;0,IF(INDEX('Final Calculation Sheet'!$U$4:$U$40,$BJ26-3)="","",INDEX('Final Calculation Sheet'!$U$4:$U$40,$BJ26-3)),IF($BI26=1,SUM('Final Calculation Sheet'!$U$4:$U$40),IF($BH26&gt;0,SUMIFS('Final Calculation Sheet'!$U$4:$U$40,$AZ$5:$AZ$41,$BH26),"")))</f>
        <v/>
      </c>
      <c r="W26" s="652">
        <f>IF($BJ26&gt;0,IF(INDEX('Final Calculation Sheet'!$V$4:$V$40,$BJ26-3)="","",INDEX('Final Calculation Sheet'!$V$4:$V$40,$BJ26-3)),IF(OR($BI26=1,$BH26&gt;0),"–",""))</f>
        <v/>
      </c>
      <c r="X26" s="652">
        <f>IF($BJ26&gt;0,IF(INDEX('Final Calculation Sheet'!$W$4:$W$40,$BJ26-3)="","",INDEX('Final Calculation Sheet'!$W$4:$W$40,$BJ26-3)),IF($BI26=1,SUM('Final Calculation Sheet'!$W$4:$W$40),IF($BH26&gt;0,SUMIFS('Final Calculation Sheet'!$W$4:$W$40,$AZ$5:$AZ$41,$BH26),"")))</f>
        <v/>
      </c>
      <c r="Y26" s="652">
        <f>IF($BJ26&gt;0,IF(INDEX('Final Calculation Sheet'!$X$4:$X$40,$BJ26-3)="","",INDEX('Final Calculation Sheet'!$X$4:$X$40,$BJ26-3)),IF($BI26=1,SUM('Final Calculation Sheet'!$X$4:$X$40),IF($BH26&gt;0,SUMIFS('Final Calculation Sheet'!$X$4:$X$40,$AZ$5:$AZ$41,$BH26),"")))</f>
        <v/>
      </c>
      <c r="Z26" s="652">
        <f>IF($BJ26&gt;0,IF(INDEX('Final Calculation Sheet'!$Y$4:$Y$40,$BJ26-3)="","",INDEX('Final Calculation Sheet'!$Y$4:$Y$40,$BJ26-3)),IF(OR($BI26=1,$BH26&gt;0),"–",""))</f>
        <v/>
      </c>
      <c r="AA26" s="652">
        <f>IF($BJ26&gt;0,IF(INDEX('Final Calculation Sheet'!$Z$4:$Z$40,$BJ26-3)="","",INDEX('Final Calculation Sheet'!$Z$4:$Z$40,$BJ26-3)),IF($BI26=1,SUM('Final Calculation Sheet'!$Z$4:$Z$40),IF($BH26&gt;0,SUMIFS('Final Calculation Sheet'!$Z$4:$Z$40,$AZ$5:$AZ$41,$BH26),"")))</f>
        <v/>
      </c>
      <c r="AB26" s="652">
        <f>IF($BJ26&gt;0,IF(INDEX('Final Calculation Sheet'!$AA$4:$AA$40,$BJ26-3)="","",INDEX('Final Calculation Sheet'!$AA$4:$AA$40,$BJ26-3)),IF($BI26=1,SUM('Final Calculation Sheet'!$AA$4:$AA$40),IF($BH26&gt;0,SUMIFS('Final Calculation Sheet'!$AA$4:$AA$40,$AZ$5:$AZ$41,$BH26),"")))</f>
        <v/>
      </c>
      <c r="AC26" s="652">
        <f>IF($BJ26&gt;0,IF(INDEX('Final Calculation Sheet'!$AB$4:$AB$40,$BJ26-3)="","",INDEX('Final Calculation Sheet'!$AB$4:$AB$40,$BJ26-3)),IF(OR($BI26=1,$BH26&gt;0),"–",""))</f>
        <v/>
      </c>
      <c r="AD26" s="652">
        <f>IF($BJ26&gt;0,IF(INDEX('Final Calculation Sheet'!$AC$4:$AC$40,$BJ26-3)="","",INDEX('Final Calculation Sheet'!$AC$4:$AC$40,$BJ26-3)),IF($BI26=1,SUM('Final Calculation Sheet'!$AC$4:$AC$40),IF($BH26&gt;0,SUMIFS('Final Calculation Sheet'!$AC$4:$AC$40,$AZ$5:$AZ$41,$BH26),"")))</f>
        <v/>
      </c>
      <c r="AE26" s="652">
        <f>IF($BJ26&gt;0,IF(INDEX('Final Calculation Sheet'!$AD$4:$AD$40,$BJ26-3)="","",INDEX('Final Calculation Sheet'!$AD$4:$AD$40,$BJ26-3)),IF($BI26=1,SUM('Final Calculation Sheet'!$AD$4:$AD$40),IF($BH26&gt;0,SUMIFS('Final Calculation Sheet'!$AD$4:$AD$40,$AZ$5:$AZ$41,$BH26),"")))</f>
        <v/>
      </c>
      <c r="AF26" s="652">
        <f>IF($BJ26&gt;0,IF(INDEX('Final Calculation Sheet'!$AE$4:$AE$40,$BJ26-3)="","",INDEX('Final Calculation Sheet'!$AE$4:$AE$40,$BJ26-3)),IF(OR($BI26=1,$BH26&gt;0),"–",""))</f>
        <v/>
      </c>
      <c r="AG26" s="656">
        <f>IF($BJ26&gt;0,IF(INDEX('Final Calculation Sheet'!$AF$4:$AF$40,$BJ26-3)="","",INDEX('Final Calculation Sheet'!$AF$4:$AF$40,$BJ26-3)),IF(OR($BI26=1,$BH26&gt;0),"–",""))</f>
        <v/>
      </c>
      <c r="AH26" s="652">
        <f>IF($BJ26&gt;0,IF(INDEX('Final Calculation Sheet'!$AG$4:$AG$40,$BJ26-3)="","",INDEX('Final Calculation Sheet'!$AG$4:$AG$40,$BJ26-3)),IF(OR($BI26=1,$BH26&gt;0),"–",""))</f>
        <v/>
      </c>
      <c r="AI26" s="657">
        <f>IF($BJ26&gt;0,IF(INDEX('Final Calculation Sheet'!$AD$4:$AD$40,$BJ26-3)="","",IF(INDEX('Final Calculation Sheet'!$AD$4:$AD$40,$BJ26-3)&lt;=0,"SETTLED","OUTSTANDING")),IF(OR($BI26=1,$BH26&gt;0),IF(IF($BI26=1,SUM('Final Calculation Sheet'!$AD$4:$AD$40),SUMIFS('Final Calculation Sheet'!$AD$4:$AD$40,$AZ$5:$AZ$41,$BH26))&lt;=0,"ALL SETTLED","OUTSTANDING"),""))</f>
        <v/>
      </c>
      <c r="AK26">
        <f>IF($F$3="Lot No.",'Final Calculation Sheet'!$F$25,IF($F$3="Buyer",'Final Calculation Sheet'!$G$25,IF($F$3="Lot Name",'Final Calculation Sheet'!$B$25,IF($F$3="Bid Sheet",'Final Calculation Sheet'!$D$25,IF($F$3="Unit",'Final Calculation Sheet'!$E$25,'Final Calculation Sheet'!$F$25&amp;" "&amp;'Final Calculation Sheet'!$G$25&amp;" "&amp;'Final Calculation Sheet'!$B$25)))))</f>
        <v/>
      </c>
      <c r="AM26">
        <f>IF($B$3="",1,IF(AND(IF(COUNTIF($AR$9:$AY$9,1)=0,TRUE,SUMPRODUCT(($AR$9:$AY$9=1)*($AR$6:$AY$6&lt;&gt;"")*ISNUMBER(SEARCH($AR$6:$AY$6,$AK26)))&gt;0),IF(COUNTIF($AR$9:$AY$9,2)=0,TRUE,SUMPRODUCT(($AR$9:$AY$9=2)*($AR$6:$AY$6&lt;&gt;"")*ISNUMBER(SEARCH($AR$6:$AY$6,$AK26)))&gt;0),IF(COUNTIF($AR$9:$AY$9,3)=0,TRUE,SUMPRODUCT(($AR$9:$AY$9=3)*($AR$6:$AY$6&lt;&gt;"")*ISNUMBER(SEARCH($AR$6:$AY$6,$AK26)))&gt;0),IF(COUNTIF($AR$9:$AY$9,4)=0,TRUE,SUMPRODUCT(($AR$9:$AY$9=4)*($AR$6:$AY$6&lt;&gt;"")*ISNUMBER(SEARCH($AR$6:$AY$6,$AK26)))&gt;0),IF(COUNTIF($AR$9:$AY$9,5)=0,TRUE,SUMPRODUCT(($AR$9:$AY$9=5)*($AR$6:$AY$6&lt;&gt;"")*ISNUMBER(SEARCH($AR$6:$AY$6,$AK26)))&gt;0),IF(COUNTIF($AR$9:$AY$9,6)=0,TRUE,SUMPRODUCT(($AR$9:$AY$9=6)*($AR$6:$AY$6&lt;&gt;"")*ISNUMBER(SEARCH($AR$6:$AY$6,$AK26)))&gt;0),IF(COUNTIF($AR$9:$AY$9,7)=0,TRUE,SUMPRODUCT(($AR$9:$AY$9=7)*($AR$6:$AY$6&lt;&gt;"")*ISNUMBER(SEARCH($AR$6:$AY$6,$AK26)))&gt;0),IF(COUNTIF($AR$9:$AY$9,8)=0,TRUE,SUMPRODUCT(($AR$9:$AY$9=8)*($AR$6:$AY$6&lt;&gt;"")*ISNUMBER(SEARCH($AR$6:$AY$6,$AK26)))&gt;0)),1,0))</f>
        <v/>
      </c>
      <c r="AZ26">
        <f>IF($B$3="",9,IF($AM26=0,10,IF(AND($AR$6&lt;&gt;"",ISNUMBER(SEARCH($AR$6,$AK26))),1,IF(AND($AS$6&lt;&gt;"",ISNUMBER(SEARCH($AS$6,$AK26))),2,IF(AND($AT$6&lt;&gt;"",ISNUMBER(SEARCH($AT$6,$AK26))),3,IF(AND($AU$6&lt;&gt;"",ISNUMBER(SEARCH($AU$6,$AK26))),4,IF(AND($AV$6&lt;&gt;"",ISNUMBER(SEARCH($AV$6,$AK26))),5,IF(AND($AW$6&lt;&gt;"",ISNUMBER(SEARCH($AW$6,$AK26))),6,IF(AND($AX$6&lt;&gt;"",ISNUMBER(SEARCH($AX$6,$AK26))),7,IF(AND($AY$6&lt;&gt;"",ISNUMBER(SEARCH($AY$6,$AK26))),8,0))))))))))</f>
        <v/>
      </c>
      <c r="BA26">
        <f>SUMPRODUCT(($AZ$5:$AZ$41=$AZ26)*($BC$5:$BC$41&lt;$BC26))+1</f>
        <v/>
      </c>
      <c r="BB26">
        <f>IF(INDEX($BF$4:$BF$13,$AZ26)=0,0,INDEX($BE$4:$BE$13,$AZ26)+$BA26-1)</f>
        <v/>
      </c>
      <c r="BC26" t="n">
        <v>25</v>
      </c>
      <c r="BH26">
        <f>IFERROR(MATCH(26,$BF$4:$BF$13,0),0)</f>
        <v/>
      </c>
      <c r="BI26">
        <f>IF(26=$BG$4,1,0)</f>
        <v/>
      </c>
      <c r="BJ26">
        <f>IF(OR($BH26&gt;0,$BI26=1),0,IFERROR(INDEX($BC$5:$BC$41,MATCH(26,$BB$5:$BB$41,0)),0))</f>
        <v/>
      </c>
      <c r="BK26">
        <f>IF($BJ26&gt;0,IF(INDEX($AZ$5:$AZ$41,MATCH(26,$BB$5:$BB$41,0))=10,1,0),IF($BH26=10,1,0))</f>
        <v/>
      </c>
    </row>
    <row r="27" ht="15" customHeight="1">
      <c r="A27" s="649">
        <f>IF($BJ27&gt;0,INDEX($BA$5:$BA$41,MATCH(27,$BB$5:$BB$41,0)),IF(OR($BI27=1,$BH27&gt;0),"∑",""))</f>
        <v/>
      </c>
      <c r="B27" s="650">
        <f>IF($BJ27&gt;0,IF(INDEX('Final Calculation Sheet'!$F$4:$F$40,$BJ27-3)="","",INDEX('Final Calculation Sheet'!$F$4:$F$40,$BJ27-3)),"")</f>
        <v/>
      </c>
      <c r="C27" s="650">
        <f>IF($BJ27&gt;0,IF(INDEX('Final Calculation Sheet'!$G$4:$G$40,$BJ27-3)="","",INDEX('Final Calculation Sheet'!$G$4:$G$40,$BJ27-3)),IF(OR($BI27=1,$BH27&gt;0),IF($BI27=1,37,INDEX($BD$4:$BD$13,$BH27))&amp;" lot(s)",""))</f>
        <v/>
      </c>
      <c r="D27" s="651">
        <f>IF($BJ27&gt;0,IF(INDEX('Final Calculation Sheet'!$B$4:$B$40,$BJ27-3)="","",INDEX('Final Calculation Sheet'!$B$4:$B$40,$BJ27-3)),IF(OR($BI27=1,$BH27&gt;0),IF($BI27=1,"GRAND TOTAL  —  matching + remaining",IF($BH27=10,"REMAINING  —  did not match the search",IF($BH27=9,"ALL LOTS  —  nothing typed in the box","GROUP "&amp;$BH27&amp;" TOTAL  —  lots matching  "&amp;INDEX($AR$6:$AY$6,$BH27)))),""))</f>
        <v/>
      </c>
      <c r="E27" s="651">
        <f>IF($BJ27&gt;0,IF(INDEX('Final Calculation Sheet'!$D$4:$D$40,$BJ27-3)="","",INDEX('Final Calculation Sheet'!$D$4:$D$40,$BJ27-3)),IF(OR($BI27=1,$BH27&gt;0),"–",""))</f>
        <v/>
      </c>
      <c r="F27" s="651">
        <f>IF($BJ27&gt;0,IF(INDEX('Final Calculation Sheet'!$A$4:$A$40,$BJ27-3)="","",INDEX('Final Calculation Sheet'!$A$4:$A$40,$BJ27-3)),IF($BI27=1,SUM('Final Calculation Sheet'!$A$4:$A$40),IF($BH27&gt;0,SUMIFS('Final Calculation Sheet'!$A$4:$A$40,$AZ$5:$AZ$41,$BH27),"")))</f>
        <v/>
      </c>
      <c r="G27" s="651">
        <f>IF($BJ27&gt;0,IF(INDEX('Final Calculation Sheet'!$E$4:$E$40,$BJ27-3)="","",INDEX('Final Calculation Sheet'!$E$4:$E$40,$BJ27-3)),IF(OR($BI27=1,$BH27&gt;0),"–",""))</f>
        <v/>
      </c>
      <c r="H27" s="652">
        <f>IF($BJ27&gt;0,IF(INDEX('Final Calculation Sheet'!$C$4:$C$40,$BJ27-3)="","",INDEX('Final Calculation Sheet'!$C$4:$C$40,$BJ27-3)),IF(OR($BI27=1,$BH27&gt;0),"–",""))</f>
        <v/>
      </c>
      <c r="I27" s="652">
        <f>IF($BJ27&gt;0,IF(INDEX('Final Calculation Sheet'!$H$4:$H$40,$BJ27-3)="","",INDEX('Final Calculation Sheet'!$H$4:$H$40,$BJ27-3)),IF($BI27=1,SUM('Final Calculation Sheet'!$H$4:$H$40),IF($BH27&gt;0,SUMIFS('Final Calculation Sheet'!$H$4:$H$40,$AZ$5:$AZ$41,$BH27),"")))</f>
        <v/>
      </c>
      <c r="J27" s="652">
        <f>IF($BJ27&gt;0,IF(INDEX('Final Calculation Sheet'!$I$4:$I$40,$BJ27-3)="","",INDEX('Final Calculation Sheet'!$I$4:$I$40,$BJ27-3)),IF($BI27=1,SUM('Final Calculation Sheet'!$I$4:$I$40),IF($BH27&gt;0,SUMIFS('Final Calculation Sheet'!$I$4:$I$40,$AZ$5:$AZ$41,$BH27),"")))</f>
        <v/>
      </c>
      <c r="K27" s="652">
        <f>IF($BJ27&gt;0,IF(INDEX('Final Calculation Sheet'!$J$4:$J$40,$BJ27-3)="","",INDEX('Final Calculation Sheet'!$J$4:$J$40,$BJ27-3)),IF($BI27=1,SUM('Final Calculation Sheet'!$J$4:$J$40),IF($BH27&gt;0,SUMIFS('Final Calculation Sheet'!$J$4:$J$40,$AZ$5:$AZ$41,$BH27),"")))</f>
        <v/>
      </c>
      <c r="L27" s="652">
        <f>IF($BJ27&gt;0,IF(INDEX('Final Calculation Sheet'!$K$4:$K$40,$BJ27-3)="","",INDEX('Final Calculation Sheet'!$K$4:$K$40,$BJ27-3)),IF($BI27=1,SUM('Final Calculation Sheet'!$K$4:$K$40),IF($BH27&gt;0,SUMIFS('Final Calculation Sheet'!$K$4:$K$40,$AZ$5:$AZ$41,$BH27),"")))</f>
        <v/>
      </c>
      <c r="M27" s="652">
        <f>IF($BJ27&gt;0,IF(INDEX('Final Calculation Sheet'!$L$4:$L$40,$BJ27-3)="","",INDEX('Final Calculation Sheet'!$L$4:$L$40,$BJ27-3)),IF($BI27=1,SUM('Final Calculation Sheet'!$L$4:$L$40),IF($BH27&gt;0,SUMIFS('Final Calculation Sheet'!$L$4:$L$40,$AZ$5:$AZ$41,$BH27),"")))</f>
        <v/>
      </c>
      <c r="N27" s="652">
        <f>IF($BJ27&gt;0,IF(INDEX('Final Calculation Sheet'!$M$4:$M$40,$BJ27-3)="","",INDEX('Final Calculation Sheet'!$M$4:$M$40,$BJ27-3)),IF($BI27=1,SUM('Final Calculation Sheet'!$M$4:$M$40),IF($BH27&gt;0,SUMIFS('Final Calculation Sheet'!$M$4:$M$40,$AZ$5:$AZ$41,$BH27),"")))</f>
        <v/>
      </c>
      <c r="O27" s="653">
        <f>IF($BJ27&gt;0,IF(INDEX('Final Calculation Sheet'!$N$4:$N$40,$BJ27-3)="","",INDEX('Final Calculation Sheet'!$N$4:$N$40,$BJ27-3)),IF($BI27=1,SUM('Final Calculation Sheet'!$N$4:$N$40),IF($BH27&gt;0,SUMIFS('Final Calculation Sheet'!$N$4:$N$40,$AZ$5:$AZ$41,$BH27),"")))</f>
        <v/>
      </c>
      <c r="P27" s="652">
        <f>IF($BJ27&gt;0,IF(INDEX('Final Calculation Sheet'!$O$4:$O$40,$BJ27-3)="","",INDEX('Final Calculation Sheet'!$O$4:$O$40,$BJ27-3)),IF($BI27=1,SUM('Final Calculation Sheet'!$O$4:$O$40),IF($BH27&gt;0,SUMIFS('Final Calculation Sheet'!$O$4:$O$40,$AZ$5:$AZ$41,$BH27),"")))</f>
        <v/>
      </c>
      <c r="Q27" s="652">
        <f>IF($BJ27&gt;0,IF(INDEX('Final Calculation Sheet'!$P$4:$P$40,$BJ27-3)="","",INDEX('Final Calculation Sheet'!$P$4:$P$40,$BJ27-3)),IF($BI27=1,SUM('Final Calculation Sheet'!$P$4:$P$40),IF($BH27&gt;0,SUMIFS('Final Calculation Sheet'!$P$4:$P$40,$AZ$5:$AZ$41,$BH27),"")))</f>
        <v/>
      </c>
      <c r="R27" s="654">
        <f>IF($BJ27&gt;0,IF(INDEX('Final Calculation Sheet'!$Q$4:$Q$40,$BJ27-3)="","",INDEX('Final Calculation Sheet'!$Q$4:$Q$40,$BJ27-3)),IF(OR($BI27=1,$BH27&gt;0),"–",""))</f>
        <v/>
      </c>
      <c r="S27" s="652">
        <f>IF($BJ27&gt;0,IF(INDEX('Final Calculation Sheet'!$R$4:$R$40,$BJ27-3)="","",INDEX('Final Calculation Sheet'!$R$4:$R$40,$BJ27-3)),IF($BI27=1,SUM('Final Calculation Sheet'!$R$4:$R$40),IF($BH27&gt;0,SUMIFS('Final Calculation Sheet'!$R$4:$R$40,$AZ$5:$AZ$41,$BH27),"")))</f>
        <v/>
      </c>
      <c r="T27" s="652">
        <f>IF($BJ27&gt;0,IF(INDEX('Final Calculation Sheet'!$S$4:$S$40,$BJ27-3)="","",INDEX('Final Calculation Sheet'!$S$4:$S$40,$BJ27-3)),IF($BI27=1,SUM('Final Calculation Sheet'!$S$4:$S$40),IF($BH27&gt;0,SUMIFS('Final Calculation Sheet'!$S$4:$S$40,$AZ$5:$AZ$41,$BH27),"")))</f>
        <v/>
      </c>
      <c r="U27" s="652">
        <f>IF($BJ27&gt;0,IF(INDEX('Final Calculation Sheet'!$T$4:$T$40,$BJ27-3)="","",INDEX('Final Calculation Sheet'!$T$4:$T$40,$BJ27-3)),IF($BI27=1,SUM('Final Calculation Sheet'!$T$4:$T$40),IF($BH27&gt;0,SUMIFS('Final Calculation Sheet'!$T$4:$T$40,$AZ$5:$AZ$41,$BH27),"")))</f>
        <v/>
      </c>
      <c r="V27" s="655">
        <f>IF($BJ27&gt;0,IF(INDEX('Final Calculation Sheet'!$U$4:$U$40,$BJ27-3)="","",INDEX('Final Calculation Sheet'!$U$4:$U$40,$BJ27-3)),IF($BI27=1,SUM('Final Calculation Sheet'!$U$4:$U$40),IF($BH27&gt;0,SUMIFS('Final Calculation Sheet'!$U$4:$U$40,$AZ$5:$AZ$41,$BH27),"")))</f>
        <v/>
      </c>
      <c r="W27" s="652">
        <f>IF($BJ27&gt;0,IF(INDEX('Final Calculation Sheet'!$V$4:$V$40,$BJ27-3)="","",INDEX('Final Calculation Sheet'!$V$4:$V$40,$BJ27-3)),IF(OR($BI27=1,$BH27&gt;0),"–",""))</f>
        <v/>
      </c>
      <c r="X27" s="652">
        <f>IF($BJ27&gt;0,IF(INDEX('Final Calculation Sheet'!$W$4:$W$40,$BJ27-3)="","",INDEX('Final Calculation Sheet'!$W$4:$W$40,$BJ27-3)),IF($BI27=1,SUM('Final Calculation Sheet'!$W$4:$W$40),IF($BH27&gt;0,SUMIFS('Final Calculation Sheet'!$W$4:$W$40,$AZ$5:$AZ$41,$BH27),"")))</f>
        <v/>
      </c>
      <c r="Y27" s="652">
        <f>IF($BJ27&gt;0,IF(INDEX('Final Calculation Sheet'!$X$4:$X$40,$BJ27-3)="","",INDEX('Final Calculation Sheet'!$X$4:$X$40,$BJ27-3)),IF($BI27=1,SUM('Final Calculation Sheet'!$X$4:$X$40),IF($BH27&gt;0,SUMIFS('Final Calculation Sheet'!$X$4:$X$40,$AZ$5:$AZ$41,$BH27),"")))</f>
        <v/>
      </c>
      <c r="Z27" s="652">
        <f>IF($BJ27&gt;0,IF(INDEX('Final Calculation Sheet'!$Y$4:$Y$40,$BJ27-3)="","",INDEX('Final Calculation Sheet'!$Y$4:$Y$40,$BJ27-3)),IF(OR($BI27=1,$BH27&gt;0),"–",""))</f>
        <v/>
      </c>
      <c r="AA27" s="652">
        <f>IF($BJ27&gt;0,IF(INDEX('Final Calculation Sheet'!$Z$4:$Z$40,$BJ27-3)="","",INDEX('Final Calculation Sheet'!$Z$4:$Z$40,$BJ27-3)),IF($BI27=1,SUM('Final Calculation Sheet'!$Z$4:$Z$40),IF($BH27&gt;0,SUMIFS('Final Calculation Sheet'!$Z$4:$Z$40,$AZ$5:$AZ$41,$BH27),"")))</f>
        <v/>
      </c>
      <c r="AB27" s="652">
        <f>IF($BJ27&gt;0,IF(INDEX('Final Calculation Sheet'!$AA$4:$AA$40,$BJ27-3)="","",INDEX('Final Calculation Sheet'!$AA$4:$AA$40,$BJ27-3)),IF($BI27=1,SUM('Final Calculation Sheet'!$AA$4:$AA$40),IF($BH27&gt;0,SUMIFS('Final Calculation Sheet'!$AA$4:$AA$40,$AZ$5:$AZ$41,$BH27),"")))</f>
        <v/>
      </c>
      <c r="AC27" s="652">
        <f>IF($BJ27&gt;0,IF(INDEX('Final Calculation Sheet'!$AB$4:$AB$40,$BJ27-3)="","",INDEX('Final Calculation Sheet'!$AB$4:$AB$40,$BJ27-3)),IF(OR($BI27=1,$BH27&gt;0),"–",""))</f>
        <v/>
      </c>
      <c r="AD27" s="652">
        <f>IF($BJ27&gt;0,IF(INDEX('Final Calculation Sheet'!$AC$4:$AC$40,$BJ27-3)="","",INDEX('Final Calculation Sheet'!$AC$4:$AC$40,$BJ27-3)),IF($BI27=1,SUM('Final Calculation Sheet'!$AC$4:$AC$40),IF($BH27&gt;0,SUMIFS('Final Calculation Sheet'!$AC$4:$AC$40,$AZ$5:$AZ$41,$BH27),"")))</f>
        <v/>
      </c>
      <c r="AE27" s="652">
        <f>IF($BJ27&gt;0,IF(INDEX('Final Calculation Sheet'!$AD$4:$AD$40,$BJ27-3)="","",INDEX('Final Calculation Sheet'!$AD$4:$AD$40,$BJ27-3)),IF($BI27=1,SUM('Final Calculation Sheet'!$AD$4:$AD$40),IF($BH27&gt;0,SUMIFS('Final Calculation Sheet'!$AD$4:$AD$40,$AZ$5:$AZ$41,$BH27),"")))</f>
        <v/>
      </c>
      <c r="AF27" s="652">
        <f>IF($BJ27&gt;0,IF(INDEX('Final Calculation Sheet'!$AE$4:$AE$40,$BJ27-3)="","",INDEX('Final Calculation Sheet'!$AE$4:$AE$40,$BJ27-3)),IF(OR($BI27=1,$BH27&gt;0),"–",""))</f>
        <v/>
      </c>
      <c r="AG27" s="656">
        <f>IF($BJ27&gt;0,IF(INDEX('Final Calculation Sheet'!$AF$4:$AF$40,$BJ27-3)="","",INDEX('Final Calculation Sheet'!$AF$4:$AF$40,$BJ27-3)),IF(OR($BI27=1,$BH27&gt;0),"–",""))</f>
        <v/>
      </c>
      <c r="AH27" s="652">
        <f>IF($BJ27&gt;0,IF(INDEX('Final Calculation Sheet'!$AG$4:$AG$40,$BJ27-3)="","",INDEX('Final Calculation Sheet'!$AG$4:$AG$40,$BJ27-3)),IF(OR($BI27=1,$BH27&gt;0),"–",""))</f>
        <v/>
      </c>
      <c r="AI27" s="657">
        <f>IF($BJ27&gt;0,IF(INDEX('Final Calculation Sheet'!$AD$4:$AD$40,$BJ27-3)="","",IF(INDEX('Final Calculation Sheet'!$AD$4:$AD$40,$BJ27-3)&lt;=0,"SETTLED","OUTSTANDING")),IF(OR($BI27=1,$BH27&gt;0),IF(IF($BI27=1,SUM('Final Calculation Sheet'!$AD$4:$AD$40),SUMIFS('Final Calculation Sheet'!$AD$4:$AD$40,$AZ$5:$AZ$41,$BH27))&lt;=0,"ALL SETTLED","OUTSTANDING"),""))</f>
        <v/>
      </c>
      <c r="AK27">
        <f>IF($F$3="Lot No.",'Final Calculation Sheet'!$F$26,IF($F$3="Buyer",'Final Calculation Sheet'!$G$26,IF($F$3="Lot Name",'Final Calculation Sheet'!$B$26,IF($F$3="Bid Sheet",'Final Calculation Sheet'!$D$26,IF($F$3="Unit",'Final Calculation Sheet'!$E$26,'Final Calculation Sheet'!$F$26&amp;" "&amp;'Final Calculation Sheet'!$G$26&amp;" "&amp;'Final Calculation Sheet'!$B$26)))))</f>
        <v/>
      </c>
      <c r="AM27">
        <f>IF($B$3="",1,IF(AND(IF(COUNTIF($AR$9:$AY$9,1)=0,TRUE,SUMPRODUCT(($AR$9:$AY$9=1)*($AR$6:$AY$6&lt;&gt;"")*ISNUMBER(SEARCH($AR$6:$AY$6,$AK27)))&gt;0),IF(COUNTIF($AR$9:$AY$9,2)=0,TRUE,SUMPRODUCT(($AR$9:$AY$9=2)*($AR$6:$AY$6&lt;&gt;"")*ISNUMBER(SEARCH($AR$6:$AY$6,$AK27)))&gt;0),IF(COUNTIF($AR$9:$AY$9,3)=0,TRUE,SUMPRODUCT(($AR$9:$AY$9=3)*($AR$6:$AY$6&lt;&gt;"")*ISNUMBER(SEARCH($AR$6:$AY$6,$AK27)))&gt;0),IF(COUNTIF($AR$9:$AY$9,4)=0,TRUE,SUMPRODUCT(($AR$9:$AY$9=4)*($AR$6:$AY$6&lt;&gt;"")*ISNUMBER(SEARCH($AR$6:$AY$6,$AK27)))&gt;0),IF(COUNTIF($AR$9:$AY$9,5)=0,TRUE,SUMPRODUCT(($AR$9:$AY$9=5)*($AR$6:$AY$6&lt;&gt;"")*ISNUMBER(SEARCH($AR$6:$AY$6,$AK27)))&gt;0),IF(COUNTIF($AR$9:$AY$9,6)=0,TRUE,SUMPRODUCT(($AR$9:$AY$9=6)*($AR$6:$AY$6&lt;&gt;"")*ISNUMBER(SEARCH($AR$6:$AY$6,$AK27)))&gt;0),IF(COUNTIF($AR$9:$AY$9,7)=0,TRUE,SUMPRODUCT(($AR$9:$AY$9=7)*($AR$6:$AY$6&lt;&gt;"")*ISNUMBER(SEARCH($AR$6:$AY$6,$AK27)))&gt;0),IF(COUNTIF($AR$9:$AY$9,8)=0,TRUE,SUMPRODUCT(($AR$9:$AY$9=8)*($AR$6:$AY$6&lt;&gt;"")*ISNUMBER(SEARCH($AR$6:$AY$6,$AK27)))&gt;0)),1,0))</f>
        <v/>
      </c>
      <c r="AZ27">
        <f>IF($B$3="",9,IF($AM27=0,10,IF(AND($AR$6&lt;&gt;"",ISNUMBER(SEARCH($AR$6,$AK27))),1,IF(AND($AS$6&lt;&gt;"",ISNUMBER(SEARCH($AS$6,$AK27))),2,IF(AND($AT$6&lt;&gt;"",ISNUMBER(SEARCH($AT$6,$AK27))),3,IF(AND($AU$6&lt;&gt;"",ISNUMBER(SEARCH($AU$6,$AK27))),4,IF(AND($AV$6&lt;&gt;"",ISNUMBER(SEARCH($AV$6,$AK27))),5,IF(AND($AW$6&lt;&gt;"",ISNUMBER(SEARCH($AW$6,$AK27))),6,IF(AND($AX$6&lt;&gt;"",ISNUMBER(SEARCH($AX$6,$AK27))),7,IF(AND($AY$6&lt;&gt;"",ISNUMBER(SEARCH($AY$6,$AK27))),8,0))))))))))</f>
        <v/>
      </c>
      <c r="BA27">
        <f>SUMPRODUCT(($AZ$5:$AZ$41=$AZ27)*($BC$5:$BC$41&lt;$BC27))+1</f>
        <v/>
      </c>
      <c r="BB27">
        <f>IF(INDEX($BF$4:$BF$13,$AZ27)=0,0,INDEX($BE$4:$BE$13,$AZ27)+$BA27-1)</f>
        <v/>
      </c>
      <c r="BC27" t="n">
        <v>26</v>
      </c>
      <c r="BH27">
        <f>IFERROR(MATCH(27,$BF$4:$BF$13,0),0)</f>
        <v/>
      </c>
      <c r="BI27">
        <f>IF(27=$BG$4,1,0)</f>
        <v/>
      </c>
      <c r="BJ27">
        <f>IF(OR($BH27&gt;0,$BI27=1),0,IFERROR(INDEX($BC$5:$BC$41,MATCH(27,$BB$5:$BB$41,0)),0))</f>
        <v/>
      </c>
      <c r="BK27">
        <f>IF($BJ27&gt;0,IF(INDEX($AZ$5:$AZ$41,MATCH(27,$BB$5:$BB$41,0))=10,1,0),IF($BH27=10,1,0))</f>
        <v/>
      </c>
    </row>
    <row r="28" ht="15" customHeight="1">
      <c r="A28" s="649">
        <f>IF($BJ28&gt;0,INDEX($BA$5:$BA$41,MATCH(28,$BB$5:$BB$41,0)),IF(OR($BI28=1,$BH28&gt;0),"∑",""))</f>
        <v/>
      </c>
      <c r="B28" s="650">
        <f>IF($BJ28&gt;0,IF(INDEX('Final Calculation Sheet'!$F$4:$F$40,$BJ28-3)="","",INDEX('Final Calculation Sheet'!$F$4:$F$40,$BJ28-3)),"")</f>
        <v/>
      </c>
      <c r="C28" s="650">
        <f>IF($BJ28&gt;0,IF(INDEX('Final Calculation Sheet'!$G$4:$G$40,$BJ28-3)="","",INDEX('Final Calculation Sheet'!$G$4:$G$40,$BJ28-3)),IF(OR($BI28=1,$BH28&gt;0),IF($BI28=1,37,INDEX($BD$4:$BD$13,$BH28))&amp;" lot(s)",""))</f>
        <v/>
      </c>
      <c r="D28" s="651">
        <f>IF($BJ28&gt;0,IF(INDEX('Final Calculation Sheet'!$B$4:$B$40,$BJ28-3)="","",INDEX('Final Calculation Sheet'!$B$4:$B$40,$BJ28-3)),IF(OR($BI28=1,$BH28&gt;0),IF($BI28=1,"GRAND TOTAL  —  matching + remaining",IF($BH28=10,"REMAINING  —  did not match the search",IF($BH28=9,"ALL LOTS  —  nothing typed in the box","GROUP "&amp;$BH28&amp;" TOTAL  —  lots matching  "&amp;INDEX($AR$6:$AY$6,$BH28)))),""))</f>
        <v/>
      </c>
      <c r="E28" s="651">
        <f>IF($BJ28&gt;0,IF(INDEX('Final Calculation Sheet'!$D$4:$D$40,$BJ28-3)="","",INDEX('Final Calculation Sheet'!$D$4:$D$40,$BJ28-3)),IF(OR($BI28=1,$BH28&gt;0),"–",""))</f>
        <v/>
      </c>
      <c r="F28" s="651">
        <f>IF($BJ28&gt;0,IF(INDEX('Final Calculation Sheet'!$A$4:$A$40,$BJ28-3)="","",INDEX('Final Calculation Sheet'!$A$4:$A$40,$BJ28-3)),IF($BI28=1,SUM('Final Calculation Sheet'!$A$4:$A$40),IF($BH28&gt;0,SUMIFS('Final Calculation Sheet'!$A$4:$A$40,$AZ$5:$AZ$41,$BH28),"")))</f>
        <v/>
      </c>
      <c r="G28" s="651">
        <f>IF($BJ28&gt;0,IF(INDEX('Final Calculation Sheet'!$E$4:$E$40,$BJ28-3)="","",INDEX('Final Calculation Sheet'!$E$4:$E$40,$BJ28-3)),IF(OR($BI28=1,$BH28&gt;0),"–",""))</f>
        <v/>
      </c>
      <c r="H28" s="652">
        <f>IF($BJ28&gt;0,IF(INDEX('Final Calculation Sheet'!$C$4:$C$40,$BJ28-3)="","",INDEX('Final Calculation Sheet'!$C$4:$C$40,$BJ28-3)),IF(OR($BI28=1,$BH28&gt;0),"–",""))</f>
        <v/>
      </c>
      <c r="I28" s="652">
        <f>IF($BJ28&gt;0,IF(INDEX('Final Calculation Sheet'!$H$4:$H$40,$BJ28-3)="","",INDEX('Final Calculation Sheet'!$H$4:$H$40,$BJ28-3)),IF($BI28=1,SUM('Final Calculation Sheet'!$H$4:$H$40),IF($BH28&gt;0,SUMIFS('Final Calculation Sheet'!$H$4:$H$40,$AZ$5:$AZ$41,$BH28),"")))</f>
        <v/>
      </c>
      <c r="J28" s="652">
        <f>IF($BJ28&gt;0,IF(INDEX('Final Calculation Sheet'!$I$4:$I$40,$BJ28-3)="","",INDEX('Final Calculation Sheet'!$I$4:$I$40,$BJ28-3)),IF($BI28=1,SUM('Final Calculation Sheet'!$I$4:$I$40),IF($BH28&gt;0,SUMIFS('Final Calculation Sheet'!$I$4:$I$40,$AZ$5:$AZ$41,$BH28),"")))</f>
        <v/>
      </c>
      <c r="K28" s="652">
        <f>IF($BJ28&gt;0,IF(INDEX('Final Calculation Sheet'!$J$4:$J$40,$BJ28-3)="","",INDEX('Final Calculation Sheet'!$J$4:$J$40,$BJ28-3)),IF($BI28=1,SUM('Final Calculation Sheet'!$J$4:$J$40),IF($BH28&gt;0,SUMIFS('Final Calculation Sheet'!$J$4:$J$40,$AZ$5:$AZ$41,$BH28),"")))</f>
        <v/>
      </c>
      <c r="L28" s="652">
        <f>IF($BJ28&gt;0,IF(INDEX('Final Calculation Sheet'!$K$4:$K$40,$BJ28-3)="","",INDEX('Final Calculation Sheet'!$K$4:$K$40,$BJ28-3)),IF($BI28=1,SUM('Final Calculation Sheet'!$K$4:$K$40),IF($BH28&gt;0,SUMIFS('Final Calculation Sheet'!$K$4:$K$40,$AZ$5:$AZ$41,$BH28),"")))</f>
        <v/>
      </c>
      <c r="M28" s="652">
        <f>IF($BJ28&gt;0,IF(INDEX('Final Calculation Sheet'!$L$4:$L$40,$BJ28-3)="","",INDEX('Final Calculation Sheet'!$L$4:$L$40,$BJ28-3)),IF($BI28=1,SUM('Final Calculation Sheet'!$L$4:$L$40),IF($BH28&gt;0,SUMIFS('Final Calculation Sheet'!$L$4:$L$40,$AZ$5:$AZ$41,$BH28),"")))</f>
        <v/>
      </c>
      <c r="N28" s="652">
        <f>IF($BJ28&gt;0,IF(INDEX('Final Calculation Sheet'!$M$4:$M$40,$BJ28-3)="","",INDEX('Final Calculation Sheet'!$M$4:$M$40,$BJ28-3)),IF($BI28=1,SUM('Final Calculation Sheet'!$M$4:$M$40),IF($BH28&gt;0,SUMIFS('Final Calculation Sheet'!$M$4:$M$40,$AZ$5:$AZ$41,$BH28),"")))</f>
        <v/>
      </c>
      <c r="O28" s="653">
        <f>IF($BJ28&gt;0,IF(INDEX('Final Calculation Sheet'!$N$4:$N$40,$BJ28-3)="","",INDEX('Final Calculation Sheet'!$N$4:$N$40,$BJ28-3)),IF($BI28=1,SUM('Final Calculation Sheet'!$N$4:$N$40),IF($BH28&gt;0,SUMIFS('Final Calculation Sheet'!$N$4:$N$40,$AZ$5:$AZ$41,$BH28),"")))</f>
        <v/>
      </c>
      <c r="P28" s="652">
        <f>IF($BJ28&gt;0,IF(INDEX('Final Calculation Sheet'!$O$4:$O$40,$BJ28-3)="","",INDEX('Final Calculation Sheet'!$O$4:$O$40,$BJ28-3)),IF($BI28=1,SUM('Final Calculation Sheet'!$O$4:$O$40),IF($BH28&gt;0,SUMIFS('Final Calculation Sheet'!$O$4:$O$40,$AZ$5:$AZ$41,$BH28),"")))</f>
        <v/>
      </c>
      <c r="Q28" s="652">
        <f>IF($BJ28&gt;0,IF(INDEX('Final Calculation Sheet'!$P$4:$P$40,$BJ28-3)="","",INDEX('Final Calculation Sheet'!$P$4:$P$40,$BJ28-3)),IF($BI28=1,SUM('Final Calculation Sheet'!$P$4:$P$40),IF($BH28&gt;0,SUMIFS('Final Calculation Sheet'!$P$4:$P$40,$AZ$5:$AZ$41,$BH28),"")))</f>
        <v/>
      </c>
      <c r="R28" s="654">
        <f>IF($BJ28&gt;0,IF(INDEX('Final Calculation Sheet'!$Q$4:$Q$40,$BJ28-3)="","",INDEX('Final Calculation Sheet'!$Q$4:$Q$40,$BJ28-3)),IF(OR($BI28=1,$BH28&gt;0),"–",""))</f>
        <v/>
      </c>
      <c r="S28" s="652">
        <f>IF($BJ28&gt;0,IF(INDEX('Final Calculation Sheet'!$R$4:$R$40,$BJ28-3)="","",INDEX('Final Calculation Sheet'!$R$4:$R$40,$BJ28-3)),IF($BI28=1,SUM('Final Calculation Sheet'!$R$4:$R$40),IF($BH28&gt;0,SUMIFS('Final Calculation Sheet'!$R$4:$R$40,$AZ$5:$AZ$41,$BH28),"")))</f>
        <v/>
      </c>
      <c r="T28" s="652">
        <f>IF($BJ28&gt;0,IF(INDEX('Final Calculation Sheet'!$S$4:$S$40,$BJ28-3)="","",INDEX('Final Calculation Sheet'!$S$4:$S$40,$BJ28-3)),IF($BI28=1,SUM('Final Calculation Sheet'!$S$4:$S$40),IF($BH28&gt;0,SUMIFS('Final Calculation Sheet'!$S$4:$S$40,$AZ$5:$AZ$41,$BH28),"")))</f>
        <v/>
      </c>
      <c r="U28" s="652">
        <f>IF($BJ28&gt;0,IF(INDEX('Final Calculation Sheet'!$T$4:$T$40,$BJ28-3)="","",INDEX('Final Calculation Sheet'!$T$4:$T$40,$BJ28-3)),IF($BI28=1,SUM('Final Calculation Sheet'!$T$4:$T$40),IF($BH28&gt;0,SUMIFS('Final Calculation Sheet'!$T$4:$T$40,$AZ$5:$AZ$41,$BH28),"")))</f>
        <v/>
      </c>
      <c r="V28" s="655">
        <f>IF($BJ28&gt;0,IF(INDEX('Final Calculation Sheet'!$U$4:$U$40,$BJ28-3)="","",INDEX('Final Calculation Sheet'!$U$4:$U$40,$BJ28-3)),IF($BI28=1,SUM('Final Calculation Sheet'!$U$4:$U$40),IF($BH28&gt;0,SUMIFS('Final Calculation Sheet'!$U$4:$U$40,$AZ$5:$AZ$41,$BH28),"")))</f>
        <v/>
      </c>
      <c r="W28" s="652">
        <f>IF($BJ28&gt;0,IF(INDEX('Final Calculation Sheet'!$V$4:$V$40,$BJ28-3)="","",INDEX('Final Calculation Sheet'!$V$4:$V$40,$BJ28-3)),IF(OR($BI28=1,$BH28&gt;0),"–",""))</f>
        <v/>
      </c>
      <c r="X28" s="652">
        <f>IF($BJ28&gt;0,IF(INDEX('Final Calculation Sheet'!$W$4:$W$40,$BJ28-3)="","",INDEX('Final Calculation Sheet'!$W$4:$W$40,$BJ28-3)),IF($BI28=1,SUM('Final Calculation Sheet'!$W$4:$W$40),IF($BH28&gt;0,SUMIFS('Final Calculation Sheet'!$W$4:$W$40,$AZ$5:$AZ$41,$BH28),"")))</f>
        <v/>
      </c>
      <c r="Y28" s="652">
        <f>IF($BJ28&gt;0,IF(INDEX('Final Calculation Sheet'!$X$4:$X$40,$BJ28-3)="","",INDEX('Final Calculation Sheet'!$X$4:$X$40,$BJ28-3)),IF($BI28=1,SUM('Final Calculation Sheet'!$X$4:$X$40),IF($BH28&gt;0,SUMIFS('Final Calculation Sheet'!$X$4:$X$40,$AZ$5:$AZ$41,$BH28),"")))</f>
        <v/>
      </c>
      <c r="Z28" s="652">
        <f>IF($BJ28&gt;0,IF(INDEX('Final Calculation Sheet'!$Y$4:$Y$40,$BJ28-3)="","",INDEX('Final Calculation Sheet'!$Y$4:$Y$40,$BJ28-3)),IF(OR($BI28=1,$BH28&gt;0),"–",""))</f>
        <v/>
      </c>
      <c r="AA28" s="652">
        <f>IF($BJ28&gt;0,IF(INDEX('Final Calculation Sheet'!$Z$4:$Z$40,$BJ28-3)="","",INDEX('Final Calculation Sheet'!$Z$4:$Z$40,$BJ28-3)),IF($BI28=1,SUM('Final Calculation Sheet'!$Z$4:$Z$40),IF($BH28&gt;0,SUMIFS('Final Calculation Sheet'!$Z$4:$Z$40,$AZ$5:$AZ$41,$BH28),"")))</f>
        <v/>
      </c>
      <c r="AB28" s="652">
        <f>IF($BJ28&gt;0,IF(INDEX('Final Calculation Sheet'!$AA$4:$AA$40,$BJ28-3)="","",INDEX('Final Calculation Sheet'!$AA$4:$AA$40,$BJ28-3)),IF($BI28=1,SUM('Final Calculation Sheet'!$AA$4:$AA$40),IF($BH28&gt;0,SUMIFS('Final Calculation Sheet'!$AA$4:$AA$40,$AZ$5:$AZ$41,$BH28),"")))</f>
        <v/>
      </c>
      <c r="AC28" s="652">
        <f>IF($BJ28&gt;0,IF(INDEX('Final Calculation Sheet'!$AB$4:$AB$40,$BJ28-3)="","",INDEX('Final Calculation Sheet'!$AB$4:$AB$40,$BJ28-3)),IF(OR($BI28=1,$BH28&gt;0),"–",""))</f>
        <v/>
      </c>
      <c r="AD28" s="652">
        <f>IF($BJ28&gt;0,IF(INDEX('Final Calculation Sheet'!$AC$4:$AC$40,$BJ28-3)="","",INDEX('Final Calculation Sheet'!$AC$4:$AC$40,$BJ28-3)),IF($BI28=1,SUM('Final Calculation Sheet'!$AC$4:$AC$40),IF($BH28&gt;0,SUMIFS('Final Calculation Sheet'!$AC$4:$AC$40,$AZ$5:$AZ$41,$BH28),"")))</f>
        <v/>
      </c>
      <c r="AE28" s="652">
        <f>IF($BJ28&gt;0,IF(INDEX('Final Calculation Sheet'!$AD$4:$AD$40,$BJ28-3)="","",INDEX('Final Calculation Sheet'!$AD$4:$AD$40,$BJ28-3)),IF($BI28=1,SUM('Final Calculation Sheet'!$AD$4:$AD$40),IF($BH28&gt;0,SUMIFS('Final Calculation Sheet'!$AD$4:$AD$40,$AZ$5:$AZ$41,$BH28),"")))</f>
        <v/>
      </c>
      <c r="AF28" s="652">
        <f>IF($BJ28&gt;0,IF(INDEX('Final Calculation Sheet'!$AE$4:$AE$40,$BJ28-3)="","",INDEX('Final Calculation Sheet'!$AE$4:$AE$40,$BJ28-3)),IF(OR($BI28=1,$BH28&gt;0),"–",""))</f>
        <v/>
      </c>
      <c r="AG28" s="656">
        <f>IF($BJ28&gt;0,IF(INDEX('Final Calculation Sheet'!$AF$4:$AF$40,$BJ28-3)="","",INDEX('Final Calculation Sheet'!$AF$4:$AF$40,$BJ28-3)),IF(OR($BI28=1,$BH28&gt;0),"–",""))</f>
        <v/>
      </c>
      <c r="AH28" s="652">
        <f>IF($BJ28&gt;0,IF(INDEX('Final Calculation Sheet'!$AG$4:$AG$40,$BJ28-3)="","",INDEX('Final Calculation Sheet'!$AG$4:$AG$40,$BJ28-3)),IF(OR($BI28=1,$BH28&gt;0),"–",""))</f>
        <v/>
      </c>
      <c r="AI28" s="657">
        <f>IF($BJ28&gt;0,IF(INDEX('Final Calculation Sheet'!$AD$4:$AD$40,$BJ28-3)="","",IF(INDEX('Final Calculation Sheet'!$AD$4:$AD$40,$BJ28-3)&lt;=0,"SETTLED","OUTSTANDING")),IF(OR($BI28=1,$BH28&gt;0),IF(IF($BI28=1,SUM('Final Calculation Sheet'!$AD$4:$AD$40),SUMIFS('Final Calculation Sheet'!$AD$4:$AD$40,$AZ$5:$AZ$41,$BH28))&lt;=0,"ALL SETTLED","OUTSTANDING"),""))</f>
        <v/>
      </c>
      <c r="AK28">
        <f>IF($F$3="Lot No.",'Final Calculation Sheet'!$F$27,IF($F$3="Buyer",'Final Calculation Sheet'!$G$27,IF($F$3="Lot Name",'Final Calculation Sheet'!$B$27,IF($F$3="Bid Sheet",'Final Calculation Sheet'!$D$27,IF($F$3="Unit",'Final Calculation Sheet'!$E$27,'Final Calculation Sheet'!$F$27&amp;" "&amp;'Final Calculation Sheet'!$G$27&amp;" "&amp;'Final Calculation Sheet'!$B$27)))))</f>
        <v/>
      </c>
      <c r="AM28">
        <f>IF($B$3="",1,IF(AND(IF(COUNTIF($AR$9:$AY$9,1)=0,TRUE,SUMPRODUCT(($AR$9:$AY$9=1)*($AR$6:$AY$6&lt;&gt;"")*ISNUMBER(SEARCH($AR$6:$AY$6,$AK28)))&gt;0),IF(COUNTIF($AR$9:$AY$9,2)=0,TRUE,SUMPRODUCT(($AR$9:$AY$9=2)*($AR$6:$AY$6&lt;&gt;"")*ISNUMBER(SEARCH($AR$6:$AY$6,$AK28)))&gt;0),IF(COUNTIF($AR$9:$AY$9,3)=0,TRUE,SUMPRODUCT(($AR$9:$AY$9=3)*($AR$6:$AY$6&lt;&gt;"")*ISNUMBER(SEARCH($AR$6:$AY$6,$AK28)))&gt;0),IF(COUNTIF($AR$9:$AY$9,4)=0,TRUE,SUMPRODUCT(($AR$9:$AY$9=4)*($AR$6:$AY$6&lt;&gt;"")*ISNUMBER(SEARCH($AR$6:$AY$6,$AK28)))&gt;0),IF(COUNTIF($AR$9:$AY$9,5)=0,TRUE,SUMPRODUCT(($AR$9:$AY$9=5)*($AR$6:$AY$6&lt;&gt;"")*ISNUMBER(SEARCH($AR$6:$AY$6,$AK28)))&gt;0),IF(COUNTIF($AR$9:$AY$9,6)=0,TRUE,SUMPRODUCT(($AR$9:$AY$9=6)*($AR$6:$AY$6&lt;&gt;"")*ISNUMBER(SEARCH($AR$6:$AY$6,$AK28)))&gt;0),IF(COUNTIF($AR$9:$AY$9,7)=0,TRUE,SUMPRODUCT(($AR$9:$AY$9=7)*($AR$6:$AY$6&lt;&gt;"")*ISNUMBER(SEARCH($AR$6:$AY$6,$AK28)))&gt;0),IF(COUNTIF($AR$9:$AY$9,8)=0,TRUE,SUMPRODUCT(($AR$9:$AY$9=8)*($AR$6:$AY$6&lt;&gt;"")*ISNUMBER(SEARCH($AR$6:$AY$6,$AK28)))&gt;0)),1,0))</f>
        <v/>
      </c>
      <c r="AZ28">
        <f>IF($B$3="",9,IF($AM28=0,10,IF(AND($AR$6&lt;&gt;"",ISNUMBER(SEARCH($AR$6,$AK28))),1,IF(AND($AS$6&lt;&gt;"",ISNUMBER(SEARCH($AS$6,$AK28))),2,IF(AND($AT$6&lt;&gt;"",ISNUMBER(SEARCH($AT$6,$AK28))),3,IF(AND($AU$6&lt;&gt;"",ISNUMBER(SEARCH($AU$6,$AK28))),4,IF(AND($AV$6&lt;&gt;"",ISNUMBER(SEARCH($AV$6,$AK28))),5,IF(AND($AW$6&lt;&gt;"",ISNUMBER(SEARCH($AW$6,$AK28))),6,IF(AND($AX$6&lt;&gt;"",ISNUMBER(SEARCH($AX$6,$AK28))),7,IF(AND($AY$6&lt;&gt;"",ISNUMBER(SEARCH($AY$6,$AK28))),8,0))))))))))</f>
        <v/>
      </c>
      <c r="BA28">
        <f>SUMPRODUCT(($AZ$5:$AZ$41=$AZ28)*($BC$5:$BC$41&lt;$BC28))+1</f>
        <v/>
      </c>
      <c r="BB28">
        <f>IF(INDEX($BF$4:$BF$13,$AZ28)=0,0,INDEX($BE$4:$BE$13,$AZ28)+$BA28-1)</f>
        <v/>
      </c>
      <c r="BC28" t="n">
        <v>27</v>
      </c>
      <c r="BH28">
        <f>IFERROR(MATCH(28,$BF$4:$BF$13,0),0)</f>
        <v/>
      </c>
      <c r="BI28">
        <f>IF(28=$BG$4,1,0)</f>
        <v/>
      </c>
      <c r="BJ28">
        <f>IF(OR($BH28&gt;0,$BI28=1),0,IFERROR(INDEX($BC$5:$BC$41,MATCH(28,$BB$5:$BB$41,0)),0))</f>
        <v/>
      </c>
      <c r="BK28">
        <f>IF($BJ28&gt;0,IF(INDEX($AZ$5:$AZ$41,MATCH(28,$BB$5:$BB$41,0))=10,1,0),IF($BH28=10,1,0))</f>
        <v/>
      </c>
    </row>
    <row r="29" ht="15" customHeight="1">
      <c r="A29" s="649">
        <f>IF($BJ29&gt;0,INDEX($BA$5:$BA$41,MATCH(29,$BB$5:$BB$41,0)),IF(OR($BI29=1,$BH29&gt;0),"∑",""))</f>
        <v/>
      </c>
      <c r="B29" s="650">
        <f>IF($BJ29&gt;0,IF(INDEX('Final Calculation Sheet'!$F$4:$F$40,$BJ29-3)="","",INDEX('Final Calculation Sheet'!$F$4:$F$40,$BJ29-3)),"")</f>
        <v/>
      </c>
      <c r="C29" s="650">
        <f>IF($BJ29&gt;0,IF(INDEX('Final Calculation Sheet'!$G$4:$G$40,$BJ29-3)="","",INDEX('Final Calculation Sheet'!$G$4:$G$40,$BJ29-3)),IF(OR($BI29=1,$BH29&gt;0),IF($BI29=1,37,INDEX($BD$4:$BD$13,$BH29))&amp;" lot(s)",""))</f>
        <v/>
      </c>
      <c r="D29" s="651">
        <f>IF($BJ29&gt;0,IF(INDEX('Final Calculation Sheet'!$B$4:$B$40,$BJ29-3)="","",INDEX('Final Calculation Sheet'!$B$4:$B$40,$BJ29-3)),IF(OR($BI29=1,$BH29&gt;0),IF($BI29=1,"GRAND TOTAL  —  matching + remaining",IF($BH29=10,"REMAINING  —  did not match the search",IF($BH29=9,"ALL LOTS  —  nothing typed in the box","GROUP "&amp;$BH29&amp;" TOTAL  —  lots matching  "&amp;INDEX($AR$6:$AY$6,$BH29)))),""))</f>
        <v/>
      </c>
      <c r="E29" s="651">
        <f>IF($BJ29&gt;0,IF(INDEX('Final Calculation Sheet'!$D$4:$D$40,$BJ29-3)="","",INDEX('Final Calculation Sheet'!$D$4:$D$40,$BJ29-3)),IF(OR($BI29=1,$BH29&gt;0),"–",""))</f>
        <v/>
      </c>
      <c r="F29" s="651">
        <f>IF($BJ29&gt;0,IF(INDEX('Final Calculation Sheet'!$A$4:$A$40,$BJ29-3)="","",INDEX('Final Calculation Sheet'!$A$4:$A$40,$BJ29-3)),IF($BI29=1,SUM('Final Calculation Sheet'!$A$4:$A$40),IF($BH29&gt;0,SUMIFS('Final Calculation Sheet'!$A$4:$A$40,$AZ$5:$AZ$41,$BH29),"")))</f>
        <v/>
      </c>
      <c r="G29" s="651">
        <f>IF($BJ29&gt;0,IF(INDEX('Final Calculation Sheet'!$E$4:$E$40,$BJ29-3)="","",INDEX('Final Calculation Sheet'!$E$4:$E$40,$BJ29-3)),IF(OR($BI29=1,$BH29&gt;0),"–",""))</f>
        <v/>
      </c>
      <c r="H29" s="652">
        <f>IF($BJ29&gt;0,IF(INDEX('Final Calculation Sheet'!$C$4:$C$40,$BJ29-3)="","",INDEX('Final Calculation Sheet'!$C$4:$C$40,$BJ29-3)),IF(OR($BI29=1,$BH29&gt;0),"–",""))</f>
        <v/>
      </c>
      <c r="I29" s="652">
        <f>IF($BJ29&gt;0,IF(INDEX('Final Calculation Sheet'!$H$4:$H$40,$BJ29-3)="","",INDEX('Final Calculation Sheet'!$H$4:$H$40,$BJ29-3)),IF($BI29=1,SUM('Final Calculation Sheet'!$H$4:$H$40),IF($BH29&gt;0,SUMIFS('Final Calculation Sheet'!$H$4:$H$40,$AZ$5:$AZ$41,$BH29),"")))</f>
        <v/>
      </c>
      <c r="J29" s="652">
        <f>IF($BJ29&gt;0,IF(INDEX('Final Calculation Sheet'!$I$4:$I$40,$BJ29-3)="","",INDEX('Final Calculation Sheet'!$I$4:$I$40,$BJ29-3)),IF($BI29=1,SUM('Final Calculation Sheet'!$I$4:$I$40),IF($BH29&gt;0,SUMIFS('Final Calculation Sheet'!$I$4:$I$40,$AZ$5:$AZ$41,$BH29),"")))</f>
        <v/>
      </c>
      <c r="K29" s="652">
        <f>IF($BJ29&gt;0,IF(INDEX('Final Calculation Sheet'!$J$4:$J$40,$BJ29-3)="","",INDEX('Final Calculation Sheet'!$J$4:$J$40,$BJ29-3)),IF($BI29=1,SUM('Final Calculation Sheet'!$J$4:$J$40),IF($BH29&gt;0,SUMIFS('Final Calculation Sheet'!$J$4:$J$40,$AZ$5:$AZ$41,$BH29),"")))</f>
        <v/>
      </c>
      <c r="L29" s="652">
        <f>IF($BJ29&gt;0,IF(INDEX('Final Calculation Sheet'!$K$4:$K$40,$BJ29-3)="","",INDEX('Final Calculation Sheet'!$K$4:$K$40,$BJ29-3)),IF($BI29=1,SUM('Final Calculation Sheet'!$K$4:$K$40),IF($BH29&gt;0,SUMIFS('Final Calculation Sheet'!$K$4:$K$40,$AZ$5:$AZ$41,$BH29),"")))</f>
        <v/>
      </c>
      <c r="M29" s="652">
        <f>IF($BJ29&gt;0,IF(INDEX('Final Calculation Sheet'!$L$4:$L$40,$BJ29-3)="","",INDEX('Final Calculation Sheet'!$L$4:$L$40,$BJ29-3)),IF($BI29=1,SUM('Final Calculation Sheet'!$L$4:$L$40),IF($BH29&gt;0,SUMIFS('Final Calculation Sheet'!$L$4:$L$40,$AZ$5:$AZ$41,$BH29),"")))</f>
        <v/>
      </c>
      <c r="N29" s="652">
        <f>IF($BJ29&gt;0,IF(INDEX('Final Calculation Sheet'!$M$4:$M$40,$BJ29-3)="","",INDEX('Final Calculation Sheet'!$M$4:$M$40,$BJ29-3)),IF($BI29=1,SUM('Final Calculation Sheet'!$M$4:$M$40),IF($BH29&gt;0,SUMIFS('Final Calculation Sheet'!$M$4:$M$40,$AZ$5:$AZ$41,$BH29),"")))</f>
        <v/>
      </c>
      <c r="O29" s="653">
        <f>IF($BJ29&gt;0,IF(INDEX('Final Calculation Sheet'!$N$4:$N$40,$BJ29-3)="","",INDEX('Final Calculation Sheet'!$N$4:$N$40,$BJ29-3)),IF($BI29=1,SUM('Final Calculation Sheet'!$N$4:$N$40),IF($BH29&gt;0,SUMIFS('Final Calculation Sheet'!$N$4:$N$40,$AZ$5:$AZ$41,$BH29),"")))</f>
        <v/>
      </c>
      <c r="P29" s="652">
        <f>IF($BJ29&gt;0,IF(INDEX('Final Calculation Sheet'!$O$4:$O$40,$BJ29-3)="","",INDEX('Final Calculation Sheet'!$O$4:$O$40,$BJ29-3)),IF($BI29=1,SUM('Final Calculation Sheet'!$O$4:$O$40),IF($BH29&gt;0,SUMIFS('Final Calculation Sheet'!$O$4:$O$40,$AZ$5:$AZ$41,$BH29),"")))</f>
        <v/>
      </c>
      <c r="Q29" s="652">
        <f>IF($BJ29&gt;0,IF(INDEX('Final Calculation Sheet'!$P$4:$P$40,$BJ29-3)="","",INDEX('Final Calculation Sheet'!$P$4:$P$40,$BJ29-3)),IF($BI29=1,SUM('Final Calculation Sheet'!$P$4:$P$40),IF($BH29&gt;0,SUMIFS('Final Calculation Sheet'!$P$4:$P$40,$AZ$5:$AZ$41,$BH29),"")))</f>
        <v/>
      </c>
      <c r="R29" s="654">
        <f>IF($BJ29&gt;0,IF(INDEX('Final Calculation Sheet'!$Q$4:$Q$40,$BJ29-3)="","",INDEX('Final Calculation Sheet'!$Q$4:$Q$40,$BJ29-3)),IF(OR($BI29=1,$BH29&gt;0),"–",""))</f>
        <v/>
      </c>
      <c r="S29" s="652">
        <f>IF($BJ29&gt;0,IF(INDEX('Final Calculation Sheet'!$R$4:$R$40,$BJ29-3)="","",INDEX('Final Calculation Sheet'!$R$4:$R$40,$BJ29-3)),IF($BI29=1,SUM('Final Calculation Sheet'!$R$4:$R$40),IF($BH29&gt;0,SUMIFS('Final Calculation Sheet'!$R$4:$R$40,$AZ$5:$AZ$41,$BH29),"")))</f>
        <v/>
      </c>
      <c r="T29" s="652">
        <f>IF($BJ29&gt;0,IF(INDEX('Final Calculation Sheet'!$S$4:$S$40,$BJ29-3)="","",INDEX('Final Calculation Sheet'!$S$4:$S$40,$BJ29-3)),IF($BI29=1,SUM('Final Calculation Sheet'!$S$4:$S$40),IF($BH29&gt;0,SUMIFS('Final Calculation Sheet'!$S$4:$S$40,$AZ$5:$AZ$41,$BH29),"")))</f>
        <v/>
      </c>
      <c r="U29" s="652">
        <f>IF($BJ29&gt;0,IF(INDEX('Final Calculation Sheet'!$T$4:$T$40,$BJ29-3)="","",INDEX('Final Calculation Sheet'!$T$4:$T$40,$BJ29-3)),IF($BI29=1,SUM('Final Calculation Sheet'!$T$4:$T$40),IF($BH29&gt;0,SUMIFS('Final Calculation Sheet'!$T$4:$T$40,$AZ$5:$AZ$41,$BH29),"")))</f>
        <v/>
      </c>
      <c r="V29" s="655">
        <f>IF($BJ29&gt;0,IF(INDEX('Final Calculation Sheet'!$U$4:$U$40,$BJ29-3)="","",INDEX('Final Calculation Sheet'!$U$4:$U$40,$BJ29-3)),IF($BI29=1,SUM('Final Calculation Sheet'!$U$4:$U$40),IF($BH29&gt;0,SUMIFS('Final Calculation Sheet'!$U$4:$U$40,$AZ$5:$AZ$41,$BH29),"")))</f>
        <v/>
      </c>
      <c r="W29" s="652">
        <f>IF($BJ29&gt;0,IF(INDEX('Final Calculation Sheet'!$V$4:$V$40,$BJ29-3)="","",INDEX('Final Calculation Sheet'!$V$4:$V$40,$BJ29-3)),IF(OR($BI29=1,$BH29&gt;0),"–",""))</f>
        <v/>
      </c>
      <c r="X29" s="652">
        <f>IF($BJ29&gt;0,IF(INDEX('Final Calculation Sheet'!$W$4:$W$40,$BJ29-3)="","",INDEX('Final Calculation Sheet'!$W$4:$W$40,$BJ29-3)),IF($BI29=1,SUM('Final Calculation Sheet'!$W$4:$W$40),IF($BH29&gt;0,SUMIFS('Final Calculation Sheet'!$W$4:$W$40,$AZ$5:$AZ$41,$BH29),"")))</f>
        <v/>
      </c>
      <c r="Y29" s="652">
        <f>IF($BJ29&gt;0,IF(INDEX('Final Calculation Sheet'!$X$4:$X$40,$BJ29-3)="","",INDEX('Final Calculation Sheet'!$X$4:$X$40,$BJ29-3)),IF($BI29=1,SUM('Final Calculation Sheet'!$X$4:$X$40),IF($BH29&gt;0,SUMIFS('Final Calculation Sheet'!$X$4:$X$40,$AZ$5:$AZ$41,$BH29),"")))</f>
        <v/>
      </c>
      <c r="Z29" s="652">
        <f>IF($BJ29&gt;0,IF(INDEX('Final Calculation Sheet'!$Y$4:$Y$40,$BJ29-3)="","",INDEX('Final Calculation Sheet'!$Y$4:$Y$40,$BJ29-3)),IF(OR($BI29=1,$BH29&gt;0),"–",""))</f>
        <v/>
      </c>
      <c r="AA29" s="652">
        <f>IF($BJ29&gt;0,IF(INDEX('Final Calculation Sheet'!$Z$4:$Z$40,$BJ29-3)="","",INDEX('Final Calculation Sheet'!$Z$4:$Z$40,$BJ29-3)),IF($BI29=1,SUM('Final Calculation Sheet'!$Z$4:$Z$40),IF($BH29&gt;0,SUMIFS('Final Calculation Sheet'!$Z$4:$Z$40,$AZ$5:$AZ$41,$BH29),"")))</f>
        <v/>
      </c>
      <c r="AB29" s="652">
        <f>IF($BJ29&gt;0,IF(INDEX('Final Calculation Sheet'!$AA$4:$AA$40,$BJ29-3)="","",INDEX('Final Calculation Sheet'!$AA$4:$AA$40,$BJ29-3)),IF($BI29=1,SUM('Final Calculation Sheet'!$AA$4:$AA$40),IF($BH29&gt;0,SUMIFS('Final Calculation Sheet'!$AA$4:$AA$40,$AZ$5:$AZ$41,$BH29),"")))</f>
        <v/>
      </c>
      <c r="AC29" s="652">
        <f>IF($BJ29&gt;0,IF(INDEX('Final Calculation Sheet'!$AB$4:$AB$40,$BJ29-3)="","",INDEX('Final Calculation Sheet'!$AB$4:$AB$40,$BJ29-3)),IF(OR($BI29=1,$BH29&gt;0),"–",""))</f>
        <v/>
      </c>
      <c r="AD29" s="652">
        <f>IF($BJ29&gt;0,IF(INDEX('Final Calculation Sheet'!$AC$4:$AC$40,$BJ29-3)="","",INDEX('Final Calculation Sheet'!$AC$4:$AC$40,$BJ29-3)),IF($BI29=1,SUM('Final Calculation Sheet'!$AC$4:$AC$40),IF($BH29&gt;0,SUMIFS('Final Calculation Sheet'!$AC$4:$AC$40,$AZ$5:$AZ$41,$BH29),"")))</f>
        <v/>
      </c>
      <c r="AE29" s="652">
        <f>IF($BJ29&gt;0,IF(INDEX('Final Calculation Sheet'!$AD$4:$AD$40,$BJ29-3)="","",INDEX('Final Calculation Sheet'!$AD$4:$AD$40,$BJ29-3)),IF($BI29=1,SUM('Final Calculation Sheet'!$AD$4:$AD$40),IF($BH29&gt;0,SUMIFS('Final Calculation Sheet'!$AD$4:$AD$40,$AZ$5:$AZ$41,$BH29),"")))</f>
        <v/>
      </c>
      <c r="AF29" s="652">
        <f>IF($BJ29&gt;0,IF(INDEX('Final Calculation Sheet'!$AE$4:$AE$40,$BJ29-3)="","",INDEX('Final Calculation Sheet'!$AE$4:$AE$40,$BJ29-3)),IF(OR($BI29=1,$BH29&gt;0),"–",""))</f>
        <v/>
      </c>
      <c r="AG29" s="656">
        <f>IF($BJ29&gt;0,IF(INDEX('Final Calculation Sheet'!$AF$4:$AF$40,$BJ29-3)="","",INDEX('Final Calculation Sheet'!$AF$4:$AF$40,$BJ29-3)),IF(OR($BI29=1,$BH29&gt;0),"–",""))</f>
        <v/>
      </c>
      <c r="AH29" s="652">
        <f>IF($BJ29&gt;0,IF(INDEX('Final Calculation Sheet'!$AG$4:$AG$40,$BJ29-3)="","",INDEX('Final Calculation Sheet'!$AG$4:$AG$40,$BJ29-3)),IF(OR($BI29=1,$BH29&gt;0),"–",""))</f>
        <v/>
      </c>
      <c r="AI29" s="657">
        <f>IF($BJ29&gt;0,IF(INDEX('Final Calculation Sheet'!$AD$4:$AD$40,$BJ29-3)="","",IF(INDEX('Final Calculation Sheet'!$AD$4:$AD$40,$BJ29-3)&lt;=0,"SETTLED","OUTSTANDING")),IF(OR($BI29=1,$BH29&gt;0),IF(IF($BI29=1,SUM('Final Calculation Sheet'!$AD$4:$AD$40),SUMIFS('Final Calculation Sheet'!$AD$4:$AD$40,$AZ$5:$AZ$41,$BH29))&lt;=0,"ALL SETTLED","OUTSTANDING"),""))</f>
        <v/>
      </c>
      <c r="AK29">
        <f>IF($F$3="Lot No.",'Final Calculation Sheet'!$F$28,IF($F$3="Buyer",'Final Calculation Sheet'!$G$28,IF($F$3="Lot Name",'Final Calculation Sheet'!$B$28,IF($F$3="Bid Sheet",'Final Calculation Sheet'!$D$28,IF($F$3="Unit",'Final Calculation Sheet'!$E$28,'Final Calculation Sheet'!$F$28&amp;" "&amp;'Final Calculation Sheet'!$G$28&amp;" "&amp;'Final Calculation Sheet'!$B$28)))))</f>
        <v/>
      </c>
      <c r="AM29">
        <f>IF($B$3="",1,IF(AND(IF(COUNTIF($AR$9:$AY$9,1)=0,TRUE,SUMPRODUCT(($AR$9:$AY$9=1)*($AR$6:$AY$6&lt;&gt;"")*ISNUMBER(SEARCH($AR$6:$AY$6,$AK29)))&gt;0),IF(COUNTIF($AR$9:$AY$9,2)=0,TRUE,SUMPRODUCT(($AR$9:$AY$9=2)*($AR$6:$AY$6&lt;&gt;"")*ISNUMBER(SEARCH($AR$6:$AY$6,$AK29)))&gt;0),IF(COUNTIF($AR$9:$AY$9,3)=0,TRUE,SUMPRODUCT(($AR$9:$AY$9=3)*($AR$6:$AY$6&lt;&gt;"")*ISNUMBER(SEARCH($AR$6:$AY$6,$AK29)))&gt;0),IF(COUNTIF($AR$9:$AY$9,4)=0,TRUE,SUMPRODUCT(($AR$9:$AY$9=4)*($AR$6:$AY$6&lt;&gt;"")*ISNUMBER(SEARCH($AR$6:$AY$6,$AK29)))&gt;0),IF(COUNTIF($AR$9:$AY$9,5)=0,TRUE,SUMPRODUCT(($AR$9:$AY$9=5)*($AR$6:$AY$6&lt;&gt;"")*ISNUMBER(SEARCH($AR$6:$AY$6,$AK29)))&gt;0),IF(COUNTIF($AR$9:$AY$9,6)=0,TRUE,SUMPRODUCT(($AR$9:$AY$9=6)*($AR$6:$AY$6&lt;&gt;"")*ISNUMBER(SEARCH($AR$6:$AY$6,$AK29)))&gt;0),IF(COUNTIF($AR$9:$AY$9,7)=0,TRUE,SUMPRODUCT(($AR$9:$AY$9=7)*($AR$6:$AY$6&lt;&gt;"")*ISNUMBER(SEARCH($AR$6:$AY$6,$AK29)))&gt;0),IF(COUNTIF($AR$9:$AY$9,8)=0,TRUE,SUMPRODUCT(($AR$9:$AY$9=8)*($AR$6:$AY$6&lt;&gt;"")*ISNUMBER(SEARCH($AR$6:$AY$6,$AK29)))&gt;0)),1,0))</f>
        <v/>
      </c>
      <c r="AZ29">
        <f>IF($B$3="",9,IF($AM29=0,10,IF(AND($AR$6&lt;&gt;"",ISNUMBER(SEARCH($AR$6,$AK29))),1,IF(AND($AS$6&lt;&gt;"",ISNUMBER(SEARCH($AS$6,$AK29))),2,IF(AND($AT$6&lt;&gt;"",ISNUMBER(SEARCH($AT$6,$AK29))),3,IF(AND($AU$6&lt;&gt;"",ISNUMBER(SEARCH($AU$6,$AK29))),4,IF(AND($AV$6&lt;&gt;"",ISNUMBER(SEARCH($AV$6,$AK29))),5,IF(AND($AW$6&lt;&gt;"",ISNUMBER(SEARCH($AW$6,$AK29))),6,IF(AND($AX$6&lt;&gt;"",ISNUMBER(SEARCH($AX$6,$AK29))),7,IF(AND($AY$6&lt;&gt;"",ISNUMBER(SEARCH($AY$6,$AK29))),8,0))))))))))</f>
        <v/>
      </c>
      <c r="BA29">
        <f>SUMPRODUCT(($AZ$5:$AZ$41=$AZ29)*($BC$5:$BC$41&lt;$BC29))+1</f>
        <v/>
      </c>
      <c r="BB29">
        <f>IF(INDEX($BF$4:$BF$13,$AZ29)=0,0,INDEX($BE$4:$BE$13,$AZ29)+$BA29-1)</f>
        <v/>
      </c>
      <c r="BC29" t="n">
        <v>28</v>
      </c>
      <c r="BH29">
        <f>IFERROR(MATCH(29,$BF$4:$BF$13,0),0)</f>
        <v/>
      </c>
      <c r="BI29">
        <f>IF(29=$BG$4,1,0)</f>
        <v/>
      </c>
      <c r="BJ29">
        <f>IF(OR($BH29&gt;0,$BI29=1),0,IFERROR(INDEX($BC$5:$BC$41,MATCH(29,$BB$5:$BB$41,0)),0))</f>
        <v/>
      </c>
      <c r="BK29">
        <f>IF($BJ29&gt;0,IF(INDEX($AZ$5:$AZ$41,MATCH(29,$BB$5:$BB$41,0))=10,1,0),IF($BH29=10,1,0))</f>
        <v/>
      </c>
    </row>
    <row r="30" ht="15" customHeight="1">
      <c r="A30" s="649">
        <f>IF($BJ30&gt;0,INDEX($BA$5:$BA$41,MATCH(30,$BB$5:$BB$41,0)),IF(OR($BI30=1,$BH30&gt;0),"∑",""))</f>
        <v/>
      </c>
      <c r="B30" s="650">
        <f>IF($BJ30&gt;0,IF(INDEX('Final Calculation Sheet'!$F$4:$F$40,$BJ30-3)="","",INDEX('Final Calculation Sheet'!$F$4:$F$40,$BJ30-3)),"")</f>
        <v/>
      </c>
      <c r="C30" s="650">
        <f>IF($BJ30&gt;0,IF(INDEX('Final Calculation Sheet'!$G$4:$G$40,$BJ30-3)="","",INDEX('Final Calculation Sheet'!$G$4:$G$40,$BJ30-3)),IF(OR($BI30=1,$BH30&gt;0),IF($BI30=1,37,INDEX($BD$4:$BD$13,$BH30))&amp;" lot(s)",""))</f>
        <v/>
      </c>
      <c r="D30" s="651">
        <f>IF($BJ30&gt;0,IF(INDEX('Final Calculation Sheet'!$B$4:$B$40,$BJ30-3)="","",INDEX('Final Calculation Sheet'!$B$4:$B$40,$BJ30-3)),IF(OR($BI30=1,$BH30&gt;0),IF($BI30=1,"GRAND TOTAL  —  matching + remaining",IF($BH30=10,"REMAINING  —  did not match the search",IF($BH30=9,"ALL LOTS  —  nothing typed in the box","GROUP "&amp;$BH30&amp;" TOTAL  —  lots matching  "&amp;INDEX($AR$6:$AY$6,$BH30)))),""))</f>
        <v/>
      </c>
      <c r="E30" s="651">
        <f>IF($BJ30&gt;0,IF(INDEX('Final Calculation Sheet'!$D$4:$D$40,$BJ30-3)="","",INDEX('Final Calculation Sheet'!$D$4:$D$40,$BJ30-3)),IF(OR($BI30=1,$BH30&gt;0),"–",""))</f>
        <v/>
      </c>
      <c r="F30" s="651">
        <f>IF($BJ30&gt;0,IF(INDEX('Final Calculation Sheet'!$A$4:$A$40,$BJ30-3)="","",INDEX('Final Calculation Sheet'!$A$4:$A$40,$BJ30-3)),IF($BI30=1,SUM('Final Calculation Sheet'!$A$4:$A$40),IF($BH30&gt;0,SUMIFS('Final Calculation Sheet'!$A$4:$A$40,$AZ$5:$AZ$41,$BH30),"")))</f>
        <v/>
      </c>
      <c r="G30" s="651">
        <f>IF($BJ30&gt;0,IF(INDEX('Final Calculation Sheet'!$E$4:$E$40,$BJ30-3)="","",INDEX('Final Calculation Sheet'!$E$4:$E$40,$BJ30-3)),IF(OR($BI30=1,$BH30&gt;0),"–",""))</f>
        <v/>
      </c>
      <c r="H30" s="652">
        <f>IF($BJ30&gt;0,IF(INDEX('Final Calculation Sheet'!$C$4:$C$40,$BJ30-3)="","",INDEX('Final Calculation Sheet'!$C$4:$C$40,$BJ30-3)),IF(OR($BI30=1,$BH30&gt;0),"–",""))</f>
        <v/>
      </c>
      <c r="I30" s="652">
        <f>IF($BJ30&gt;0,IF(INDEX('Final Calculation Sheet'!$H$4:$H$40,$BJ30-3)="","",INDEX('Final Calculation Sheet'!$H$4:$H$40,$BJ30-3)),IF($BI30=1,SUM('Final Calculation Sheet'!$H$4:$H$40),IF($BH30&gt;0,SUMIFS('Final Calculation Sheet'!$H$4:$H$40,$AZ$5:$AZ$41,$BH30),"")))</f>
        <v/>
      </c>
      <c r="J30" s="652">
        <f>IF($BJ30&gt;0,IF(INDEX('Final Calculation Sheet'!$I$4:$I$40,$BJ30-3)="","",INDEX('Final Calculation Sheet'!$I$4:$I$40,$BJ30-3)),IF($BI30=1,SUM('Final Calculation Sheet'!$I$4:$I$40),IF($BH30&gt;0,SUMIFS('Final Calculation Sheet'!$I$4:$I$40,$AZ$5:$AZ$41,$BH30),"")))</f>
        <v/>
      </c>
      <c r="K30" s="652">
        <f>IF($BJ30&gt;0,IF(INDEX('Final Calculation Sheet'!$J$4:$J$40,$BJ30-3)="","",INDEX('Final Calculation Sheet'!$J$4:$J$40,$BJ30-3)),IF($BI30=1,SUM('Final Calculation Sheet'!$J$4:$J$40),IF($BH30&gt;0,SUMIFS('Final Calculation Sheet'!$J$4:$J$40,$AZ$5:$AZ$41,$BH30),"")))</f>
        <v/>
      </c>
      <c r="L30" s="652">
        <f>IF($BJ30&gt;0,IF(INDEX('Final Calculation Sheet'!$K$4:$K$40,$BJ30-3)="","",INDEX('Final Calculation Sheet'!$K$4:$K$40,$BJ30-3)),IF($BI30=1,SUM('Final Calculation Sheet'!$K$4:$K$40),IF($BH30&gt;0,SUMIFS('Final Calculation Sheet'!$K$4:$K$40,$AZ$5:$AZ$41,$BH30),"")))</f>
        <v/>
      </c>
      <c r="M30" s="652">
        <f>IF($BJ30&gt;0,IF(INDEX('Final Calculation Sheet'!$L$4:$L$40,$BJ30-3)="","",INDEX('Final Calculation Sheet'!$L$4:$L$40,$BJ30-3)),IF($BI30=1,SUM('Final Calculation Sheet'!$L$4:$L$40),IF($BH30&gt;0,SUMIFS('Final Calculation Sheet'!$L$4:$L$40,$AZ$5:$AZ$41,$BH30),"")))</f>
        <v/>
      </c>
      <c r="N30" s="652">
        <f>IF($BJ30&gt;0,IF(INDEX('Final Calculation Sheet'!$M$4:$M$40,$BJ30-3)="","",INDEX('Final Calculation Sheet'!$M$4:$M$40,$BJ30-3)),IF($BI30=1,SUM('Final Calculation Sheet'!$M$4:$M$40),IF($BH30&gt;0,SUMIFS('Final Calculation Sheet'!$M$4:$M$40,$AZ$5:$AZ$41,$BH30),"")))</f>
        <v/>
      </c>
      <c r="O30" s="653">
        <f>IF($BJ30&gt;0,IF(INDEX('Final Calculation Sheet'!$N$4:$N$40,$BJ30-3)="","",INDEX('Final Calculation Sheet'!$N$4:$N$40,$BJ30-3)),IF($BI30=1,SUM('Final Calculation Sheet'!$N$4:$N$40),IF($BH30&gt;0,SUMIFS('Final Calculation Sheet'!$N$4:$N$40,$AZ$5:$AZ$41,$BH30),"")))</f>
        <v/>
      </c>
      <c r="P30" s="652">
        <f>IF($BJ30&gt;0,IF(INDEX('Final Calculation Sheet'!$O$4:$O$40,$BJ30-3)="","",INDEX('Final Calculation Sheet'!$O$4:$O$40,$BJ30-3)),IF($BI30=1,SUM('Final Calculation Sheet'!$O$4:$O$40),IF($BH30&gt;0,SUMIFS('Final Calculation Sheet'!$O$4:$O$40,$AZ$5:$AZ$41,$BH30),"")))</f>
        <v/>
      </c>
      <c r="Q30" s="652">
        <f>IF($BJ30&gt;0,IF(INDEX('Final Calculation Sheet'!$P$4:$P$40,$BJ30-3)="","",INDEX('Final Calculation Sheet'!$P$4:$P$40,$BJ30-3)),IF($BI30=1,SUM('Final Calculation Sheet'!$P$4:$P$40),IF($BH30&gt;0,SUMIFS('Final Calculation Sheet'!$P$4:$P$40,$AZ$5:$AZ$41,$BH30),"")))</f>
        <v/>
      </c>
      <c r="R30" s="654">
        <f>IF($BJ30&gt;0,IF(INDEX('Final Calculation Sheet'!$Q$4:$Q$40,$BJ30-3)="","",INDEX('Final Calculation Sheet'!$Q$4:$Q$40,$BJ30-3)),IF(OR($BI30=1,$BH30&gt;0),"–",""))</f>
        <v/>
      </c>
      <c r="S30" s="652">
        <f>IF($BJ30&gt;0,IF(INDEX('Final Calculation Sheet'!$R$4:$R$40,$BJ30-3)="","",INDEX('Final Calculation Sheet'!$R$4:$R$40,$BJ30-3)),IF($BI30=1,SUM('Final Calculation Sheet'!$R$4:$R$40),IF($BH30&gt;0,SUMIFS('Final Calculation Sheet'!$R$4:$R$40,$AZ$5:$AZ$41,$BH30),"")))</f>
        <v/>
      </c>
      <c r="T30" s="652">
        <f>IF($BJ30&gt;0,IF(INDEX('Final Calculation Sheet'!$S$4:$S$40,$BJ30-3)="","",INDEX('Final Calculation Sheet'!$S$4:$S$40,$BJ30-3)),IF($BI30=1,SUM('Final Calculation Sheet'!$S$4:$S$40),IF($BH30&gt;0,SUMIFS('Final Calculation Sheet'!$S$4:$S$40,$AZ$5:$AZ$41,$BH30),"")))</f>
        <v/>
      </c>
      <c r="U30" s="652">
        <f>IF($BJ30&gt;0,IF(INDEX('Final Calculation Sheet'!$T$4:$T$40,$BJ30-3)="","",INDEX('Final Calculation Sheet'!$T$4:$T$40,$BJ30-3)),IF($BI30=1,SUM('Final Calculation Sheet'!$T$4:$T$40),IF($BH30&gt;0,SUMIFS('Final Calculation Sheet'!$T$4:$T$40,$AZ$5:$AZ$41,$BH30),"")))</f>
        <v/>
      </c>
      <c r="V30" s="655">
        <f>IF($BJ30&gt;0,IF(INDEX('Final Calculation Sheet'!$U$4:$U$40,$BJ30-3)="","",INDEX('Final Calculation Sheet'!$U$4:$U$40,$BJ30-3)),IF($BI30=1,SUM('Final Calculation Sheet'!$U$4:$U$40),IF($BH30&gt;0,SUMIFS('Final Calculation Sheet'!$U$4:$U$40,$AZ$5:$AZ$41,$BH30),"")))</f>
        <v/>
      </c>
      <c r="W30" s="652">
        <f>IF($BJ30&gt;0,IF(INDEX('Final Calculation Sheet'!$V$4:$V$40,$BJ30-3)="","",INDEX('Final Calculation Sheet'!$V$4:$V$40,$BJ30-3)),IF(OR($BI30=1,$BH30&gt;0),"–",""))</f>
        <v/>
      </c>
      <c r="X30" s="652">
        <f>IF($BJ30&gt;0,IF(INDEX('Final Calculation Sheet'!$W$4:$W$40,$BJ30-3)="","",INDEX('Final Calculation Sheet'!$W$4:$W$40,$BJ30-3)),IF($BI30=1,SUM('Final Calculation Sheet'!$W$4:$W$40),IF($BH30&gt;0,SUMIFS('Final Calculation Sheet'!$W$4:$W$40,$AZ$5:$AZ$41,$BH30),"")))</f>
        <v/>
      </c>
      <c r="Y30" s="652">
        <f>IF($BJ30&gt;0,IF(INDEX('Final Calculation Sheet'!$X$4:$X$40,$BJ30-3)="","",INDEX('Final Calculation Sheet'!$X$4:$X$40,$BJ30-3)),IF($BI30=1,SUM('Final Calculation Sheet'!$X$4:$X$40),IF($BH30&gt;0,SUMIFS('Final Calculation Sheet'!$X$4:$X$40,$AZ$5:$AZ$41,$BH30),"")))</f>
        <v/>
      </c>
      <c r="Z30" s="652">
        <f>IF($BJ30&gt;0,IF(INDEX('Final Calculation Sheet'!$Y$4:$Y$40,$BJ30-3)="","",INDEX('Final Calculation Sheet'!$Y$4:$Y$40,$BJ30-3)),IF(OR($BI30=1,$BH30&gt;0),"–",""))</f>
        <v/>
      </c>
      <c r="AA30" s="652">
        <f>IF($BJ30&gt;0,IF(INDEX('Final Calculation Sheet'!$Z$4:$Z$40,$BJ30-3)="","",INDEX('Final Calculation Sheet'!$Z$4:$Z$40,$BJ30-3)),IF($BI30=1,SUM('Final Calculation Sheet'!$Z$4:$Z$40),IF($BH30&gt;0,SUMIFS('Final Calculation Sheet'!$Z$4:$Z$40,$AZ$5:$AZ$41,$BH30),"")))</f>
        <v/>
      </c>
      <c r="AB30" s="652">
        <f>IF($BJ30&gt;0,IF(INDEX('Final Calculation Sheet'!$AA$4:$AA$40,$BJ30-3)="","",INDEX('Final Calculation Sheet'!$AA$4:$AA$40,$BJ30-3)),IF($BI30=1,SUM('Final Calculation Sheet'!$AA$4:$AA$40),IF($BH30&gt;0,SUMIFS('Final Calculation Sheet'!$AA$4:$AA$40,$AZ$5:$AZ$41,$BH30),"")))</f>
        <v/>
      </c>
      <c r="AC30" s="652">
        <f>IF($BJ30&gt;0,IF(INDEX('Final Calculation Sheet'!$AB$4:$AB$40,$BJ30-3)="","",INDEX('Final Calculation Sheet'!$AB$4:$AB$40,$BJ30-3)),IF(OR($BI30=1,$BH30&gt;0),"–",""))</f>
        <v/>
      </c>
      <c r="AD30" s="652">
        <f>IF($BJ30&gt;0,IF(INDEX('Final Calculation Sheet'!$AC$4:$AC$40,$BJ30-3)="","",INDEX('Final Calculation Sheet'!$AC$4:$AC$40,$BJ30-3)),IF($BI30=1,SUM('Final Calculation Sheet'!$AC$4:$AC$40),IF($BH30&gt;0,SUMIFS('Final Calculation Sheet'!$AC$4:$AC$40,$AZ$5:$AZ$41,$BH30),"")))</f>
        <v/>
      </c>
      <c r="AE30" s="652">
        <f>IF($BJ30&gt;0,IF(INDEX('Final Calculation Sheet'!$AD$4:$AD$40,$BJ30-3)="","",INDEX('Final Calculation Sheet'!$AD$4:$AD$40,$BJ30-3)),IF($BI30=1,SUM('Final Calculation Sheet'!$AD$4:$AD$40),IF($BH30&gt;0,SUMIFS('Final Calculation Sheet'!$AD$4:$AD$40,$AZ$5:$AZ$41,$BH30),"")))</f>
        <v/>
      </c>
      <c r="AF30" s="652">
        <f>IF($BJ30&gt;0,IF(INDEX('Final Calculation Sheet'!$AE$4:$AE$40,$BJ30-3)="","",INDEX('Final Calculation Sheet'!$AE$4:$AE$40,$BJ30-3)),IF(OR($BI30=1,$BH30&gt;0),"–",""))</f>
        <v/>
      </c>
      <c r="AG30" s="656">
        <f>IF($BJ30&gt;0,IF(INDEX('Final Calculation Sheet'!$AF$4:$AF$40,$BJ30-3)="","",INDEX('Final Calculation Sheet'!$AF$4:$AF$40,$BJ30-3)),IF(OR($BI30=1,$BH30&gt;0),"–",""))</f>
        <v/>
      </c>
      <c r="AH30" s="652">
        <f>IF($BJ30&gt;0,IF(INDEX('Final Calculation Sheet'!$AG$4:$AG$40,$BJ30-3)="","",INDEX('Final Calculation Sheet'!$AG$4:$AG$40,$BJ30-3)),IF(OR($BI30=1,$BH30&gt;0),"–",""))</f>
        <v/>
      </c>
      <c r="AI30" s="657">
        <f>IF($BJ30&gt;0,IF(INDEX('Final Calculation Sheet'!$AD$4:$AD$40,$BJ30-3)="","",IF(INDEX('Final Calculation Sheet'!$AD$4:$AD$40,$BJ30-3)&lt;=0,"SETTLED","OUTSTANDING")),IF(OR($BI30=1,$BH30&gt;0),IF(IF($BI30=1,SUM('Final Calculation Sheet'!$AD$4:$AD$40),SUMIFS('Final Calculation Sheet'!$AD$4:$AD$40,$AZ$5:$AZ$41,$BH30))&lt;=0,"ALL SETTLED","OUTSTANDING"),""))</f>
        <v/>
      </c>
      <c r="AK30">
        <f>IF($F$3="Lot No.",'Final Calculation Sheet'!$F$29,IF($F$3="Buyer",'Final Calculation Sheet'!$G$29,IF($F$3="Lot Name",'Final Calculation Sheet'!$B$29,IF($F$3="Bid Sheet",'Final Calculation Sheet'!$D$29,IF($F$3="Unit",'Final Calculation Sheet'!$E$29,'Final Calculation Sheet'!$F$29&amp;" "&amp;'Final Calculation Sheet'!$G$29&amp;" "&amp;'Final Calculation Sheet'!$B$29)))))</f>
        <v/>
      </c>
      <c r="AM30">
        <f>IF($B$3="",1,IF(AND(IF(COUNTIF($AR$9:$AY$9,1)=0,TRUE,SUMPRODUCT(($AR$9:$AY$9=1)*($AR$6:$AY$6&lt;&gt;"")*ISNUMBER(SEARCH($AR$6:$AY$6,$AK30)))&gt;0),IF(COUNTIF($AR$9:$AY$9,2)=0,TRUE,SUMPRODUCT(($AR$9:$AY$9=2)*($AR$6:$AY$6&lt;&gt;"")*ISNUMBER(SEARCH($AR$6:$AY$6,$AK30)))&gt;0),IF(COUNTIF($AR$9:$AY$9,3)=0,TRUE,SUMPRODUCT(($AR$9:$AY$9=3)*($AR$6:$AY$6&lt;&gt;"")*ISNUMBER(SEARCH($AR$6:$AY$6,$AK30)))&gt;0),IF(COUNTIF($AR$9:$AY$9,4)=0,TRUE,SUMPRODUCT(($AR$9:$AY$9=4)*($AR$6:$AY$6&lt;&gt;"")*ISNUMBER(SEARCH($AR$6:$AY$6,$AK30)))&gt;0),IF(COUNTIF($AR$9:$AY$9,5)=0,TRUE,SUMPRODUCT(($AR$9:$AY$9=5)*($AR$6:$AY$6&lt;&gt;"")*ISNUMBER(SEARCH($AR$6:$AY$6,$AK30)))&gt;0),IF(COUNTIF($AR$9:$AY$9,6)=0,TRUE,SUMPRODUCT(($AR$9:$AY$9=6)*($AR$6:$AY$6&lt;&gt;"")*ISNUMBER(SEARCH($AR$6:$AY$6,$AK30)))&gt;0),IF(COUNTIF($AR$9:$AY$9,7)=0,TRUE,SUMPRODUCT(($AR$9:$AY$9=7)*($AR$6:$AY$6&lt;&gt;"")*ISNUMBER(SEARCH($AR$6:$AY$6,$AK30)))&gt;0),IF(COUNTIF($AR$9:$AY$9,8)=0,TRUE,SUMPRODUCT(($AR$9:$AY$9=8)*($AR$6:$AY$6&lt;&gt;"")*ISNUMBER(SEARCH($AR$6:$AY$6,$AK30)))&gt;0)),1,0))</f>
        <v/>
      </c>
      <c r="AZ30">
        <f>IF($B$3="",9,IF($AM30=0,10,IF(AND($AR$6&lt;&gt;"",ISNUMBER(SEARCH($AR$6,$AK30))),1,IF(AND($AS$6&lt;&gt;"",ISNUMBER(SEARCH($AS$6,$AK30))),2,IF(AND($AT$6&lt;&gt;"",ISNUMBER(SEARCH($AT$6,$AK30))),3,IF(AND($AU$6&lt;&gt;"",ISNUMBER(SEARCH($AU$6,$AK30))),4,IF(AND($AV$6&lt;&gt;"",ISNUMBER(SEARCH($AV$6,$AK30))),5,IF(AND($AW$6&lt;&gt;"",ISNUMBER(SEARCH($AW$6,$AK30))),6,IF(AND($AX$6&lt;&gt;"",ISNUMBER(SEARCH($AX$6,$AK30))),7,IF(AND($AY$6&lt;&gt;"",ISNUMBER(SEARCH($AY$6,$AK30))),8,0))))))))))</f>
        <v/>
      </c>
      <c r="BA30">
        <f>SUMPRODUCT(($AZ$5:$AZ$41=$AZ30)*($BC$5:$BC$41&lt;$BC30))+1</f>
        <v/>
      </c>
      <c r="BB30">
        <f>IF(INDEX($BF$4:$BF$13,$AZ30)=0,0,INDEX($BE$4:$BE$13,$AZ30)+$BA30-1)</f>
        <v/>
      </c>
      <c r="BC30" t="n">
        <v>29</v>
      </c>
      <c r="BH30">
        <f>IFERROR(MATCH(30,$BF$4:$BF$13,0),0)</f>
        <v/>
      </c>
      <c r="BI30">
        <f>IF(30=$BG$4,1,0)</f>
        <v/>
      </c>
      <c r="BJ30">
        <f>IF(OR($BH30&gt;0,$BI30=1),0,IFERROR(INDEX($BC$5:$BC$41,MATCH(30,$BB$5:$BB$41,0)),0))</f>
        <v/>
      </c>
      <c r="BK30">
        <f>IF($BJ30&gt;0,IF(INDEX($AZ$5:$AZ$41,MATCH(30,$BB$5:$BB$41,0))=10,1,0),IF($BH30=10,1,0))</f>
        <v/>
      </c>
    </row>
    <row r="31" ht="15" customHeight="1">
      <c r="A31" s="649">
        <f>IF($BJ31&gt;0,INDEX($BA$5:$BA$41,MATCH(31,$BB$5:$BB$41,0)),IF(OR($BI31=1,$BH31&gt;0),"∑",""))</f>
        <v/>
      </c>
      <c r="B31" s="650">
        <f>IF($BJ31&gt;0,IF(INDEX('Final Calculation Sheet'!$F$4:$F$40,$BJ31-3)="","",INDEX('Final Calculation Sheet'!$F$4:$F$40,$BJ31-3)),"")</f>
        <v/>
      </c>
      <c r="C31" s="650">
        <f>IF($BJ31&gt;0,IF(INDEX('Final Calculation Sheet'!$G$4:$G$40,$BJ31-3)="","",INDEX('Final Calculation Sheet'!$G$4:$G$40,$BJ31-3)),IF(OR($BI31=1,$BH31&gt;0),IF($BI31=1,37,INDEX($BD$4:$BD$13,$BH31))&amp;" lot(s)",""))</f>
        <v/>
      </c>
      <c r="D31" s="651">
        <f>IF($BJ31&gt;0,IF(INDEX('Final Calculation Sheet'!$B$4:$B$40,$BJ31-3)="","",INDEX('Final Calculation Sheet'!$B$4:$B$40,$BJ31-3)),IF(OR($BI31=1,$BH31&gt;0),IF($BI31=1,"GRAND TOTAL  —  matching + remaining",IF($BH31=10,"REMAINING  —  did not match the search",IF($BH31=9,"ALL LOTS  —  nothing typed in the box","GROUP "&amp;$BH31&amp;" TOTAL  —  lots matching  "&amp;INDEX($AR$6:$AY$6,$BH31)))),""))</f>
        <v/>
      </c>
      <c r="E31" s="651">
        <f>IF($BJ31&gt;0,IF(INDEX('Final Calculation Sheet'!$D$4:$D$40,$BJ31-3)="","",INDEX('Final Calculation Sheet'!$D$4:$D$40,$BJ31-3)),IF(OR($BI31=1,$BH31&gt;0),"–",""))</f>
        <v/>
      </c>
      <c r="F31" s="651">
        <f>IF($BJ31&gt;0,IF(INDEX('Final Calculation Sheet'!$A$4:$A$40,$BJ31-3)="","",INDEX('Final Calculation Sheet'!$A$4:$A$40,$BJ31-3)),IF($BI31=1,SUM('Final Calculation Sheet'!$A$4:$A$40),IF($BH31&gt;0,SUMIFS('Final Calculation Sheet'!$A$4:$A$40,$AZ$5:$AZ$41,$BH31),"")))</f>
        <v/>
      </c>
      <c r="G31" s="651">
        <f>IF($BJ31&gt;0,IF(INDEX('Final Calculation Sheet'!$E$4:$E$40,$BJ31-3)="","",INDEX('Final Calculation Sheet'!$E$4:$E$40,$BJ31-3)),IF(OR($BI31=1,$BH31&gt;0),"–",""))</f>
        <v/>
      </c>
      <c r="H31" s="652">
        <f>IF($BJ31&gt;0,IF(INDEX('Final Calculation Sheet'!$C$4:$C$40,$BJ31-3)="","",INDEX('Final Calculation Sheet'!$C$4:$C$40,$BJ31-3)),IF(OR($BI31=1,$BH31&gt;0),"–",""))</f>
        <v/>
      </c>
      <c r="I31" s="652">
        <f>IF($BJ31&gt;0,IF(INDEX('Final Calculation Sheet'!$H$4:$H$40,$BJ31-3)="","",INDEX('Final Calculation Sheet'!$H$4:$H$40,$BJ31-3)),IF($BI31=1,SUM('Final Calculation Sheet'!$H$4:$H$40),IF($BH31&gt;0,SUMIFS('Final Calculation Sheet'!$H$4:$H$40,$AZ$5:$AZ$41,$BH31),"")))</f>
        <v/>
      </c>
      <c r="J31" s="652">
        <f>IF($BJ31&gt;0,IF(INDEX('Final Calculation Sheet'!$I$4:$I$40,$BJ31-3)="","",INDEX('Final Calculation Sheet'!$I$4:$I$40,$BJ31-3)),IF($BI31=1,SUM('Final Calculation Sheet'!$I$4:$I$40),IF($BH31&gt;0,SUMIFS('Final Calculation Sheet'!$I$4:$I$40,$AZ$5:$AZ$41,$BH31),"")))</f>
        <v/>
      </c>
      <c r="K31" s="652">
        <f>IF($BJ31&gt;0,IF(INDEX('Final Calculation Sheet'!$J$4:$J$40,$BJ31-3)="","",INDEX('Final Calculation Sheet'!$J$4:$J$40,$BJ31-3)),IF($BI31=1,SUM('Final Calculation Sheet'!$J$4:$J$40),IF($BH31&gt;0,SUMIFS('Final Calculation Sheet'!$J$4:$J$40,$AZ$5:$AZ$41,$BH31),"")))</f>
        <v/>
      </c>
      <c r="L31" s="652">
        <f>IF($BJ31&gt;0,IF(INDEX('Final Calculation Sheet'!$K$4:$K$40,$BJ31-3)="","",INDEX('Final Calculation Sheet'!$K$4:$K$40,$BJ31-3)),IF($BI31=1,SUM('Final Calculation Sheet'!$K$4:$K$40),IF($BH31&gt;0,SUMIFS('Final Calculation Sheet'!$K$4:$K$40,$AZ$5:$AZ$41,$BH31),"")))</f>
        <v/>
      </c>
      <c r="M31" s="652">
        <f>IF($BJ31&gt;0,IF(INDEX('Final Calculation Sheet'!$L$4:$L$40,$BJ31-3)="","",INDEX('Final Calculation Sheet'!$L$4:$L$40,$BJ31-3)),IF($BI31=1,SUM('Final Calculation Sheet'!$L$4:$L$40),IF($BH31&gt;0,SUMIFS('Final Calculation Sheet'!$L$4:$L$40,$AZ$5:$AZ$41,$BH31),"")))</f>
        <v/>
      </c>
      <c r="N31" s="652">
        <f>IF($BJ31&gt;0,IF(INDEX('Final Calculation Sheet'!$M$4:$M$40,$BJ31-3)="","",INDEX('Final Calculation Sheet'!$M$4:$M$40,$BJ31-3)),IF($BI31=1,SUM('Final Calculation Sheet'!$M$4:$M$40),IF($BH31&gt;0,SUMIFS('Final Calculation Sheet'!$M$4:$M$40,$AZ$5:$AZ$41,$BH31),"")))</f>
        <v/>
      </c>
      <c r="O31" s="653">
        <f>IF($BJ31&gt;0,IF(INDEX('Final Calculation Sheet'!$N$4:$N$40,$BJ31-3)="","",INDEX('Final Calculation Sheet'!$N$4:$N$40,$BJ31-3)),IF($BI31=1,SUM('Final Calculation Sheet'!$N$4:$N$40),IF($BH31&gt;0,SUMIFS('Final Calculation Sheet'!$N$4:$N$40,$AZ$5:$AZ$41,$BH31),"")))</f>
        <v/>
      </c>
      <c r="P31" s="652">
        <f>IF($BJ31&gt;0,IF(INDEX('Final Calculation Sheet'!$O$4:$O$40,$BJ31-3)="","",INDEX('Final Calculation Sheet'!$O$4:$O$40,$BJ31-3)),IF($BI31=1,SUM('Final Calculation Sheet'!$O$4:$O$40),IF($BH31&gt;0,SUMIFS('Final Calculation Sheet'!$O$4:$O$40,$AZ$5:$AZ$41,$BH31),"")))</f>
        <v/>
      </c>
      <c r="Q31" s="652">
        <f>IF($BJ31&gt;0,IF(INDEX('Final Calculation Sheet'!$P$4:$P$40,$BJ31-3)="","",INDEX('Final Calculation Sheet'!$P$4:$P$40,$BJ31-3)),IF($BI31=1,SUM('Final Calculation Sheet'!$P$4:$P$40),IF($BH31&gt;0,SUMIFS('Final Calculation Sheet'!$P$4:$P$40,$AZ$5:$AZ$41,$BH31),"")))</f>
        <v/>
      </c>
      <c r="R31" s="654">
        <f>IF($BJ31&gt;0,IF(INDEX('Final Calculation Sheet'!$Q$4:$Q$40,$BJ31-3)="","",INDEX('Final Calculation Sheet'!$Q$4:$Q$40,$BJ31-3)),IF(OR($BI31=1,$BH31&gt;0),"–",""))</f>
        <v/>
      </c>
      <c r="S31" s="652">
        <f>IF($BJ31&gt;0,IF(INDEX('Final Calculation Sheet'!$R$4:$R$40,$BJ31-3)="","",INDEX('Final Calculation Sheet'!$R$4:$R$40,$BJ31-3)),IF($BI31=1,SUM('Final Calculation Sheet'!$R$4:$R$40),IF($BH31&gt;0,SUMIFS('Final Calculation Sheet'!$R$4:$R$40,$AZ$5:$AZ$41,$BH31),"")))</f>
        <v/>
      </c>
      <c r="T31" s="652">
        <f>IF($BJ31&gt;0,IF(INDEX('Final Calculation Sheet'!$S$4:$S$40,$BJ31-3)="","",INDEX('Final Calculation Sheet'!$S$4:$S$40,$BJ31-3)),IF($BI31=1,SUM('Final Calculation Sheet'!$S$4:$S$40),IF($BH31&gt;0,SUMIFS('Final Calculation Sheet'!$S$4:$S$40,$AZ$5:$AZ$41,$BH31),"")))</f>
        <v/>
      </c>
      <c r="U31" s="652">
        <f>IF($BJ31&gt;0,IF(INDEX('Final Calculation Sheet'!$T$4:$T$40,$BJ31-3)="","",INDEX('Final Calculation Sheet'!$T$4:$T$40,$BJ31-3)),IF($BI31=1,SUM('Final Calculation Sheet'!$T$4:$T$40),IF($BH31&gt;0,SUMIFS('Final Calculation Sheet'!$T$4:$T$40,$AZ$5:$AZ$41,$BH31),"")))</f>
        <v/>
      </c>
      <c r="V31" s="655">
        <f>IF($BJ31&gt;0,IF(INDEX('Final Calculation Sheet'!$U$4:$U$40,$BJ31-3)="","",INDEX('Final Calculation Sheet'!$U$4:$U$40,$BJ31-3)),IF($BI31=1,SUM('Final Calculation Sheet'!$U$4:$U$40),IF($BH31&gt;0,SUMIFS('Final Calculation Sheet'!$U$4:$U$40,$AZ$5:$AZ$41,$BH31),"")))</f>
        <v/>
      </c>
      <c r="W31" s="652">
        <f>IF($BJ31&gt;0,IF(INDEX('Final Calculation Sheet'!$V$4:$V$40,$BJ31-3)="","",INDEX('Final Calculation Sheet'!$V$4:$V$40,$BJ31-3)),IF(OR($BI31=1,$BH31&gt;0),"–",""))</f>
        <v/>
      </c>
      <c r="X31" s="652">
        <f>IF($BJ31&gt;0,IF(INDEX('Final Calculation Sheet'!$W$4:$W$40,$BJ31-3)="","",INDEX('Final Calculation Sheet'!$W$4:$W$40,$BJ31-3)),IF($BI31=1,SUM('Final Calculation Sheet'!$W$4:$W$40),IF($BH31&gt;0,SUMIFS('Final Calculation Sheet'!$W$4:$W$40,$AZ$5:$AZ$41,$BH31),"")))</f>
        <v/>
      </c>
      <c r="Y31" s="652">
        <f>IF($BJ31&gt;0,IF(INDEX('Final Calculation Sheet'!$X$4:$X$40,$BJ31-3)="","",INDEX('Final Calculation Sheet'!$X$4:$X$40,$BJ31-3)),IF($BI31=1,SUM('Final Calculation Sheet'!$X$4:$X$40),IF($BH31&gt;0,SUMIFS('Final Calculation Sheet'!$X$4:$X$40,$AZ$5:$AZ$41,$BH31),"")))</f>
        <v/>
      </c>
      <c r="Z31" s="652">
        <f>IF($BJ31&gt;0,IF(INDEX('Final Calculation Sheet'!$Y$4:$Y$40,$BJ31-3)="","",INDEX('Final Calculation Sheet'!$Y$4:$Y$40,$BJ31-3)),IF(OR($BI31=1,$BH31&gt;0),"–",""))</f>
        <v/>
      </c>
      <c r="AA31" s="652">
        <f>IF($BJ31&gt;0,IF(INDEX('Final Calculation Sheet'!$Z$4:$Z$40,$BJ31-3)="","",INDEX('Final Calculation Sheet'!$Z$4:$Z$40,$BJ31-3)),IF($BI31=1,SUM('Final Calculation Sheet'!$Z$4:$Z$40),IF($BH31&gt;0,SUMIFS('Final Calculation Sheet'!$Z$4:$Z$40,$AZ$5:$AZ$41,$BH31),"")))</f>
        <v/>
      </c>
      <c r="AB31" s="652">
        <f>IF($BJ31&gt;0,IF(INDEX('Final Calculation Sheet'!$AA$4:$AA$40,$BJ31-3)="","",INDEX('Final Calculation Sheet'!$AA$4:$AA$40,$BJ31-3)),IF($BI31=1,SUM('Final Calculation Sheet'!$AA$4:$AA$40),IF($BH31&gt;0,SUMIFS('Final Calculation Sheet'!$AA$4:$AA$40,$AZ$5:$AZ$41,$BH31),"")))</f>
        <v/>
      </c>
      <c r="AC31" s="652">
        <f>IF($BJ31&gt;0,IF(INDEX('Final Calculation Sheet'!$AB$4:$AB$40,$BJ31-3)="","",INDEX('Final Calculation Sheet'!$AB$4:$AB$40,$BJ31-3)),IF(OR($BI31=1,$BH31&gt;0),"–",""))</f>
        <v/>
      </c>
      <c r="AD31" s="652">
        <f>IF($BJ31&gt;0,IF(INDEX('Final Calculation Sheet'!$AC$4:$AC$40,$BJ31-3)="","",INDEX('Final Calculation Sheet'!$AC$4:$AC$40,$BJ31-3)),IF($BI31=1,SUM('Final Calculation Sheet'!$AC$4:$AC$40),IF($BH31&gt;0,SUMIFS('Final Calculation Sheet'!$AC$4:$AC$40,$AZ$5:$AZ$41,$BH31),"")))</f>
        <v/>
      </c>
      <c r="AE31" s="652">
        <f>IF($BJ31&gt;0,IF(INDEX('Final Calculation Sheet'!$AD$4:$AD$40,$BJ31-3)="","",INDEX('Final Calculation Sheet'!$AD$4:$AD$40,$BJ31-3)),IF($BI31=1,SUM('Final Calculation Sheet'!$AD$4:$AD$40),IF($BH31&gt;0,SUMIFS('Final Calculation Sheet'!$AD$4:$AD$40,$AZ$5:$AZ$41,$BH31),"")))</f>
        <v/>
      </c>
      <c r="AF31" s="652">
        <f>IF($BJ31&gt;0,IF(INDEX('Final Calculation Sheet'!$AE$4:$AE$40,$BJ31-3)="","",INDEX('Final Calculation Sheet'!$AE$4:$AE$40,$BJ31-3)),IF(OR($BI31=1,$BH31&gt;0),"–",""))</f>
        <v/>
      </c>
      <c r="AG31" s="656">
        <f>IF($BJ31&gt;0,IF(INDEX('Final Calculation Sheet'!$AF$4:$AF$40,$BJ31-3)="","",INDEX('Final Calculation Sheet'!$AF$4:$AF$40,$BJ31-3)),IF(OR($BI31=1,$BH31&gt;0),"–",""))</f>
        <v/>
      </c>
      <c r="AH31" s="652">
        <f>IF($BJ31&gt;0,IF(INDEX('Final Calculation Sheet'!$AG$4:$AG$40,$BJ31-3)="","",INDEX('Final Calculation Sheet'!$AG$4:$AG$40,$BJ31-3)),IF(OR($BI31=1,$BH31&gt;0),"–",""))</f>
        <v/>
      </c>
      <c r="AI31" s="657">
        <f>IF($BJ31&gt;0,IF(INDEX('Final Calculation Sheet'!$AD$4:$AD$40,$BJ31-3)="","",IF(INDEX('Final Calculation Sheet'!$AD$4:$AD$40,$BJ31-3)&lt;=0,"SETTLED","OUTSTANDING")),IF(OR($BI31=1,$BH31&gt;0),IF(IF($BI31=1,SUM('Final Calculation Sheet'!$AD$4:$AD$40),SUMIFS('Final Calculation Sheet'!$AD$4:$AD$40,$AZ$5:$AZ$41,$BH31))&lt;=0,"ALL SETTLED","OUTSTANDING"),""))</f>
        <v/>
      </c>
      <c r="AK31">
        <f>IF($F$3="Lot No.",'Final Calculation Sheet'!$F$30,IF($F$3="Buyer",'Final Calculation Sheet'!$G$30,IF($F$3="Lot Name",'Final Calculation Sheet'!$B$30,IF($F$3="Bid Sheet",'Final Calculation Sheet'!$D$30,IF($F$3="Unit",'Final Calculation Sheet'!$E$30,'Final Calculation Sheet'!$F$30&amp;" "&amp;'Final Calculation Sheet'!$G$30&amp;" "&amp;'Final Calculation Sheet'!$B$30)))))</f>
        <v/>
      </c>
      <c r="AM31">
        <f>IF($B$3="",1,IF(AND(IF(COUNTIF($AR$9:$AY$9,1)=0,TRUE,SUMPRODUCT(($AR$9:$AY$9=1)*($AR$6:$AY$6&lt;&gt;"")*ISNUMBER(SEARCH($AR$6:$AY$6,$AK31)))&gt;0),IF(COUNTIF($AR$9:$AY$9,2)=0,TRUE,SUMPRODUCT(($AR$9:$AY$9=2)*($AR$6:$AY$6&lt;&gt;"")*ISNUMBER(SEARCH($AR$6:$AY$6,$AK31)))&gt;0),IF(COUNTIF($AR$9:$AY$9,3)=0,TRUE,SUMPRODUCT(($AR$9:$AY$9=3)*($AR$6:$AY$6&lt;&gt;"")*ISNUMBER(SEARCH($AR$6:$AY$6,$AK31)))&gt;0),IF(COUNTIF($AR$9:$AY$9,4)=0,TRUE,SUMPRODUCT(($AR$9:$AY$9=4)*($AR$6:$AY$6&lt;&gt;"")*ISNUMBER(SEARCH($AR$6:$AY$6,$AK31)))&gt;0),IF(COUNTIF($AR$9:$AY$9,5)=0,TRUE,SUMPRODUCT(($AR$9:$AY$9=5)*($AR$6:$AY$6&lt;&gt;"")*ISNUMBER(SEARCH($AR$6:$AY$6,$AK31)))&gt;0),IF(COUNTIF($AR$9:$AY$9,6)=0,TRUE,SUMPRODUCT(($AR$9:$AY$9=6)*($AR$6:$AY$6&lt;&gt;"")*ISNUMBER(SEARCH($AR$6:$AY$6,$AK31)))&gt;0),IF(COUNTIF($AR$9:$AY$9,7)=0,TRUE,SUMPRODUCT(($AR$9:$AY$9=7)*($AR$6:$AY$6&lt;&gt;"")*ISNUMBER(SEARCH($AR$6:$AY$6,$AK31)))&gt;0),IF(COUNTIF($AR$9:$AY$9,8)=0,TRUE,SUMPRODUCT(($AR$9:$AY$9=8)*($AR$6:$AY$6&lt;&gt;"")*ISNUMBER(SEARCH($AR$6:$AY$6,$AK31)))&gt;0)),1,0))</f>
        <v/>
      </c>
      <c r="AZ31">
        <f>IF($B$3="",9,IF($AM31=0,10,IF(AND($AR$6&lt;&gt;"",ISNUMBER(SEARCH($AR$6,$AK31))),1,IF(AND($AS$6&lt;&gt;"",ISNUMBER(SEARCH($AS$6,$AK31))),2,IF(AND($AT$6&lt;&gt;"",ISNUMBER(SEARCH($AT$6,$AK31))),3,IF(AND($AU$6&lt;&gt;"",ISNUMBER(SEARCH($AU$6,$AK31))),4,IF(AND($AV$6&lt;&gt;"",ISNUMBER(SEARCH($AV$6,$AK31))),5,IF(AND($AW$6&lt;&gt;"",ISNUMBER(SEARCH($AW$6,$AK31))),6,IF(AND($AX$6&lt;&gt;"",ISNUMBER(SEARCH($AX$6,$AK31))),7,IF(AND($AY$6&lt;&gt;"",ISNUMBER(SEARCH($AY$6,$AK31))),8,0))))))))))</f>
        <v/>
      </c>
      <c r="BA31">
        <f>SUMPRODUCT(($AZ$5:$AZ$41=$AZ31)*($BC$5:$BC$41&lt;$BC31))+1</f>
        <v/>
      </c>
      <c r="BB31">
        <f>IF(INDEX($BF$4:$BF$13,$AZ31)=0,0,INDEX($BE$4:$BE$13,$AZ31)+$BA31-1)</f>
        <v/>
      </c>
      <c r="BC31" t="n">
        <v>30</v>
      </c>
      <c r="BH31">
        <f>IFERROR(MATCH(31,$BF$4:$BF$13,0),0)</f>
        <v/>
      </c>
      <c r="BI31">
        <f>IF(31=$BG$4,1,0)</f>
        <v/>
      </c>
      <c r="BJ31">
        <f>IF(OR($BH31&gt;0,$BI31=1),0,IFERROR(INDEX($BC$5:$BC$41,MATCH(31,$BB$5:$BB$41,0)),0))</f>
        <v/>
      </c>
      <c r="BK31">
        <f>IF($BJ31&gt;0,IF(INDEX($AZ$5:$AZ$41,MATCH(31,$BB$5:$BB$41,0))=10,1,0),IF($BH31=10,1,0))</f>
        <v/>
      </c>
    </row>
    <row r="32" ht="15" customHeight="1">
      <c r="A32" s="649">
        <f>IF($BJ32&gt;0,INDEX($BA$5:$BA$41,MATCH(32,$BB$5:$BB$41,0)),IF(OR($BI32=1,$BH32&gt;0),"∑",""))</f>
        <v/>
      </c>
      <c r="B32" s="650">
        <f>IF($BJ32&gt;0,IF(INDEX('Final Calculation Sheet'!$F$4:$F$40,$BJ32-3)="","",INDEX('Final Calculation Sheet'!$F$4:$F$40,$BJ32-3)),"")</f>
        <v/>
      </c>
      <c r="C32" s="650">
        <f>IF($BJ32&gt;0,IF(INDEX('Final Calculation Sheet'!$G$4:$G$40,$BJ32-3)="","",INDEX('Final Calculation Sheet'!$G$4:$G$40,$BJ32-3)),IF(OR($BI32=1,$BH32&gt;0),IF($BI32=1,37,INDEX($BD$4:$BD$13,$BH32))&amp;" lot(s)",""))</f>
        <v/>
      </c>
      <c r="D32" s="651">
        <f>IF($BJ32&gt;0,IF(INDEX('Final Calculation Sheet'!$B$4:$B$40,$BJ32-3)="","",INDEX('Final Calculation Sheet'!$B$4:$B$40,$BJ32-3)),IF(OR($BI32=1,$BH32&gt;0),IF($BI32=1,"GRAND TOTAL  —  matching + remaining",IF($BH32=10,"REMAINING  —  did not match the search",IF($BH32=9,"ALL LOTS  —  nothing typed in the box","GROUP "&amp;$BH32&amp;" TOTAL  —  lots matching  "&amp;INDEX($AR$6:$AY$6,$BH32)))),""))</f>
        <v/>
      </c>
      <c r="E32" s="651">
        <f>IF($BJ32&gt;0,IF(INDEX('Final Calculation Sheet'!$D$4:$D$40,$BJ32-3)="","",INDEX('Final Calculation Sheet'!$D$4:$D$40,$BJ32-3)),IF(OR($BI32=1,$BH32&gt;0),"–",""))</f>
        <v/>
      </c>
      <c r="F32" s="651">
        <f>IF($BJ32&gt;0,IF(INDEX('Final Calculation Sheet'!$A$4:$A$40,$BJ32-3)="","",INDEX('Final Calculation Sheet'!$A$4:$A$40,$BJ32-3)),IF($BI32=1,SUM('Final Calculation Sheet'!$A$4:$A$40),IF($BH32&gt;0,SUMIFS('Final Calculation Sheet'!$A$4:$A$40,$AZ$5:$AZ$41,$BH32),"")))</f>
        <v/>
      </c>
      <c r="G32" s="651">
        <f>IF($BJ32&gt;0,IF(INDEX('Final Calculation Sheet'!$E$4:$E$40,$BJ32-3)="","",INDEX('Final Calculation Sheet'!$E$4:$E$40,$BJ32-3)),IF(OR($BI32=1,$BH32&gt;0),"–",""))</f>
        <v/>
      </c>
      <c r="H32" s="652">
        <f>IF($BJ32&gt;0,IF(INDEX('Final Calculation Sheet'!$C$4:$C$40,$BJ32-3)="","",INDEX('Final Calculation Sheet'!$C$4:$C$40,$BJ32-3)),IF(OR($BI32=1,$BH32&gt;0),"–",""))</f>
        <v/>
      </c>
      <c r="I32" s="652">
        <f>IF($BJ32&gt;0,IF(INDEX('Final Calculation Sheet'!$H$4:$H$40,$BJ32-3)="","",INDEX('Final Calculation Sheet'!$H$4:$H$40,$BJ32-3)),IF($BI32=1,SUM('Final Calculation Sheet'!$H$4:$H$40),IF($BH32&gt;0,SUMIFS('Final Calculation Sheet'!$H$4:$H$40,$AZ$5:$AZ$41,$BH32),"")))</f>
        <v/>
      </c>
      <c r="J32" s="652">
        <f>IF($BJ32&gt;0,IF(INDEX('Final Calculation Sheet'!$I$4:$I$40,$BJ32-3)="","",INDEX('Final Calculation Sheet'!$I$4:$I$40,$BJ32-3)),IF($BI32=1,SUM('Final Calculation Sheet'!$I$4:$I$40),IF($BH32&gt;0,SUMIFS('Final Calculation Sheet'!$I$4:$I$40,$AZ$5:$AZ$41,$BH32),"")))</f>
        <v/>
      </c>
      <c r="K32" s="652">
        <f>IF($BJ32&gt;0,IF(INDEX('Final Calculation Sheet'!$J$4:$J$40,$BJ32-3)="","",INDEX('Final Calculation Sheet'!$J$4:$J$40,$BJ32-3)),IF($BI32=1,SUM('Final Calculation Sheet'!$J$4:$J$40),IF($BH32&gt;0,SUMIFS('Final Calculation Sheet'!$J$4:$J$40,$AZ$5:$AZ$41,$BH32),"")))</f>
        <v/>
      </c>
      <c r="L32" s="652">
        <f>IF($BJ32&gt;0,IF(INDEX('Final Calculation Sheet'!$K$4:$K$40,$BJ32-3)="","",INDEX('Final Calculation Sheet'!$K$4:$K$40,$BJ32-3)),IF($BI32=1,SUM('Final Calculation Sheet'!$K$4:$K$40),IF($BH32&gt;0,SUMIFS('Final Calculation Sheet'!$K$4:$K$40,$AZ$5:$AZ$41,$BH32),"")))</f>
        <v/>
      </c>
      <c r="M32" s="652">
        <f>IF($BJ32&gt;0,IF(INDEX('Final Calculation Sheet'!$L$4:$L$40,$BJ32-3)="","",INDEX('Final Calculation Sheet'!$L$4:$L$40,$BJ32-3)),IF($BI32=1,SUM('Final Calculation Sheet'!$L$4:$L$40),IF($BH32&gt;0,SUMIFS('Final Calculation Sheet'!$L$4:$L$40,$AZ$5:$AZ$41,$BH32),"")))</f>
        <v/>
      </c>
      <c r="N32" s="652">
        <f>IF($BJ32&gt;0,IF(INDEX('Final Calculation Sheet'!$M$4:$M$40,$BJ32-3)="","",INDEX('Final Calculation Sheet'!$M$4:$M$40,$BJ32-3)),IF($BI32=1,SUM('Final Calculation Sheet'!$M$4:$M$40),IF($BH32&gt;0,SUMIFS('Final Calculation Sheet'!$M$4:$M$40,$AZ$5:$AZ$41,$BH32),"")))</f>
        <v/>
      </c>
      <c r="O32" s="653">
        <f>IF($BJ32&gt;0,IF(INDEX('Final Calculation Sheet'!$N$4:$N$40,$BJ32-3)="","",INDEX('Final Calculation Sheet'!$N$4:$N$40,$BJ32-3)),IF($BI32=1,SUM('Final Calculation Sheet'!$N$4:$N$40),IF($BH32&gt;0,SUMIFS('Final Calculation Sheet'!$N$4:$N$40,$AZ$5:$AZ$41,$BH32),"")))</f>
        <v/>
      </c>
      <c r="P32" s="652">
        <f>IF($BJ32&gt;0,IF(INDEX('Final Calculation Sheet'!$O$4:$O$40,$BJ32-3)="","",INDEX('Final Calculation Sheet'!$O$4:$O$40,$BJ32-3)),IF($BI32=1,SUM('Final Calculation Sheet'!$O$4:$O$40),IF($BH32&gt;0,SUMIFS('Final Calculation Sheet'!$O$4:$O$40,$AZ$5:$AZ$41,$BH32),"")))</f>
        <v/>
      </c>
      <c r="Q32" s="652">
        <f>IF($BJ32&gt;0,IF(INDEX('Final Calculation Sheet'!$P$4:$P$40,$BJ32-3)="","",INDEX('Final Calculation Sheet'!$P$4:$P$40,$BJ32-3)),IF($BI32=1,SUM('Final Calculation Sheet'!$P$4:$P$40),IF($BH32&gt;0,SUMIFS('Final Calculation Sheet'!$P$4:$P$40,$AZ$5:$AZ$41,$BH32),"")))</f>
        <v/>
      </c>
      <c r="R32" s="654">
        <f>IF($BJ32&gt;0,IF(INDEX('Final Calculation Sheet'!$Q$4:$Q$40,$BJ32-3)="","",INDEX('Final Calculation Sheet'!$Q$4:$Q$40,$BJ32-3)),IF(OR($BI32=1,$BH32&gt;0),"–",""))</f>
        <v/>
      </c>
      <c r="S32" s="652">
        <f>IF($BJ32&gt;0,IF(INDEX('Final Calculation Sheet'!$R$4:$R$40,$BJ32-3)="","",INDEX('Final Calculation Sheet'!$R$4:$R$40,$BJ32-3)),IF($BI32=1,SUM('Final Calculation Sheet'!$R$4:$R$40),IF($BH32&gt;0,SUMIFS('Final Calculation Sheet'!$R$4:$R$40,$AZ$5:$AZ$41,$BH32),"")))</f>
        <v/>
      </c>
      <c r="T32" s="652">
        <f>IF($BJ32&gt;0,IF(INDEX('Final Calculation Sheet'!$S$4:$S$40,$BJ32-3)="","",INDEX('Final Calculation Sheet'!$S$4:$S$40,$BJ32-3)),IF($BI32=1,SUM('Final Calculation Sheet'!$S$4:$S$40),IF($BH32&gt;0,SUMIFS('Final Calculation Sheet'!$S$4:$S$40,$AZ$5:$AZ$41,$BH32),"")))</f>
        <v/>
      </c>
      <c r="U32" s="652">
        <f>IF($BJ32&gt;0,IF(INDEX('Final Calculation Sheet'!$T$4:$T$40,$BJ32-3)="","",INDEX('Final Calculation Sheet'!$T$4:$T$40,$BJ32-3)),IF($BI32=1,SUM('Final Calculation Sheet'!$T$4:$T$40),IF($BH32&gt;0,SUMIFS('Final Calculation Sheet'!$T$4:$T$40,$AZ$5:$AZ$41,$BH32),"")))</f>
        <v/>
      </c>
      <c r="V32" s="655">
        <f>IF($BJ32&gt;0,IF(INDEX('Final Calculation Sheet'!$U$4:$U$40,$BJ32-3)="","",INDEX('Final Calculation Sheet'!$U$4:$U$40,$BJ32-3)),IF($BI32=1,SUM('Final Calculation Sheet'!$U$4:$U$40),IF($BH32&gt;0,SUMIFS('Final Calculation Sheet'!$U$4:$U$40,$AZ$5:$AZ$41,$BH32),"")))</f>
        <v/>
      </c>
      <c r="W32" s="652">
        <f>IF($BJ32&gt;0,IF(INDEX('Final Calculation Sheet'!$V$4:$V$40,$BJ32-3)="","",INDEX('Final Calculation Sheet'!$V$4:$V$40,$BJ32-3)),IF(OR($BI32=1,$BH32&gt;0),"–",""))</f>
        <v/>
      </c>
      <c r="X32" s="652">
        <f>IF($BJ32&gt;0,IF(INDEX('Final Calculation Sheet'!$W$4:$W$40,$BJ32-3)="","",INDEX('Final Calculation Sheet'!$W$4:$W$40,$BJ32-3)),IF($BI32=1,SUM('Final Calculation Sheet'!$W$4:$W$40),IF($BH32&gt;0,SUMIFS('Final Calculation Sheet'!$W$4:$W$40,$AZ$5:$AZ$41,$BH32),"")))</f>
        <v/>
      </c>
      <c r="Y32" s="652">
        <f>IF($BJ32&gt;0,IF(INDEX('Final Calculation Sheet'!$X$4:$X$40,$BJ32-3)="","",INDEX('Final Calculation Sheet'!$X$4:$X$40,$BJ32-3)),IF($BI32=1,SUM('Final Calculation Sheet'!$X$4:$X$40),IF($BH32&gt;0,SUMIFS('Final Calculation Sheet'!$X$4:$X$40,$AZ$5:$AZ$41,$BH32),"")))</f>
        <v/>
      </c>
      <c r="Z32" s="652">
        <f>IF($BJ32&gt;0,IF(INDEX('Final Calculation Sheet'!$Y$4:$Y$40,$BJ32-3)="","",INDEX('Final Calculation Sheet'!$Y$4:$Y$40,$BJ32-3)),IF(OR($BI32=1,$BH32&gt;0),"–",""))</f>
        <v/>
      </c>
      <c r="AA32" s="652">
        <f>IF($BJ32&gt;0,IF(INDEX('Final Calculation Sheet'!$Z$4:$Z$40,$BJ32-3)="","",INDEX('Final Calculation Sheet'!$Z$4:$Z$40,$BJ32-3)),IF($BI32=1,SUM('Final Calculation Sheet'!$Z$4:$Z$40),IF($BH32&gt;0,SUMIFS('Final Calculation Sheet'!$Z$4:$Z$40,$AZ$5:$AZ$41,$BH32),"")))</f>
        <v/>
      </c>
      <c r="AB32" s="652">
        <f>IF($BJ32&gt;0,IF(INDEX('Final Calculation Sheet'!$AA$4:$AA$40,$BJ32-3)="","",INDEX('Final Calculation Sheet'!$AA$4:$AA$40,$BJ32-3)),IF($BI32=1,SUM('Final Calculation Sheet'!$AA$4:$AA$40),IF($BH32&gt;0,SUMIFS('Final Calculation Sheet'!$AA$4:$AA$40,$AZ$5:$AZ$41,$BH32),"")))</f>
        <v/>
      </c>
      <c r="AC32" s="652">
        <f>IF($BJ32&gt;0,IF(INDEX('Final Calculation Sheet'!$AB$4:$AB$40,$BJ32-3)="","",INDEX('Final Calculation Sheet'!$AB$4:$AB$40,$BJ32-3)),IF(OR($BI32=1,$BH32&gt;0),"–",""))</f>
        <v/>
      </c>
      <c r="AD32" s="652">
        <f>IF($BJ32&gt;0,IF(INDEX('Final Calculation Sheet'!$AC$4:$AC$40,$BJ32-3)="","",INDEX('Final Calculation Sheet'!$AC$4:$AC$40,$BJ32-3)),IF($BI32=1,SUM('Final Calculation Sheet'!$AC$4:$AC$40),IF($BH32&gt;0,SUMIFS('Final Calculation Sheet'!$AC$4:$AC$40,$AZ$5:$AZ$41,$BH32),"")))</f>
        <v/>
      </c>
      <c r="AE32" s="652">
        <f>IF($BJ32&gt;0,IF(INDEX('Final Calculation Sheet'!$AD$4:$AD$40,$BJ32-3)="","",INDEX('Final Calculation Sheet'!$AD$4:$AD$40,$BJ32-3)),IF($BI32=1,SUM('Final Calculation Sheet'!$AD$4:$AD$40),IF($BH32&gt;0,SUMIFS('Final Calculation Sheet'!$AD$4:$AD$40,$AZ$5:$AZ$41,$BH32),"")))</f>
        <v/>
      </c>
      <c r="AF32" s="652">
        <f>IF($BJ32&gt;0,IF(INDEX('Final Calculation Sheet'!$AE$4:$AE$40,$BJ32-3)="","",INDEX('Final Calculation Sheet'!$AE$4:$AE$40,$BJ32-3)),IF(OR($BI32=1,$BH32&gt;0),"–",""))</f>
        <v/>
      </c>
      <c r="AG32" s="656">
        <f>IF($BJ32&gt;0,IF(INDEX('Final Calculation Sheet'!$AF$4:$AF$40,$BJ32-3)="","",INDEX('Final Calculation Sheet'!$AF$4:$AF$40,$BJ32-3)),IF(OR($BI32=1,$BH32&gt;0),"–",""))</f>
        <v/>
      </c>
      <c r="AH32" s="652">
        <f>IF($BJ32&gt;0,IF(INDEX('Final Calculation Sheet'!$AG$4:$AG$40,$BJ32-3)="","",INDEX('Final Calculation Sheet'!$AG$4:$AG$40,$BJ32-3)),IF(OR($BI32=1,$BH32&gt;0),"–",""))</f>
        <v/>
      </c>
      <c r="AI32" s="657">
        <f>IF($BJ32&gt;0,IF(INDEX('Final Calculation Sheet'!$AD$4:$AD$40,$BJ32-3)="","",IF(INDEX('Final Calculation Sheet'!$AD$4:$AD$40,$BJ32-3)&lt;=0,"SETTLED","OUTSTANDING")),IF(OR($BI32=1,$BH32&gt;0),IF(IF($BI32=1,SUM('Final Calculation Sheet'!$AD$4:$AD$40),SUMIFS('Final Calculation Sheet'!$AD$4:$AD$40,$AZ$5:$AZ$41,$BH32))&lt;=0,"ALL SETTLED","OUTSTANDING"),""))</f>
        <v/>
      </c>
      <c r="AK32">
        <f>IF($F$3="Lot No.",'Final Calculation Sheet'!$F$31,IF($F$3="Buyer",'Final Calculation Sheet'!$G$31,IF($F$3="Lot Name",'Final Calculation Sheet'!$B$31,IF($F$3="Bid Sheet",'Final Calculation Sheet'!$D$31,IF($F$3="Unit",'Final Calculation Sheet'!$E$31,'Final Calculation Sheet'!$F$31&amp;" "&amp;'Final Calculation Sheet'!$G$31&amp;" "&amp;'Final Calculation Sheet'!$B$31)))))</f>
        <v/>
      </c>
      <c r="AM32">
        <f>IF($B$3="",1,IF(AND(IF(COUNTIF($AR$9:$AY$9,1)=0,TRUE,SUMPRODUCT(($AR$9:$AY$9=1)*($AR$6:$AY$6&lt;&gt;"")*ISNUMBER(SEARCH($AR$6:$AY$6,$AK32)))&gt;0),IF(COUNTIF($AR$9:$AY$9,2)=0,TRUE,SUMPRODUCT(($AR$9:$AY$9=2)*($AR$6:$AY$6&lt;&gt;"")*ISNUMBER(SEARCH($AR$6:$AY$6,$AK32)))&gt;0),IF(COUNTIF($AR$9:$AY$9,3)=0,TRUE,SUMPRODUCT(($AR$9:$AY$9=3)*($AR$6:$AY$6&lt;&gt;"")*ISNUMBER(SEARCH($AR$6:$AY$6,$AK32)))&gt;0),IF(COUNTIF($AR$9:$AY$9,4)=0,TRUE,SUMPRODUCT(($AR$9:$AY$9=4)*($AR$6:$AY$6&lt;&gt;"")*ISNUMBER(SEARCH($AR$6:$AY$6,$AK32)))&gt;0),IF(COUNTIF($AR$9:$AY$9,5)=0,TRUE,SUMPRODUCT(($AR$9:$AY$9=5)*($AR$6:$AY$6&lt;&gt;"")*ISNUMBER(SEARCH($AR$6:$AY$6,$AK32)))&gt;0),IF(COUNTIF($AR$9:$AY$9,6)=0,TRUE,SUMPRODUCT(($AR$9:$AY$9=6)*($AR$6:$AY$6&lt;&gt;"")*ISNUMBER(SEARCH($AR$6:$AY$6,$AK32)))&gt;0),IF(COUNTIF($AR$9:$AY$9,7)=0,TRUE,SUMPRODUCT(($AR$9:$AY$9=7)*($AR$6:$AY$6&lt;&gt;"")*ISNUMBER(SEARCH($AR$6:$AY$6,$AK32)))&gt;0),IF(COUNTIF($AR$9:$AY$9,8)=0,TRUE,SUMPRODUCT(($AR$9:$AY$9=8)*($AR$6:$AY$6&lt;&gt;"")*ISNUMBER(SEARCH($AR$6:$AY$6,$AK32)))&gt;0)),1,0))</f>
        <v/>
      </c>
      <c r="AZ32">
        <f>IF($B$3="",9,IF($AM32=0,10,IF(AND($AR$6&lt;&gt;"",ISNUMBER(SEARCH($AR$6,$AK32))),1,IF(AND($AS$6&lt;&gt;"",ISNUMBER(SEARCH($AS$6,$AK32))),2,IF(AND($AT$6&lt;&gt;"",ISNUMBER(SEARCH($AT$6,$AK32))),3,IF(AND($AU$6&lt;&gt;"",ISNUMBER(SEARCH($AU$6,$AK32))),4,IF(AND($AV$6&lt;&gt;"",ISNUMBER(SEARCH($AV$6,$AK32))),5,IF(AND($AW$6&lt;&gt;"",ISNUMBER(SEARCH($AW$6,$AK32))),6,IF(AND($AX$6&lt;&gt;"",ISNUMBER(SEARCH($AX$6,$AK32))),7,IF(AND($AY$6&lt;&gt;"",ISNUMBER(SEARCH($AY$6,$AK32))),8,0))))))))))</f>
        <v/>
      </c>
      <c r="BA32">
        <f>SUMPRODUCT(($AZ$5:$AZ$41=$AZ32)*($BC$5:$BC$41&lt;$BC32))+1</f>
        <v/>
      </c>
      <c r="BB32">
        <f>IF(INDEX($BF$4:$BF$13,$AZ32)=0,0,INDEX($BE$4:$BE$13,$AZ32)+$BA32-1)</f>
        <v/>
      </c>
      <c r="BC32" t="n">
        <v>31</v>
      </c>
      <c r="BH32">
        <f>IFERROR(MATCH(32,$BF$4:$BF$13,0),0)</f>
        <v/>
      </c>
      <c r="BI32">
        <f>IF(32=$BG$4,1,0)</f>
        <v/>
      </c>
      <c r="BJ32">
        <f>IF(OR($BH32&gt;0,$BI32=1),0,IFERROR(INDEX($BC$5:$BC$41,MATCH(32,$BB$5:$BB$41,0)),0))</f>
        <v/>
      </c>
      <c r="BK32">
        <f>IF($BJ32&gt;0,IF(INDEX($AZ$5:$AZ$41,MATCH(32,$BB$5:$BB$41,0))=10,1,0),IF($BH32=10,1,0))</f>
        <v/>
      </c>
    </row>
    <row r="33" ht="15" customHeight="1">
      <c r="A33" s="649">
        <f>IF($BJ33&gt;0,INDEX($BA$5:$BA$41,MATCH(33,$BB$5:$BB$41,0)),IF(OR($BI33=1,$BH33&gt;0),"∑",""))</f>
        <v/>
      </c>
      <c r="B33" s="650">
        <f>IF($BJ33&gt;0,IF(INDEX('Final Calculation Sheet'!$F$4:$F$40,$BJ33-3)="","",INDEX('Final Calculation Sheet'!$F$4:$F$40,$BJ33-3)),"")</f>
        <v/>
      </c>
      <c r="C33" s="650">
        <f>IF($BJ33&gt;0,IF(INDEX('Final Calculation Sheet'!$G$4:$G$40,$BJ33-3)="","",INDEX('Final Calculation Sheet'!$G$4:$G$40,$BJ33-3)),IF(OR($BI33=1,$BH33&gt;0),IF($BI33=1,37,INDEX($BD$4:$BD$13,$BH33))&amp;" lot(s)",""))</f>
        <v/>
      </c>
      <c r="D33" s="651">
        <f>IF($BJ33&gt;0,IF(INDEX('Final Calculation Sheet'!$B$4:$B$40,$BJ33-3)="","",INDEX('Final Calculation Sheet'!$B$4:$B$40,$BJ33-3)),IF(OR($BI33=1,$BH33&gt;0),IF($BI33=1,"GRAND TOTAL  —  matching + remaining",IF($BH33=10,"REMAINING  —  did not match the search",IF($BH33=9,"ALL LOTS  —  nothing typed in the box","GROUP "&amp;$BH33&amp;" TOTAL  —  lots matching  "&amp;INDEX($AR$6:$AY$6,$BH33)))),""))</f>
        <v/>
      </c>
      <c r="E33" s="651">
        <f>IF($BJ33&gt;0,IF(INDEX('Final Calculation Sheet'!$D$4:$D$40,$BJ33-3)="","",INDEX('Final Calculation Sheet'!$D$4:$D$40,$BJ33-3)),IF(OR($BI33=1,$BH33&gt;0),"–",""))</f>
        <v/>
      </c>
      <c r="F33" s="651">
        <f>IF($BJ33&gt;0,IF(INDEX('Final Calculation Sheet'!$A$4:$A$40,$BJ33-3)="","",INDEX('Final Calculation Sheet'!$A$4:$A$40,$BJ33-3)),IF($BI33=1,SUM('Final Calculation Sheet'!$A$4:$A$40),IF($BH33&gt;0,SUMIFS('Final Calculation Sheet'!$A$4:$A$40,$AZ$5:$AZ$41,$BH33),"")))</f>
        <v/>
      </c>
      <c r="G33" s="651">
        <f>IF($BJ33&gt;0,IF(INDEX('Final Calculation Sheet'!$E$4:$E$40,$BJ33-3)="","",INDEX('Final Calculation Sheet'!$E$4:$E$40,$BJ33-3)),IF(OR($BI33=1,$BH33&gt;0),"–",""))</f>
        <v/>
      </c>
      <c r="H33" s="652">
        <f>IF($BJ33&gt;0,IF(INDEX('Final Calculation Sheet'!$C$4:$C$40,$BJ33-3)="","",INDEX('Final Calculation Sheet'!$C$4:$C$40,$BJ33-3)),IF(OR($BI33=1,$BH33&gt;0),"–",""))</f>
        <v/>
      </c>
      <c r="I33" s="652">
        <f>IF($BJ33&gt;0,IF(INDEX('Final Calculation Sheet'!$H$4:$H$40,$BJ33-3)="","",INDEX('Final Calculation Sheet'!$H$4:$H$40,$BJ33-3)),IF($BI33=1,SUM('Final Calculation Sheet'!$H$4:$H$40),IF($BH33&gt;0,SUMIFS('Final Calculation Sheet'!$H$4:$H$40,$AZ$5:$AZ$41,$BH33),"")))</f>
        <v/>
      </c>
      <c r="J33" s="652">
        <f>IF($BJ33&gt;0,IF(INDEX('Final Calculation Sheet'!$I$4:$I$40,$BJ33-3)="","",INDEX('Final Calculation Sheet'!$I$4:$I$40,$BJ33-3)),IF($BI33=1,SUM('Final Calculation Sheet'!$I$4:$I$40),IF($BH33&gt;0,SUMIFS('Final Calculation Sheet'!$I$4:$I$40,$AZ$5:$AZ$41,$BH33),"")))</f>
        <v/>
      </c>
      <c r="K33" s="652">
        <f>IF($BJ33&gt;0,IF(INDEX('Final Calculation Sheet'!$J$4:$J$40,$BJ33-3)="","",INDEX('Final Calculation Sheet'!$J$4:$J$40,$BJ33-3)),IF($BI33=1,SUM('Final Calculation Sheet'!$J$4:$J$40),IF($BH33&gt;0,SUMIFS('Final Calculation Sheet'!$J$4:$J$40,$AZ$5:$AZ$41,$BH33),"")))</f>
        <v/>
      </c>
      <c r="L33" s="652">
        <f>IF($BJ33&gt;0,IF(INDEX('Final Calculation Sheet'!$K$4:$K$40,$BJ33-3)="","",INDEX('Final Calculation Sheet'!$K$4:$K$40,$BJ33-3)),IF($BI33=1,SUM('Final Calculation Sheet'!$K$4:$K$40),IF($BH33&gt;0,SUMIFS('Final Calculation Sheet'!$K$4:$K$40,$AZ$5:$AZ$41,$BH33),"")))</f>
        <v/>
      </c>
      <c r="M33" s="652">
        <f>IF($BJ33&gt;0,IF(INDEX('Final Calculation Sheet'!$L$4:$L$40,$BJ33-3)="","",INDEX('Final Calculation Sheet'!$L$4:$L$40,$BJ33-3)),IF($BI33=1,SUM('Final Calculation Sheet'!$L$4:$L$40),IF($BH33&gt;0,SUMIFS('Final Calculation Sheet'!$L$4:$L$40,$AZ$5:$AZ$41,$BH33),"")))</f>
        <v/>
      </c>
      <c r="N33" s="652">
        <f>IF($BJ33&gt;0,IF(INDEX('Final Calculation Sheet'!$M$4:$M$40,$BJ33-3)="","",INDEX('Final Calculation Sheet'!$M$4:$M$40,$BJ33-3)),IF($BI33=1,SUM('Final Calculation Sheet'!$M$4:$M$40),IF($BH33&gt;0,SUMIFS('Final Calculation Sheet'!$M$4:$M$40,$AZ$5:$AZ$41,$BH33),"")))</f>
        <v/>
      </c>
      <c r="O33" s="653">
        <f>IF($BJ33&gt;0,IF(INDEX('Final Calculation Sheet'!$N$4:$N$40,$BJ33-3)="","",INDEX('Final Calculation Sheet'!$N$4:$N$40,$BJ33-3)),IF($BI33=1,SUM('Final Calculation Sheet'!$N$4:$N$40),IF($BH33&gt;0,SUMIFS('Final Calculation Sheet'!$N$4:$N$40,$AZ$5:$AZ$41,$BH33),"")))</f>
        <v/>
      </c>
      <c r="P33" s="652">
        <f>IF($BJ33&gt;0,IF(INDEX('Final Calculation Sheet'!$O$4:$O$40,$BJ33-3)="","",INDEX('Final Calculation Sheet'!$O$4:$O$40,$BJ33-3)),IF($BI33=1,SUM('Final Calculation Sheet'!$O$4:$O$40),IF($BH33&gt;0,SUMIFS('Final Calculation Sheet'!$O$4:$O$40,$AZ$5:$AZ$41,$BH33),"")))</f>
        <v/>
      </c>
      <c r="Q33" s="652">
        <f>IF($BJ33&gt;0,IF(INDEX('Final Calculation Sheet'!$P$4:$P$40,$BJ33-3)="","",INDEX('Final Calculation Sheet'!$P$4:$P$40,$BJ33-3)),IF($BI33=1,SUM('Final Calculation Sheet'!$P$4:$P$40),IF($BH33&gt;0,SUMIFS('Final Calculation Sheet'!$P$4:$P$40,$AZ$5:$AZ$41,$BH33),"")))</f>
        <v/>
      </c>
      <c r="R33" s="654">
        <f>IF($BJ33&gt;0,IF(INDEX('Final Calculation Sheet'!$Q$4:$Q$40,$BJ33-3)="","",INDEX('Final Calculation Sheet'!$Q$4:$Q$40,$BJ33-3)),IF(OR($BI33=1,$BH33&gt;0),"–",""))</f>
        <v/>
      </c>
      <c r="S33" s="652">
        <f>IF($BJ33&gt;0,IF(INDEX('Final Calculation Sheet'!$R$4:$R$40,$BJ33-3)="","",INDEX('Final Calculation Sheet'!$R$4:$R$40,$BJ33-3)),IF($BI33=1,SUM('Final Calculation Sheet'!$R$4:$R$40),IF($BH33&gt;0,SUMIFS('Final Calculation Sheet'!$R$4:$R$40,$AZ$5:$AZ$41,$BH33),"")))</f>
        <v/>
      </c>
      <c r="T33" s="652">
        <f>IF($BJ33&gt;0,IF(INDEX('Final Calculation Sheet'!$S$4:$S$40,$BJ33-3)="","",INDEX('Final Calculation Sheet'!$S$4:$S$40,$BJ33-3)),IF($BI33=1,SUM('Final Calculation Sheet'!$S$4:$S$40),IF($BH33&gt;0,SUMIFS('Final Calculation Sheet'!$S$4:$S$40,$AZ$5:$AZ$41,$BH33),"")))</f>
        <v/>
      </c>
      <c r="U33" s="652">
        <f>IF($BJ33&gt;0,IF(INDEX('Final Calculation Sheet'!$T$4:$T$40,$BJ33-3)="","",INDEX('Final Calculation Sheet'!$T$4:$T$40,$BJ33-3)),IF($BI33=1,SUM('Final Calculation Sheet'!$T$4:$T$40),IF($BH33&gt;0,SUMIFS('Final Calculation Sheet'!$T$4:$T$40,$AZ$5:$AZ$41,$BH33),"")))</f>
        <v/>
      </c>
      <c r="V33" s="655">
        <f>IF($BJ33&gt;0,IF(INDEX('Final Calculation Sheet'!$U$4:$U$40,$BJ33-3)="","",INDEX('Final Calculation Sheet'!$U$4:$U$40,$BJ33-3)),IF($BI33=1,SUM('Final Calculation Sheet'!$U$4:$U$40),IF($BH33&gt;0,SUMIFS('Final Calculation Sheet'!$U$4:$U$40,$AZ$5:$AZ$41,$BH33),"")))</f>
        <v/>
      </c>
      <c r="W33" s="652">
        <f>IF($BJ33&gt;0,IF(INDEX('Final Calculation Sheet'!$V$4:$V$40,$BJ33-3)="","",INDEX('Final Calculation Sheet'!$V$4:$V$40,$BJ33-3)),IF(OR($BI33=1,$BH33&gt;0),"–",""))</f>
        <v/>
      </c>
      <c r="X33" s="652">
        <f>IF($BJ33&gt;0,IF(INDEX('Final Calculation Sheet'!$W$4:$W$40,$BJ33-3)="","",INDEX('Final Calculation Sheet'!$W$4:$W$40,$BJ33-3)),IF($BI33=1,SUM('Final Calculation Sheet'!$W$4:$W$40),IF($BH33&gt;0,SUMIFS('Final Calculation Sheet'!$W$4:$W$40,$AZ$5:$AZ$41,$BH33),"")))</f>
        <v/>
      </c>
      <c r="Y33" s="652">
        <f>IF($BJ33&gt;0,IF(INDEX('Final Calculation Sheet'!$X$4:$X$40,$BJ33-3)="","",INDEX('Final Calculation Sheet'!$X$4:$X$40,$BJ33-3)),IF($BI33=1,SUM('Final Calculation Sheet'!$X$4:$X$40),IF($BH33&gt;0,SUMIFS('Final Calculation Sheet'!$X$4:$X$40,$AZ$5:$AZ$41,$BH33),"")))</f>
        <v/>
      </c>
      <c r="Z33" s="652">
        <f>IF($BJ33&gt;0,IF(INDEX('Final Calculation Sheet'!$Y$4:$Y$40,$BJ33-3)="","",INDEX('Final Calculation Sheet'!$Y$4:$Y$40,$BJ33-3)),IF(OR($BI33=1,$BH33&gt;0),"–",""))</f>
        <v/>
      </c>
      <c r="AA33" s="652">
        <f>IF($BJ33&gt;0,IF(INDEX('Final Calculation Sheet'!$Z$4:$Z$40,$BJ33-3)="","",INDEX('Final Calculation Sheet'!$Z$4:$Z$40,$BJ33-3)),IF($BI33=1,SUM('Final Calculation Sheet'!$Z$4:$Z$40),IF($BH33&gt;0,SUMIFS('Final Calculation Sheet'!$Z$4:$Z$40,$AZ$5:$AZ$41,$BH33),"")))</f>
        <v/>
      </c>
      <c r="AB33" s="652">
        <f>IF($BJ33&gt;0,IF(INDEX('Final Calculation Sheet'!$AA$4:$AA$40,$BJ33-3)="","",INDEX('Final Calculation Sheet'!$AA$4:$AA$40,$BJ33-3)),IF($BI33=1,SUM('Final Calculation Sheet'!$AA$4:$AA$40),IF($BH33&gt;0,SUMIFS('Final Calculation Sheet'!$AA$4:$AA$40,$AZ$5:$AZ$41,$BH33),"")))</f>
        <v/>
      </c>
      <c r="AC33" s="652">
        <f>IF($BJ33&gt;0,IF(INDEX('Final Calculation Sheet'!$AB$4:$AB$40,$BJ33-3)="","",INDEX('Final Calculation Sheet'!$AB$4:$AB$40,$BJ33-3)),IF(OR($BI33=1,$BH33&gt;0),"–",""))</f>
        <v/>
      </c>
      <c r="AD33" s="652">
        <f>IF($BJ33&gt;0,IF(INDEX('Final Calculation Sheet'!$AC$4:$AC$40,$BJ33-3)="","",INDEX('Final Calculation Sheet'!$AC$4:$AC$40,$BJ33-3)),IF($BI33=1,SUM('Final Calculation Sheet'!$AC$4:$AC$40),IF($BH33&gt;0,SUMIFS('Final Calculation Sheet'!$AC$4:$AC$40,$AZ$5:$AZ$41,$BH33),"")))</f>
        <v/>
      </c>
      <c r="AE33" s="652">
        <f>IF($BJ33&gt;0,IF(INDEX('Final Calculation Sheet'!$AD$4:$AD$40,$BJ33-3)="","",INDEX('Final Calculation Sheet'!$AD$4:$AD$40,$BJ33-3)),IF($BI33=1,SUM('Final Calculation Sheet'!$AD$4:$AD$40),IF($BH33&gt;0,SUMIFS('Final Calculation Sheet'!$AD$4:$AD$40,$AZ$5:$AZ$41,$BH33),"")))</f>
        <v/>
      </c>
      <c r="AF33" s="652">
        <f>IF($BJ33&gt;0,IF(INDEX('Final Calculation Sheet'!$AE$4:$AE$40,$BJ33-3)="","",INDEX('Final Calculation Sheet'!$AE$4:$AE$40,$BJ33-3)),IF(OR($BI33=1,$BH33&gt;0),"–",""))</f>
        <v/>
      </c>
      <c r="AG33" s="656">
        <f>IF($BJ33&gt;0,IF(INDEX('Final Calculation Sheet'!$AF$4:$AF$40,$BJ33-3)="","",INDEX('Final Calculation Sheet'!$AF$4:$AF$40,$BJ33-3)),IF(OR($BI33=1,$BH33&gt;0),"–",""))</f>
        <v/>
      </c>
      <c r="AH33" s="652">
        <f>IF($BJ33&gt;0,IF(INDEX('Final Calculation Sheet'!$AG$4:$AG$40,$BJ33-3)="","",INDEX('Final Calculation Sheet'!$AG$4:$AG$40,$BJ33-3)),IF(OR($BI33=1,$BH33&gt;0),"–",""))</f>
        <v/>
      </c>
      <c r="AI33" s="657">
        <f>IF($BJ33&gt;0,IF(INDEX('Final Calculation Sheet'!$AD$4:$AD$40,$BJ33-3)="","",IF(INDEX('Final Calculation Sheet'!$AD$4:$AD$40,$BJ33-3)&lt;=0,"SETTLED","OUTSTANDING")),IF(OR($BI33=1,$BH33&gt;0),IF(IF($BI33=1,SUM('Final Calculation Sheet'!$AD$4:$AD$40),SUMIFS('Final Calculation Sheet'!$AD$4:$AD$40,$AZ$5:$AZ$41,$BH33))&lt;=0,"ALL SETTLED","OUTSTANDING"),""))</f>
        <v/>
      </c>
      <c r="AK33">
        <f>IF($F$3="Lot No.",'Final Calculation Sheet'!$F$32,IF($F$3="Buyer",'Final Calculation Sheet'!$G$32,IF($F$3="Lot Name",'Final Calculation Sheet'!$B$32,IF($F$3="Bid Sheet",'Final Calculation Sheet'!$D$32,IF($F$3="Unit",'Final Calculation Sheet'!$E$32,'Final Calculation Sheet'!$F$32&amp;" "&amp;'Final Calculation Sheet'!$G$32&amp;" "&amp;'Final Calculation Sheet'!$B$32)))))</f>
        <v/>
      </c>
      <c r="AM33">
        <f>IF($B$3="",1,IF(AND(IF(COUNTIF($AR$9:$AY$9,1)=0,TRUE,SUMPRODUCT(($AR$9:$AY$9=1)*($AR$6:$AY$6&lt;&gt;"")*ISNUMBER(SEARCH($AR$6:$AY$6,$AK33)))&gt;0),IF(COUNTIF($AR$9:$AY$9,2)=0,TRUE,SUMPRODUCT(($AR$9:$AY$9=2)*($AR$6:$AY$6&lt;&gt;"")*ISNUMBER(SEARCH($AR$6:$AY$6,$AK33)))&gt;0),IF(COUNTIF($AR$9:$AY$9,3)=0,TRUE,SUMPRODUCT(($AR$9:$AY$9=3)*($AR$6:$AY$6&lt;&gt;"")*ISNUMBER(SEARCH($AR$6:$AY$6,$AK33)))&gt;0),IF(COUNTIF($AR$9:$AY$9,4)=0,TRUE,SUMPRODUCT(($AR$9:$AY$9=4)*($AR$6:$AY$6&lt;&gt;"")*ISNUMBER(SEARCH($AR$6:$AY$6,$AK33)))&gt;0),IF(COUNTIF($AR$9:$AY$9,5)=0,TRUE,SUMPRODUCT(($AR$9:$AY$9=5)*($AR$6:$AY$6&lt;&gt;"")*ISNUMBER(SEARCH($AR$6:$AY$6,$AK33)))&gt;0),IF(COUNTIF($AR$9:$AY$9,6)=0,TRUE,SUMPRODUCT(($AR$9:$AY$9=6)*($AR$6:$AY$6&lt;&gt;"")*ISNUMBER(SEARCH($AR$6:$AY$6,$AK33)))&gt;0),IF(COUNTIF($AR$9:$AY$9,7)=0,TRUE,SUMPRODUCT(($AR$9:$AY$9=7)*($AR$6:$AY$6&lt;&gt;"")*ISNUMBER(SEARCH($AR$6:$AY$6,$AK33)))&gt;0),IF(COUNTIF($AR$9:$AY$9,8)=0,TRUE,SUMPRODUCT(($AR$9:$AY$9=8)*($AR$6:$AY$6&lt;&gt;"")*ISNUMBER(SEARCH($AR$6:$AY$6,$AK33)))&gt;0)),1,0))</f>
        <v/>
      </c>
      <c r="AZ33">
        <f>IF($B$3="",9,IF($AM33=0,10,IF(AND($AR$6&lt;&gt;"",ISNUMBER(SEARCH($AR$6,$AK33))),1,IF(AND($AS$6&lt;&gt;"",ISNUMBER(SEARCH($AS$6,$AK33))),2,IF(AND($AT$6&lt;&gt;"",ISNUMBER(SEARCH($AT$6,$AK33))),3,IF(AND($AU$6&lt;&gt;"",ISNUMBER(SEARCH($AU$6,$AK33))),4,IF(AND($AV$6&lt;&gt;"",ISNUMBER(SEARCH($AV$6,$AK33))),5,IF(AND($AW$6&lt;&gt;"",ISNUMBER(SEARCH($AW$6,$AK33))),6,IF(AND($AX$6&lt;&gt;"",ISNUMBER(SEARCH($AX$6,$AK33))),7,IF(AND($AY$6&lt;&gt;"",ISNUMBER(SEARCH($AY$6,$AK33))),8,0))))))))))</f>
        <v/>
      </c>
      <c r="BA33">
        <f>SUMPRODUCT(($AZ$5:$AZ$41=$AZ33)*($BC$5:$BC$41&lt;$BC33))+1</f>
        <v/>
      </c>
      <c r="BB33">
        <f>IF(INDEX($BF$4:$BF$13,$AZ33)=0,0,INDEX($BE$4:$BE$13,$AZ33)+$BA33-1)</f>
        <v/>
      </c>
      <c r="BC33" t="n">
        <v>32</v>
      </c>
      <c r="BH33">
        <f>IFERROR(MATCH(33,$BF$4:$BF$13,0),0)</f>
        <v/>
      </c>
      <c r="BI33">
        <f>IF(33=$BG$4,1,0)</f>
        <v/>
      </c>
      <c r="BJ33">
        <f>IF(OR($BH33&gt;0,$BI33=1),0,IFERROR(INDEX($BC$5:$BC$41,MATCH(33,$BB$5:$BB$41,0)),0))</f>
        <v/>
      </c>
      <c r="BK33">
        <f>IF($BJ33&gt;0,IF(INDEX($AZ$5:$AZ$41,MATCH(33,$BB$5:$BB$41,0))=10,1,0),IF($BH33=10,1,0))</f>
        <v/>
      </c>
    </row>
    <row r="34" ht="15" customHeight="1">
      <c r="A34" s="649">
        <f>IF($BJ34&gt;0,INDEX($BA$5:$BA$41,MATCH(34,$BB$5:$BB$41,0)),IF(OR($BI34=1,$BH34&gt;0),"∑",""))</f>
        <v/>
      </c>
      <c r="B34" s="650">
        <f>IF($BJ34&gt;0,IF(INDEX('Final Calculation Sheet'!$F$4:$F$40,$BJ34-3)="","",INDEX('Final Calculation Sheet'!$F$4:$F$40,$BJ34-3)),"")</f>
        <v/>
      </c>
      <c r="C34" s="650">
        <f>IF($BJ34&gt;0,IF(INDEX('Final Calculation Sheet'!$G$4:$G$40,$BJ34-3)="","",INDEX('Final Calculation Sheet'!$G$4:$G$40,$BJ34-3)),IF(OR($BI34=1,$BH34&gt;0),IF($BI34=1,37,INDEX($BD$4:$BD$13,$BH34))&amp;" lot(s)",""))</f>
        <v/>
      </c>
      <c r="D34" s="651">
        <f>IF($BJ34&gt;0,IF(INDEX('Final Calculation Sheet'!$B$4:$B$40,$BJ34-3)="","",INDEX('Final Calculation Sheet'!$B$4:$B$40,$BJ34-3)),IF(OR($BI34=1,$BH34&gt;0),IF($BI34=1,"GRAND TOTAL  —  matching + remaining",IF($BH34=10,"REMAINING  —  did not match the search",IF($BH34=9,"ALL LOTS  —  nothing typed in the box","GROUP "&amp;$BH34&amp;" TOTAL  —  lots matching  "&amp;INDEX($AR$6:$AY$6,$BH34)))),""))</f>
        <v/>
      </c>
      <c r="E34" s="651">
        <f>IF($BJ34&gt;0,IF(INDEX('Final Calculation Sheet'!$D$4:$D$40,$BJ34-3)="","",INDEX('Final Calculation Sheet'!$D$4:$D$40,$BJ34-3)),IF(OR($BI34=1,$BH34&gt;0),"–",""))</f>
        <v/>
      </c>
      <c r="F34" s="651">
        <f>IF($BJ34&gt;0,IF(INDEX('Final Calculation Sheet'!$A$4:$A$40,$BJ34-3)="","",INDEX('Final Calculation Sheet'!$A$4:$A$40,$BJ34-3)),IF($BI34=1,SUM('Final Calculation Sheet'!$A$4:$A$40),IF($BH34&gt;0,SUMIFS('Final Calculation Sheet'!$A$4:$A$40,$AZ$5:$AZ$41,$BH34),"")))</f>
        <v/>
      </c>
      <c r="G34" s="651">
        <f>IF($BJ34&gt;0,IF(INDEX('Final Calculation Sheet'!$E$4:$E$40,$BJ34-3)="","",INDEX('Final Calculation Sheet'!$E$4:$E$40,$BJ34-3)),IF(OR($BI34=1,$BH34&gt;0),"–",""))</f>
        <v/>
      </c>
      <c r="H34" s="652">
        <f>IF($BJ34&gt;0,IF(INDEX('Final Calculation Sheet'!$C$4:$C$40,$BJ34-3)="","",INDEX('Final Calculation Sheet'!$C$4:$C$40,$BJ34-3)),IF(OR($BI34=1,$BH34&gt;0),"–",""))</f>
        <v/>
      </c>
      <c r="I34" s="652">
        <f>IF($BJ34&gt;0,IF(INDEX('Final Calculation Sheet'!$H$4:$H$40,$BJ34-3)="","",INDEX('Final Calculation Sheet'!$H$4:$H$40,$BJ34-3)),IF($BI34=1,SUM('Final Calculation Sheet'!$H$4:$H$40),IF($BH34&gt;0,SUMIFS('Final Calculation Sheet'!$H$4:$H$40,$AZ$5:$AZ$41,$BH34),"")))</f>
        <v/>
      </c>
      <c r="J34" s="652">
        <f>IF($BJ34&gt;0,IF(INDEX('Final Calculation Sheet'!$I$4:$I$40,$BJ34-3)="","",INDEX('Final Calculation Sheet'!$I$4:$I$40,$BJ34-3)),IF($BI34=1,SUM('Final Calculation Sheet'!$I$4:$I$40),IF($BH34&gt;0,SUMIFS('Final Calculation Sheet'!$I$4:$I$40,$AZ$5:$AZ$41,$BH34),"")))</f>
        <v/>
      </c>
      <c r="K34" s="652">
        <f>IF($BJ34&gt;0,IF(INDEX('Final Calculation Sheet'!$J$4:$J$40,$BJ34-3)="","",INDEX('Final Calculation Sheet'!$J$4:$J$40,$BJ34-3)),IF($BI34=1,SUM('Final Calculation Sheet'!$J$4:$J$40),IF($BH34&gt;0,SUMIFS('Final Calculation Sheet'!$J$4:$J$40,$AZ$5:$AZ$41,$BH34),"")))</f>
        <v/>
      </c>
      <c r="L34" s="652">
        <f>IF($BJ34&gt;0,IF(INDEX('Final Calculation Sheet'!$K$4:$K$40,$BJ34-3)="","",INDEX('Final Calculation Sheet'!$K$4:$K$40,$BJ34-3)),IF($BI34=1,SUM('Final Calculation Sheet'!$K$4:$K$40),IF($BH34&gt;0,SUMIFS('Final Calculation Sheet'!$K$4:$K$40,$AZ$5:$AZ$41,$BH34),"")))</f>
        <v/>
      </c>
      <c r="M34" s="652">
        <f>IF($BJ34&gt;0,IF(INDEX('Final Calculation Sheet'!$L$4:$L$40,$BJ34-3)="","",INDEX('Final Calculation Sheet'!$L$4:$L$40,$BJ34-3)),IF($BI34=1,SUM('Final Calculation Sheet'!$L$4:$L$40),IF($BH34&gt;0,SUMIFS('Final Calculation Sheet'!$L$4:$L$40,$AZ$5:$AZ$41,$BH34),"")))</f>
        <v/>
      </c>
      <c r="N34" s="652">
        <f>IF($BJ34&gt;0,IF(INDEX('Final Calculation Sheet'!$M$4:$M$40,$BJ34-3)="","",INDEX('Final Calculation Sheet'!$M$4:$M$40,$BJ34-3)),IF($BI34=1,SUM('Final Calculation Sheet'!$M$4:$M$40),IF($BH34&gt;0,SUMIFS('Final Calculation Sheet'!$M$4:$M$40,$AZ$5:$AZ$41,$BH34),"")))</f>
        <v/>
      </c>
      <c r="O34" s="653">
        <f>IF($BJ34&gt;0,IF(INDEX('Final Calculation Sheet'!$N$4:$N$40,$BJ34-3)="","",INDEX('Final Calculation Sheet'!$N$4:$N$40,$BJ34-3)),IF($BI34=1,SUM('Final Calculation Sheet'!$N$4:$N$40),IF($BH34&gt;0,SUMIFS('Final Calculation Sheet'!$N$4:$N$40,$AZ$5:$AZ$41,$BH34),"")))</f>
        <v/>
      </c>
      <c r="P34" s="652">
        <f>IF($BJ34&gt;0,IF(INDEX('Final Calculation Sheet'!$O$4:$O$40,$BJ34-3)="","",INDEX('Final Calculation Sheet'!$O$4:$O$40,$BJ34-3)),IF($BI34=1,SUM('Final Calculation Sheet'!$O$4:$O$40),IF($BH34&gt;0,SUMIFS('Final Calculation Sheet'!$O$4:$O$40,$AZ$5:$AZ$41,$BH34),"")))</f>
        <v/>
      </c>
      <c r="Q34" s="652">
        <f>IF($BJ34&gt;0,IF(INDEX('Final Calculation Sheet'!$P$4:$P$40,$BJ34-3)="","",INDEX('Final Calculation Sheet'!$P$4:$P$40,$BJ34-3)),IF($BI34=1,SUM('Final Calculation Sheet'!$P$4:$P$40),IF($BH34&gt;0,SUMIFS('Final Calculation Sheet'!$P$4:$P$40,$AZ$5:$AZ$41,$BH34),"")))</f>
        <v/>
      </c>
      <c r="R34" s="654">
        <f>IF($BJ34&gt;0,IF(INDEX('Final Calculation Sheet'!$Q$4:$Q$40,$BJ34-3)="","",INDEX('Final Calculation Sheet'!$Q$4:$Q$40,$BJ34-3)),IF(OR($BI34=1,$BH34&gt;0),"–",""))</f>
        <v/>
      </c>
      <c r="S34" s="652">
        <f>IF($BJ34&gt;0,IF(INDEX('Final Calculation Sheet'!$R$4:$R$40,$BJ34-3)="","",INDEX('Final Calculation Sheet'!$R$4:$R$40,$BJ34-3)),IF($BI34=1,SUM('Final Calculation Sheet'!$R$4:$R$40),IF($BH34&gt;0,SUMIFS('Final Calculation Sheet'!$R$4:$R$40,$AZ$5:$AZ$41,$BH34),"")))</f>
        <v/>
      </c>
      <c r="T34" s="652">
        <f>IF($BJ34&gt;0,IF(INDEX('Final Calculation Sheet'!$S$4:$S$40,$BJ34-3)="","",INDEX('Final Calculation Sheet'!$S$4:$S$40,$BJ34-3)),IF($BI34=1,SUM('Final Calculation Sheet'!$S$4:$S$40),IF($BH34&gt;0,SUMIFS('Final Calculation Sheet'!$S$4:$S$40,$AZ$5:$AZ$41,$BH34),"")))</f>
        <v/>
      </c>
      <c r="U34" s="652">
        <f>IF($BJ34&gt;0,IF(INDEX('Final Calculation Sheet'!$T$4:$T$40,$BJ34-3)="","",INDEX('Final Calculation Sheet'!$T$4:$T$40,$BJ34-3)),IF($BI34=1,SUM('Final Calculation Sheet'!$T$4:$T$40),IF($BH34&gt;0,SUMIFS('Final Calculation Sheet'!$T$4:$T$40,$AZ$5:$AZ$41,$BH34),"")))</f>
        <v/>
      </c>
      <c r="V34" s="655">
        <f>IF($BJ34&gt;0,IF(INDEX('Final Calculation Sheet'!$U$4:$U$40,$BJ34-3)="","",INDEX('Final Calculation Sheet'!$U$4:$U$40,$BJ34-3)),IF($BI34=1,SUM('Final Calculation Sheet'!$U$4:$U$40),IF($BH34&gt;0,SUMIFS('Final Calculation Sheet'!$U$4:$U$40,$AZ$5:$AZ$41,$BH34),"")))</f>
        <v/>
      </c>
      <c r="W34" s="652">
        <f>IF($BJ34&gt;0,IF(INDEX('Final Calculation Sheet'!$V$4:$V$40,$BJ34-3)="","",INDEX('Final Calculation Sheet'!$V$4:$V$40,$BJ34-3)),IF(OR($BI34=1,$BH34&gt;0),"–",""))</f>
        <v/>
      </c>
      <c r="X34" s="652">
        <f>IF($BJ34&gt;0,IF(INDEX('Final Calculation Sheet'!$W$4:$W$40,$BJ34-3)="","",INDEX('Final Calculation Sheet'!$W$4:$W$40,$BJ34-3)),IF($BI34=1,SUM('Final Calculation Sheet'!$W$4:$W$40),IF($BH34&gt;0,SUMIFS('Final Calculation Sheet'!$W$4:$W$40,$AZ$5:$AZ$41,$BH34),"")))</f>
        <v/>
      </c>
      <c r="Y34" s="652">
        <f>IF($BJ34&gt;0,IF(INDEX('Final Calculation Sheet'!$X$4:$X$40,$BJ34-3)="","",INDEX('Final Calculation Sheet'!$X$4:$X$40,$BJ34-3)),IF($BI34=1,SUM('Final Calculation Sheet'!$X$4:$X$40),IF($BH34&gt;0,SUMIFS('Final Calculation Sheet'!$X$4:$X$40,$AZ$5:$AZ$41,$BH34),"")))</f>
        <v/>
      </c>
      <c r="Z34" s="652">
        <f>IF($BJ34&gt;0,IF(INDEX('Final Calculation Sheet'!$Y$4:$Y$40,$BJ34-3)="","",INDEX('Final Calculation Sheet'!$Y$4:$Y$40,$BJ34-3)),IF(OR($BI34=1,$BH34&gt;0),"–",""))</f>
        <v/>
      </c>
      <c r="AA34" s="652">
        <f>IF($BJ34&gt;0,IF(INDEX('Final Calculation Sheet'!$Z$4:$Z$40,$BJ34-3)="","",INDEX('Final Calculation Sheet'!$Z$4:$Z$40,$BJ34-3)),IF($BI34=1,SUM('Final Calculation Sheet'!$Z$4:$Z$40),IF($BH34&gt;0,SUMIFS('Final Calculation Sheet'!$Z$4:$Z$40,$AZ$5:$AZ$41,$BH34),"")))</f>
        <v/>
      </c>
      <c r="AB34" s="652">
        <f>IF($BJ34&gt;0,IF(INDEX('Final Calculation Sheet'!$AA$4:$AA$40,$BJ34-3)="","",INDEX('Final Calculation Sheet'!$AA$4:$AA$40,$BJ34-3)),IF($BI34=1,SUM('Final Calculation Sheet'!$AA$4:$AA$40),IF($BH34&gt;0,SUMIFS('Final Calculation Sheet'!$AA$4:$AA$40,$AZ$5:$AZ$41,$BH34),"")))</f>
        <v/>
      </c>
      <c r="AC34" s="652">
        <f>IF($BJ34&gt;0,IF(INDEX('Final Calculation Sheet'!$AB$4:$AB$40,$BJ34-3)="","",INDEX('Final Calculation Sheet'!$AB$4:$AB$40,$BJ34-3)),IF(OR($BI34=1,$BH34&gt;0),"–",""))</f>
        <v/>
      </c>
      <c r="AD34" s="652">
        <f>IF($BJ34&gt;0,IF(INDEX('Final Calculation Sheet'!$AC$4:$AC$40,$BJ34-3)="","",INDEX('Final Calculation Sheet'!$AC$4:$AC$40,$BJ34-3)),IF($BI34=1,SUM('Final Calculation Sheet'!$AC$4:$AC$40),IF($BH34&gt;0,SUMIFS('Final Calculation Sheet'!$AC$4:$AC$40,$AZ$5:$AZ$41,$BH34),"")))</f>
        <v/>
      </c>
      <c r="AE34" s="652">
        <f>IF($BJ34&gt;0,IF(INDEX('Final Calculation Sheet'!$AD$4:$AD$40,$BJ34-3)="","",INDEX('Final Calculation Sheet'!$AD$4:$AD$40,$BJ34-3)),IF($BI34=1,SUM('Final Calculation Sheet'!$AD$4:$AD$40),IF($BH34&gt;0,SUMIFS('Final Calculation Sheet'!$AD$4:$AD$40,$AZ$5:$AZ$41,$BH34),"")))</f>
        <v/>
      </c>
      <c r="AF34" s="652">
        <f>IF($BJ34&gt;0,IF(INDEX('Final Calculation Sheet'!$AE$4:$AE$40,$BJ34-3)="","",INDEX('Final Calculation Sheet'!$AE$4:$AE$40,$BJ34-3)),IF(OR($BI34=1,$BH34&gt;0),"–",""))</f>
        <v/>
      </c>
      <c r="AG34" s="656">
        <f>IF($BJ34&gt;0,IF(INDEX('Final Calculation Sheet'!$AF$4:$AF$40,$BJ34-3)="","",INDEX('Final Calculation Sheet'!$AF$4:$AF$40,$BJ34-3)),IF(OR($BI34=1,$BH34&gt;0),"–",""))</f>
        <v/>
      </c>
      <c r="AH34" s="652">
        <f>IF($BJ34&gt;0,IF(INDEX('Final Calculation Sheet'!$AG$4:$AG$40,$BJ34-3)="","",INDEX('Final Calculation Sheet'!$AG$4:$AG$40,$BJ34-3)),IF(OR($BI34=1,$BH34&gt;0),"–",""))</f>
        <v/>
      </c>
      <c r="AI34" s="657">
        <f>IF($BJ34&gt;0,IF(INDEX('Final Calculation Sheet'!$AD$4:$AD$40,$BJ34-3)="","",IF(INDEX('Final Calculation Sheet'!$AD$4:$AD$40,$BJ34-3)&lt;=0,"SETTLED","OUTSTANDING")),IF(OR($BI34=1,$BH34&gt;0),IF(IF($BI34=1,SUM('Final Calculation Sheet'!$AD$4:$AD$40),SUMIFS('Final Calculation Sheet'!$AD$4:$AD$40,$AZ$5:$AZ$41,$BH34))&lt;=0,"ALL SETTLED","OUTSTANDING"),""))</f>
        <v/>
      </c>
      <c r="AK34">
        <f>IF($F$3="Lot No.",'Final Calculation Sheet'!$F$33,IF($F$3="Buyer",'Final Calculation Sheet'!$G$33,IF($F$3="Lot Name",'Final Calculation Sheet'!$B$33,IF($F$3="Bid Sheet",'Final Calculation Sheet'!$D$33,IF($F$3="Unit",'Final Calculation Sheet'!$E$33,'Final Calculation Sheet'!$F$33&amp;" "&amp;'Final Calculation Sheet'!$G$33&amp;" "&amp;'Final Calculation Sheet'!$B$33)))))</f>
        <v/>
      </c>
      <c r="AM34">
        <f>IF($B$3="",1,IF(AND(IF(COUNTIF($AR$9:$AY$9,1)=0,TRUE,SUMPRODUCT(($AR$9:$AY$9=1)*($AR$6:$AY$6&lt;&gt;"")*ISNUMBER(SEARCH($AR$6:$AY$6,$AK34)))&gt;0),IF(COUNTIF($AR$9:$AY$9,2)=0,TRUE,SUMPRODUCT(($AR$9:$AY$9=2)*($AR$6:$AY$6&lt;&gt;"")*ISNUMBER(SEARCH($AR$6:$AY$6,$AK34)))&gt;0),IF(COUNTIF($AR$9:$AY$9,3)=0,TRUE,SUMPRODUCT(($AR$9:$AY$9=3)*($AR$6:$AY$6&lt;&gt;"")*ISNUMBER(SEARCH($AR$6:$AY$6,$AK34)))&gt;0),IF(COUNTIF($AR$9:$AY$9,4)=0,TRUE,SUMPRODUCT(($AR$9:$AY$9=4)*($AR$6:$AY$6&lt;&gt;"")*ISNUMBER(SEARCH($AR$6:$AY$6,$AK34)))&gt;0),IF(COUNTIF($AR$9:$AY$9,5)=0,TRUE,SUMPRODUCT(($AR$9:$AY$9=5)*($AR$6:$AY$6&lt;&gt;"")*ISNUMBER(SEARCH($AR$6:$AY$6,$AK34)))&gt;0),IF(COUNTIF($AR$9:$AY$9,6)=0,TRUE,SUMPRODUCT(($AR$9:$AY$9=6)*($AR$6:$AY$6&lt;&gt;"")*ISNUMBER(SEARCH($AR$6:$AY$6,$AK34)))&gt;0),IF(COUNTIF($AR$9:$AY$9,7)=0,TRUE,SUMPRODUCT(($AR$9:$AY$9=7)*($AR$6:$AY$6&lt;&gt;"")*ISNUMBER(SEARCH($AR$6:$AY$6,$AK34)))&gt;0),IF(COUNTIF($AR$9:$AY$9,8)=0,TRUE,SUMPRODUCT(($AR$9:$AY$9=8)*($AR$6:$AY$6&lt;&gt;"")*ISNUMBER(SEARCH($AR$6:$AY$6,$AK34)))&gt;0)),1,0))</f>
        <v/>
      </c>
      <c r="AZ34">
        <f>IF($B$3="",9,IF($AM34=0,10,IF(AND($AR$6&lt;&gt;"",ISNUMBER(SEARCH($AR$6,$AK34))),1,IF(AND($AS$6&lt;&gt;"",ISNUMBER(SEARCH($AS$6,$AK34))),2,IF(AND($AT$6&lt;&gt;"",ISNUMBER(SEARCH($AT$6,$AK34))),3,IF(AND($AU$6&lt;&gt;"",ISNUMBER(SEARCH($AU$6,$AK34))),4,IF(AND($AV$6&lt;&gt;"",ISNUMBER(SEARCH($AV$6,$AK34))),5,IF(AND($AW$6&lt;&gt;"",ISNUMBER(SEARCH($AW$6,$AK34))),6,IF(AND($AX$6&lt;&gt;"",ISNUMBER(SEARCH($AX$6,$AK34))),7,IF(AND($AY$6&lt;&gt;"",ISNUMBER(SEARCH($AY$6,$AK34))),8,0))))))))))</f>
        <v/>
      </c>
      <c r="BA34">
        <f>SUMPRODUCT(($AZ$5:$AZ$41=$AZ34)*($BC$5:$BC$41&lt;$BC34))+1</f>
        <v/>
      </c>
      <c r="BB34">
        <f>IF(INDEX($BF$4:$BF$13,$AZ34)=0,0,INDEX($BE$4:$BE$13,$AZ34)+$BA34-1)</f>
        <v/>
      </c>
      <c r="BC34" t="n">
        <v>33</v>
      </c>
      <c r="BH34">
        <f>IFERROR(MATCH(34,$BF$4:$BF$13,0),0)</f>
        <v/>
      </c>
      <c r="BI34">
        <f>IF(34=$BG$4,1,0)</f>
        <v/>
      </c>
      <c r="BJ34">
        <f>IF(OR($BH34&gt;0,$BI34=1),0,IFERROR(INDEX($BC$5:$BC$41,MATCH(34,$BB$5:$BB$41,0)),0))</f>
        <v/>
      </c>
      <c r="BK34">
        <f>IF($BJ34&gt;0,IF(INDEX($AZ$5:$AZ$41,MATCH(34,$BB$5:$BB$41,0))=10,1,0),IF($BH34=10,1,0))</f>
        <v/>
      </c>
    </row>
    <row r="35" ht="15" customHeight="1">
      <c r="A35" s="649">
        <f>IF($BJ35&gt;0,INDEX($BA$5:$BA$41,MATCH(35,$BB$5:$BB$41,0)),IF(OR($BI35=1,$BH35&gt;0),"∑",""))</f>
        <v/>
      </c>
      <c r="B35" s="650">
        <f>IF($BJ35&gt;0,IF(INDEX('Final Calculation Sheet'!$F$4:$F$40,$BJ35-3)="","",INDEX('Final Calculation Sheet'!$F$4:$F$40,$BJ35-3)),"")</f>
        <v/>
      </c>
      <c r="C35" s="650">
        <f>IF($BJ35&gt;0,IF(INDEX('Final Calculation Sheet'!$G$4:$G$40,$BJ35-3)="","",INDEX('Final Calculation Sheet'!$G$4:$G$40,$BJ35-3)),IF(OR($BI35=1,$BH35&gt;0),IF($BI35=1,37,INDEX($BD$4:$BD$13,$BH35))&amp;" lot(s)",""))</f>
        <v/>
      </c>
      <c r="D35" s="651">
        <f>IF($BJ35&gt;0,IF(INDEX('Final Calculation Sheet'!$B$4:$B$40,$BJ35-3)="","",INDEX('Final Calculation Sheet'!$B$4:$B$40,$BJ35-3)),IF(OR($BI35=1,$BH35&gt;0),IF($BI35=1,"GRAND TOTAL  —  matching + remaining",IF($BH35=10,"REMAINING  —  did not match the search",IF($BH35=9,"ALL LOTS  —  nothing typed in the box","GROUP "&amp;$BH35&amp;" TOTAL  —  lots matching  "&amp;INDEX($AR$6:$AY$6,$BH35)))),""))</f>
        <v/>
      </c>
      <c r="E35" s="651">
        <f>IF($BJ35&gt;0,IF(INDEX('Final Calculation Sheet'!$D$4:$D$40,$BJ35-3)="","",INDEX('Final Calculation Sheet'!$D$4:$D$40,$BJ35-3)),IF(OR($BI35=1,$BH35&gt;0),"–",""))</f>
        <v/>
      </c>
      <c r="F35" s="651">
        <f>IF($BJ35&gt;0,IF(INDEX('Final Calculation Sheet'!$A$4:$A$40,$BJ35-3)="","",INDEX('Final Calculation Sheet'!$A$4:$A$40,$BJ35-3)),IF($BI35=1,SUM('Final Calculation Sheet'!$A$4:$A$40),IF($BH35&gt;0,SUMIFS('Final Calculation Sheet'!$A$4:$A$40,$AZ$5:$AZ$41,$BH35),"")))</f>
        <v/>
      </c>
      <c r="G35" s="651">
        <f>IF($BJ35&gt;0,IF(INDEX('Final Calculation Sheet'!$E$4:$E$40,$BJ35-3)="","",INDEX('Final Calculation Sheet'!$E$4:$E$40,$BJ35-3)),IF(OR($BI35=1,$BH35&gt;0),"–",""))</f>
        <v/>
      </c>
      <c r="H35" s="652">
        <f>IF($BJ35&gt;0,IF(INDEX('Final Calculation Sheet'!$C$4:$C$40,$BJ35-3)="","",INDEX('Final Calculation Sheet'!$C$4:$C$40,$BJ35-3)),IF(OR($BI35=1,$BH35&gt;0),"–",""))</f>
        <v/>
      </c>
      <c r="I35" s="652">
        <f>IF($BJ35&gt;0,IF(INDEX('Final Calculation Sheet'!$H$4:$H$40,$BJ35-3)="","",INDEX('Final Calculation Sheet'!$H$4:$H$40,$BJ35-3)),IF($BI35=1,SUM('Final Calculation Sheet'!$H$4:$H$40),IF($BH35&gt;0,SUMIFS('Final Calculation Sheet'!$H$4:$H$40,$AZ$5:$AZ$41,$BH35),"")))</f>
        <v/>
      </c>
      <c r="J35" s="652">
        <f>IF($BJ35&gt;0,IF(INDEX('Final Calculation Sheet'!$I$4:$I$40,$BJ35-3)="","",INDEX('Final Calculation Sheet'!$I$4:$I$40,$BJ35-3)),IF($BI35=1,SUM('Final Calculation Sheet'!$I$4:$I$40),IF($BH35&gt;0,SUMIFS('Final Calculation Sheet'!$I$4:$I$40,$AZ$5:$AZ$41,$BH35),"")))</f>
        <v/>
      </c>
      <c r="K35" s="652">
        <f>IF($BJ35&gt;0,IF(INDEX('Final Calculation Sheet'!$J$4:$J$40,$BJ35-3)="","",INDEX('Final Calculation Sheet'!$J$4:$J$40,$BJ35-3)),IF($BI35=1,SUM('Final Calculation Sheet'!$J$4:$J$40),IF($BH35&gt;0,SUMIFS('Final Calculation Sheet'!$J$4:$J$40,$AZ$5:$AZ$41,$BH35),"")))</f>
        <v/>
      </c>
      <c r="L35" s="652">
        <f>IF($BJ35&gt;0,IF(INDEX('Final Calculation Sheet'!$K$4:$K$40,$BJ35-3)="","",INDEX('Final Calculation Sheet'!$K$4:$K$40,$BJ35-3)),IF($BI35=1,SUM('Final Calculation Sheet'!$K$4:$K$40),IF($BH35&gt;0,SUMIFS('Final Calculation Sheet'!$K$4:$K$40,$AZ$5:$AZ$41,$BH35),"")))</f>
        <v/>
      </c>
      <c r="M35" s="652">
        <f>IF($BJ35&gt;0,IF(INDEX('Final Calculation Sheet'!$L$4:$L$40,$BJ35-3)="","",INDEX('Final Calculation Sheet'!$L$4:$L$40,$BJ35-3)),IF($BI35=1,SUM('Final Calculation Sheet'!$L$4:$L$40),IF($BH35&gt;0,SUMIFS('Final Calculation Sheet'!$L$4:$L$40,$AZ$5:$AZ$41,$BH35),"")))</f>
        <v/>
      </c>
      <c r="N35" s="652">
        <f>IF($BJ35&gt;0,IF(INDEX('Final Calculation Sheet'!$M$4:$M$40,$BJ35-3)="","",INDEX('Final Calculation Sheet'!$M$4:$M$40,$BJ35-3)),IF($BI35=1,SUM('Final Calculation Sheet'!$M$4:$M$40),IF($BH35&gt;0,SUMIFS('Final Calculation Sheet'!$M$4:$M$40,$AZ$5:$AZ$41,$BH35),"")))</f>
        <v/>
      </c>
      <c r="O35" s="653">
        <f>IF($BJ35&gt;0,IF(INDEX('Final Calculation Sheet'!$N$4:$N$40,$BJ35-3)="","",INDEX('Final Calculation Sheet'!$N$4:$N$40,$BJ35-3)),IF($BI35=1,SUM('Final Calculation Sheet'!$N$4:$N$40),IF($BH35&gt;0,SUMIFS('Final Calculation Sheet'!$N$4:$N$40,$AZ$5:$AZ$41,$BH35),"")))</f>
        <v/>
      </c>
      <c r="P35" s="652">
        <f>IF($BJ35&gt;0,IF(INDEX('Final Calculation Sheet'!$O$4:$O$40,$BJ35-3)="","",INDEX('Final Calculation Sheet'!$O$4:$O$40,$BJ35-3)),IF($BI35=1,SUM('Final Calculation Sheet'!$O$4:$O$40),IF($BH35&gt;0,SUMIFS('Final Calculation Sheet'!$O$4:$O$40,$AZ$5:$AZ$41,$BH35),"")))</f>
        <v/>
      </c>
      <c r="Q35" s="652">
        <f>IF($BJ35&gt;0,IF(INDEX('Final Calculation Sheet'!$P$4:$P$40,$BJ35-3)="","",INDEX('Final Calculation Sheet'!$P$4:$P$40,$BJ35-3)),IF($BI35=1,SUM('Final Calculation Sheet'!$P$4:$P$40),IF($BH35&gt;0,SUMIFS('Final Calculation Sheet'!$P$4:$P$40,$AZ$5:$AZ$41,$BH35),"")))</f>
        <v/>
      </c>
      <c r="R35" s="654">
        <f>IF($BJ35&gt;0,IF(INDEX('Final Calculation Sheet'!$Q$4:$Q$40,$BJ35-3)="","",INDEX('Final Calculation Sheet'!$Q$4:$Q$40,$BJ35-3)),IF(OR($BI35=1,$BH35&gt;0),"–",""))</f>
        <v/>
      </c>
      <c r="S35" s="652">
        <f>IF($BJ35&gt;0,IF(INDEX('Final Calculation Sheet'!$R$4:$R$40,$BJ35-3)="","",INDEX('Final Calculation Sheet'!$R$4:$R$40,$BJ35-3)),IF($BI35=1,SUM('Final Calculation Sheet'!$R$4:$R$40),IF($BH35&gt;0,SUMIFS('Final Calculation Sheet'!$R$4:$R$40,$AZ$5:$AZ$41,$BH35),"")))</f>
        <v/>
      </c>
      <c r="T35" s="652">
        <f>IF($BJ35&gt;0,IF(INDEX('Final Calculation Sheet'!$S$4:$S$40,$BJ35-3)="","",INDEX('Final Calculation Sheet'!$S$4:$S$40,$BJ35-3)),IF($BI35=1,SUM('Final Calculation Sheet'!$S$4:$S$40),IF($BH35&gt;0,SUMIFS('Final Calculation Sheet'!$S$4:$S$40,$AZ$5:$AZ$41,$BH35),"")))</f>
        <v/>
      </c>
      <c r="U35" s="652">
        <f>IF($BJ35&gt;0,IF(INDEX('Final Calculation Sheet'!$T$4:$T$40,$BJ35-3)="","",INDEX('Final Calculation Sheet'!$T$4:$T$40,$BJ35-3)),IF($BI35=1,SUM('Final Calculation Sheet'!$T$4:$T$40),IF($BH35&gt;0,SUMIFS('Final Calculation Sheet'!$T$4:$T$40,$AZ$5:$AZ$41,$BH35),"")))</f>
        <v/>
      </c>
      <c r="V35" s="655">
        <f>IF($BJ35&gt;0,IF(INDEX('Final Calculation Sheet'!$U$4:$U$40,$BJ35-3)="","",INDEX('Final Calculation Sheet'!$U$4:$U$40,$BJ35-3)),IF($BI35=1,SUM('Final Calculation Sheet'!$U$4:$U$40),IF($BH35&gt;0,SUMIFS('Final Calculation Sheet'!$U$4:$U$40,$AZ$5:$AZ$41,$BH35),"")))</f>
        <v/>
      </c>
      <c r="W35" s="652">
        <f>IF($BJ35&gt;0,IF(INDEX('Final Calculation Sheet'!$V$4:$V$40,$BJ35-3)="","",INDEX('Final Calculation Sheet'!$V$4:$V$40,$BJ35-3)),IF(OR($BI35=1,$BH35&gt;0),"–",""))</f>
        <v/>
      </c>
      <c r="X35" s="652">
        <f>IF($BJ35&gt;0,IF(INDEX('Final Calculation Sheet'!$W$4:$W$40,$BJ35-3)="","",INDEX('Final Calculation Sheet'!$W$4:$W$40,$BJ35-3)),IF($BI35=1,SUM('Final Calculation Sheet'!$W$4:$W$40),IF($BH35&gt;0,SUMIFS('Final Calculation Sheet'!$W$4:$W$40,$AZ$5:$AZ$41,$BH35),"")))</f>
        <v/>
      </c>
      <c r="Y35" s="652">
        <f>IF($BJ35&gt;0,IF(INDEX('Final Calculation Sheet'!$X$4:$X$40,$BJ35-3)="","",INDEX('Final Calculation Sheet'!$X$4:$X$40,$BJ35-3)),IF($BI35=1,SUM('Final Calculation Sheet'!$X$4:$X$40),IF($BH35&gt;0,SUMIFS('Final Calculation Sheet'!$X$4:$X$40,$AZ$5:$AZ$41,$BH35),"")))</f>
        <v/>
      </c>
      <c r="Z35" s="652">
        <f>IF($BJ35&gt;0,IF(INDEX('Final Calculation Sheet'!$Y$4:$Y$40,$BJ35-3)="","",INDEX('Final Calculation Sheet'!$Y$4:$Y$40,$BJ35-3)),IF(OR($BI35=1,$BH35&gt;0),"–",""))</f>
        <v/>
      </c>
      <c r="AA35" s="652">
        <f>IF($BJ35&gt;0,IF(INDEX('Final Calculation Sheet'!$Z$4:$Z$40,$BJ35-3)="","",INDEX('Final Calculation Sheet'!$Z$4:$Z$40,$BJ35-3)),IF($BI35=1,SUM('Final Calculation Sheet'!$Z$4:$Z$40),IF($BH35&gt;0,SUMIFS('Final Calculation Sheet'!$Z$4:$Z$40,$AZ$5:$AZ$41,$BH35),"")))</f>
        <v/>
      </c>
      <c r="AB35" s="652">
        <f>IF($BJ35&gt;0,IF(INDEX('Final Calculation Sheet'!$AA$4:$AA$40,$BJ35-3)="","",INDEX('Final Calculation Sheet'!$AA$4:$AA$40,$BJ35-3)),IF($BI35=1,SUM('Final Calculation Sheet'!$AA$4:$AA$40),IF($BH35&gt;0,SUMIFS('Final Calculation Sheet'!$AA$4:$AA$40,$AZ$5:$AZ$41,$BH35),"")))</f>
        <v/>
      </c>
      <c r="AC35" s="652">
        <f>IF($BJ35&gt;0,IF(INDEX('Final Calculation Sheet'!$AB$4:$AB$40,$BJ35-3)="","",INDEX('Final Calculation Sheet'!$AB$4:$AB$40,$BJ35-3)),IF(OR($BI35=1,$BH35&gt;0),"–",""))</f>
        <v/>
      </c>
      <c r="AD35" s="652">
        <f>IF($BJ35&gt;0,IF(INDEX('Final Calculation Sheet'!$AC$4:$AC$40,$BJ35-3)="","",INDEX('Final Calculation Sheet'!$AC$4:$AC$40,$BJ35-3)),IF($BI35=1,SUM('Final Calculation Sheet'!$AC$4:$AC$40),IF($BH35&gt;0,SUMIFS('Final Calculation Sheet'!$AC$4:$AC$40,$AZ$5:$AZ$41,$BH35),"")))</f>
        <v/>
      </c>
      <c r="AE35" s="652">
        <f>IF($BJ35&gt;0,IF(INDEX('Final Calculation Sheet'!$AD$4:$AD$40,$BJ35-3)="","",INDEX('Final Calculation Sheet'!$AD$4:$AD$40,$BJ35-3)),IF($BI35=1,SUM('Final Calculation Sheet'!$AD$4:$AD$40),IF($BH35&gt;0,SUMIFS('Final Calculation Sheet'!$AD$4:$AD$40,$AZ$5:$AZ$41,$BH35),"")))</f>
        <v/>
      </c>
      <c r="AF35" s="652">
        <f>IF($BJ35&gt;0,IF(INDEX('Final Calculation Sheet'!$AE$4:$AE$40,$BJ35-3)="","",INDEX('Final Calculation Sheet'!$AE$4:$AE$40,$BJ35-3)),IF(OR($BI35=1,$BH35&gt;0),"–",""))</f>
        <v/>
      </c>
      <c r="AG35" s="656">
        <f>IF($BJ35&gt;0,IF(INDEX('Final Calculation Sheet'!$AF$4:$AF$40,$BJ35-3)="","",INDEX('Final Calculation Sheet'!$AF$4:$AF$40,$BJ35-3)),IF(OR($BI35=1,$BH35&gt;0),"–",""))</f>
        <v/>
      </c>
      <c r="AH35" s="652">
        <f>IF($BJ35&gt;0,IF(INDEX('Final Calculation Sheet'!$AG$4:$AG$40,$BJ35-3)="","",INDEX('Final Calculation Sheet'!$AG$4:$AG$40,$BJ35-3)),IF(OR($BI35=1,$BH35&gt;0),"–",""))</f>
        <v/>
      </c>
      <c r="AI35" s="657">
        <f>IF($BJ35&gt;0,IF(INDEX('Final Calculation Sheet'!$AD$4:$AD$40,$BJ35-3)="","",IF(INDEX('Final Calculation Sheet'!$AD$4:$AD$40,$BJ35-3)&lt;=0,"SETTLED","OUTSTANDING")),IF(OR($BI35=1,$BH35&gt;0),IF(IF($BI35=1,SUM('Final Calculation Sheet'!$AD$4:$AD$40),SUMIFS('Final Calculation Sheet'!$AD$4:$AD$40,$AZ$5:$AZ$41,$BH35))&lt;=0,"ALL SETTLED","OUTSTANDING"),""))</f>
        <v/>
      </c>
      <c r="AK35">
        <f>IF($F$3="Lot No.",'Final Calculation Sheet'!$F$34,IF($F$3="Buyer",'Final Calculation Sheet'!$G$34,IF($F$3="Lot Name",'Final Calculation Sheet'!$B$34,IF($F$3="Bid Sheet",'Final Calculation Sheet'!$D$34,IF($F$3="Unit",'Final Calculation Sheet'!$E$34,'Final Calculation Sheet'!$F$34&amp;" "&amp;'Final Calculation Sheet'!$G$34&amp;" "&amp;'Final Calculation Sheet'!$B$34)))))</f>
        <v/>
      </c>
      <c r="AM35">
        <f>IF($B$3="",1,IF(AND(IF(COUNTIF($AR$9:$AY$9,1)=0,TRUE,SUMPRODUCT(($AR$9:$AY$9=1)*($AR$6:$AY$6&lt;&gt;"")*ISNUMBER(SEARCH($AR$6:$AY$6,$AK35)))&gt;0),IF(COUNTIF($AR$9:$AY$9,2)=0,TRUE,SUMPRODUCT(($AR$9:$AY$9=2)*($AR$6:$AY$6&lt;&gt;"")*ISNUMBER(SEARCH($AR$6:$AY$6,$AK35)))&gt;0),IF(COUNTIF($AR$9:$AY$9,3)=0,TRUE,SUMPRODUCT(($AR$9:$AY$9=3)*($AR$6:$AY$6&lt;&gt;"")*ISNUMBER(SEARCH($AR$6:$AY$6,$AK35)))&gt;0),IF(COUNTIF($AR$9:$AY$9,4)=0,TRUE,SUMPRODUCT(($AR$9:$AY$9=4)*($AR$6:$AY$6&lt;&gt;"")*ISNUMBER(SEARCH($AR$6:$AY$6,$AK35)))&gt;0),IF(COUNTIF($AR$9:$AY$9,5)=0,TRUE,SUMPRODUCT(($AR$9:$AY$9=5)*($AR$6:$AY$6&lt;&gt;"")*ISNUMBER(SEARCH($AR$6:$AY$6,$AK35)))&gt;0),IF(COUNTIF($AR$9:$AY$9,6)=0,TRUE,SUMPRODUCT(($AR$9:$AY$9=6)*($AR$6:$AY$6&lt;&gt;"")*ISNUMBER(SEARCH($AR$6:$AY$6,$AK35)))&gt;0),IF(COUNTIF($AR$9:$AY$9,7)=0,TRUE,SUMPRODUCT(($AR$9:$AY$9=7)*($AR$6:$AY$6&lt;&gt;"")*ISNUMBER(SEARCH($AR$6:$AY$6,$AK35)))&gt;0),IF(COUNTIF($AR$9:$AY$9,8)=0,TRUE,SUMPRODUCT(($AR$9:$AY$9=8)*($AR$6:$AY$6&lt;&gt;"")*ISNUMBER(SEARCH($AR$6:$AY$6,$AK35)))&gt;0)),1,0))</f>
        <v/>
      </c>
      <c r="AZ35">
        <f>IF($B$3="",9,IF($AM35=0,10,IF(AND($AR$6&lt;&gt;"",ISNUMBER(SEARCH($AR$6,$AK35))),1,IF(AND($AS$6&lt;&gt;"",ISNUMBER(SEARCH($AS$6,$AK35))),2,IF(AND($AT$6&lt;&gt;"",ISNUMBER(SEARCH($AT$6,$AK35))),3,IF(AND($AU$6&lt;&gt;"",ISNUMBER(SEARCH($AU$6,$AK35))),4,IF(AND($AV$6&lt;&gt;"",ISNUMBER(SEARCH($AV$6,$AK35))),5,IF(AND($AW$6&lt;&gt;"",ISNUMBER(SEARCH($AW$6,$AK35))),6,IF(AND($AX$6&lt;&gt;"",ISNUMBER(SEARCH($AX$6,$AK35))),7,IF(AND($AY$6&lt;&gt;"",ISNUMBER(SEARCH($AY$6,$AK35))),8,0))))))))))</f>
        <v/>
      </c>
      <c r="BA35">
        <f>SUMPRODUCT(($AZ$5:$AZ$41=$AZ35)*($BC$5:$BC$41&lt;$BC35))+1</f>
        <v/>
      </c>
      <c r="BB35">
        <f>IF(INDEX($BF$4:$BF$13,$AZ35)=0,0,INDEX($BE$4:$BE$13,$AZ35)+$BA35-1)</f>
        <v/>
      </c>
      <c r="BC35" t="n">
        <v>34</v>
      </c>
      <c r="BH35">
        <f>IFERROR(MATCH(35,$BF$4:$BF$13,0),0)</f>
        <v/>
      </c>
      <c r="BI35">
        <f>IF(35=$BG$4,1,0)</f>
        <v/>
      </c>
      <c r="BJ35">
        <f>IF(OR($BH35&gt;0,$BI35=1),0,IFERROR(INDEX($BC$5:$BC$41,MATCH(35,$BB$5:$BB$41,0)),0))</f>
        <v/>
      </c>
      <c r="BK35">
        <f>IF($BJ35&gt;0,IF(INDEX($AZ$5:$AZ$41,MATCH(35,$BB$5:$BB$41,0))=10,1,0),IF($BH35=10,1,0))</f>
        <v/>
      </c>
    </row>
    <row r="36" ht="15" customHeight="1">
      <c r="A36" s="649">
        <f>IF($BJ36&gt;0,INDEX($BA$5:$BA$41,MATCH(36,$BB$5:$BB$41,0)),IF(OR($BI36=1,$BH36&gt;0),"∑",""))</f>
        <v/>
      </c>
      <c r="B36" s="650">
        <f>IF($BJ36&gt;0,IF(INDEX('Final Calculation Sheet'!$F$4:$F$40,$BJ36-3)="","",INDEX('Final Calculation Sheet'!$F$4:$F$40,$BJ36-3)),"")</f>
        <v/>
      </c>
      <c r="C36" s="650">
        <f>IF($BJ36&gt;0,IF(INDEX('Final Calculation Sheet'!$G$4:$G$40,$BJ36-3)="","",INDEX('Final Calculation Sheet'!$G$4:$G$40,$BJ36-3)),IF(OR($BI36=1,$BH36&gt;0),IF($BI36=1,37,INDEX($BD$4:$BD$13,$BH36))&amp;" lot(s)",""))</f>
        <v/>
      </c>
      <c r="D36" s="651">
        <f>IF($BJ36&gt;0,IF(INDEX('Final Calculation Sheet'!$B$4:$B$40,$BJ36-3)="","",INDEX('Final Calculation Sheet'!$B$4:$B$40,$BJ36-3)),IF(OR($BI36=1,$BH36&gt;0),IF($BI36=1,"GRAND TOTAL  —  matching + remaining",IF($BH36=10,"REMAINING  —  did not match the search",IF($BH36=9,"ALL LOTS  —  nothing typed in the box","GROUP "&amp;$BH36&amp;" TOTAL  —  lots matching  "&amp;INDEX($AR$6:$AY$6,$BH36)))),""))</f>
        <v/>
      </c>
      <c r="E36" s="651">
        <f>IF($BJ36&gt;0,IF(INDEX('Final Calculation Sheet'!$D$4:$D$40,$BJ36-3)="","",INDEX('Final Calculation Sheet'!$D$4:$D$40,$BJ36-3)),IF(OR($BI36=1,$BH36&gt;0),"–",""))</f>
        <v/>
      </c>
      <c r="F36" s="651">
        <f>IF($BJ36&gt;0,IF(INDEX('Final Calculation Sheet'!$A$4:$A$40,$BJ36-3)="","",INDEX('Final Calculation Sheet'!$A$4:$A$40,$BJ36-3)),IF($BI36=1,SUM('Final Calculation Sheet'!$A$4:$A$40),IF($BH36&gt;0,SUMIFS('Final Calculation Sheet'!$A$4:$A$40,$AZ$5:$AZ$41,$BH36),"")))</f>
        <v/>
      </c>
      <c r="G36" s="651">
        <f>IF($BJ36&gt;0,IF(INDEX('Final Calculation Sheet'!$E$4:$E$40,$BJ36-3)="","",INDEX('Final Calculation Sheet'!$E$4:$E$40,$BJ36-3)),IF(OR($BI36=1,$BH36&gt;0),"–",""))</f>
        <v/>
      </c>
      <c r="H36" s="652">
        <f>IF($BJ36&gt;0,IF(INDEX('Final Calculation Sheet'!$C$4:$C$40,$BJ36-3)="","",INDEX('Final Calculation Sheet'!$C$4:$C$40,$BJ36-3)),IF(OR($BI36=1,$BH36&gt;0),"–",""))</f>
        <v/>
      </c>
      <c r="I36" s="652">
        <f>IF($BJ36&gt;0,IF(INDEX('Final Calculation Sheet'!$H$4:$H$40,$BJ36-3)="","",INDEX('Final Calculation Sheet'!$H$4:$H$40,$BJ36-3)),IF($BI36=1,SUM('Final Calculation Sheet'!$H$4:$H$40),IF($BH36&gt;0,SUMIFS('Final Calculation Sheet'!$H$4:$H$40,$AZ$5:$AZ$41,$BH36),"")))</f>
        <v/>
      </c>
      <c r="J36" s="652">
        <f>IF($BJ36&gt;0,IF(INDEX('Final Calculation Sheet'!$I$4:$I$40,$BJ36-3)="","",INDEX('Final Calculation Sheet'!$I$4:$I$40,$BJ36-3)),IF($BI36=1,SUM('Final Calculation Sheet'!$I$4:$I$40),IF($BH36&gt;0,SUMIFS('Final Calculation Sheet'!$I$4:$I$40,$AZ$5:$AZ$41,$BH36),"")))</f>
        <v/>
      </c>
      <c r="K36" s="652">
        <f>IF($BJ36&gt;0,IF(INDEX('Final Calculation Sheet'!$J$4:$J$40,$BJ36-3)="","",INDEX('Final Calculation Sheet'!$J$4:$J$40,$BJ36-3)),IF($BI36=1,SUM('Final Calculation Sheet'!$J$4:$J$40),IF($BH36&gt;0,SUMIFS('Final Calculation Sheet'!$J$4:$J$40,$AZ$5:$AZ$41,$BH36),"")))</f>
        <v/>
      </c>
      <c r="L36" s="652">
        <f>IF($BJ36&gt;0,IF(INDEX('Final Calculation Sheet'!$K$4:$K$40,$BJ36-3)="","",INDEX('Final Calculation Sheet'!$K$4:$K$40,$BJ36-3)),IF($BI36=1,SUM('Final Calculation Sheet'!$K$4:$K$40),IF($BH36&gt;0,SUMIFS('Final Calculation Sheet'!$K$4:$K$40,$AZ$5:$AZ$41,$BH36),"")))</f>
        <v/>
      </c>
      <c r="M36" s="652">
        <f>IF($BJ36&gt;0,IF(INDEX('Final Calculation Sheet'!$L$4:$L$40,$BJ36-3)="","",INDEX('Final Calculation Sheet'!$L$4:$L$40,$BJ36-3)),IF($BI36=1,SUM('Final Calculation Sheet'!$L$4:$L$40),IF($BH36&gt;0,SUMIFS('Final Calculation Sheet'!$L$4:$L$40,$AZ$5:$AZ$41,$BH36),"")))</f>
        <v/>
      </c>
      <c r="N36" s="652">
        <f>IF($BJ36&gt;0,IF(INDEX('Final Calculation Sheet'!$M$4:$M$40,$BJ36-3)="","",INDEX('Final Calculation Sheet'!$M$4:$M$40,$BJ36-3)),IF($BI36=1,SUM('Final Calculation Sheet'!$M$4:$M$40),IF($BH36&gt;0,SUMIFS('Final Calculation Sheet'!$M$4:$M$40,$AZ$5:$AZ$41,$BH36),"")))</f>
        <v/>
      </c>
      <c r="O36" s="653">
        <f>IF($BJ36&gt;0,IF(INDEX('Final Calculation Sheet'!$N$4:$N$40,$BJ36-3)="","",INDEX('Final Calculation Sheet'!$N$4:$N$40,$BJ36-3)),IF($BI36=1,SUM('Final Calculation Sheet'!$N$4:$N$40),IF($BH36&gt;0,SUMIFS('Final Calculation Sheet'!$N$4:$N$40,$AZ$5:$AZ$41,$BH36),"")))</f>
        <v/>
      </c>
      <c r="P36" s="652">
        <f>IF($BJ36&gt;0,IF(INDEX('Final Calculation Sheet'!$O$4:$O$40,$BJ36-3)="","",INDEX('Final Calculation Sheet'!$O$4:$O$40,$BJ36-3)),IF($BI36=1,SUM('Final Calculation Sheet'!$O$4:$O$40),IF($BH36&gt;0,SUMIFS('Final Calculation Sheet'!$O$4:$O$40,$AZ$5:$AZ$41,$BH36),"")))</f>
        <v/>
      </c>
      <c r="Q36" s="652">
        <f>IF($BJ36&gt;0,IF(INDEX('Final Calculation Sheet'!$P$4:$P$40,$BJ36-3)="","",INDEX('Final Calculation Sheet'!$P$4:$P$40,$BJ36-3)),IF($BI36=1,SUM('Final Calculation Sheet'!$P$4:$P$40),IF($BH36&gt;0,SUMIFS('Final Calculation Sheet'!$P$4:$P$40,$AZ$5:$AZ$41,$BH36),"")))</f>
        <v/>
      </c>
      <c r="R36" s="654">
        <f>IF($BJ36&gt;0,IF(INDEX('Final Calculation Sheet'!$Q$4:$Q$40,$BJ36-3)="","",INDEX('Final Calculation Sheet'!$Q$4:$Q$40,$BJ36-3)),IF(OR($BI36=1,$BH36&gt;0),"–",""))</f>
        <v/>
      </c>
      <c r="S36" s="652">
        <f>IF($BJ36&gt;0,IF(INDEX('Final Calculation Sheet'!$R$4:$R$40,$BJ36-3)="","",INDEX('Final Calculation Sheet'!$R$4:$R$40,$BJ36-3)),IF($BI36=1,SUM('Final Calculation Sheet'!$R$4:$R$40),IF($BH36&gt;0,SUMIFS('Final Calculation Sheet'!$R$4:$R$40,$AZ$5:$AZ$41,$BH36),"")))</f>
        <v/>
      </c>
      <c r="T36" s="652">
        <f>IF($BJ36&gt;0,IF(INDEX('Final Calculation Sheet'!$S$4:$S$40,$BJ36-3)="","",INDEX('Final Calculation Sheet'!$S$4:$S$40,$BJ36-3)),IF($BI36=1,SUM('Final Calculation Sheet'!$S$4:$S$40),IF($BH36&gt;0,SUMIFS('Final Calculation Sheet'!$S$4:$S$40,$AZ$5:$AZ$41,$BH36),"")))</f>
        <v/>
      </c>
      <c r="U36" s="652">
        <f>IF($BJ36&gt;0,IF(INDEX('Final Calculation Sheet'!$T$4:$T$40,$BJ36-3)="","",INDEX('Final Calculation Sheet'!$T$4:$T$40,$BJ36-3)),IF($BI36=1,SUM('Final Calculation Sheet'!$T$4:$T$40),IF($BH36&gt;0,SUMIFS('Final Calculation Sheet'!$T$4:$T$40,$AZ$5:$AZ$41,$BH36),"")))</f>
        <v/>
      </c>
      <c r="V36" s="655">
        <f>IF($BJ36&gt;0,IF(INDEX('Final Calculation Sheet'!$U$4:$U$40,$BJ36-3)="","",INDEX('Final Calculation Sheet'!$U$4:$U$40,$BJ36-3)),IF($BI36=1,SUM('Final Calculation Sheet'!$U$4:$U$40),IF($BH36&gt;0,SUMIFS('Final Calculation Sheet'!$U$4:$U$40,$AZ$5:$AZ$41,$BH36),"")))</f>
        <v/>
      </c>
      <c r="W36" s="652">
        <f>IF($BJ36&gt;0,IF(INDEX('Final Calculation Sheet'!$V$4:$V$40,$BJ36-3)="","",INDEX('Final Calculation Sheet'!$V$4:$V$40,$BJ36-3)),IF(OR($BI36=1,$BH36&gt;0),"–",""))</f>
        <v/>
      </c>
      <c r="X36" s="652">
        <f>IF($BJ36&gt;0,IF(INDEX('Final Calculation Sheet'!$W$4:$W$40,$BJ36-3)="","",INDEX('Final Calculation Sheet'!$W$4:$W$40,$BJ36-3)),IF($BI36=1,SUM('Final Calculation Sheet'!$W$4:$W$40),IF($BH36&gt;0,SUMIFS('Final Calculation Sheet'!$W$4:$W$40,$AZ$5:$AZ$41,$BH36),"")))</f>
        <v/>
      </c>
      <c r="Y36" s="652">
        <f>IF($BJ36&gt;0,IF(INDEX('Final Calculation Sheet'!$X$4:$X$40,$BJ36-3)="","",INDEX('Final Calculation Sheet'!$X$4:$X$40,$BJ36-3)),IF($BI36=1,SUM('Final Calculation Sheet'!$X$4:$X$40),IF($BH36&gt;0,SUMIFS('Final Calculation Sheet'!$X$4:$X$40,$AZ$5:$AZ$41,$BH36),"")))</f>
        <v/>
      </c>
      <c r="Z36" s="652">
        <f>IF($BJ36&gt;0,IF(INDEX('Final Calculation Sheet'!$Y$4:$Y$40,$BJ36-3)="","",INDEX('Final Calculation Sheet'!$Y$4:$Y$40,$BJ36-3)),IF(OR($BI36=1,$BH36&gt;0),"–",""))</f>
        <v/>
      </c>
      <c r="AA36" s="652">
        <f>IF($BJ36&gt;0,IF(INDEX('Final Calculation Sheet'!$Z$4:$Z$40,$BJ36-3)="","",INDEX('Final Calculation Sheet'!$Z$4:$Z$40,$BJ36-3)),IF($BI36=1,SUM('Final Calculation Sheet'!$Z$4:$Z$40),IF($BH36&gt;0,SUMIFS('Final Calculation Sheet'!$Z$4:$Z$40,$AZ$5:$AZ$41,$BH36),"")))</f>
        <v/>
      </c>
      <c r="AB36" s="652">
        <f>IF($BJ36&gt;0,IF(INDEX('Final Calculation Sheet'!$AA$4:$AA$40,$BJ36-3)="","",INDEX('Final Calculation Sheet'!$AA$4:$AA$40,$BJ36-3)),IF($BI36=1,SUM('Final Calculation Sheet'!$AA$4:$AA$40),IF($BH36&gt;0,SUMIFS('Final Calculation Sheet'!$AA$4:$AA$40,$AZ$5:$AZ$41,$BH36),"")))</f>
        <v/>
      </c>
      <c r="AC36" s="652">
        <f>IF($BJ36&gt;0,IF(INDEX('Final Calculation Sheet'!$AB$4:$AB$40,$BJ36-3)="","",INDEX('Final Calculation Sheet'!$AB$4:$AB$40,$BJ36-3)),IF(OR($BI36=1,$BH36&gt;0),"–",""))</f>
        <v/>
      </c>
      <c r="AD36" s="652">
        <f>IF($BJ36&gt;0,IF(INDEX('Final Calculation Sheet'!$AC$4:$AC$40,$BJ36-3)="","",INDEX('Final Calculation Sheet'!$AC$4:$AC$40,$BJ36-3)),IF($BI36=1,SUM('Final Calculation Sheet'!$AC$4:$AC$40),IF($BH36&gt;0,SUMIFS('Final Calculation Sheet'!$AC$4:$AC$40,$AZ$5:$AZ$41,$BH36),"")))</f>
        <v/>
      </c>
      <c r="AE36" s="652">
        <f>IF($BJ36&gt;0,IF(INDEX('Final Calculation Sheet'!$AD$4:$AD$40,$BJ36-3)="","",INDEX('Final Calculation Sheet'!$AD$4:$AD$40,$BJ36-3)),IF($BI36=1,SUM('Final Calculation Sheet'!$AD$4:$AD$40),IF($BH36&gt;0,SUMIFS('Final Calculation Sheet'!$AD$4:$AD$40,$AZ$5:$AZ$41,$BH36),"")))</f>
        <v/>
      </c>
      <c r="AF36" s="652">
        <f>IF($BJ36&gt;0,IF(INDEX('Final Calculation Sheet'!$AE$4:$AE$40,$BJ36-3)="","",INDEX('Final Calculation Sheet'!$AE$4:$AE$40,$BJ36-3)),IF(OR($BI36=1,$BH36&gt;0),"–",""))</f>
        <v/>
      </c>
      <c r="AG36" s="656">
        <f>IF($BJ36&gt;0,IF(INDEX('Final Calculation Sheet'!$AF$4:$AF$40,$BJ36-3)="","",INDEX('Final Calculation Sheet'!$AF$4:$AF$40,$BJ36-3)),IF(OR($BI36=1,$BH36&gt;0),"–",""))</f>
        <v/>
      </c>
      <c r="AH36" s="652">
        <f>IF($BJ36&gt;0,IF(INDEX('Final Calculation Sheet'!$AG$4:$AG$40,$BJ36-3)="","",INDEX('Final Calculation Sheet'!$AG$4:$AG$40,$BJ36-3)),IF(OR($BI36=1,$BH36&gt;0),"–",""))</f>
        <v/>
      </c>
      <c r="AI36" s="657">
        <f>IF($BJ36&gt;0,IF(INDEX('Final Calculation Sheet'!$AD$4:$AD$40,$BJ36-3)="","",IF(INDEX('Final Calculation Sheet'!$AD$4:$AD$40,$BJ36-3)&lt;=0,"SETTLED","OUTSTANDING")),IF(OR($BI36=1,$BH36&gt;0),IF(IF($BI36=1,SUM('Final Calculation Sheet'!$AD$4:$AD$40),SUMIFS('Final Calculation Sheet'!$AD$4:$AD$40,$AZ$5:$AZ$41,$BH36))&lt;=0,"ALL SETTLED","OUTSTANDING"),""))</f>
        <v/>
      </c>
      <c r="AK36">
        <f>IF($F$3="Lot No.",'Final Calculation Sheet'!$F$35,IF($F$3="Buyer",'Final Calculation Sheet'!$G$35,IF($F$3="Lot Name",'Final Calculation Sheet'!$B$35,IF($F$3="Bid Sheet",'Final Calculation Sheet'!$D$35,IF($F$3="Unit",'Final Calculation Sheet'!$E$35,'Final Calculation Sheet'!$F$35&amp;" "&amp;'Final Calculation Sheet'!$G$35&amp;" "&amp;'Final Calculation Sheet'!$B$35)))))</f>
        <v/>
      </c>
      <c r="AM36">
        <f>IF($B$3="",1,IF(AND(IF(COUNTIF($AR$9:$AY$9,1)=0,TRUE,SUMPRODUCT(($AR$9:$AY$9=1)*($AR$6:$AY$6&lt;&gt;"")*ISNUMBER(SEARCH($AR$6:$AY$6,$AK36)))&gt;0),IF(COUNTIF($AR$9:$AY$9,2)=0,TRUE,SUMPRODUCT(($AR$9:$AY$9=2)*($AR$6:$AY$6&lt;&gt;"")*ISNUMBER(SEARCH($AR$6:$AY$6,$AK36)))&gt;0),IF(COUNTIF($AR$9:$AY$9,3)=0,TRUE,SUMPRODUCT(($AR$9:$AY$9=3)*($AR$6:$AY$6&lt;&gt;"")*ISNUMBER(SEARCH($AR$6:$AY$6,$AK36)))&gt;0),IF(COUNTIF($AR$9:$AY$9,4)=0,TRUE,SUMPRODUCT(($AR$9:$AY$9=4)*($AR$6:$AY$6&lt;&gt;"")*ISNUMBER(SEARCH($AR$6:$AY$6,$AK36)))&gt;0),IF(COUNTIF($AR$9:$AY$9,5)=0,TRUE,SUMPRODUCT(($AR$9:$AY$9=5)*($AR$6:$AY$6&lt;&gt;"")*ISNUMBER(SEARCH($AR$6:$AY$6,$AK36)))&gt;0),IF(COUNTIF($AR$9:$AY$9,6)=0,TRUE,SUMPRODUCT(($AR$9:$AY$9=6)*($AR$6:$AY$6&lt;&gt;"")*ISNUMBER(SEARCH($AR$6:$AY$6,$AK36)))&gt;0),IF(COUNTIF($AR$9:$AY$9,7)=0,TRUE,SUMPRODUCT(($AR$9:$AY$9=7)*($AR$6:$AY$6&lt;&gt;"")*ISNUMBER(SEARCH($AR$6:$AY$6,$AK36)))&gt;0),IF(COUNTIF($AR$9:$AY$9,8)=0,TRUE,SUMPRODUCT(($AR$9:$AY$9=8)*($AR$6:$AY$6&lt;&gt;"")*ISNUMBER(SEARCH($AR$6:$AY$6,$AK36)))&gt;0)),1,0))</f>
        <v/>
      </c>
      <c r="AZ36">
        <f>IF($B$3="",9,IF($AM36=0,10,IF(AND($AR$6&lt;&gt;"",ISNUMBER(SEARCH($AR$6,$AK36))),1,IF(AND($AS$6&lt;&gt;"",ISNUMBER(SEARCH($AS$6,$AK36))),2,IF(AND($AT$6&lt;&gt;"",ISNUMBER(SEARCH($AT$6,$AK36))),3,IF(AND($AU$6&lt;&gt;"",ISNUMBER(SEARCH($AU$6,$AK36))),4,IF(AND($AV$6&lt;&gt;"",ISNUMBER(SEARCH($AV$6,$AK36))),5,IF(AND($AW$6&lt;&gt;"",ISNUMBER(SEARCH($AW$6,$AK36))),6,IF(AND($AX$6&lt;&gt;"",ISNUMBER(SEARCH($AX$6,$AK36))),7,IF(AND($AY$6&lt;&gt;"",ISNUMBER(SEARCH($AY$6,$AK36))),8,0))))))))))</f>
        <v/>
      </c>
      <c r="BA36">
        <f>SUMPRODUCT(($AZ$5:$AZ$41=$AZ36)*($BC$5:$BC$41&lt;$BC36))+1</f>
        <v/>
      </c>
      <c r="BB36">
        <f>IF(INDEX($BF$4:$BF$13,$AZ36)=0,0,INDEX($BE$4:$BE$13,$AZ36)+$BA36-1)</f>
        <v/>
      </c>
      <c r="BC36" t="n">
        <v>35</v>
      </c>
      <c r="BH36">
        <f>IFERROR(MATCH(36,$BF$4:$BF$13,0),0)</f>
        <v/>
      </c>
      <c r="BI36">
        <f>IF(36=$BG$4,1,0)</f>
        <v/>
      </c>
      <c r="BJ36">
        <f>IF(OR($BH36&gt;0,$BI36=1),0,IFERROR(INDEX($BC$5:$BC$41,MATCH(36,$BB$5:$BB$41,0)),0))</f>
        <v/>
      </c>
      <c r="BK36">
        <f>IF($BJ36&gt;0,IF(INDEX($AZ$5:$AZ$41,MATCH(36,$BB$5:$BB$41,0))=10,1,0),IF($BH36=10,1,0))</f>
        <v/>
      </c>
    </row>
    <row r="37" ht="15" customHeight="1">
      <c r="A37" s="649">
        <f>IF($BJ37&gt;0,INDEX($BA$5:$BA$41,MATCH(37,$BB$5:$BB$41,0)),IF(OR($BI37=1,$BH37&gt;0),"∑",""))</f>
        <v/>
      </c>
      <c r="B37" s="650">
        <f>IF($BJ37&gt;0,IF(INDEX('Final Calculation Sheet'!$F$4:$F$40,$BJ37-3)="","",INDEX('Final Calculation Sheet'!$F$4:$F$40,$BJ37-3)),"")</f>
        <v/>
      </c>
      <c r="C37" s="650">
        <f>IF($BJ37&gt;0,IF(INDEX('Final Calculation Sheet'!$G$4:$G$40,$BJ37-3)="","",INDEX('Final Calculation Sheet'!$G$4:$G$40,$BJ37-3)),IF(OR($BI37=1,$BH37&gt;0),IF($BI37=1,37,INDEX($BD$4:$BD$13,$BH37))&amp;" lot(s)",""))</f>
        <v/>
      </c>
      <c r="D37" s="651">
        <f>IF($BJ37&gt;0,IF(INDEX('Final Calculation Sheet'!$B$4:$B$40,$BJ37-3)="","",INDEX('Final Calculation Sheet'!$B$4:$B$40,$BJ37-3)),IF(OR($BI37=1,$BH37&gt;0),IF($BI37=1,"GRAND TOTAL  —  matching + remaining",IF($BH37=10,"REMAINING  —  did not match the search",IF($BH37=9,"ALL LOTS  —  nothing typed in the box","GROUP "&amp;$BH37&amp;" TOTAL  —  lots matching  "&amp;INDEX($AR$6:$AY$6,$BH37)))),""))</f>
        <v/>
      </c>
      <c r="E37" s="651">
        <f>IF($BJ37&gt;0,IF(INDEX('Final Calculation Sheet'!$D$4:$D$40,$BJ37-3)="","",INDEX('Final Calculation Sheet'!$D$4:$D$40,$BJ37-3)),IF(OR($BI37=1,$BH37&gt;0),"–",""))</f>
        <v/>
      </c>
      <c r="F37" s="651">
        <f>IF($BJ37&gt;0,IF(INDEX('Final Calculation Sheet'!$A$4:$A$40,$BJ37-3)="","",INDEX('Final Calculation Sheet'!$A$4:$A$40,$BJ37-3)),IF($BI37=1,SUM('Final Calculation Sheet'!$A$4:$A$40),IF($BH37&gt;0,SUMIFS('Final Calculation Sheet'!$A$4:$A$40,$AZ$5:$AZ$41,$BH37),"")))</f>
        <v/>
      </c>
      <c r="G37" s="651">
        <f>IF($BJ37&gt;0,IF(INDEX('Final Calculation Sheet'!$E$4:$E$40,$BJ37-3)="","",INDEX('Final Calculation Sheet'!$E$4:$E$40,$BJ37-3)),IF(OR($BI37=1,$BH37&gt;0),"–",""))</f>
        <v/>
      </c>
      <c r="H37" s="652">
        <f>IF($BJ37&gt;0,IF(INDEX('Final Calculation Sheet'!$C$4:$C$40,$BJ37-3)="","",INDEX('Final Calculation Sheet'!$C$4:$C$40,$BJ37-3)),IF(OR($BI37=1,$BH37&gt;0),"–",""))</f>
        <v/>
      </c>
      <c r="I37" s="652">
        <f>IF($BJ37&gt;0,IF(INDEX('Final Calculation Sheet'!$H$4:$H$40,$BJ37-3)="","",INDEX('Final Calculation Sheet'!$H$4:$H$40,$BJ37-3)),IF($BI37=1,SUM('Final Calculation Sheet'!$H$4:$H$40),IF($BH37&gt;0,SUMIFS('Final Calculation Sheet'!$H$4:$H$40,$AZ$5:$AZ$41,$BH37),"")))</f>
        <v/>
      </c>
      <c r="J37" s="652">
        <f>IF($BJ37&gt;0,IF(INDEX('Final Calculation Sheet'!$I$4:$I$40,$BJ37-3)="","",INDEX('Final Calculation Sheet'!$I$4:$I$40,$BJ37-3)),IF($BI37=1,SUM('Final Calculation Sheet'!$I$4:$I$40),IF($BH37&gt;0,SUMIFS('Final Calculation Sheet'!$I$4:$I$40,$AZ$5:$AZ$41,$BH37),"")))</f>
        <v/>
      </c>
      <c r="K37" s="652">
        <f>IF($BJ37&gt;0,IF(INDEX('Final Calculation Sheet'!$J$4:$J$40,$BJ37-3)="","",INDEX('Final Calculation Sheet'!$J$4:$J$40,$BJ37-3)),IF($BI37=1,SUM('Final Calculation Sheet'!$J$4:$J$40),IF($BH37&gt;0,SUMIFS('Final Calculation Sheet'!$J$4:$J$40,$AZ$5:$AZ$41,$BH37),"")))</f>
        <v/>
      </c>
      <c r="L37" s="652">
        <f>IF($BJ37&gt;0,IF(INDEX('Final Calculation Sheet'!$K$4:$K$40,$BJ37-3)="","",INDEX('Final Calculation Sheet'!$K$4:$K$40,$BJ37-3)),IF($BI37=1,SUM('Final Calculation Sheet'!$K$4:$K$40),IF($BH37&gt;0,SUMIFS('Final Calculation Sheet'!$K$4:$K$40,$AZ$5:$AZ$41,$BH37),"")))</f>
        <v/>
      </c>
      <c r="M37" s="652">
        <f>IF($BJ37&gt;0,IF(INDEX('Final Calculation Sheet'!$L$4:$L$40,$BJ37-3)="","",INDEX('Final Calculation Sheet'!$L$4:$L$40,$BJ37-3)),IF($BI37=1,SUM('Final Calculation Sheet'!$L$4:$L$40),IF($BH37&gt;0,SUMIFS('Final Calculation Sheet'!$L$4:$L$40,$AZ$5:$AZ$41,$BH37),"")))</f>
        <v/>
      </c>
      <c r="N37" s="652">
        <f>IF($BJ37&gt;0,IF(INDEX('Final Calculation Sheet'!$M$4:$M$40,$BJ37-3)="","",INDEX('Final Calculation Sheet'!$M$4:$M$40,$BJ37-3)),IF($BI37=1,SUM('Final Calculation Sheet'!$M$4:$M$40),IF($BH37&gt;0,SUMIFS('Final Calculation Sheet'!$M$4:$M$40,$AZ$5:$AZ$41,$BH37),"")))</f>
        <v/>
      </c>
      <c r="O37" s="653">
        <f>IF($BJ37&gt;0,IF(INDEX('Final Calculation Sheet'!$N$4:$N$40,$BJ37-3)="","",INDEX('Final Calculation Sheet'!$N$4:$N$40,$BJ37-3)),IF($BI37=1,SUM('Final Calculation Sheet'!$N$4:$N$40),IF($BH37&gt;0,SUMIFS('Final Calculation Sheet'!$N$4:$N$40,$AZ$5:$AZ$41,$BH37),"")))</f>
        <v/>
      </c>
      <c r="P37" s="652">
        <f>IF($BJ37&gt;0,IF(INDEX('Final Calculation Sheet'!$O$4:$O$40,$BJ37-3)="","",INDEX('Final Calculation Sheet'!$O$4:$O$40,$BJ37-3)),IF($BI37=1,SUM('Final Calculation Sheet'!$O$4:$O$40),IF($BH37&gt;0,SUMIFS('Final Calculation Sheet'!$O$4:$O$40,$AZ$5:$AZ$41,$BH37),"")))</f>
        <v/>
      </c>
      <c r="Q37" s="652">
        <f>IF($BJ37&gt;0,IF(INDEX('Final Calculation Sheet'!$P$4:$P$40,$BJ37-3)="","",INDEX('Final Calculation Sheet'!$P$4:$P$40,$BJ37-3)),IF($BI37=1,SUM('Final Calculation Sheet'!$P$4:$P$40),IF($BH37&gt;0,SUMIFS('Final Calculation Sheet'!$P$4:$P$40,$AZ$5:$AZ$41,$BH37),"")))</f>
        <v/>
      </c>
      <c r="R37" s="654">
        <f>IF($BJ37&gt;0,IF(INDEX('Final Calculation Sheet'!$Q$4:$Q$40,$BJ37-3)="","",INDEX('Final Calculation Sheet'!$Q$4:$Q$40,$BJ37-3)),IF(OR($BI37=1,$BH37&gt;0),"–",""))</f>
        <v/>
      </c>
      <c r="S37" s="652">
        <f>IF($BJ37&gt;0,IF(INDEX('Final Calculation Sheet'!$R$4:$R$40,$BJ37-3)="","",INDEX('Final Calculation Sheet'!$R$4:$R$40,$BJ37-3)),IF($BI37=1,SUM('Final Calculation Sheet'!$R$4:$R$40),IF($BH37&gt;0,SUMIFS('Final Calculation Sheet'!$R$4:$R$40,$AZ$5:$AZ$41,$BH37),"")))</f>
        <v/>
      </c>
      <c r="T37" s="652">
        <f>IF($BJ37&gt;0,IF(INDEX('Final Calculation Sheet'!$S$4:$S$40,$BJ37-3)="","",INDEX('Final Calculation Sheet'!$S$4:$S$40,$BJ37-3)),IF($BI37=1,SUM('Final Calculation Sheet'!$S$4:$S$40),IF($BH37&gt;0,SUMIFS('Final Calculation Sheet'!$S$4:$S$40,$AZ$5:$AZ$41,$BH37),"")))</f>
        <v/>
      </c>
      <c r="U37" s="652">
        <f>IF($BJ37&gt;0,IF(INDEX('Final Calculation Sheet'!$T$4:$T$40,$BJ37-3)="","",INDEX('Final Calculation Sheet'!$T$4:$T$40,$BJ37-3)),IF($BI37=1,SUM('Final Calculation Sheet'!$T$4:$T$40),IF($BH37&gt;0,SUMIFS('Final Calculation Sheet'!$T$4:$T$40,$AZ$5:$AZ$41,$BH37),"")))</f>
        <v/>
      </c>
      <c r="V37" s="655">
        <f>IF($BJ37&gt;0,IF(INDEX('Final Calculation Sheet'!$U$4:$U$40,$BJ37-3)="","",INDEX('Final Calculation Sheet'!$U$4:$U$40,$BJ37-3)),IF($BI37=1,SUM('Final Calculation Sheet'!$U$4:$U$40),IF($BH37&gt;0,SUMIFS('Final Calculation Sheet'!$U$4:$U$40,$AZ$5:$AZ$41,$BH37),"")))</f>
        <v/>
      </c>
      <c r="W37" s="652">
        <f>IF($BJ37&gt;0,IF(INDEX('Final Calculation Sheet'!$V$4:$V$40,$BJ37-3)="","",INDEX('Final Calculation Sheet'!$V$4:$V$40,$BJ37-3)),IF(OR($BI37=1,$BH37&gt;0),"–",""))</f>
        <v/>
      </c>
      <c r="X37" s="652">
        <f>IF($BJ37&gt;0,IF(INDEX('Final Calculation Sheet'!$W$4:$W$40,$BJ37-3)="","",INDEX('Final Calculation Sheet'!$W$4:$W$40,$BJ37-3)),IF($BI37=1,SUM('Final Calculation Sheet'!$W$4:$W$40),IF($BH37&gt;0,SUMIFS('Final Calculation Sheet'!$W$4:$W$40,$AZ$5:$AZ$41,$BH37),"")))</f>
        <v/>
      </c>
      <c r="Y37" s="652">
        <f>IF($BJ37&gt;0,IF(INDEX('Final Calculation Sheet'!$X$4:$X$40,$BJ37-3)="","",INDEX('Final Calculation Sheet'!$X$4:$X$40,$BJ37-3)),IF($BI37=1,SUM('Final Calculation Sheet'!$X$4:$X$40),IF($BH37&gt;0,SUMIFS('Final Calculation Sheet'!$X$4:$X$40,$AZ$5:$AZ$41,$BH37),"")))</f>
        <v/>
      </c>
      <c r="Z37" s="652">
        <f>IF($BJ37&gt;0,IF(INDEX('Final Calculation Sheet'!$Y$4:$Y$40,$BJ37-3)="","",INDEX('Final Calculation Sheet'!$Y$4:$Y$40,$BJ37-3)),IF(OR($BI37=1,$BH37&gt;0),"–",""))</f>
        <v/>
      </c>
      <c r="AA37" s="652">
        <f>IF($BJ37&gt;0,IF(INDEX('Final Calculation Sheet'!$Z$4:$Z$40,$BJ37-3)="","",INDEX('Final Calculation Sheet'!$Z$4:$Z$40,$BJ37-3)),IF($BI37=1,SUM('Final Calculation Sheet'!$Z$4:$Z$40),IF($BH37&gt;0,SUMIFS('Final Calculation Sheet'!$Z$4:$Z$40,$AZ$5:$AZ$41,$BH37),"")))</f>
        <v/>
      </c>
      <c r="AB37" s="652">
        <f>IF($BJ37&gt;0,IF(INDEX('Final Calculation Sheet'!$AA$4:$AA$40,$BJ37-3)="","",INDEX('Final Calculation Sheet'!$AA$4:$AA$40,$BJ37-3)),IF($BI37=1,SUM('Final Calculation Sheet'!$AA$4:$AA$40),IF($BH37&gt;0,SUMIFS('Final Calculation Sheet'!$AA$4:$AA$40,$AZ$5:$AZ$41,$BH37),"")))</f>
        <v/>
      </c>
      <c r="AC37" s="652">
        <f>IF($BJ37&gt;0,IF(INDEX('Final Calculation Sheet'!$AB$4:$AB$40,$BJ37-3)="","",INDEX('Final Calculation Sheet'!$AB$4:$AB$40,$BJ37-3)),IF(OR($BI37=1,$BH37&gt;0),"–",""))</f>
        <v/>
      </c>
      <c r="AD37" s="652">
        <f>IF($BJ37&gt;0,IF(INDEX('Final Calculation Sheet'!$AC$4:$AC$40,$BJ37-3)="","",INDEX('Final Calculation Sheet'!$AC$4:$AC$40,$BJ37-3)),IF($BI37=1,SUM('Final Calculation Sheet'!$AC$4:$AC$40),IF($BH37&gt;0,SUMIFS('Final Calculation Sheet'!$AC$4:$AC$40,$AZ$5:$AZ$41,$BH37),"")))</f>
        <v/>
      </c>
      <c r="AE37" s="652">
        <f>IF($BJ37&gt;0,IF(INDEX('Final Calculation Sheet'!$AD$4:$AD$40,$BJ37-3)="","",INDEX('Final Calculation Sheet'!$AD$4:$AD$40,$BJ37-3)),IF($BI37=1,SUM('Final Calculation Sheet'!$AD$4:$AD$40),IF($BH37&gt;0,SUMIFS('Final Calculation Sheet'!$AD$4:$AD$40,$AZ$5:$AZ$41,$BH37),"")))</f>
        <v/>
      </c>
      <c r="AF37" s="652">
        <f>IF($BJ37&gt;0,IF(INDEX('Final Calculation Sheet'!$AE$4:$AE$40,$BJ37-3)="","",INDEX('Final Calculation Sheet'!$AE$4:$AE$40,$BJ37-3)),IF(OR($BI37=1,$BH37&gt;0),"–",""))</f>
        <v/>
      </c>
      <c r="AG37" s="656">
        <f>IF($BJ37&gt;0,IF(INDEX('Final Calculation Sheet'!$AF$4:$AF$40,$BJ37-3)="","",INDEX('Final Calculation Sheet'!$AF$4:$AF$40,$BJ37-3)),IF(OR($BI37=1,$BH37&gt;0),"–",""))</f>
        <v/>
      </c>
      <c r="AH37" s="652">
        <f>IF($BJ37&gt;0,IF(INDEX('Final Calculation Sheet'!$AG$4:$AG$40,$BJ37-3)="","",INDEX('Final Calculation Sheet'!$AG$4:$AG$40,$BJ37-3)),IF(OR($BI37=1,$BH37&gt;0),"–",""))</f>
        <v/>
      </c>
      <c r="AI37" s="657">
        <f>IF($BJ37&gt;0,IF(INDEX('Final Calculation Sheet'!$AD$4:$AD$40,$BJ37-3)="","",IF(INDEX('Final Calculation Sheet'!$AD$4:$AD$40,$BJ37-3)&lt;=0,"SETTLED","OUTSTANDING")),IF(OR($BI37=1,$BH37&gt;0),IF(IF($BI37=1,SUM('Final Calculation Sheet'!$AD$4:$AD$40),SUMIFS('Final Calculation Sheet'!$AD$4:$AD$40,$AZ$5:$AZ$41,$BH37))&lt;=0,"ALL SETTLED","OUTSTANDING"),""))</f>
        <v/>
      </c>
      <c r="AK37">
        <f>IF($F$3="Lot No.",'Final Calculation Sheet'!$F$36,IF($F$3="Buyer",'Final Calculation Sheet'!$G$36,IF($F$3="Lot Name",'Final Calculation Sheet'!$B$36,IF($F$3="Bid Sheet",'Final Calculation Sheet'!$D$36,IF($F$3="Unit",'Final Calculation Sheet'!$E$36,'Final Calculation Sheet'!$F$36&amp;" "&amp;'Final Calculation Sheet'!$G$36&amp;" "&amp;'Final Calculation Sheet'!$B$36)))))</f>
        <v/>
      </c>
      <c r="AM37">
        <f>IF($B$3="",1,IF(AND(IF(COUNTIF($AR$9:$AY$9,1)=0,TRUE,SUMPRODUCT(($AR$9:$AY$9=1)*($AR$6:$AY$6&lt;&gt;"")*ISNUMBER(SEARCH($AR$6:$AY$6,$AK37)))&gt;0),IF(COUNTIF($AR$9:$AY$9,2)=0,TRUE,SUMPRODUCT(($AR$9:$AY$9=2)*($AR$6:$AY$6&lt;&gt;"")*ISNUMBER(SEARCH($AR$6:$AY$6,$AK37)))&gt;0),IF(COUNTIF($AR$9:$AY$9,3)=0,TRUE,SUMPRODUCT(($AR$9:$AY$9=3)*($AR$6:$AY$6&lt;&gt;"")*ISNUMBER(SEARCH($AR$6:$AY$6,$AK37)))&gt;0),IF(COUNTIF($AR$9:$AY$9,4)=0,TRUE,SUMPRODUCT(($AR$9:$AY$9=4)*($AR$6:$AY$6&lt;&gt;"")*ISNUMBER(SEARCH($AR$6:$AY$6,$AK37)))&gt;0),IF(COUNTIF($AR$9:$AY$9,5)=0,TRUE,SUMPRODUCT(($AR$9:$AY$9=5)*($AR$6:$AY$6&lt;&gt;"")*ISNUMBER(SEARCH($AR$6:$AY$6,$AK37)))&gt;0),IF(COUNTIF($AR$9:$AY$9,6)=0,TRUE,SUMPRODUCT(($AR$9:$AY$9=6)*($AR$6:$AY$6&lt;&gt;"")*ISNUMBER(SEARCH($AR$6:$AY$6,$AK37)))&gt;0),IF(COUNTIF($AR$9:$AY$9,7)=0,TRUE,SUMPRODUCT(($AR$9:$AY$9=7)*($AR$6:$AY$6&lt;&gt;"")*ISNUMBER(SEARCH($AR$6:$AY$6,$AK37)))&gt;0),IF(COUNTIF($AR$9:$AY$9,8)=0,TRUE,SUMPRODUCT(($AR$9:$AY$9=8)*($AR$6:$AY$6&lt;&gt;"")*ISNUMBER(SEARCH($AR$6:$AY$6,$AK37)))&gt;0)),1,0))</f>
        <v/>
      </c>
      <c r="AZ37">
        <f>IF($B$3="",9,IF($AM37=0,10,IF(AND($AR$6&lt;&gt;"",ISNUMBER(SEARCH($AR$6,$AK37))),1,IF(AND($AS$6&lt;&gt;"",ISNUMBER(SEARCH($AS$6,$AK37))),2,IF(AND($AT$6&lt;&gt;"",ISNUMBER(SEARCH($AT$6,$AK37))),3,IF(AND($AU$6&lt;&gt;"",ISNUMBER(SEARCH($AU$6,$AK37))),4,IF(AND($AV$6&lt;&gt;"",ISNUMBER(SEARCH($AV$6,$AK37))),5,IF(AND($AW$6&lt;&gt;"",ISNUMBER(SEARCH($AW$6,$AK37))),6,IF(AND($AX$6&lt;&gt;"",ISNUMBER(SEARCH($AX$6,$AK37))),7,IF(AND($AY$6&lt;&gt;"",ISNUMBER(SEARCH($AY$6,$AK37))),8,0))))))))))</f>
        <v/>
      </c>
      <c r="BA37">
        <f>SUMPRODUCT(($AZ$5:$AZ$41=$AZ37)*($BC$5:$BC$41&lt;$BC37))+1</f>
        <v/>
      </c>
      <c r="BB37">
        <f>IF(INDEX($BF$4:$BF$13,$AZ37)=0,0,INDEX($BE$4:$BE$13,$AZ37)+$BA37-1)</f>
        <v/>
      </c>
      <c r="BC37" t="n">
        <v>36</v>
      </c>
      <c r="BH37">
        <f>IFERROR(MATCH(37,$BF$4:$BF$13,0),0)</f>
        <v/>
      </c>
      <c r="BI37">
        <f>IF(37=$BG$4,1,0)</f>
        <v/>
      </c>
      <c r="BJ37">
        <f>IF(OR($BH37&gt;0,$BI37=1),0,IFERROR(INDEX($BC$5:$BC$41,MATCH(37,$BB$5:$BB$41,0)),0))</f>
        <v/>
      </c>
      <c r="BK37">
        <f>IF($BJ37&gt;0,IF(INDEX($AZ$5:$AZ$41,MATCH(37,$BB$5:$BB$41,0))=10,1,0),IF($BH37=10,1,0))</f>
        <v/>
      </c>
    </row>
    <row r="38" ht="15" customHeight="1">
      <c r="A38" s="649">
        <f>IF($BJ38&gt;0,INDEX($BA$5:$BA$41,MATCH(38,$BB$5:$BB$41,0)),IF(OR($BI38=1,$BH38&gt;0),"∑",""))</f>
        <v/>
      </c>
      <c r="B38" s="650">
        <f>IF($BJ38&gt;0,IF(INDEX('Final Calculation Sheet'!$F$4:$F$40,$BJ38-3)="","",INDEX('Final Calculation Sheet'!$F$4:$F$40,$BJ38-3)),"")</f>
        <v/>
      </c>
      <c r="C38" s="650">
        <f>IF($BJ38&gt;0,IF(INDEX('Final Calculation Sheet'!$G$4:$G$40,$BJ38-3)="","",INDEX('Final Calculation Sheet'!$G$4:$G$40,$BJ38-3)),IF(OR($BI38=1,$BH38&gt;0),IF($BI38=1,37,INDEX($BD$4:$BD$13,$BH38))&amp;" lot(s)",""))</f>
        <v/>
      </c>
      <c r="D38" s="651">
        <f>IF($BJ38&gt;0,IF(INDEX('Final Calculation Sheet'!$B$4:$B$40,$BJ38-3)="","",INDEX('Final Calculation Sheet'!$B$4:$B$40,$BJ38-3)),IF(OR($BI38=1,$BH38&gt;0),IF($BI38=1,"GRAND TOTAL  —  matching + remaining",IF($BH38=10,"REMAINING  —  did not match the search",IF($BH38=9,"ALL LOTS  —  nothing typed in the box","GROUP "&amp;$BH38&amp;" TOTAL  —  lots matching  "&amp;INDEX($AR$6:$AY$6,$BH38)))),""))</f>
        <v/>
      </c>
      <c r="E38" s="651">
        <f>IF($BJ38&gt;0,IF(INDEX('Final Calculation Sheet'!$D$4:$D$40,$BJ38-3)="","",INDEX('Final Calculation Sheet'!$D$4:$D$40,$BJ38-3)),IF(OR($BI38=1,$BH38&gt;0),"–",""))</f>
        <v/>
      </c>
      <c r="F38" s="651">
        <f>IF($BJ38&gt;0,IF(INDEX('Final Calculation Sheet'!$A$4:$A$40,$BJ38-3)="","",INDEX('Final Calculation Sheet'!$A$4:$A$40,$BJ38-3)),IF($BI38=1,SUM('Final Calculation Sheet'!$A$4:$A$40),IF($BH38&gt;0,SUMIFS('Final Calculation Sheet'!$A$4:$A$40,$AZ$5:$AZ$41,$BH38),"")))</f>
        <v/>
      </c>
      <c r="G38" s="651">
        <f>IF($BJ38&gt;0,IF(INDEX('Final Calculation Sheet'!$E$4:$E$40,$BJ38-3)="","",INDEX('Final Calculation Sheet'!$E$4:$E$40,$BJ38-3)),IF(OR($BI38=1,$BH38&gt;0),"–",""))</f>
        <v/>
      </c>
      <c r="H38" s="652">
        <f>IF($BJ38&gt;0,IF(INDEX('Final Calculation Sheet'!$C$4:$C$40,$BJ38-3)="","",INDEX('Final Calculation Sheet'!$C$4:$C$40,$BJ38-3)),IF(OR($BI38=1,$BH38&gt;0),"–",""))</f>
        <v/>
      </c>
      <c r="I38" s="652">
        <f>IF($BJ38&gt;0,IF(INDEX('Final Calculation Sheet'!$H$4:$H$40,$BJ38-3)="","",INDEX('Final Calculation Sheet'!$H$4:$H$40,$BJ38-3)),IF($BI38=1,SUM('Final Calculation Sheet'!$H$4:$H$40),IF($BH38&gt;0,SUMIFS('Final Calculation Sheet'!$H$4:$H$40,$AZ$5:$AZ$41,$BH38),"")))</f>
        <v/>
      </c>
      <c r="J38" s="652">
        <f>IF($BJ38&gt;0,IF(INDEX('Final Calculation Sheet'!$I$4:$I$40,$BJ38-3)="","",INDEX('Final Calculation Sheet'!$I$4:$I$40,$BJ38-3)),IF($BI38=1,SUM('Final Calculation Sheet'!$I$4:$I$40),IF($BH38&gt;0,SUMIFS('Final Calculation Sheet'!$I$4:$I$40,$AZ$5:$AZ$41,$BH38),"")))</f>
        <v/>
      </c>
      <c r="K38" s="652">
        <f>IF($BJ38&gt;0,IF(INDEX('Final Calculation Sheet'!$J$4:$J$40,$BJ38-3)="","",INDEX('Final Calculation Sheet'!$J$4:$J$40,$BJ38-3)),IF($BI38=1,SUM('Final Calculation Sheet'!$J$4:$J$40),IF($BH38&gt;0,SUMIFS('Final Calculation Sheet'!$J$4:$J$40,$AZ$5:$AZ$41,$BH38),"")))</f>
        <v/>
      </c>
      <c r="L38" s="652">
        <f>IF($BJ38&gt;0,IF(INDEX('Final Calculation Sheet'!$K$4:$K$40,$BJ38-3)="","",INDEX('Final Calculation Sheet'!$K$4:$K$40,$BJ38-3)),IF($BI38=1,SUM('Final Calculation Sheet'!$K$4:$K$40),IF($BH38&gt;0,SUMIFS('Final Calculation Sheet'!$K$4:$K$40,$AZ$5:$AZ$41,$BH38),"")))</f>
        <v/>
      </c>
      <c r="M38" s="652">
        <f>IF($BJ38&gt;0,IF(INDEX('Final Calculation Sheet'!$L$4:$L$40,$BJ38-3)="","",INDEX('Final Calculation Sheet'!$L$4:$L$40,$BJ38-3)),IF($BI38=1,SUM('Final Calculation Sheet'!$L$4:$L$40),IF($BH38&gt;0,SUMIFS('Final Calculation Sheet'!$L$4:$L$40,$AZ$5:$AZ$41,$BH38),"")))</f>
        <v/>
      </c>
      <c r="N38" s="652">
        <f>IF($BJ38&gt;0,IF(INDEX('Final Calculation Sheet'!$M$4:$M$40,$BJ38-3)="","",INDEX('Final Calculation Sheet'!$M$4:$M$40,$BJ38-3)),IF($BI38=1,SUM('Final Calculation Sheet'!$M$4:$M$40),IF($BH38&gt;0,SUMIFS('Final Calculation Sheet'!$M$4:$M$40,$AZ$5:$AZ$41,$BH38),"")))</f>
        <v/>
      </c>
      <c r="O38" s="653">
        <f>IF($BJ38&gt;0,IF(INDEX('Final Calculation Sheet'!$N$4:$N$40,$BJ38-3)="","",INDEX('Final Calculation Sheet'!$N$4:$N$40,$BJ38-3)),IF($BI38=1,SUM('Final Calculation Sheet'!$N$4:$N$40),IF($BH38&gt;0,SUMIFS('Final Calculation Sheet'!$N$4:$N$40,$AZ$5:$AZ$41,$BH38),"")))</f>
        <v/>
      </c>
      <c r="P38" s="652">
        <f>IF($BJ38&gt;0,IF(INDEX('Final Calculation Sheet'!$O$4:$O$40,$BJ38-3)="","",INDEX('Final Calculation Sheet'!$O$4:$O$40,$BJ38-3)),IF($BI38=1,SUM('Final Calculation Sheet'!$O$4:$O$40),IF($BH38&gt;0,SUMIFS('Final Calculation Sheet'!$O$4:$O$40,$AZ$5:$AZ$41,$BH38),"")))</f>
        <v/>
      </c>
      <c r="Q38" s="652">
        <f>IF($BJ38&gt;0,IF(INDEX('Final Calculation Sheet'!$P$4:$P$40,$BJ38-3)="","",INDEX('Final Calculation Sheet'!$P$4:$P$40,$BJ38-3)),IF($BI38=1,SUM('Final Calculation Sheet'!$P$4:$P$40),IF($BH38&gt;0,SUMIFS('Final Calculation Sheet'!$P$4:$P$40,$AZ$5:$AZ$41,$BH38),"")))</f>
        <v/>
      </c>
      <c r="R38" s="654">
        <f>IF($BJ38&gt;0,IF(INDEX('Final Calculation Sheet'!$Q$4:$Q$40,$BJ38-3)="","",INDEX('Final Calculation Sheet'!$Q$4:$Q$40,$BJ38-3)),IF(OR($BI38=1,$BH38&gt;0),"–",""))</f>
        <v/>
      </c>
      <c r="S38" s="652">
        <f>IF($BJ38&gt;0,IF(INDEX('Final Calculation Sheet'!$R$4:$R$40,$BJ38-3)="","",INDEX('Final Calculation Sheet'!$R$4:$R$40,$BJ38-3)),IF($BI38=1,SUM('Final Calculation Sheet'!$R$4:$R$40),IF($BH38&gt;0,SUMIFS('Final Calculation Sheet'!$R$4:$R$40,$AZ$5:$AZ$41,$BH38),"")))</f>
        <v/>
      </c>
      <c r="T38" s="652">
        <f>IF($BJ38&gt;0,IF(INDEX('Final Calculation Sheet'!$S$4:$S$40,$BJ38-3)="","",INDEX('Final Calculation Sheet'!$S$4:$S$40,$BJ38-3)),IF($BI38=1,SUM('Final Calculation Sheet'!$S$4:$S$40),IF($BH38&gt;0,SUMIFS('Final Calculation Sheet'!$S$4:$S$40,$AZ$5:$AZ$41,$BH38),"")))</f>
        <v/>
      </c>
      <c r="U38" s="652">
        <f>IF($BJ38&gt;0,IF(INDEX('Final Calculation Sheet'!$T$4:$T$40,$BJ38-3)="","",INDEX('Final Calculation Sheet'!$T$4:$T$40,$BJ38-3)),IF($BI38=1,SUM('Final Calculation Sheet'!$T$4:$T$40),IF($BH38&gt;0,SUMIFS('Final Calculation Sheet'!$T$4:$T$40,$AZ$5:$AZ$41,$BH38),"")))</f>
        <v/>
      </c>
      <c r="V38" s="655">
        <f>IF($BJ38&gt;0,IF(INDEX('Final Calculation Sheet'!$U$4:$U$40,$BJ38-3)="","",INDEX('Final Calculation Sheet'!$U$4:$U$40,$BJ38-3)),IF($BI38=1,SUM('Final Calculation Sheet'!$U$4:$U$40),IF($BH38&gt;0,SUMIFS('Final Calculation Sheet'!$U$4:$U$40,$AZ$5:$AZ$41,$BH38),"")))</f>
        <v/>
      </c>
      <c r="W38" s="652">
        <f>IF($BJ38&gt;0,IF(INDEX('Final Calculation Sheet'!$V$4:$V$40,$BJ38-3)="","",INDEX('Final Calculation Sheet'!$V$4:$V$40,$BJ38-3)),IF(OR($BI38=1,$BH38&gt;0),"–",""))</f>
        <v/>
      </c>
      <c r="X38" s="652">
        <f>IF($BJ38&gt;0,IF(INDEX('Final Calculation Sheet'!$W$4:$W$40,$BJ38-3)="","",INDEX('Final Calculation Sheet'!$W$4:$W$40,$BJ38-3)),IF($BI38=1,SUM('Final Calculation Sheet'!$W$4:$W$40),IF($BH38&gt;0,SUMIFS('Final Calculation Sheet'!$W$4:$W$40,$AZ$5:$AZ$41,$BH38),"")))</f>
        <v/>
      </c>
      <c r="Y38" s="652">
        <f>IF($BJ38&gt;0,IF(INDEX('Final Calculation Sheet'!$X$4:$X$40,$BJ38-3)="","",INDEX('Final Calculation Sheet'!$X$4:$X$40,$BJ38-3)),IF($BI38=1,SUM('Final Calculation Sheet'!$X$4:$X$40),IF($BH38&gt;0,SUMIFS('Final Calculation Sheet'!$X$4:$X$40,$AZ$5:$AZ$41,$BH38),"")))</f>
        <v/>
      </c>
      <c r="Z38" s="652">
        <f>IF($BJ38&gt;0,IF(INDEX('Final Calculation Sheet'!$Y$4:$Y$40,$BJ38-3)="","",INDEX('Final Calculation Sheet'!$Y$4:$Y$40,$BJ38-3)),IF(OR($BI38=1,$BH38&gt;0),"–",""))</f>
        <v/>
      </c>
      <c r="AA38" s="652">
        <f>IF($BJ38&gt;0,IF(INDEX('Final Calculation Sheet'!$Z$4:$Z$40,$BJ38-3)="","",INDEX('Final Calculation Sheet'!$Z$4:$Z$40,$BJ38-3)),IF($BI38=1,SUM('Final Calculation Sheet'!$Z$4:$Z$40),IF($BH38&gt;0,SUMIFS('Final Calculation Sheet'!$Z$4:$Z$40,$AZ$5:$AZ$41,$BH38),"")))</f>
        <v/>
      </c>
      <c r="AB38" s="652">
        <f>IF($BJ38&gt;0,IF(INDEX('Final Calculation Sheet'!$AA$4:$AA$40,$BJ38-3)="","",INDEX('Final Calculation Sheet'!$AA$4:$AA$40,$BJ38-3)),IF($BI38=1,SUM('Final Calculation Sheet'!$AA$4:$AA$40),IF($BH38&gt;0,SUMIFS('Final Calculation Sheet'!$AA$4:$AA$40,$AZ$5:$AZ$41,$BH38),"")))</f>
        <v/>
      </c>
      <c r="AC38" s="652">
        <f>IF($BJ38&gt;0,IF(INDEX('Final Calculation Sheet'!$AB$4:$AB$40,$BJ38-3)="","",INDEX('Final Calculation Sheet'!$AB$4:$AB$40,$BJ38-3)),IF(OR($BI38=1,$BH38&gt;0),"–",""))</f>
        <v/>
      </c>
      <c r="AD38" s="652">
        <f>IF($BJ38&gt;0,IF(INDEX('Final Calculation Sheet'!$AC$4:$AC$40,$BJ38-3)="","",INDEX('Final Calculation Sheet'!$AC$4:$AC$40,$BJ38-3)),IF($BI38=1,SUM('Final Calculation Sheet'!$AC$4:$AC$40),IF($BH38&gt;0,SUMIFS('Final Calculation Sheet'!$AC$4:$AC$40,$AZ$5:$AZ$41,$BH38),"")))</f>
        <v/>
      </c>
      <c r="AE38" s="652">
        <f>IF($BJ38&gt;0,IF(INDEX('Final Calculation Sheet'!$AD$4:$AD$40,$BJ38-3)="","",INDEX('Final Calculation Sheet'!$AD$4:$AD$40,$BJ38-3)),IF($BI38=1,SUM('Final Calculation Sheet'!$AD$4:$AD$40),IF($BH38&gt;0,SUMIFS('Final Calculation Sheet'!$AD$4:$AD$40,$AZ$5:$AZ$41,$BH38),"")))</f>
        <v/>
      </c>
      <c r="AF38" s="652">
        <f>IF($BJ38&gt;0,IF(INDEX('Final Calculation Sheet'!$AE$4:$AE$40,$BJ38-3)="","",INDEX('Final Calculation Sheet'!$AE$4:$AE$40,$BJ38-3)),IF(OR($BI38=1,$BH38&gt;0),"–",""))</f>
        <v/>
      </c>
      <c r="AG38" s="656">
        <f>IF($BJ38&gt;0,IF(INDEX('Final Calculation Sheet'!$AF$4:$AF$40,$BJ38-3)="","",INDEX('Final Calculation Sheet'!$AF$4:$AF$40,$BJ38-3)),IF(OR($BI38=1,$BH38&gt;0),"–",""))</f>
        <v/>
      </c>
      <c r="AH38" s="652">
        <f>IF($BJ38&gt;0,IF(INDEX('Final Calculation Sheet'!$AG$4:$AG$40,$BJ38-3)="","",INDEX('Final Calculation Sheet'!$AG$4:$AG$40,$BJ38-3)),IF(OR($BI38=1,$BH38&gt;0),"–",""))</f>
        <v/>
      </c>
      <c r="AI38" s="657">
        <f>IF($BJ38&gt;0,IF(INDEX('Final Calculation Sheet'!$AD$4:$AD$40,$BJ38-3)="","",IF(INDEX('Final Calculation Sheet'!$AD$4:$AD$40,$BJ38-3)&lt;=0,"SETTLED","OUTSTANDING")),IF(OR($BI38=1,$BH38&gt;0),IF(IF($BI38=1,SUM('Final Calculation Sheet'!$AD$4:$AD$40),SUMIFS('Final Calculation Sheet'!$AD$4:$AD$40,$AZ$5:$AZ$41,$BH38))&lt;=0,"ALL SETTLED","OUTSTANDING"),""))</f>
        <v/>
      </c>
      <c r="AK38">
        <f>IF($F$3="Lot No.",'Final Calculation Sheet'!$F$37,IF($F$3="Buyer",'Final Calculation Sheet'!$G$37,IF($F$3="Lot Name",'Final Calculation Sheet'!$B$37,IF($F$3="Bid Sheet",'Final Calculation Sheet'!$D$37,IF($F$3="Unit",'Final Calculation Sheet'!$E$37,'Final Calculation Sheet'!$F$37&amp;" "&amp;'Final Calculation Sheet'!$G$37&amp;" "&amp;'Final Calculation Sheet'!$B$37)))))</f>
        <v/>
      </c>
      <c r="AM38">
        <f>IF($B$3="",1,IF(AND(IF(COUNTIF($AR$9:$AY$9,1)=0,TRUE,SUMPRODUCT(($AR$9:$AY$9=1)*($AR$6:$AY$6&lt;&gt;"")*ISNUMBER(SEARCH($AR$6:$AY$6,$AK38)))&gt;0),IF(COUNTIF($AR$9:$AY$9,2)=0,TRUE,SUMPRODUCT(($AR$9:$AY$9=2)*($AR$6:$AY$6&lt;&gt;"")*ISNUMBER(SEARCH($AR$6:$AY$6,$AK38)))&gt;0),IF(COUNTIF($AR$9:$AY$9,3)=0,TRUE,SUMPRODUCT(($AR$9:$AY$9=3)*($AR$6:$AY$6&lt;&gt;"")*ISNUMBER(SEARCH($AR$6:$AY$6,$AK38)))&gt;0),IF(COUNTIF($AR$9:$AY$9,4)=0,TRUE,SUMPRODUCT(($AR$9:$AY$9=4)*($AR$6:$AY$6&lt;&gt;"")*ISNUMBER(SEARCH($AR$6:$AY$6,$AK38)))&gt;0),IF(COUNTIF($AR$9:$AY$9,5)=0,TRUE,SUMPRODUCT(($AR$9:$AY$9=5)*($AR$6:$AY$6&lt;&gt;"")*ISNUMBER(SEARCH($AR$6:$AY$6,$AK38)))&gt;0),IF(COUNTIF($AR$9:$AY$9,6)=0,TRUE,SUMPRODUCT(($AR$9:$AY$9=6)*($AR$6:$AY$6&lt;&gt;"")*ISNUMBER(SEARCH($AR$6:$AY$6,$AK38)))&gt;0),IF(COUNTIF($AR$9:$AY$9,7)=0,TRUE,SUMPRODUCT(($AR$9:$AY$9=7)*($AR$6:$AY$6&lt;&gt;"")*ISNUMBER(SEARCH($AR$6:$AY$6,$AK38)))&gt;0),IF(COUNTIF($AR$9:$AY$9,8)=0,TRUE,SUMPRODUCT(($AR$9:$AY$9=8)*($AR$6:$AY$6&lt;&gt;"")*ISNUMBER(SEARCH($AR$6:$AY$6,$AK38)))&gt;0)),1,0))</f>
        <v/>
      </c>
      <c r="AZ38">
        <f>IF($B$3="",9,IF($AM38=0,10,IF(AND($AR$6&lt;&gt;"",ISNUMBER(SEARCH($AR$6,$AK38))),1,IF(AND($AS$6&lt;&gt;"",ISNUMBER(SEARCH($AS$6,$AK38))),2,IF(AND($AT$6&lt;&gt;"",ISNUMBER(SEARCH($AT$6,$AK38))),3,IF(AND($AU$6&lt;&gt;"",ISNUMBER(SEARCH($AU$6,$AK38))),4,IF(AND($AV$6&lt;&gt;"",ISNUMBER(SEARCH($AV$6,$AK38))),5,IF(AND($AW$6&lt;&gt;"",ISNUMBER(SEARCH($AW$6,$AK38))),6,IF(AND($AX$6&lt;&gt;"",ISNUMBER(SEARCH($AX$6,$AK38))),7,IF(AND($AY$6&lt;&gt;"",ISNUMBER(SEARCH($AY$6,$AK38))),8,0))))))))))</f>
        <v/>
      </c>
      <c r="BA38">
        <f>SUMPRODUCT(($AZ$5:$AZ$41=$AZ38)*($BC$5:$BC$41&lt;$BC38))+1</f>
        <v/>
      </c>
      <c r="BB38">
        <f>IF(INDEX($BF$4:$BF$13,$AZ38)=0,0,INDEX($BE$4:$BE$13,$AZ38)+$BA38-1)</f>
        <v/>
      </c>
      <c r="BC38" t="n">
        <v>37</v>
      </c>
      <c r="BH38">
        <f>IFERROR(MATCH(38,$BF$4:$BF$13,0),0)</f>
        <v/>
      </c>
      <c r="BI38">
        <f>IF(38=$BG$4,1,0)</f>
        <v/>
      </c>
      <c r="BJ38">
        <f>IF(OR($BH38&gt;0,$BI38=1),0,IFERROR(INDEX($BC$5:$BC$41,MATCH(38,$BB$5:$BB$41,0)),0))</f>
        <v/>
      </c>
      <c r="BK38">
        <f>IF($BJ38&gt;0,IF(INDEX($AZ$5:$AZ$41,MATCH(38,$BB$5:$BB$41,0))=10,1,0),IF($BH38=10,1,0))</f>
        <v/>
      </c>
    </row>
    <row r="39" ht="15" customHeight="1">
      <c r="A39" s="649">
        <f>IF($BJ39&gt;0,INDEX($BA$5:$BA$41,MATCH(39,$BB$5:$BB$41,0)),IF(OR($BI39=1,$BH39&gt;0),"∑",""))</f>
        <v/>
      </c>
      <c r="B39" s="650">
        <f>IF($BJ39&gt;0,IF(INDEX('Final Calculation Sheet'!$F$4:$F$40,$BJ39-3)="","",INDEX('Final Calculation Sheet'!$F$4:$F$40,$BJ39-3)),"")</f>
        <v/>
      </c>
      <c r="C39" s="650">
        <f>IF($BJ39&gt;0,IF(INDEX('Final Calculation Sheet'!$G$4:$G$40,$BJ39-3)="","",INDEX('Final Calculation Sheet'!$G$4:$G$40,$BJ39-3)),IF(OR($BI39=1,$BH39&gt;0),IF($BI39=1,37,INDEX($BD$4:$BD$13,$BH39))&amp;" lot(s)",""))</f>
        <v/>
      </c>
      <c r="D39" s="651">
        <f>IF($BJ39&gt;0,IF(INDEX('Final Calculation Sheet'!$B$4:$B$40,$BJ39-3)="","",INDEX('Final Calculation Sheet'!$B$4:$B$40,$BJ39-3)),IF(OR($BI39=1,$BH39&gt;0),IF($BI39=1,"GRAND TOTAL  —  matching + remaining",IF($BH39=10,"REMAINING  —  did not match the search",IF($BH39=9,"ALL LOTS  —  nothing typed in the box","GROUP "&amp;$BH39&amp;" TOTAL  —  lots matching  "&amp;INDEX($AR$6:$AY$6,$BH39)))),""))</f>
        <v/>
      </c>
      <c r="E39" s="651">
        <f>IF($BJ39&gt;0,IF(INDEX('Final Calculation Sheet'!$D$4:$D$40,$BJ39-3)="","",INDEX('Final Calculation Sheet'!$D$4:$D$40,$BJ39-3)),IF(OR($BI39=1,$BH39&gt;0),"–",""))</f>
        <v/>
      </c>
      <c r="F39" s="651">
        <f>IF($BJ39&gt;0,IF(INDEX('Final Calculation Sheet'!$A$4:$A$40,$BJ39-3)="","",INDEX('Final Calculation Sheet'!$A$4:$A$40,$BJ39-3)),IF($BI39=1,SUM('Final Calculation Sheet'!$A$4:$A$40),IF($BH39&gt;0,SUMIFS('Final Calculation Sheet'!$A$4:$A$40,$AZ$5:$AZ$41,$BH39),"")))</f>
        <v/>
      </c>
      <c r="G39" s="651">
        <f>IF($BJ39&gt;0,IF(INDEX('Final Calculation Sheet'!$E$4:$E$40,$BJ39-3)="","",INDEX('Final Calculation Sheet'!$E$4:$E$40,$BJ39-3)),IF(OR($BI39=1,$BH39&gt;0),"–",""))</f>
        <v/>
      </c>
      <c r="H39" s="652">
        <f>IF($BJ39&gt;0,IF(INDEX('Final Calculation Sheet'!$C$4:$C$40,$BJ39-3)="","",INDEX('Final Calculation Sheet'!$C$4:$C$40,$BJ39-3)),IF(OR($BI39=1,$BH39&gt;0),"–",""))</f>
        <v/>
      </c>
      <c r="I39" s="652">
        <f>IF($BJ39&gt;0,IF(INDEX('Final Calculation Sheet'!$H$4:$H$40,$BJ39-3)="","",INDEX('Final Calculation Sheet'!$H$4:$H$40,$BJ39-3)),IF($BI39=1,SUM('Final Calculation Sheet'!$H$4:$H$40),IF($BH39&gt;0,SUMIFS('Final Calculation Sheet'!$H$4:$H$40,$AZ$5:$AZ$41,$BH39),"")))</f>
        <v/>
      </c>
      <c r="J39" s="652">
        <f>IF($BJ39&gt;0,IF(INDEX('Final Calculation Sheet'!$I$4:$I$40,$BJ39-3)="","",INDEX('Final Calculation Sheet'!$I$4:$I$40,$BJ39-3)),IF($BI39=1,SUM('Final Calculation Sheet'!$I$4:$I$40),IF($BH39&gt;0,SUMIFS('Final Calculation Sheet'!$I$4:$I$40,$AZ$5:$AZ$41,$BH39),"")))</f>
        <v/>
      </c>
      <c r="K39" s="652">
        <f>IF($BJ39&gt;0,IF(INDEX('Final Calculation Sheet'!$J$4:$J$40,$BJ39-3)="","",INDEX('Final Calculation Sheet'!$J$4:$J$40,$BJ39-3)),IF($BI39=1,SUM('Final Calculation Sheet'!$J$4:$J$40),IF($BH39&gt;0,SUMIFS('Final Calculation Sheet'!$J$4:$J$40,$AZ$5:$AZ$41,$BH39),"")))</f>
        <v/>
      </c>
      <c r="L39" s="652">
        <f>IF($BJ39&gt;0,IF(INDEX('Final Calculation Sheet'!$K$4:$K$40,$BJ39-3)="","",INDEX('Final Calculation Sheet'!$K$4:$K$40,$BJ39-3)),IF($BI39=1,SUM('Final Calculation Sheet'!$K$4:$K$40),IF($BH39&gt;0,SUMIFS('Final Calculation Sheet'!$K$4:$K$40,$AZ$5:$AZ$41,$BH39),"")))</f>
        <v/>
      </c>
      <c r="M39" s="652">
        <f>IF($BJ39&gt;0,IF(INDEX('Final Calculation Sheet'!$L$4:$L$40,$BJ39-3)="","",INDEX('Final Calculation Sheet'!$L$4:$L$40,$BJ39-3)),IF($BI39=1,SUM('Final Calculation Sheet'!$L$4:$L$40),IF($BH39&gt;0,SUMIFS('Final Calculation Sheet'!$L$4:$L$40,$AZ$5:$AZ$41,$BH39),"")))</f>
        <v/>
      </c>
      <c r="N39" s="652">
        <f>IF($BJ39&gt;0,IF(INDEX('Final Calculation Sheet'!$M$4:$M$40,$BJ39-3)="","",INDEX('Final Calculation Sheet'!$M$4:$M$40,$BJ39-3)),IF($BI39=1,SUM('Final Calculation Sheet'!$M$4:$M$40),IF($BH39&gt;0,SUMIFS('Final Calculation Sheet'!$M$4:$M$40,$AZ$5:$AZ$41,$BH39),"")))</f>
        <v/>
      </c>
      <c r="O39" s="653">
        <f>IF($BJ39&gt;0,IF(INDEX('Final Calculation Sheet'!$N$4:$N$40,$BJ39-3)="","",INDEX('Final Calculation Sheet'!$N$4:$N$40,$BJ39-3)),IF($BI39=1,SUM('Final Calculation Sheet'!$N$4:$N$40),IF($BH39&gt;0,SUMIFS('Final Calculation Sheet'!$N$4:$N$40,$AZ$5:$AZ$41,$BH39),"")))</f>
        <v/>
      </c>
      <c r="P39" s="652">
        <f>IF($BJ39&gt;0,IF(INDEX('Final Calculation Sheet'!$O$4:$O$40,$BJ39-3)="","",INDEX('Final Calculation Sheet'!$O$4:$O$40,$BJ39-3)),IF($BI39=1,SUM('Final Calculation Sheet'!$O$4:$O$40),IF($BH39&gt;0,SUMIFS('Final Calculation Sheet'!$O$4:$O$40,$AZ$5:$AZ$41,$BH39),"")))</f>
        <v/>
      </c>
      <c r="Q39" s="652">
        <f>IF($BJ39&gt;0,IF(INDEX('Final Calculation Sheet'!$P$4:$P$40,$BJ39-3)="","",INDEX('Final Calculation Sheet'!$P$4:$P$40,$BJ39-3)),IF($BI39=1,SUM('Final Calculation Sheet'!$P$4:$P$40),IF($BH39&gt;0,SUMIFS('Final Calculation Sheet'!$P$4:$P$40,$AZ$5:$AZ$41,$BH39),"")))</f>
        <v/>
      </c>
      <c r="R39" s="654">
        <f>IF($BJ39&gt;0,IF(INDEX('Final Calculation Sheet'!$Q$4:$Q$40,$BJ39-3)="","",INDEX('Final Calculation Sheet'!$Q$4:$Q$40,$BJ39-3)),IF(OR($BI39=1,$BH39&gt;0),"–",""))</f>
        <v/>
      </c>
      <c r="S39" s="652">
        <f>IF($BJ39&gt;0,IF(INDEX('Final Calculation Sheet'!$R$4:$R$40,$BJ39-3)="","",INDEX('Final Calculation Sheet'!$R$4:$R$40,$BJ39-3)),IF($BI39=1,SUM('Final Calculation Sheet'!$R$4:$R$40),IF($BH39&gt;0,SUMIFS('Final Calculation Sheet'!$R$4:$R$40,$AZ$5:$AZ$41,$BH39),"")))</f>
        <v/>
      </c>
      <c r="T39" s="652">
        <f>IF($BJ39&gt;0,IF(INDEX('Final Calculation Sheet'!$S$4:$S$40,$BJ39-3)="","",INDEX('Final Calculation Sheet'!$S$4:$S$40,$BJ39-3)),IF($BI39=1,SUM('Final Calculation Sheet'!$S$4:$S$40),IF($BH39&gt;0,SUMIFS('Final Calculation Sheet'!$S$4:$S$40,$AZ$5:$AZ$41,$BH39),"")))</f>
        <v/>
      </c>
      <c r="U39" s="652">
        <f>IF($BJ39&gt;0,IF(INDEX('Final Calculation Sheet'!$T$4:$T$40,$BJ39-3)="","",INDEX('Final Calculation Sheet'!$T$4:$T$40,$BJ39-3)),IF($BI39=1,SUM('Final Calculation Sheet'!$T$4:$T$40),IF($BH39&gt;0,SUMIFS('Final Calculation Sheet'!$T$4:$T$40,$AZ$5:$AZ$41,$BH39),"")))</f>
        <v/>
      </c>
      <c r="V39" s="655">
        <f>IF($BJ39&gt;0,IF(INDEX('Final Calculation Sheet'!$U$4:$U$40,$BJ39-3)="","",INDEX('Final Calculation Sheet'!$U$4:$U$40,$BJ39-3)),IF($BI39=1,SUM('Final Calculation Sheet'!$U$4:$U$40),IF($BH39&gt;0,SUMIFS('Final Calculation Sheet'!$U$4:$U$40,$AZ$5:$AZ$41,$BH39),"")))</f>
        <v/>
      </c>
      <c r="W39" s="652">
        <f>IF($BJ39&gt;0,IF(INDEX('Final Calculation Sheet'!$V$4:$V$40,$BJ39-3)="","",INDEX('Final Calculation Sheet'!$V$4:$V$40,$BJ39-3)),IF(OR($BI39=1,$BH39&gt;0),"–",""))</f>
        <v/>
      </c>
      <c r="X39" s="652">
        <f>IF($BJ39&gt;0,IF(INDEX('Final Calculation Sheet'!$W$4:$W$40,$BJ39-3)="","",INDEX('Final Calculation Sheet'!$W$4:$W$40,$BJ39-3)),IF($BI39=1,SUM('Final Calculation Sheet'!$W$4:$W$40),IF($BH39&gt;0,SUMIFS('Final Calculation Sheet'!$W$4:$W$40,$AZ$5:$AZ$41,$BH39),"")))</f>
        <v/>
      </c>
      <c r="Y39" s="652">
        <f>IF($BJ39&gt;0,IF(INDEX('Final Calculation Sheet'!$X$4:$X$40,$BJ39-3)="","",INDEX('Final Calculation Sheet'!$X$4:$X$40,$BJ39-3)),IF($BI39=1,SUM('Final Calculation Sheet'!$X$4:$X$40),IF($BH39&gt;0,SUMIFS('Final Calculation Sheet'!$X$4:$X$40,$AZ$5:$AZ$41,$BH39),"")))</f>
        <v/>
      </c>
      <c r="Z39" s="652">
        <f>IF($BJ39&gt;0,IF(INDEX('Final Calculation Sheet'!$Y$4:$Y$40,$BJ39-3)="","",INDEX('Final Calculation Sheet'!$Y$4:$Y$40,$BJ39-3)),IF(OR($BI39=1,$BH39&gt;0),"–",""))</f>
        <v/>
      </c>
      <c r="AA39" s="652">
        <f>IF($BJ39&gt;0,IF(INDEX('Final Calculation Sheet'!$Z$4:$Z$40,$BJ39-3)="","",INDEX('Final Calculation Sheet'!$Z$4:$Z$40,$BJ39-3)),IF($BI39=1,SUM('Final Calculation Sheet'!$Z$4:$Z$40),IF($BH39&gt;0,SUMIFS('Final Calculation Sheet'!$Z$4:$Z$40,$AZ$5:$AZ$41,$BH39),"")))</f>
        <v/>
      </c>
      <c r="AB39" s="652">
        <f>IF($BJ39&gt;0,IF(INDEX('Final Calculation Sheet'!$AA$4:$AA$40,$BJ39-3)="","",INDEX('Final Calculation Sheet'!$AA$4:$AA$40,$BJ39-3)),IF($BI39=1,SUM('Final Calculation Sheet'!$AA$4:$AA$40),IF($BH39&gt;0,SUMIFS('Final Calculation Sheet'!$AA$4:$AA$40,$AZ$5:$AZ$41,$BH39),"")))</f>
        <v/>
      </c>
      <c r="AC39" s="652">
        <f>IF($BJ39&gt;0,IF(INDEX('Final Calculation Sheet'!$AB$4:$AB$40,$BJ39-3)="","",INDEX('Final Calculation Sheet'!$AB$4:$AB$40,$BJ39-3)),IF(OR($BI39=1,$BH39&gt;0),"–",""))</f>
        <v/>
      </c>
      <c r="AD39" s="652">
        <f>IF($BJ39&gt;0,IF(INDEX('Final Calculation Sheet'!$AC$4:$AC$40,$BJ39-3)="","",INDEX('Final Calculation Sheet'!$AC$4:$AC$40,$BJ39-3)),IF($BI39=1,SUM('Final Calculation Sheet'!$AC$4:$AC$40),IF($BH39&gt;0,SUMIFS('Final Calculation Sheet'!$AC$4:$AC$40,$AZ$5:$AZ$41,$BH39),"")))</f>
        <v/>
      </c>
      <c r="AE39" s="652">
        <f>IF($BJ39&gt;0,IF(INDEX('Final Calculation Sheet'!$AD$4:$AD$40,$BJ39-3)="","",INDEX('Final Calculation Sheet'!$AD$4:$AD$40,$BJ39-3)),IF($BI39=1,SUM('Final Calculation Sheet'!$AD$4:$AD$40),IF($BH39&gt;0,SUMIFS('Final Calculation Sheet'!$AD$4:$AD$40,$AZ$5:$AZ$41,$BH39),"")))</f>
        <v/>
      </c>
      <c r="AF39" s="652">
        <f>IF($BJ39&gt;0,IF(INDEX('Final Calculation Sheet'!$AE$4:$AE$40,$BJ39-3)="","",INDEX('Final Calculation Sheet'!$AE$4:$AE$40,$BJ39-3)),IF(OR($BI39=1,$BH39&gt;0),"–",""))</f>
        <v/>
      </c>
      <c r="AG39" s="656">
        <f>IF($BJ39&gt;0,IF(INDEX('Final Calculation Sheet'!$AF$4:$AF$40,$BJ39-3)="","",INDEX('Final Calculation Sheet'!$AF$4:$AF$40,$BJ39-3)),IF(OR($BI39=1,$BH39&gt;0),"–",""))</f>
        <v/>
      </c>
      <c r="AH39" s="652">
        <f>IF($BJ39&gt;0,IF(INDEX('Final Calculation Sheet'!$AG$4:$AG$40,$BJ39-3)="","",INDEX('Final Calculation Sheet'!$AG$4:$AG$40,$BJ39-3)),IF(OR($BI39=1,$BH39&gt;0),"–",""))</f>
        <v/>
      </c>
      <c r="AI39" s="657">
        <f>IF($BJ39&gt;0,IF(INDEX('Final Calculation Sheet'!$AD$4:$AD$40,$BJ39-3)="","",IF(INDEX('Final Calculation Sheet'!$AD$4:$AD$40,$BJ39-3)&lt;=0,"SETTLED","OUTSTANDING")),IF(OR($BI39=1,$BH39&gt;0),IF(IF($BI39=1,SUM('Final Calculation Sheet'!$AD$4:$AD$40),SUMIFS('Final Calculation Sheet'!$AD$4:$AD$40,$AZ$5:$AZ$41,$BH39))&lt;=0,"ALL SETTLED","OUTSTANDING"),""))</f>
        <v/>
      </c>
      <c r="AK39">
        <f>IF($F$3="Lot No.",'Final Calculation Sheet'!$F$38,IF($F$3="Buyer",'Final Calculation Sheet'!$G$38,IF($F$3="Lot Name",'Final Calculation Sheet'!$B$38,IF($F$3="Bid Sheet",'Final Calculation Sheet'!$D$38,IF($F$3="Unit",'Final Calculation Sheet'!$E$38,'Final Calculation Sheet'!$F$38&amp;" "&amp;'Final Calculation Sheet'!$G$38&amp;" "&amp;'Final Calculation Sheet'!$B$38)))))</f>
        <v/>
      </c>
      <c r="AM39">
        <f>IF($B$3="",1,IF(AND(IF(COUNTIF($AR$9:$AY$9,1)=0,TRUE,SUMPRODUCT(($AR$9:$AY$9=1)*($AR$6:$AY$6&lt;&gt;"")*ISNUMBER(SEARCH($AR$6:$AY$6,$AK39)))&gt;0),IF(COUNTIF($AR$9:$AY$9,2)=0,TRUE,SUMPRODUCT(($AR$9:$AY$9=2)*($AR$6:$AY$6&lt;&gt;"")*ISNUMBER(SEARCH($AR$6:$AY$6,$AK39)))&gt;0),IF(COUNTIF($AR$9:$AY$9,3)=0,TRUE,SUMPRODUCT(($AR$9:$AY$9=3)*($AR$6:$AY$6&lt;&gt;"")*ISNUMBER(SEARCH($AR$6:$AY$6,$AK39)))&gt;0),IF(COUNTIF($AR$9:$AY$9,4)=0,TRUE,SUMPRODUCT(($AR$9:$AY$9=4)*($AR$6:$AY$6&lt;&gt;"")*ISNUMBER(SEARCH($AR$6:$AY$6,$AK39)))&gt;0),IF(COUNTIF($AR$9:$AY$9,5)=0,TRUE,SUMPRODUCT(($AR$9:$AY$9=5)*($AR$6:$AY$6&lt;&gt;"")*ISNUMBER(SEARCH($AR$6:$AY$6,$AK39)))&gt;0),IF(COUNTIF($AR$9:$AY$9,6)=0,TRUE,SUMPRODUCT(($AR$9:$AY$9=6)*($AR$6:$AY$6&lt;&gt;"")*ISNUMBER(SEARCH($AR$6:$AY$6,$AK39)))&gt;0),IF(COUNTIF($AR$9:$AY$9,7)=0,TRUE,SUMPRODUCT(($AR$9:$AY$9=7)*($AR$6:$AY$6&lt;&gt;"")*ISNUMBER(SEARCH($AR$6:$AY$6,$AK39)))&gt;0),IF(COUNTIF($AR$9:$AY$9,8)=0,TRUE,SUMPRODUCT(($AR$9:$AY$9=8)*($AR$6:$AY$6&lt;&gt;"")*ISNUMBER(SEARCH($AR$6:$AY$6,$AK39)))&gt;0)),1,0))</f>
        <v/>
      </c>
      <c r="AZ39">
        <f>IF($B$3="",9,IF($AM39=0,10,IF(AND($AR$6&lt;&gt;"",ISNUMBER(SEARCH($AR$6,$AK39))),1,IF(AND($AS$6&lt;&gt;"",ISNUMBER(SEARCH($AS$6,$AK39))),2,IF(AND($AT$6&lt;&gt;"",ISNUMBER(SEARCH($AT$6,$AK39))),3,IF(AND($AU$6&lt;&gt;"",ISNUMBER(SEARCH($AU$6,$AK39))),4,IF(AND($AV$6&lt;&gt;"",ISNUMBER(SEARCH($AV$6,$AK39))),5,IF(AND($AW$6&lt;&gt;"",ISNUMBER(SEARCH($AW$6,$AK39))),6,IF(AND($AX$6&lt;&gt;"",ISNUMBER(SEARCH($AX$6,$AK39))),7,IF(AND($AY$6&lt;&gt;"",ISNUMBER(SEARCH($AY$6,$AK39))),8,0))))))))))</f>
        <v/>
      </c>
      <c r="BA39">
        <f>SUMPRODUCT(($AZ$5:$AZ$41=$AZ39)*($BC$5:$BC$41&lt;$BC39))+1</f>
        <v/>
      </c>
      <c r="BB39">
        <f>IF(INDEX($BF$4:$BF$13,$AZ39)=0,0,INDEX($BE$4:$BE$13,$AZ39)+$BA39-1)</f>
        <v/>
      </c>
      <c r="BC39" t="n">
        <v>38</v>
      </c>
      <c r="BH39">
        <f>IFERROR(MATCH(39,$BF$4:$BF$13,0),0)</f>
        <v/>
      </c>
      <c r="BI39">
        <f>IF(39=$BG$4,1,0)</f>
        <v/>
      </c>
      <c r="BJ39">
        <f>IF(OR($BH39&gt;0,$BI39=1),0,IFERROR(INDEX($BC$5:$BC$41,MATCH(39,$BB$5:$BB$41,0)),0))</f>
        <v/>
      </c>
      <c r="BK39">
        <f>IF($BJ39&gt;0,IF(INDEX($AZ$5:$AZ$41,MATCH(39,$BB$5:$BB$41,0))=10,1,0),IF($BH39=10,1,0))</f>
        <v/>
      </c>
    </row>
    <row r="40" ht="15" customHeight="1">
      <c r="A40" s="649">
        <f>IF($BJ40&gt;0,INDEX($BA$5:$BA$41,MATCH(40,$BB$5:$BB$41,0)),IF(OR($BI40=1,$BH40&gt;0),"∑",""))</f>
        <v/>
      </c>
      <c r="B40" s="650">
        <f>IF($BJ40&gt;0,IF(INDEX('Final Calculation Sheet'!$F$4:$F$40,$BJ40-3)="","",INDEX('Final Calculation Sheet'!$F$4:$F$40,$BJ40-3)),"")</f>
        <v/>
      </c>
      <c r="C40" s="650">
        <f>IF($BJ40&gt;0,IF(INDEX('Final Calculation Sheet'!$G$4:$G$40,$BJ40-3)="","",INDEX('Final Calculation Sheet'!$G$4:$G$40,$BJ40-3)),IF(OR($BI40=1,$BH40&gt;0),IF($BI40=1,37,INDEX($BD$4:$BD$13,$BH40))&amp;" lot(s)",""))</f>
        <v/>
      </c>
      <c r="D40" s="651">
        <f>IF($BJ40&gt;0,IF(INDEX('Final Calculation Sheet'!$B$4:$B$40,$BJ40-3)="","",INDEX('Final Calculation Sheet'!$B$4:$B$40,$BJ40-3)),IF(OR($BI40=1,$BH40&gt;0),IF($BI40=1,"GRAND TOTAL  —  matching + remaining",IF($BH40=10,"REMAINING  —  did not match the search",IF($BH40=9,"ALL LOTS  —  nothing typed in the box","GROUP "&amp;$BH40&amp;" TOTAL  —  lots matching  "&amp;INDEX($AR$6:$AY$6,$BH40)))),""))</f>
        <v/>
      </c>
      <c r="E40" s="651">
        <f>IF($BJ40&gt;0,IF(INDEX('Final Calculation Sheet'!$D$4:$D$40,$BJ40-3)="","",INDEX('Final Calculation Sheet'!$D$4:$D$40,$BJ40-3)),IF(OR($BI40=1,$BH40&gt;0),"–",""))</f>
        <v/>
      </c>
      <c r="F40" s="651">
        <f>IF($BJ40&gt;0,IF(INDEX('Final Calculation Sheet'!$A$4:$A$40,$BJ40-3)="","",INDEX('Final Calculation Sheet'!$A$4:$A$40,$BJ40-3)),IF($BI40=1,SUM('Final Calculation Sheet'!$A$4:$A$40),IF($BH40&gt;0,SUMIFS('Final Calculation Sheet'!$A$4:$A$40,$AZ$5:$AZ$41,$BH40),"")))</f>
        <v/>
      </c>
      <c r="G40" s="651">
        <f>IF($BJ40&gt;0,IF(INDEX('Final Calculation Sheet'!$E$4:$E$40,$BJ40-3)="","",INDEX('Final Calculation Sheet'!$E$4:$E$40,$BJ40-3)),IF(OR($BI40=1,$BH40&gt;0),"–",""))</f>
        <v/>
      </c>
      <c r="H40" s="652">
        <f>IF($BJ40&gt;0,IF(INDEX('Final Calculation Sheet'!$C$4:$C$40,$BJ40-3)="","",INDEX('Final Calculation Sheet'!$C$4:$C$40,$BJ40-3)),IF(OR($BI40=1,$BH40&gt;0),"–",""))</f>
        <v/>
      </c>
      <c r="I40" s="652">
        <f>IF($BJ40&gt;0,IF(INDEX('Final Calculation Sheet'!$H$4:$H$40,$BJ40-3)="","",INDEX('Final Calculation Sheet'!$H$4:$H$40,$BJ40-3)),IF($BI40=1,SUM('Final Calculation Sheet'!$H$4:$H$40),IF($BH40&gt;0,SUMIFS('Final Calculation Sheet'!$H$4:$H$40,$AZ$5:$AZ$41,$BH40),"")))</f>
        <v/>
      </c>
      <c r="J40" s="652">
        <f>IF($BJ40&gt;0,IF(INDEX('Final Calculation Sheet'!$I$4:$I$40,$BJ40-3)="","",INDEX('Final Calculation Sheet'!$I$4:$I$40,$BJ40-3)),IF($BI40=1,SUM('Final Calculation Sheet'!$I$4:$I$40),IF($BH40&gt;0,SUMIFS('Final Calculation Sheet'!$I$4:$I$40,$AZ$5:$AZ$41,$BH40),"")))</f>
        <v/>
      </c>
      <c r="K40" s="652">
        <f>IF($BJ40&gt;0,IF(INDEX('Final Calculation Sheet'!$J$4:$J$40,$BJ40-3)="","",INDEX('Final Calculation Sheet'!$J$4:$J$40,$BJ40-3)),IF($BI40=1,SUM('Final Calculation Sheet'!$J$4:$J$40),IF($BH40&gt;0,SUMIFS('Final Calculation Sheet'!$J$4:$J$40,$AZ$5:$AZ$41,$BH40),"")))</f>
        <v/>
      </c>
      <c r="L40" s="652">
        <f>IF($BJ40&gt;0,IF(INDEX('Final Calculation Sheet'!$K$4:$K$40,$BJ40-3)="","",INDEX('Final Calculation Sheet'!$K$4:$K$40,$BJ40-3)),IF($BI40=1,SUM('Final Calculation Sheet'!$K$4:$K$40),IF($BH40&gt;0,SUMIFS('Final Calculation Sheet'!$K$4:$K$40,$AZ$5:$AZ$41,$BH40),"")))</f>
        <v/>
      </c>
      <c r="M40" s="652">
        <f>IF($BJ40&gt;0,IF(INDEX('Final Calculation Sheet'!$L$4:$L$40,$BJ40-3)="","",INDEX('Final Calculation Sheet'!$L$4:$L$40,$BJ40-3)),IF($BI40=1,SUM('Final Calculation Sheet'!$L$4:$L$40),IF($BH40&gt;0,SUMIFS('Final Calculation Sheet'!$L$4:$L$40,$AZ$5:$AZ$41,$BH40),"")))</f>
        <v/>
      </c>
      <c r="N40" s="652">
        <f>IF($BJ40&gt;0,IF(INDEX('Final Calculation Sheet'!$M$4:$M$40,$BJ40-3)="","",INDEX('Final Calculation Sheet'!$M$4:$M$40,$BJ40-3)),IF($BI40=1,SUM('Final Calculation Sheet'!$M$4:$M$40),IF($BH40&gt;0,SUMIFS('Final Calculation Sheet'!$M$4:$M$40,$AZ$5:$AZ$41,$BH40),"")))</f>
        <v/>
      </c>
      <c r="O40" s="653">
        <f>IF($BJ40&gt;0,IF(INDEX('Final Calculation Sheet'!$N$4:$N$40,$BJ40-3)="","",INDEX('Final Calculation Sheet'!$N$4:$N$40,$BJ40-3)),IF($BI40=1,SUM('Final Calculation Sheet'!$N$4:$N$40),IF($BH40&gt;0,SUMIFS('Final Calculation Sheet'!$N$4:$N$40,$AZ$5:$AZ$41,$BH40),"")))</f>
        <v/>
      </c>
      <c r="P40" s="652">
        <f>IF($BJ40&gt;0,IF(INDEX('Final Calculation Sheet'!$O$4:$O$40,$BJ40-3)="","",INDEX('Final Calculation Sheet'!$O$4:$O$40,$BJ40-3)),IF($BI40=1,SUM('Final Calculation Sheet'!$O$4:$O$40),IF($BH40&gt;0,SUMIFS('Final Calculation Sheet'!$O$4:$O$40,$AZ$5:$AZ$41,$BH40),"")))</f>
        <v/>
      </c>
      <c r="Q40" s="652">
        <f>IF($BJ40&gt;0,IF(INDEX('Final Calculation Sheet'!$P$4:$P$40,$BJ40-3)="","",INDEX('Final Calculation Sheet'!$P$4:$P$40,$BJ40-3)),IF($BI40=1,SUM('Final Calculation Sheet'!$P$4:$P$40),IF($BH40&gt;0,SUMIFS('Final Calculation Sheet'!$P$4:$P$40,$AZ$5:$AZ$41,$BH40),"")))</f>
        <v/>
      </c>
      <c r="R40" s="654">
        <f>IF($BJ40&gt;0,IF(INDEX('Final Calculation Sheet'!$Q$4:$Q$40,$BJ40-3)="","",INDEX('Final Calculation Sheet'!$Q$4:$Q$40,$BJ40-3)),IF(OR($BI40=1,$BH40&gt;0),"–",""))</f>
        <v/>
      </c>
      <c r="S40" s="652">
        <f>IF($BJ40&gt;0,IF(INDEX('Final Calculation Sheet'!$R$4:$R$40,$BJ40-3)="","",INDEX('Final Calculation Sheet'!$R$4:$R$40,$BJ40-3)),IF($BI40=1,SUM('Final Calculation Sheet'!$R$4:$R$40),IF($BH40&gt;0,SUMIFS('Final Calculation Sheet'!$R$4:$R$40,$AZ$5:$AZ$41,$BH40),"")))</f>
        <v/>
      </c>
      <c r="T40" s="652">
        <f>IF($BJ40&gt;0,IF(INDEX('Final Calculation Sheet'!$S$4:$S$40,$BJ40-3)="","",INDEX('Final Calculation Sheet'!$S$4:$S$40,$BJ40-3)),IF($BI40=1,SUM('Final Calculation Sheet'!$S$4:$S$40),IF($BH40&gt;0,SUMIFS('Final Calculation Sheet'!$S$4:$S$40,$AZ$5:$AZ$41,$BH40),"")))</f>
        <v/>
      </c>
      <c r="U40" s="652">
        <f>IF($BJ40&gt;0,IF(INDEX('Final Calculation Sheet'!$T$4:$T$40,$BJ40-3)="","",INDEX('Final Calculation Sheet'!$T$4:$T$40,$BJ40-3)),IF($BI40=1,SUM('Final Calculation Sheet'!$T$4:$T$40),IF($BH40&gt;0,SUMIFS('Final Calculation Sheet'!$T$4:$T$40,$AZ$5:$AZ$41,$BH40),"")))</f>
        <v/>
      </c>
      <c r="V40" s="655">
        <f>IF($BJ40&gt;0,IF(INDEX('Final Calculation Sheet'!$U$4:$U$40,$BJ40-3)="","",INDEX('Final Calculation Sheet'!$U$4:$U$40,$BJ40-3)),IF($BI40=1,SUM('Final Calculation Sheet'!$U$4:$U$40),IF($BH40&gt;0,SUMIFS('Final Calculation Sheet'!$U$4:$U$40,$AZ$5:$AZ$41,$BH40),"")))</f>
        <v/>
      </c>
      <c r="W40" s="652">
        <f>IF($BJ40&gt;0,IF(INDEX('Final Calculation Sheet'!$V$4:$V$40,$BJ40-3)="","",INDEX('Final Calculation Sheet'!$V$4:$V$40,$BJ40-3)),IF(OR($BI40=1,$BH40&gt;0),"–",""))</f>
        <v/>
      </c>
      <c r="X40" s="652">
        <f>IF($BJ40&gt;0,IF(INDEX('Final Calculation Sheet'!$W$4:$W$40,$BJ40-3)="","",INDEX('Final Calculation Sheet'!$W$4:$W$40,$BJ40-3)),IF($BI40=1,SUM('Final Calculation Sheet'!$W$4:$W$40),IF($BH40&gt;0,SUMIFS('Final Calculation Sheet'!$W$4:$W$40,$AZ$5:$AZ$41,$BH40),"")))</f>
        <v/>
      </c>
      <c r="Y40" s="652">
        <f>IF($BJ40&gt;0,IF(INDEX('Final Calculation Sheet'!$X$4:$X$40,$BJ40-3)="","",INDEX('Final Calculation Sheet'!$X$4:$X$40,$BJ40-3)),IF($BI40=1,SUM('Final Calculation Sheet'!$X$4:$X$40),IF($BH40&gt;0,SUMIFS('Final Calculation Sheet'!$X$4:$X$40,$AZ$5:$AZ$41,$BH40),"")))</f>
        <v/>
      </c>
      <c r="Z40" s="652">
        <f>IF($BJ40&gt;0,IF(INDEX('Final Calculation Sheet'!$Y$4:$Y$40,$BJ40-3)="","",INDEX('Final Calculation Sheet'!$Y$4:$Y$40,$BJ40-3)),IF(OR($BI40=1,$BH40&gt;0),"–",""))</f>
        <v/>
      </c>
      <c r="AA40" s="652">
        <f>IF($BJ40&gt;0,IF(INDEX('Final Calculation Sheet'!$Z$4:$Z$40,$BJ40-3)="","",INDEX('Final Calculation Sheet'!$Z$4:$Z$40,$BJ40-3)),IF($BI40=1,SUM('Final Calculation Sheet'!$Z$4:$Z$40),IF($BH40&gt;0,SUMIFS('Final Calculation Sheet'!$Z$4:$Z$40,$AZ$5:$AZ$41,$BH40),"")))</f>
        <v/>
      </c>
      <c r="AB40" s="652">
        <f>IF($BJ40&gt;0,IF(INDEX('Final Calculation Sheet'!$AA$4:$AA$40,$BJ40-3)="","",INDEX('Final Calculation Sheet'!$AA$4:$AA$40,$BJ40-3)),IF($BI40=1,SUM('Final Calculation Sheet'!$AA$4:$AA$40),IF($BH40&gt;0,SUMIFS('Final Calculation Sheet'!$AA$4:$AA$40,$AZ$5:$AZ$41,$BH40),"")))</f>
        <v/>
      </c>
      <c r="AC40" s="652">
        <f>IF($BJ40&gt;0,IF(INDEX('Final Calculation Sheet'!$AB$4:$AB$40,$BJ40-3)="","",INDEX('Final Calculation Sheet'!$AB$4:$AB$40,$BJ40-3)),IF(OR($BI40=1,$BH40&gt;0),"–",""))</f>
        <v/>
      </c>
      <c r="AD40" s="652">
        <f>IF($BJ40&gt;0,IF(INDEX('Final Calculation Sheet'!$AC$4:$AC$40,$BJ40-3)="","",INDEX('Final Calculation Sheet'!$AC$4:$AC$40,$BJ40-3)),IF($BI40=1,SUM('Final Calculation Sheet'!$AC$4:$AC$40),IF($BH40&gt;0,SUMIFS('Final Calculation Sheet'!$AC$4:$AC$40,$AZ$5:$AZ$41,$BH40),"")))</f>
        <v/>
      </c>
      <c r="AE40" s="652">
        <f>IF($BJ40&gt;0,IF(INDEX('Final Calculation Sheet'!$AD$4:$AD$40,$BJ40-3)="","",INDEX('Final Calculation Sheet'!$AD$4:$AD$40,$BJ40-3)),IF($BI40=1,SUM('Final Calculation Sheet'!$AD$4:$AD$40),IF($BH40&gt;0,SUMIFS('Final Calculation Sheet'!$AD$4:$AD$40,$AZ$5:$AZ$41,$BH40),"")))</f>
        <v/>
      </c>
      <c r="AF40" s="652">
        <f>IF($BJ40&gt;0,IF(INDEX('Final Calculation Sheet'!$AE$4:$AE$40,$BJ40-3)="","",INDEX('Final Calculation Sheet'!$AE$4:$AE$40,$BJ40-3)),IF(OR($BI40=1,$BH40&gt;0),"–",""))</f>
        <v/>
      </c>
      <c r="AG40" s="656">
        <f>IF($BJ40&gt;0,IF(INDEX('Final Calculation Sheet'!$AF$4:$AF$40,$BJ40-3)="","",INDEX('Final Calculation Sheet'!$AF$4:$AF$40,$BJ40-3)),IF(OR($BI40=1,$BH40&gt;0),"–",""))</f>
        <v/>
      </c>
      <c r="AH40" s="652">
        <f>IF($BJ40&gt;0,IF(INDEX('Final Calculation Sheet'!$AG$4:$AG$40,$BJ40-3)="","",INDEX('Final Calculation Sheet'!$AG$4:$AG$40,$BJ40-3)),IF(OR($BI40=1,$BH40&gt;0),"–",""))</f>
        <v/>
      </c>
      <c r="AI40" s="657">
        <f>IF($BJ40&gt;0,IF(INDEX('Final Calculation Sheet'!$AD$4:$AD$40,$BJ40-3)="","",IF(INDEX('Final Calculation Sheet'!$AD$4:$AD$40,$BJ40-3)&lt;=0,"SETTLED","OUTSTANDING")),IF(OR($BI40=1,$BH40&gt;0),IF(IF($BI40=1,SUM('Final Calculation Sheet'!$AD$4:$AD$40),SUMIFS('Final Calculation Sheet'!$AD$4:$AD$40,$AZ$5:$AZ$41,$BH40))&lt;=0,"ALL SETTLED","OUTSTANDING"),""))</f>
        <v/>
      </c>
      <c r="AK40">
        <f>IF($F$3="Lot No.",'Final Calculation Sheet'!$F$39,IF($F$3="Buyer",'Final Calculation Sheet'!$G$39,IF($F$3="Lot Name",'Final Calculation Sheet'!$B$39,IF($F$3="Bid Sheet",'Final Calculation Sheet'!$D$39,IF($F$3="Unit",'Final Calculation Sheet'!$E$39,'Final Calculation Sheet'!$F$39&amp;" "&amp;'Final Calculation Sheet'!$G$39&amp;" "&amp;'Final Calculation Sheet'!$B$39)))))</f>
        <v/>
      </c>
      <c r="AM40">
        <f>IF($B$3="",1,IF(AND(IF(COUNTIF($AR$9:$AY$9,1)=0,TRUE,SUMPRODUCT(($AR$9:$AY$9=1)*($AR$6:$AY$6&lt;&gt;"")*ISNUMBER(SEARCH($AR$6:$AY$6,$AK40)))&gt;0),IF(COUNTIF($AR$9:$AY$9,2)=0,TRUE,SUMPRODUCT(($AR$9:$AY$9=2)*($AR$6:$AY$6&lt;&gt;"")*ISNUMBER(SEARCH($AR$6:$AY$6,$AK40)))&gt;0),IF(COUNTIF($AR$9:$AY$9,3)=0,TRUE,SUMPRODUCT(($AR$9:$AY$9=3)*($AR$6:$AY$6&lt;&gt;"")*ISNUMBER(SEARCH($AR$6:$AY$6,$AK40)))&gt;0),IF(COUNTIF($AR$9:$AY$9,4)=0,TRUE,SUMPRODUCT(($AR$9:$AY$9=4)*($AR$6:$AY$6&lt;&gt;"")*ISNUMBER(SEARCH($AR$6:$AY$6,$AK40)))&gt;0),IF(COUNTIF($AR$9:$AY$9,5)=0,TRUE,SUMPRODUCT(($AR$9:$AY$9=5)*($AR$6:$AY$6&lt;&gt;"")*ISNUMBER(SEARCH($AR$6:$AY$6,$AK40)))&gt;0),IF(COUNTIF($AR$9:$AY$9,6)=0,TRUE,SUMPRODUCT(($AR$9:$AY$9=6)*($AR$6:$AY$6&lt;&gt;"")*ISNUMBER(SEARCH($AR$6:$AY$6,$AK40)))&gt;0),IF(COUNTIF($AR$9:$AY$9,7)=0,TRUE,SUMPRODUCT(($AR$9:$AY$9=7)*($AR$6:$AY$6&lt;&gt;"")*ISNUMBER(SEARCH($AR$6:$AY$6,$AK40)))&gt;0),IF(COUNTIF($AR$9:$AY$9,8)=0,TRUE,SUMPRODUCT(($AR$9:$AY$9=8)*($AR$6:$AY$6&lt;&gt;"")*ISNUMBER(SEARCH($AR$6:$AY$6,$AK40)))&gt;0)),1,0))</f>
        <v/>
      </c>
      <c r="AZ40">
        <f>IF($B$3="",9,IF($AM40=0,10,IF(AND($AR$6&lt;&gt;"",ISNUMBER(SEARCH($AR$6,$AK40))),1,IF(AND($AS$6&lt;&gt;"",ISNUMBER(SEARCH($AS$6,$AK40))),2,IF(AND($AT$6&lt;&gt;"",ISNUMBER(SEARCH($AT$6,$AK40))),3,IF(AND($AU$6&lt;&gt;"",ISNUMBER(SEARCH($AU$6,$AK40))),4,IF(AND($AV$6&lt;&gt;"",ISNUMBER(SEARCH($AV$6,$AK40))),5,IF(AND($AW$6&lt;&gt;"",ISNUMBER(SEARCH($AW$6,$AK40))),6,IF(AND($AX$6&lt;&gt;"",ISNUMBER(SEARCH($AX$6,$AK40))),7,IF(AND($AY$6&lt;&gt;"",ISNUMBER(SEARCH($AY$6,$AK40))),8,0))))))))))</f>
        <v/>
      </c>
      <c r="BA40">
        <f>SUMPRODUCT(($AZ$5:$AZ$41=$AZ40)*($BC$5:$BC$41&lt;$BC40))+1</f>
        <v/>
      </c>
      <c r="BB40">
        <f>IF(INDEX($BF$4:$BF$13,$AZ40)=0,0,INDEX($BE$4:$BE$13,$AZ40)+$BA40-1)</f>
        <v/>
      </c>
      <c r="BC40" t="n">
        <v>39</v>
      </c>
      <c r="BH40">
        <f>IFERROR(MATCH(40,$BF$4:$BF$13,0),0)</f>
        <v/>
      </c>
      <c r="BI40">
        <f>IF(40=$BG$4,1,0)</f>
        <v/>
      </c>
      <c r="BJ40">
        <f>IF(OR($BH40&gt;0,$BI40=1),0,IFERROR(INDEX($BC$5:$BC$41,MATCH(40,$BB$5:$BB$41,0)),0))</f>
        <v/>
      </c>
      <c r="BK40">
        <f>IF($BJ40&gt;0,IF(INDEX($AZ$5:$AZ$41,MATCH(40,$BB$5:$BB$41,0))=10,1,0),IF($BH40=10,1,0))</f>
        <v/>
      </c>
    </row>
    <row r="41" ht="15" customHeight="1">
      <c r="A41" s="649">
        <f>IF($BJ41&gt;0,INDEX($BA$5:$BA$41,MATCH(41,$BB$5:$BB$41,0)),IF(OR($BI41=1,$BH41&gt;0),"∑",""))</f>
        <v/>
      </c>
      <c r="B41" s="650">
        <f>IF($BJ41&gt;0,IF(INDEX('Final Calculation Sheet'!$F$4:$F$40,$BJ41-3)="","",INDEX('Final Calculation Sheet'!$F$4:$F$40,$BJ41-3)),"")</f>
        <v/>
      </c>
      <c r="C41" s="650">
        <f>IF($BJ41&gt;0,IF(INDEX('Final Calculation Sheet'!$G$4:$G$40,$BJ41-3)="","",INDEX('Final Calculation Sheet'!$G$4:$G$40,$BJ41-3)),IF(OR($BI41=1,$BH41&gt;0),IF($BI41=1,37,INDEX($BD$4:$BD$13,$BH41))&amp;" lot(s)",""))</f>
        <v/>
      </c>
      <c r="D41" s="651">
        <f>IF($BJ41&gt;0,IF(INDEX('Final Calculation Sheet'!$B$4:$B$40,$BJ41-3)="","",INDEX('Final Calculation Sheet'!$B$4:$B$40,$BJ41-3)),IF(OR($BI41=1,$BH41&gt;0),IF($BI41=1,"GRAND TOTAL  —  matching + remaining",IF($BH41=10,"REMAINING  —  did not match the search",IF($BH41=9,"ALL LOTS  —  nothing typed in the box","GROUP "&amp;$BH41&amp;" TOTAL  —  lots matching  "&amp;INDEX($AR$6:$AY$6,$BH41)))),""))</f>
        <v/>
      </c>
      <c r="E41" s="651">
        <f>IF($BJ41&gt;0,IF(INDEX('Final Calculation Sheet'!$D$4:$D$40,$BJ41-3)="","",INDEX('Final Calculation Sheet'!$D$4:$D$40,$BJ41-3)),IF(OR($BI41=1,$BH41&gt;0),"–",""))</f>
        <v/>
      </c>
      <c r="F41" s="651">
        <f>IF($BJ41&gt;0,IF(INDEX('Final Calculation Sheet'!$A$4:$A$40,$BJ41-3)="","",INDEX('Final Calculation Sheet'!$A$4:$A$40,$BJ41-3)),IF($BI41=1,SUM('Final Calculation Sheet'!$A$4:$A$40),IF($BH41&gt;0,SUMIFS('Final Calculation Sheet'!$A$4:$A$40,$AZ$5:$AZ$41,$BH41),"")))</f>
        <v/>
      </c>
      <c r="G41" s="651">
        <f>IF($BJ41&gt;0,IF(INDEX('Final Calculation Sheet'!$E$4:$E$40,$BJ41-3)="","",INDEX('Final Calculation Sheet'!$E$4:$E$40,$BJ41-3)),IF(OR($BI41=1,$BH41&gt;0),"–",""))</f>
        <v/>
      </c>
      <c r="H41" s="652">
        <f>IF($BJ41&gt;0,IF(INDEX('Final Calculation Sheet'!$C$4:$C$40,$BJ41-3)="","",INDEX('Final Calculation Sheet'!$C$4:$C$40,$BJ41-3)),IF(OR($BI41=1,$BH41&gt;0),"–",""))</f>
        <v/>
      </c>
      <c r="I41" s="652">
        <f>IF($BJ41&gt;0,IF(INDEX('Final Calculation Sheet'!$H$4:$H$40,$BJ41-3)="","",INDEX('Final Calculation Sheet'!$H$4:$H$40,$BJ41-3)),IF($BI41=1,SUM('Final Calculation Sheet'!$H$4:$H$40),IF($BH41&gt;0,SUMIFS('Final Calculation Sheet'!$H$4:$H$40,$AZ$5:$AZ$41,$BH41),"")))</f>
        <v/>
      </c>
      <c r="J41" s="652">
        <f>IF($BJ41&gt;0,IF(INDEX('Final Calculation Sheet'!$I$4:$I$40,$BJ41-3)="","",INDEX('Final Calculation Sheet'!$I$4:$I$40,$BJ41-3)),IF($BI41=1,SUM('Final Calculation Sheet'!$I$4:$I$40),IF($BH41&gt;0,SUMIFS('Final Calculation Sheet'!$I$4:$I$40,$AZ$5:$AZ$41,$BH41),"")))</f>
        <v/>
      </c>
      <c r="K41" s="652">
        <f>IF($BJ41&gt;0,IF(INDEX('Final Calculation Sheet'!$J$4:$J$40,$BJ41-3)="","",INDEX('Final Calculation Sheet'!$J$4:$J$40,$BJ41-3)),IF($BI41=1,SUM('Final Calculation Sheet'!$J$4:$J$40),IF($BH41&gt;0,SUMIFS('Final Calculation Sheet'!$J$4:$J$40,$AZ$5:$AZ$41,$BH41),"")))</f>
        <v/>
      </c>
      <c r="L41" s="652">
        <f>IF($BJ41&gt;0,IF(INDEX('Final Calculation Sheet'!$K$4:$K$40,$BJ41-3)="","",INDEX('Final Calculation Sheet'!$K$4:$K$40,$BJ41-3)),IF($BI41=1,SUM('Final Calculation Sheet'!$K$4:$K$40),IF($BH41&gt;0,SUMIFS('Final Calculation Sheet'!$K$4:$K$40,$AZ$5:$AZ$41,$BH41),"")))</f>
        <v/>
      </c>
      <c r="M41" s="652">
        <f>IF($BJ41&gt;0,IF(INDEX('Final Calculation Sheet'!$L$4:$L$40,$BJ41-3)="","",INDEX('Final Calculation Sheet'!$L$4:$L$40,$BJ41-3)),IF($BI41=1,SUM('Final Calculation Sheet'!$L$4:$L$40),IF($BH41&gt;0,SUMIFS('Final Calculation Sheet'!$L$4:$L$40,$AZ$5:$AZ$41,$BH41),"")))</f>
        <v/>
      </c>
      <c r="N41" s="652">
        <f>IF($BJ41&gt;0,IF(INDEX('Final Calculation Sheet'!$M$4:$M$40,$BJ41-3)="","",INDEX('Final Calculation Sheet'!$M$4:$M$40,$BJ41-3)),IF($BI41=1,SUM('Final Calculation Sheet'!$M$4:$M$40),IF($BH41&gt;0,SUMIFS('Final Calculation Sheet'!$M$4:$M$40,$AZ$5:$AZ$41,$BH41),"")))</f>
        <v/>
      </c>
      <c r="O41" s="653">
        <f>IF($BJ41&gt;0,IF(INDEX('Final Calculation Sheet'!$N$4:$N$40,$BJ41-3)="","",INDEX('Final Calculation Sheet'!$N$4:$N$40,$BJ41-3)),IF($BI41=1,SUM('Final Calculation Sheet'!$N$4:$N$40),IF($BH41&gt;0,SUMIFS('Final Calculation Sheet'!$N$4:$N$40,$AZ$5:$AZ$41,$BH41),"")))</f>
        <v/>
      </c>
      <c r="P41" s="652">
        <f>IF($BJ41&gt;0,IF(INDEX('Final Calculation Sheet'!$O$4:$O$40,$BJ41-3)="","",INDEX('Final Calculation Sheet'!$O$4:$O$40,$BJ41-3)),IF($BI41=1,SUM('Final Calculation Sheet'!$O$4:$O$40),IF($BH41&gt;0,SUMIFS('Final Calculation Sheet'!$O$4:$O$40,$AZ$5:$AZ$41,$BH41),"")))</f>
        <v/>
      </c>
      <c r="Q41" s="652">
        <f>IF($BJ41&gt;0,IF(INDEX('Final Calculation Sheet'!$P$4:$P$40,$BJ41-3)="","",INDEX('Final Calculation Sheet'!$P$4:$P$40,$BJ41-3)),IF($BI41=1,SUM('Final Calculation Sheet'!$P$4:$P$40),IF($BH41&gt;0,SUMIFS('Final Calculation Sheet'!$P$4:$P$40,$AZ$5:$AZ$41,$BH41),"")))</f>
        <v/>
      </c>
      <c r="R41" s="654">
        <f>IF($BJ41&gt;0,IF(INDEX('Final Calculation Sheet'!$Q$4:$Q$40,$BJ41-3)="","",INDEX('Final Calculation Sheet'!$Q$4:$Q$40,$BJ41-3)),IF(OR($BI41=1,$BH41&gt;0),"–",""))</f>
        <v/>
      </c>
      <c r="S41" s="652">
        <f>IF($BJ41&gt;0,IF(INDEX('Final Calculation Sheet'!$R$4:$R$40,$BJ41-3)="","",INDEX('Final Calculation Sheet'!$R$4:$R$40,$BJ41-3)),IF($BI41=1,SUM('Final Calculation Sheet'!$R$4:$R$40),IF($BH41&gt;0,SUMIFS('Final Calculation Sheet'!$R$4:$R$40,$AZ$5:$AZ$41,$BH41),"")))</f>
        <v/>
      </c>
      <c r="T41" s="652">
        <f>IF($BJ41&gt;0,IF(INDEX('Final Calculation Sheet'!$S$4:$S$40,$BJ41-3)="","",INDEX('Final Calculation Sheet'!$S$4:$S$40,$BJ41-3)),IF($BI41=1,SUM('Final Calculation Sheet'!$S$4:$S$40),IF($BH41&gt;0,SUMIFS('Final Calculation Sheet'!$S$4:$S$40,$AZ$5:$AZ$41,$BH41),"")))</f>
        <v/>
      </c>
      <c r="U41" s="652">
        <f>IF($BJ41&gt;0,IF(INDEX('Final Calculation Sheet'!$T$4:$T$40,$BJ41-3)="","",INDEX('Final Calculation Sheet'!$T$4:$T$40,$BJ41-3)),IF($BI41=1,SUM('Final Calculation Sheet'!$T$4:$T$40),IF($BH41&gt;0,SUMIFS('Final Calculation Sheet'!$T$4:$T$40,$AZ$5:$AZ$41,$BH41),"")))</f>
        <v/>
      </c>
      <c r="V41" s="655">
        <f>IF($BJ41&gt;0,IF(INDEX('Final Calculation Sheet'!$U$4:$U$40,$BJ41-3)="","",INDEX('Final Calculation Sheet'!$U$4:$U$40,$BJ41-3)),IF($BI41=1,SUM('Final Calculation Sheet'!$U$4:$U$40),IF($BH41&gt;0,SUMIFS('Final Calculation Sheet'!$U$4:$U$40,$AZ$5:$AZ$41,$BH41),"")))</f>
        <v/>
      </c>
      <c r="W41" s="652">
        <f>IF($BJ41&gt;0,IF(INDEX('Final Calculation Sheet'!$V$4:$V$40,$BJ41-3)="","",INDEX('Final Calculation Sheet'!$V$4:$V$40,$BJ41-3)),IF(OR($BI41=1,$BH41&gt;0),"–",""))</f>
        <v/>
      </c>
      <c r="X41" s="652">
        <f>IF($BJ41&gt;0,IF(INDEX('Final Calculation Sheet'!$W$4:$W$40,$BJ41-3)="","",INDEX('Final Calculation Sheet'!$W$4:$W$40,$BJ41-3)),IF($BI41=1,SUM('Final Calculation Sheet'!$W$4:$W$40),IF($BH41&gt;0,SUMIFS('Final Calculation Sheet'!$W$4:$W$40,$AZ$5:$AZ$41,$BH41),"")))</f>
        <v/>
      </c>
      <c r="Y41" s="652">
        <f>IF($BJ41&gt;0,IF(INDEX('Final Calculation Sheet'!$X$4:$X$40,$BJ41-3)="","",INDEX('Final Calculation Sheet'!$X$4:$X$40,$BJ41-3)),IF($BI41=1,SUM('Final Calculation Sheet'!$X$4:$X$40),IF($BH41&gt;0,SUMIFS('Final Calculation Sheet'!$X$4:$X$40,$AZ$5:$AZ$41,$BH41),"")))</f>
        <v/>
      </c>
      <c r="Z41" s="652">
        <f>IF($BJ41&gt;0,IF(INDEX('Final Calculation Sheet'!$Y$4:$Y$40,$BJ41-3)="","",INDEX('Final Calculation Sheet'!$Y$4:$Y$40,$BJ41-3)),IF(OR($BI41=1,$BH41&gt;0),"–",""))</f>
        <v/>
      </c>
      <c r="AA41" s="652">
        <f>IF($BJ41&gt;0,IF(INDEX('Final Calculation Sheet'!$Z$4:$Z$40,$BJ41-3)="","",INDEX('Final Calculation Sheet'!$Z$4:$Z$40,$BJ41-3)),IF($BI41=1,SUM('Final Calculation Sheet'!$Z$4:$Z$40),IF($BH41&gt;0,SUMIFS('Final Calculation Sheet'!$Z$4:$Z$40,$AZ$5:$AZ$41,$BH41),"")))</f>
        <v/>
      </c>
      <c r="AB41" s="652">
        <f>IF($BJ41&gt;0,IF(INDEX('Final Calculation Sheet'!$AA$4:$AA$40,$BJ41-3)="","",INDEX('Final Calculation Sheet'!$AA$4:$AA$40,$BJ41-3)),IF($BI41=1,SUM('Final Calculation Sheet'!$AA$4:$AA$40),IF($BH41&gt;0,SUMIFS('Final Calculation Sheet'!$AA$4:$AA$40,$AZ$5:$AZ$41,$BH41),"")))</f>
        <v/>
      </c>
      <c r="AC41" s="652">
        <f>IF($BJ41&gt;0,IF(INDEX('Final Calculation Sheet'!$AB$4:$AB$40,$BJ41-3)="","",INDEX('Final Calculation Sheet'!$AB$4:$AB$40,$BJ41-3)),IF(OR($BI41=1,$BH41&gt;0),"–",""))</f>
        <v/>
      </c>
      <c r="AD41" s="652">
        <f>IF($BJ41&gt;0,IF(INDEX('Final Calculation Sheet'!$AC$4:$AC$40,$BJ41-3)="","",INDEX('Final Calculation Sheet'!$AC$4:$AC$40,$BJ41-3)),IF($BI41=1,SUM('Final Calculation Sheet'!$AC$4:$AC$40),IF($BH41&gt;0,SUMIFS('Final Calculation Sheet'!$AC$4:$AC$40,$AZ$5:$AZ$41,$BH41),"")))</f>
        <v/>
      </c>
      <c r="AE41" s="652">
        <f>IF($BJ41&gt;0,IF(INDEX('Final Calculation Sheet'!$AD$4:$AD$40,$BJ41-3)="","",INDEX('Final Calculation Sheet'!$AD$4:$AD$40,$BJ41-3)),IF($BI41=1,SUM('Final Calculation Sheet'!$AD$4:$AD$40),IF($BH41&gt;0,SUMIFS('Final Calculation Sheet'!$AD$4:$AD$40,$AZ$5:$AZ$41,$BH41),"")))</f>
        <v/>
      </c>
      <c r="AF41" s="652">
        <f>IF($BJ41&gt;0,IF(INDEX('Final Calculation Sheet'!$AE$4:$AE$40,$BJ41-3)="","",INDEX('Final Calculation Sheet'!$AE$4:$AE$40,$BJ41-3)),IF(OR($BI41=1,$BH41&gt;0),"–",""))</f>
        <v/>
      </c>
      <c r="AG41" s="656">
        <f>IF($BJ41&gt;0,IF(INDEX('Final Calculation Sheet'!$AF$4:$AF$40,$BJ41-3)="","",INDEX('Final Calculation Sheet'!$AF$4:$AF$40,$BJ41-3)),IF(OR($BI41=1,$BH41&gt;0),"–",""))</f>
        <v/>
      </c>
      <c r="AH41" s="652">
        <f>IF($BJ41&gt;0,IF(INDEX('Final Calculation Sheet'!$AG$4:$AG$40,$BJ41-3)="","",INDEX('Final Calculation Sheet'!$AG$4:$AG$40,$BJ41-3)),IF(OR($BI41=1,$BH41&gt;0),"–",""))</f>
        <v/>
      </c>
      <c r="AI41" s="657">
        <f>IF($BJ41&gt;0,IF(INDEX('Final Calculation Sheet'!$AD$4:$AD$40,$BJ41-3)="","",IF(INDEX('Final Calculation Sheet'!$AD$4:$AD$40,$BJ41-3)&lt;=0,"SETTLED","OUTSTANDING")),IF(OR($BI41=1,$BH41&gt;0),IF(IF($BI41=1,SUM('Final Calculation Sheet'!$AD$4:$AD$40),SUMIFS('Final Calculation Sheet'!$AD$4:$AD$40,$AZ$5:$AZ$41,$BH41))&lt;=0,"ALL SETTLED","OUTSTANDING"),""))</f>
        <v/>
      </c>
      <c r="AK41">
        <f>IF($F$3="Lot No.",'Final Calculation Sheet'!$F$40,IF($F$3="Buyer",'Final Calculation Sheet'!$G$40,IF($F$3="Lot Name",'Final Calculation Sheet'!$B$40,IF($F$3="Bid Sheet",'Final Calculation Sheet'!$D$40,IF($F$3="Unit",'Final Calculation Sheet'!$E$40,'Final Calculation Sheet'!$F$40&amp;" "&amp;'Final Calculation Sheet'!$G$40&amp;" "&amp;'Final Calculation Sheet'!$B$40)))))</f>
        <v/>
      </c>
      <c r="AM41">
        <f>IF($B$3="",1,IF(AND(IF(COUNTIF($AR$9:$AY$9,1)=0,TRUE,SUMPRODUCT(($AR$9:$AY$9=1)*($AR$6:$AY$6&lt;&gt;"")*ISNUMBER(SEARCH($AR$6:$AY$6,$AK41)))&gt;0),IF(COUNTIF($AR$9:$AY$9,2)=0,TRUE,SUMPRODUCT(($AR$9:$AY$9=2)*($AR$6:$AY$6&lt;&gt;"")*ISNUMBER(SEARCH($AR$6:$AY$6,$AK41)))&gt;0),IF(COUNTIF($AR$9:$AY$9,3)=0,TRUE,SUMPRODUCT(($AR$9:$AY$9=3)*($AR$6:$AY$6&lt;&gt;"")*ISNUMBER(SEARCH($AR$6:$AY$6,$AK41)))&gt;0),IF(COUNTIF($AR$9:$AY$9,4)=0,TRUE,SUMPRODUCT(($AR$9:$AY$9=4)*($AR$6:$AY$6&lt;&gt;"")*ISNUMBER(SEARCH($AR$6:$AY$6,$AK41)))&gt;0),IF(COUNTIF($AR$9:$AY$9,5)=0,TRUE,SUMPRODUCT(($AR$9:$AY$9=5)*($AR$6:$AY$6&lt;&gt;"")*ISNUMBER(SEARCH($AR$6:$AY$6,$AK41)))&gt;0),IF(COUNTIF($AR$9:$AY$9,6)=0,TRUE,SUMPRODUCT(($AR$9:$AY$9=6)*($AR$6:$AY$6&lt;&gt;"")*ISNUMBER(SEARCH($AR$6:$AY$6,$AK41)))&gt;0),IF(COUNTIF($AR$9:$AY$9,7)=0,TRUE,SUMPRODUCT(($AR$9:$AY$9=7)*($AR$6:$AY$6&lt;&gt;"")*ISNUMBER(SEARCH($AR$6:$AY$6,$AK41)))&gt;0),IF(COUNTIF($AR$9:$AY$9,8)=0,TRUE,SUMPRODUCT(($AR$9:$AY$9=8)*($AR$6:$AY$6&lt;&gt;"")*ISNUMBER(SEARCH($AR$6:$AY$6,$AK41)))&gt;0)),1,0))</f>
        <v/>
      </c>
      <c r="AZ41">
        <f>IF($B$3="",9,IF($AM41=0,10,IF(AND($AR$6&lt;&gt;"",ISNUMBER(SEARCH($AR$6,$AK41))),1,IF(AND($AS$6&lt;&gt;"",ISNUMBER(SEARCH($AS$6,$AK41))),2,IF(AND($AT$6&lt;&gt;"",ISNUMBER(SEARCH($AT$6,$AK41))),3,IF(AND($AU$6&lt;&gt;"",ISNUMBER(SEARCH($AU$6,$AK41))),4,IF(AND($AV$6&lt;&gt;"",ISNUMBER(SEARCH($AV$6,$AK41))),5,IF(AND($AW$6&lt;&gt;"",ISNUMBER(SEARCH($AW$6,$AK41))),6,IF(AND($AX$6&lt;&gt;"",ISNUMBER(SEARCH($AX$6,$AK41))),7,IF(AND($AY$6&lt;&gt;"",ISNUMBER(SEARCH($AY$6,$AK41))),8,0))))))))))</f>
        <v/>
      </c>
      <c r="BA41">
        <f>SUMPRODUCT(($AZ$5:$AZ$41=$AZ41)*($BC$5:$BC$41&lt;$BC41))+1</f>
        <v/>
      </c>
      <c r="BB41">
        <f>IF(INDEX($BF$4:$BF$13,$AZ41)=0,0,INDEX($BE$4:$BE$13,$AZ41)+$BA41-1)</f>
        <v/>
      </c>
      <c r="BC41" t="n">
        <v>40</v>
      </c>
      <c r="BH41">
        <f>IFERROR(MATCH(41,$BF$4:$BF$13,0),0)</f>
        <v/>
      </c>
      <c r="BI41">
        <f>IF(41=$BG$4,1,0)</f>
        <v/>
      </c>
      <c r="BJ41">
        <f>IF(OR($BH41&gt;0,$BI41=1),0,IFERROR(INDEX($BC$5:$BC$41,MATCH(41,$BB$5:$BB$41,0)),0))</f>
        <v/>
      </c>
      <c r="BK41">
        <f>IF($BJ41&gt;0,IF(INDEX($AZ$5:$AZ$41,MATCH(41,$BB$5:$BB$41,0))=10,1,0),IF($BH41=10,1,0))</f>
        <v/>
      </c>
    </row>
    <row r="42" ht="15" customHeight="1">
      <c r="A42" s="649">
        <f>IF($BJ42&gt;0,INDEX($BA$5:$BA$41,MATCH(42,$BB$5:$BB$41,0)),IF(OR($BI42=1,$BH42&gt;0),"∑",""))</f>
        <v/>
      </c>
      <c r="B42" s="650">
        <f>IF($BJ42&gt;0,IF(INDEX('Final Calculation Sheet'!$F$4:$F$40,$BJ42-3)="","",INDEX('Final Calculation Sheet'!$F$4:$F$40,$BJ42-3)),"")</f>
        <v/>
      </c>
      <c r="C42" s="650">
        <f>IF($BJ42&gt;0,IF(INDEX('Final Calculation Sheet'!$G$4:$G$40,$BJ42-3)="","",INDEX('Final Calculation Sheet'!$G$4:$G$40,$BJ42-3)),IF(OR($BI42=1,$BH42&gt;0),IF($BI42=1,37,INDEX($BD$4:$BD$13,$BH42))&amp;" lot(s)",""))</f>
        <v/>
      </c>
      <c r="D42" s="651">
        <f>IF($BJ42&gt;0,IF(INDEX('Final Calculation Sheet'!$B$4:$B$40,$BJ42-3)="","",INDEX('Final Calculation Sheet'!$B$4:$B$40,$BJ42-3)),IF(OR($BI42=1,$BH42&gt;0),IF($BI42=1,"GRAND TOTAL  —  matching + remaining",IF($BH42=10,"REMAINING  —  did not match the search",IF($BH42=9,"ALL LOTS  —  nothing typed in the box","GROUP "&amp;$BH42&amp;" TOTAL  —  lots matching  "&amp;INDEX($AR$6:$AY$6,$BH42)))),""))</f>
        <v/>
      </c>
      <c r="E42" s="651">
        <f>IF($BJ42&gt;0,IF(INDEX('Final Calculation Sheet'!$D$4:$D$40,$BJ42-3)="","",INDEX('Final Calculation Sheet'!$D$4:$D$40,$BJ42-3)),IF(OR($BI42=1,$BH42&gt;0),"–",""))</f>
        <v/>
      </c>
      <c r="F42" s="651">
        <f>IF($BJ42&gt;0,IF(INDEX('Final Calculation Sheet'!$A$4:$A$40,$BJ42-3)="","",INDEX('Final Calculation Sheet'!$A$4:$A$40,$BJ42-3)),IF($BI42=1,SUM('Final Calculation Sheet'!$A$4:$A$40),IF($BH42&gt;0,SUMIFS('Final Calculation Sheet'!$A$4:$A$40,$AZ$5:$AZ$41,$BH42),"")))</f>
        <v/>
      </c>
      <c r="G42" s="651">
        <f>IF($BJ42&gt;0,IF(INDEX('Final Calculation Sheet'!$E$4:$E$40,$BJ42-3)="","",INDEX('Final Calculation Sheet'!$E$4:$E$40,$BJ42-3)),IF(OR($BI42=1,$BH42&gt;0),"–",""))</f>
        <v/>
      </c>
      <c r="H42" s="652">
        <f>IF($BJ42&gt;0,IF(INDEX('Final Calculation Sheet'!$C$4:$C$40,$BJ42-3)="","",INDEX('Final Calculation Sheet'!$C$4:$C$40,$BJ42-3)),IF(OR($BI42=1,$BH42&gt;0),"–",""))</f>
        <v/>
      </c>
      <c r="I42" s="652">
        <f>IF($BJ42&gt;0,IF(INDEX('Final Calculation Sheet'!$H$4:$H$40,$BJ42-3)="","",INDEX('Final Calculation Sheet'!$H$4:$H$40,$BJ42-3)),IF($BI42=1,SUM('Final Calculation Sheet'!$H$4:$H$40),IF($BH42&gt;0,SUMIFS('Final Calculation Sheet'!$H$4:$H$40,$AZ$5:$AZ$41,$BH42),"")))</f>
        <v/>
      </c>
      <c r="J42" s="652">
        <f>IF($BJ42&gt;0,IF(INDEX('Final Calculation Sheet'!$I$4:$I$40,$BJ42-3)="","",INDEX('Final Calculation Sheet'!$I$4:$I$40,$BJ42-3)),IF($BI42=1,SUM('Final Calculation Sheet'!$I$4:$I$40),IF($BH42&gt;0,SUMIFS('Final Calculation Sheet'!$I$4:$I$40,$AZ$5:$AZ$41,$BH42),"")))</f>
        <v/>
      </c>
      <c r="K42" s="652">
        <f>IF($BJ42&gt;0,IF(INDEX('Final Calculation Sheet'!$J$4:$J$40,$BJ42-3)="","",INDEX('Final Calculation Sheet'!$J$4:$J$40,$BJ42-3)),IF($BI42=1,SUM('Final Calculation Sheet'!$J$4:$J$40),IF($BH42&gt;0,SUMIFS('Final Calculation Sheet'!$J$4:$J$40,$AZ$5:$AZ$41,$BH42),"")))</f>
        <v/>
      </c>
      <c r="L42" s="652">
        <f>IF($BJ42&gt;0,IF(INDEX('Final Calculation Sheet'!$K$4:$K$40,$BJ42-3)="","",INDEX('Final Calculation Sheet'!$K$4:$K$40,$BJ42-3)),IF($BI42=1,SUM('Final Calculation Sheet'!$K$4:$K$40),IF($BH42&gt;0,SUMIFS('Final Calculation Sheet'!$K$4:$K$40,$AZ$5:$AZ$41,$BH42),"")))</f>
        <v/>
      </c>
      <c r="M42" s="652">
        <f>IF($BJ42&gt;0,IF(INDEX('Final Calculation Sheet'!$L$4:$L$40,$BJ42-3)="","",INDEX('Final Calculation Sheet'!$L$4:$L$40,$BJ42-3)),IF($BI42=1,SUM('Final Calculation Sheet'!$L$4:$L$40),IF($BH42&gt;0,SUMIFS('Final Calculation Sheet'!$L$4:$L$40,$AZ$5:$AZ$41,$BH42),"")))</f>
        <v/>
      </c>
      <c r="N42" s="652">
        <f>IF($BJ42&gt;0,IF(INDEX('Final Calculation Sheet'!$M$4:$M$40,$BJ42-3)="","",INDEX('Final Calculation Sheet'!$M$4:$M$40,$BJ42-3)),IF($BI42=1,SUM('Final Calculation Sheet'!$M$4:$M$40),IF($BH42&gt;0,SUMIFS('Final Calculation Sheet'!$M$4:$M$40,$AZ$5:$AZ$41,$BH42),"")))</f>
        <v/>
      </c>
      <c r="O42" s="653">
        <f>IF($BJ42&gt;0,IF(INDEX('Final Calculation Sheet'!$N$4:$N$40,$BJ42-3)="","",INDEX('Final Calculation Sheet'!$N$4:$N$40,$BJ42-3)),IF($BI42=1,SUM('Final Calculation Sheet'!$N$4:$N$40),IF($BH42&gt;0,SUMIFS('Final Calculation Sheet'!$N$4:$N$40,$AZ$5:$AZ$41,$BH42),"")))</f>
        <v/>
      </c>
      <c r="P42" s="652">
        <f>IF($BJ42&gt;0,IF(INDEX('Final Calculation Sheet'!$O$4:$O$40,$BJ42-3)="","",INDEX('Final Calculation Sheet'!$O$4:$O$40,$BJ42-3)),IF($BI42=1,SUM('Final Calculation Sheet'!$O$4:$O$40),IF($BH42&gt;0,SUMIFS('Final Calculation Sheet'!$O$4:$O$40,$AZ$5:$AZ$41,$BH42),"")))</f>
        <v/>
      </c>
      <c r="Q42" s="652">
        <f>IF($BJ42&gt;0,IF(INDEX('Final Calculation Sheet'!$P$4:$P$40,$BJ42-3)="","",INDEX('Final Calculation Sheet'!$P$4:$P$40,$BJ42-3)),IF($BI42=1,SUM('Final Calculation Sheet'!$P$4:$P$40),IF($BH42&gt;0,SUMIFS('Final Calculation Sheet'!$P$4:$P$40,$AZ$5:$AZ$41,$BH42),"")))</f>
        <v/>
      </c>
      <c r="R42" s="654">
        <f>IF($BJ42&gt;0,IF(INDEX('Final Calculation Sheet'!$Q$4:$Q$40,$BJ42-3)="","",INDEX('Final Calculation Sheet'!$Q$4:$Q$40,$BJ42-3)),IF(OR($BI42=1,$BH42&gt;0),"–",""))</f>
        <v/>
      </c>
      <c r="S42" s="652">
        <f>IF($BJ42&gt;0,IF(INDEX('Final Calculation Sheet'!$R$4:$R$40,$BJ42-3)="","",INDEX('Final Calculation Sheet'!$R$4:$R$40,$BJ42-3)),IF($BI42=1,SUM('Final Calculation Sheet'!$R$4:$R$40),IF($BH42&gt;0,SUMIFS('Final Calculation Sheet'!$R$4:$R$40,$AZ$5:$AZ$41,$BH42),"")))</f>
        <v/>
      </c>
      <c r="T42" s="652">
        <f>IF($BJ42&gt;0,IF(INDEX('Final Calculation Sheet'!$S$4:$S$40,$BJ42-3)="","",INDEX('Final Calculation Sheet'!$S$4:$S$40,$BJ42-3)),IF($BI42=1,SUM('Final Calculation Sheet'!$S$4:$S$40),IF($BH42&gt;0,SUMIFS('Final Calculation Sheet'!$S$4:$S$40,$AZ$5:$AZ$41,$BH42),"")))</f>
        <v/>
      </c>
      <c r="U42" s="652">
        <f>IF($BJ42&gt;0,IF(INDEX('Final Calculation Sheet'!$T$4:$T$40,$BJ42-3)="","",INDEX('Final Calculation Sheet'!$T$4:$T$40,$BJ42-3)),IF($BI42=1,SUM('Final Calculation Sheet'!$T$4:$T$40),IF($BH42&gt;0,SUMIFS('Final Calculation Sheet'!$T$4:$T$40,$AZ$5:$AZ$41,$BH42),"")))</f>
        <v/>
      </c>
      <c r="V42" s="655">
        <f>IF($BJ42&gt;0,IF(INDEX('Final Calculation Sheet'!$U$4:$U$40,$BJ42-3)="","",INDEX('Final Calculation Sheet'!$U$4:$U$40,$BJ42-3)),IF($BI42=1,SUM('Final Calculation Sheet'!$U$4:$U$40),IF($BH42&gt;0,SUMIFS('Final Calculation Sheet'!$U$4:$U$40,$AZ$5:$AZ$41,$BH42),"")))</f>
        <v/>
      </c>
      <c r="W42" s="652">
        <f>IF($BJ42&gt;0,IF(INDEX('Final Calculation Sheet'!$V$4:$V$40,$BJ42-3)="","",INDEX('Final Calculation Sheet'!$V$4:$V$40,$BJ42-3)),IF(OR($BI42=1,$BH42&gt;0),"–",""))</f>
        <v/>
      </c>
      <c r="X42" s="652">
        <f>IF($BJ42&gt;0,IF(INDEX('Final Calculation Sheet'!$W$4:$W$40,$BJ42-3)="","",INDEX('Final Calculation Sheet'!$W$4:$W$40,$BJ42-3)),IF($BI42=1,SUM('Final Calculation Sheet'!$W$4:$W$40),IF($BH42&gt;0,SUMIFS('Final Calculation Sheet'!$W$4:$W$40,$AZ$5:$AZ$41,$BH42),"")))</f>
        <v/>
      </c>
      <c r="Y42" s="652">
        <f>IF($BJ42&gt;0,IF(INDEX('Final Calculation Sheet'!$X$4:$X$40,$BJ42-3)="","",INDEX('Final Calculation Sheet'!$X$4:$X$40,$BJ42-3)),IF($BI42=1,SUM('Final Calculation Sheet'!$X$4:$X$40),IF($BH42&gt;0,SUMIFS('Final Calculation Sheet'!$X$4:$X$40,$AZ$5:$AZ$41,$BH42),"")))</f>
        <v/>
      </c>
      <c r="Z42" s="652">
        <f>IF($BJ42&gt;0,IF(INDEX('Final Calculation Sheet'!$Y$4:$Y$40,$BJ42-3)="","",INDEX('Final Calculation Sheet'!$Y$4:$Y$40,$BJ42-3)),IF(OR($BI42=1,$BH42&gt;0),"–",""))</f>
        <v/>
      </c>
      <c r="AA42" s="652">
        <f>IF($BJ42&gt;0,IF(INDEX('Final Calculation Sheet'!$Z$4:$Z$40,$BJ42-3)="","",INDEX('Final Calculation Sheet'!$Z$4:$Z$40,$BJ42-3)),IF($BI42=1,SUM('Final Calculation Sheet'!$Z$4:$Z$40),IF($BH42&gt;0,SUMIFS('Final Calculation Sheet'!$Z$4:$Z$40,$AZ$5:$AZ$41,$BH42),"")))</f>
        <v/>
      </c>
      <c r="AB42" s="652">
        <f>IF($BJ42&gt;0,IF(INDEX('Final Calculation Sheet'!$AA$4:$AA$40,$BJ42-3)="","",INDEX('Final Calculation Sheet'!$AA$4:$AA$40,$BJ42-3)),IF($BI42=1,SUM('Final Calculation Sheet'!$AA$4:$AA$40),IF($BH42&gt;0,SUMIFS('Final Calculation Sheet'!$AA$4:$AA$40,$AZ$5:$AZ$41,$BH42),"")))</f>
        <v/>
      </c>
      <c r="AC42" s="652">
        <f>IF($BJ42&gt;0,IF(INDEX('Final Calculation Sheet'!$AB$4:$AB$40,$BJ42-3)="","",INDEX('Final Calculation Sheet'!$AB$4:$AB$40,$BJ42-3)),IF(OR($BI42=1,$BH42&gt;0),"–",""))</f>
        <v/>
      </c>
      <c r="AD42" s="652">
        <f>IF($BJ42&gt;0,IF(INDEX('Final Calculation Sheet'!$AC$4:$AC$40,$BJ42-3)="","",INDEX('Final Calculation Sheet'!$AC$4:$AC$40,$BJ42-3)),IF($BI42=1,SUM('Final Calculation Sheet'!$AC$4:$AC$40),IF($BH42&gt;0,SUMIFS('Final Calculation Sheet'!$AC$4:$AC$40,$AZ$5:$AZ$41,$BH42),"")))</f>
        <v/>
      </c>
      <c r="AE42" s="652">
        <f>IF($BJ42&gt;0,IF(INDEX('Final Calculation Sheet'!$AD$4:$AD$40,$BJ42-3)="","",INDEX('Final Calculation Sheet'!$AD$4:$AD$40,$BJ42-3)),IF($BI42=1,SUM('Final Calculation Sheet'!$AD$4:$AD$40),IF($BH42&gt;0,SUMIFS('Final Calculation Sheet'!$AD$4:$AD$40,$AZ$5:$AZ$41,$BH42),"")))</f>
        <v/>
      </c>
      <c r="AF42" s="652">
        <f>IF($BJ42&gt;0,IF(INDEX('Final Calculation Sheet'!$AE$4:$AE$40,$BJ42-3)="","",INDEX('Final Calculation Sheet'!$AE$4:$AE$40,$BJ42-3)),IF(OR($BI42=1,$BH42&gt;0),"–",""))</f>
        <v/>
      </c>
      <c r="AG42" s="656">
        <f>IF($BJ42&gt;0,IF(INDEX('Final Calculation Sheet'!$AF$4:$AF$40,$BJ42-3)="","",INDEX('Final Calculation Sheet'!$AF$4:$AF$40,$BJ42-3)),IF(OR($BI42=1,$BH42&gt;0),"–",""))</f>
        <v/>
      </c>
      <c r="AH42" s="652">
        <f>IF($BJ42&gt;0,IF(INDEX('Final Calculation Sheet'!$AG$4:$AG$40,$BJ42-3)="","",INDEX('Final Calculation Sheet'!$AG$4:$AG$40,$BJ42-3)),IF(OR($BI42=1,$BH42&gt;0),"–",""))</f>
        <v/>
      </c>
      <c r="AI42" s="657">
        <f>IF($BJ42&gt;0,IF(INDEX('Final Calculation Sheet'!$AD$4:$AD$40,$BJ42-3)="","",IF(INDEX('Final Calculation Sheet'!$AD$4:$AD$40,$BJ42-3)&lt;=0,"SETTLED","OUTSTANDING")),IF(OR($BI42=1,$BH42&gt;0),IF(IF($BI42=1,SUM('Final Calculation Sheet'!$AD$4:$AD$40),SUMIFS('Final Calculation Sheet'!$AD$4:$AD$40,$AZ$5:$AZ$41,$BH42))&lt;=0,"ALL SETTLED","OUTSTANDING"),""))</f>
        <v/>
      </c>
      <c r="BH42">
        <f>IFERROR(MATCH(42,$BF$4:$BF$13,0),0)</f>
        <v/>
      </c>
      <c r="BI42">
        <f>IF(42=$BG$4,1,0)</f>
        <v/>
      </c>
      <c r="BJ42">
        <f>IF(OR($BH42&gt;0,$BI42=1),0,IFERROR(INDEX($BC$5:$BC$41,MATCH(42,$BB$5:$BB$41,0)),0))</f>
        <v/>
      </c>
      <c r="BK42">
        <f>IF($BJ42&gt;0,IF(INDEX($AZ$5:$AZ$41,MATCH(42,$BB$5:$BB$41,0))=10,1,0),IF($BH42=10,1,0))</f>
        <v/>
      </c>
    </row>
    <row r="43" ht="15" customHeight="1">
      <c r="A43" s="649">
        <f>IF($BJ43&gt;0,INDEX($BA$5:$BA$41,MATCH(43,$BB$5:$BB$41,0)),IF(OR($BI43=1,$BH43&gt;0),"∑",""))</f>
        <v/>
      </c>
      <c r="B43" s="650">
        <f>IF($BJ43&gt;0,IF(INDEX('Final Calculation Sheet'!$F$4:$F$40,$BJ43-3)="","",INDEX('Final Calculation Sheet'!$F$4:$F$40,$BJ43-3)),"")</f>
        <v/>
      </c>
      <c r="C43" s="650">
        <f>IF($BJ43&gt;0,IF(INDEX('Final Calculation Sheet'!$G$4:$G$40,$BJ43-3)="","",INDEX('Final Calculation Sheet'!$G$4:$G$40,$BJ43-3)),IF(OR($BI43=1,$BH43&gt;0),IF($BI43=1,37,INDEX($BD$4:$BD$13,$BH43))&amp;" lot(s)",""))</f>
        <v/>
      </c>
      <c r="D43" s="651">
        <f>IF($BJ43&gt;0,IF(INDEX('Final Calculation Sheet'!$B$4:$B$40,$BJ43-3)="","",INDEX('Final Calculation Sheet'!$B$4:$B$40,$BJ43-3)),IF(OR($BI43=1,$BH43&gt;0),IF($BI43=1,"GRAND TOTAL  —  matching + remaining",IF($BH43=10,"REMAINING  —  did not match the search",IF($BH43=9,"ALL LOTS  —  nothing typed in the box","GROUP "&amp;$BH43&amp;" TOTAL  —  lots matching  "&amp;INDEX($AR$6:$AY$6,$BH43)))),""))</f>
        <v/>
      </c>
      <c r="E43" s="651">
        <f>IF($BJ43&gt;0,IF(INDEX('Final Calculation Sheet'!$D$4:$D$40,$BJ43-3)="","",INDEX('Final Calculation Sheet'!$D$4:$D$40,$BJ43-3)),IF(OR($BI43=1,$BH43&gt;0),"–",""))</f>
        <v/>
      </c>
      <c r="F43" s="651">
        <f>IF($BJ43&gt;0,IF(INDEX('Final Calculation Sheet'!$A$4:$A$40,$BJ43-3)="","",INDEX('Final Calculation Sheet'!$A$4:$A$40,$BJ43-3)),IF($BI43=1,SUM('Final Calculation Sheet'!$A$4:$A$40),IF($BH43&gt;0,SUMIFS('Final Calculation Sheet'!$A$4:$A$40,$AZ$5:$AZ$41,$BH43),"")))</f>
        <v/>
      </c>
      <c r="G43" s="651">
        <f>IF($BJ43&gt;0,IF(INDEX('Final Calculation Sheet'!$E$4:$E$40,$BJ43-3)="","",INDEX('Final Calculation Sheet'!$E$4:$E$40,$BJ43-3)),IF(OR($BI43=1,$BH43&gt;0),"–",""))</f>
        <v/>
      </c>
      <c r="H43" s="652">
        <f>IF($BJ43&gt;0,IF(INDEX('Final Calculation Sheet'!$C$4:$C$40,$BJ43-3)="","",INDEX('Final Calculation Sheet'!$C$4:$C$40,$BJ43-3)),IF(OR($BI43=1,$BH43&gt;0),"–",""))</f>
        <v/>
      </c>
      <c r="I43" s="652">
        <f>IF($BJ43&gt;0,IF(INDEX('Final Calculation Sheet'!$H$4:$H$40,$BJ43-3)="","",INDEX('Final Calculation Sheet'!$H$4:$H$40,$BJ43-3)),IF($BI43=1,SUM('Final Calculation Sheet'!$H$4:$H$40),IF($BH43&gt;0,SUMIFS('Final Calculation Sheet'!$H$4:$H$40,$AZ$5:$AZ$41,$BH43),"")))</f>
        <v/>
      </c>
      <c r="J43" s="652">
        <f>IF($BJ43&gt;0,IF(INDEX('Final Calculation Sheet'!$I$4:$I$40,$BJ43-3)="","",INDEX('Final Calculation Sheet'!$I$4:$I$40,$BJ43-3)),IF($BI43=1,SUM('Final Calculation Sheet'!$I$4:$I$40),IF($BH43&gt;0,SUMIFS('Final Calculation Sheet'!$I$4:$I$40,$AZ$5:$AZ$41,$BH43),"")))</f>
        <v/>
      </c>
      <c r="K43" s="652">
        <f>IF($BJ43&gt;0,IF(INDEX('Final Calculation Sheet'!$J$4:$J$40,$BJ43-3)="","",INDEX('Final Calculation Sheet'!$J$4:$J$40,$BJ43-3)),IF($BI43=1,SUM('Final Calculation Sheet'!$J$4:$J$40),IF($BH43&gt;0,SUMIFS('Final Calculation Sheet'!$J$4:$J$40,$AZ$5:$AZ$41,$BH43),"")))</f>
        <v/>
      </c>
      <c r="L43" s="652">
        <f>IF($BJ43&gt;0,IF(INDEX('Final Calculation Sheet'!$K$4:$K$40,$BJ43-3)="","",INDEX('Final Calculation Sheet'!$K$4:$K$40,$BJ43-3)),IF($BI43=1,SUM('Final Calculation Sheet'!$K$4:$K$40),IF($BH43&gt;0,SUMIFS('Final Calculation Sheet'!$K$4:$K$40,$AZ$5:$AZ$41,$BH43),"")))</f>
        <v/>
      </c>
      <c r="M43" s="652">
        <f>IF($BJ43&gt;0,IF(INDEX('Final Calculation Sheet'!$L$4:$L$40,$BJ43-3)="","",INDEX('Final Calculation Sheet'!$L$4:$L$40,$BJ43-3)),IF($BI43=1,SUM('Final Calculation Sheet'!$L$4:$L$40),IF($BH43&gt;0,SUMIFS('Final Calculation Sheet'!$L$4:$L$40,$AZ$5:$AZ$41,$BH43),"")))</f>
        <v/>
      </c>
      <c r="N43" s="652">
        <f>IF($BJ43&gt;0,IF(INDEX('Final Calculation Sheet'!$M$4:$M$40,$BJ43-3)="","",INDEX('Final Calculation Sheet'!$M$4:$M$40,$BJ43-3)),IF($BI43=1,SUM('Final Calculation Sheet'!$M$4:$M$40),IF($BH43&gt;0,SUMIFS('Final Calculation Sheet'!$M$4:$M$40,$AZ$5:$AZ$41,$BH43),"")))</f>
        <v/>
      </c>
      <c r="O43" s="653">
        <f>IF($BJ43&gt;0,IF(INDEX('Final Calculation Sheet'!$N$4:$N$40,$BJ43-3)="","",INDEX('Final Calculation Sheet'!$N$4:$N$40,$BJ43-3)),IF($BI43=1,SUM('Final Calculation Sheet'!$N$4:$N$40),IF($BH43&gt;0,SUMIFS('Final Calculation Sheet'!$N$4:$N$40,$AZ$5:$AZ$41,$BH43),"")))</f>
        <v/>
      </c>
      <c r="P43" s="652">
        <f>IF($BJ43&gt;0,IF(INDEX('Final Calculation Sheet'!$O$4:$O$40,$BJ43-3)="","",INDEX('Final Calculation Sheet'!$O$4:$O$40,$BJ43-3)),IF($BI43=1,SUM('Final Calculation Sheet'!$O$4:$O$40),IF($BH43&gt;0,SUMIFS('Final Calculation Sheet'!$O$4:$O$40,$AZ$5:$AZ$41,$BH43),"")))</f>
        <v/>
      </c>
      <c r="Q43" s="652">
        <f>IF($BJ43&gt;0,IF(INDEX('Final Calculation Sheet'!$P$4:$P$40,$BJ43-3)="","",INDEX('Final Calculation Sheet'!$P$4:$P$40,$BJ43-3)),IF($BI43=1,SUM('Final Calculation Sheet'!$P$4:$P$40),IF($BH43&gt;0,SUMIFS('Final Calculation Sheet'!$P$4:$P$40,$AZ$5:$AZ$41,$BH43),"")))</f>
        <v/>
      </c>
      <c r="R43" s="654">
        <f>IF($BJ43&gt;0,IF(INDEX('Final Calculation Sheet'!$Q$4:$Q$40,$BJ43-3)="","",INDEX('Final Calculation Sheet'!$Q$4:$Q$40,$BJ43-3)),IF(OR($BI43=1,$BH43&gt;0),"–",""))</f>
        <v/>
      </c>
      <c r="S43" s="652">
        <f>IF($BJ43&gt;0,IF(INDEX('Final Calculation Sheet'!$R$4:$R$40,$BJ43-3)="","",INDEX('Final Calculation Sheet'!$R$4:$R$40,$BJ43-3)),IF($BI43=1,SUM('Final Calculation Sheet'!$R$4:$R$40),IF($BH43&gt;0,SUMIFS('Final Calculation Sheet'!$R$4:$R$40,$AZ$5:$AZ$41,$BH43),"")))</f>
        <v/>
      </c>
      <c r="T43" s="652">
        <f>IF($BJ43&gt;0,IF(INDEX('Final Calculation Sheet'!$S$4:$S$40,$BJ43-3)="","",INDEX('Final Calculation Sheet'!$S$4:$S$40,$BJ43-3)),IF($BI43=1,SUM('Final Calculation Sheet'!$S$4:$S$40),IF($BH43&gt;0,SUMIFS('Final Calculation Sheet'!$S$4:$S$40,$AZ$5:$AZ$41,$BH43),"")))</f>
        <v/>
      </c>
      <c r="U43" s="652">
        <f>IF($BJ43&gt;0,IF(INDEX('Final Calculation Sheet'!$T$4:$T$40,$BJ43-3)="","",INDEX('Final Calculation Sheet'!$T$4:$T$40,$BJ43-3)),IF($BI43=1,SUM('Final Calculation Sheet'!$T$4:$T$40),IF($BH43&gt;0,SUMIFS('Final Calculation Sheet'!$T$4:$T$40,$AZ$5:$AZ$41,$BH43),"")))</f>
        <v/>
      </c>
      <c r="V43" s="655">
        <f>IF($BJ43&gt;0,IF(INDEX('Final Calculation Sheet'!$U$4:$U$40,$BJ43-3)="","",INDEX('Final Calculation Sheet'!$U$4:$U$40,$BJ43-3)),IF($BI43=1,SUM('Final Calculation Sheet'!$U$4:$U$40),IF($BH43&gt;0,SUMIFS('Final Calculation Sheet'!$U$4:$U$40,$AZ$5:$AZ$41,$BH43),"")))</f>
        <v/>
      </c>
      <c r="W43" s="652">
        <f>IF($BJ43&gt;0,IF(INDEX('Final Calculation Sheet'!$V$4:$V$40,$BJ43-3)="","",INDEX('Final Calculation Sheet'!$V$4:$V$40,$BJ43-3)),IF(OR($BI43=1,$BH43&gt;0),"–",""))</f>
        <v/>
      </c>
      <c r="X43" s="652">
        <f>IF($BJ43&gt;0,IF(INDEX('Final Calculation Sheet'!$W$4:$W$40,$BJ43-3)="","",INDEX('Final Calculation Sheet'!$W$4:$W$40,$BJ43-3)),IF($BI43=1,SUM('Final Calculation Sheet'!$W$4:$W$40),IF($BH43&gt;0,SUMIFS('Final Calculation Sheet'!$W$4:$W$40,$AZ$5:$AZ$41,$BH43),"")))</f>
        <v/>
      </c>
      <c r="Y43" s="652">
        <f>IF($BJ43&gt;0,IF(INDEX('Final Calculation Sheet'!$X$4:$X$40,$BJ43-3)="","",INDEX('Final Calculation Sheet'!$X$4:$X$40,$BJ43-3)),IF($BI43=1,SUM('Final Calculation Sheet'!$X$4:$X$40),IF($BH43&gt;0,SUMIFS('Final Calculation Sheet'!$X$4:$X$40,$AZ$5:$AZ$41,$BH43),"")))</f>
        <v/>
      </c>
      <c r="Z43" s="652">
        <f>IF($BJ43&gt;0,IF(INDEX('Final Calculation Sheet'!$Y$4:$Y$40,$BJ43-3)="","",INDEX('Final Calculation Sheet'!$Y$4:$Y$40,$BJ43-3)),IF(OR($BI43=1,$BH43&gt;0),"–",""))</f>
        <v/>
      </c>
      <c r="AA43" s="652">
        <f>IF($BJ43&gt;0,IF(INDEX('Final Calculation Sheet'!$Z$4:$Z$40,$BJ43-3)="","",INDEX('Final Calculation Sheet'!$Z$4:$Z$40,$BJ43-3)),IF($BI43=1,SUM('Final Calculation Sheet'!$Z$4:$Z$40),IF($BH43&gt;0,SUMIFS('Final Calculation Sheet'!$Z$4:$Z$40,$AZ$5:$AZ$41,$BH43),"")))</f>
        <v/>
      </c>
      <c r="AB43" s="652">
        <f>IF($BJ43&gt;0,IF(INDEX('Final Calculation Sheet'!$AA$4:$AA$40,$BJ43-3)="","",INDEX('Final Calculation Sheet'!$AA$4:$AA$40,$BJ43-3)),IF($BI43=1,SUM('Final Calculation Sheet'!$AA$4:$AA$40),IF($BH43&gt;0,SUMIFS('Final Calculation Sheet'!$AA$4:$AA$40,$AZ$5:$AZ$41,$BH43),"")))</f>
        <v/>
      </c>
      <c r="AC43" s="652">
        <f>IF($BJ43&gt;0,IF(INDEX('Final Calculation Sheet'!$AB$4:$AB$40,$BJ43-3)="","",INDEX('Final Calculation Sheet'!$AB$4:$AB$40,$BJ43-3)),IF(OR($BI43=1,$BH43&gt;0),"–",""))</f>
        <v/>
      </c>
      <c r="AD43" s="652">
        <f>IF($BJ43&gt;0,IF(INDEX('Final Calculation Sheet'!$AC$4:$AC$40,$BJ43-3)="","",INDEX('Final Calculation Sheet'!$AC$4:$AC$40,$BJ43-3)),IF($BI43=1,SUM('Final Calculation Sheet'!$AC$4:$AC$40),IF($BH43&gt;0,SUMIFS('Final Calculation Sheet'!$AC$4:$AC$40,$AZ$5:$AZ$41,$BH43),"")))</f>
        <v/>
      </c>
      <c r="AE43" s="652">
        <f>IF($BJ43&gt;0,IF(INDEX('Final Calculation Sheet'!$AD$4:$AD$40,$BJ43-3)="","",INDEX('Final Calculation Sheet'!$AD$4:$AD$40,$BJ43-3)),IF($BI43=1,SUM('Final Calculation Sheet'!$AD$4:$AD$40),IF($BH43&gt;0,SUMIFS('Final Calculation Sheet'!$AD$4:$AD$40,$AZ$5:$AZ$41,$BH43),"")))</f>
        <v/>
      </c>
      <c r="AF43" s="652">
        <f>IF($BJ43&gt;0,IF(INDEX('Final Calculation Sheet'!$AE$4:$AE$40,$BJ43-3)="","",INDEX('Final Calculation Sheet'!$AE$4:$AE$40,$BJ43-3)),IF(OR($BI43=1,$BH43&gt;0),"–",""))</f>
        <v/>
      </c>
      <c r="AG43" s="656">
        <f>IF($BJ43&gt;0,IF(INDEX('Final Calculation Sheet'!$AF$4:$AF$40,$BJ43-3)="","",INDEX('Final Calculation Sheet'!$AF$4:$AF$40,$BJ43-3)),IF(OR($BI43=1,$BH43&gt;0),"–",""))</f>
        <v/>
      </c>
      <c r="AH43" s="652">
        <f>IF($BJ43&gt;0,IF(INDEX('Final Calculation Sheet'!$AG$4:$AG$40,$BJ43-3)="","",INDEX('Final Calculation Sheet'!$AG$4:$AG$40,$BJ43-3)),IF(OR($BI43=1,$BH43&gt;0),"–",""))</f>
        <v/>
      </c>
      <c r="AI43" s="657">
        <f>IF($BJ43&gt;0,IF(INDEX('Final Calculation Sheet'!$AD$4:$AD$40,$BJ43-3)="","",IF(INDEX('Final Calculation Sheet'!$AD$4:$AD$40,$BJ43-3)&lt;=0,"SETTLED","OUTSTANDING")),IF(OR($BI43=1,$BH43&gt;0),IF(IF($BI43=1,SUM('Final Calculation Sheet'!$AD$4:$AD$40),SUMIFS('Final Calculation Sheet'!$AD$4:$AD$40,$AZ$5:$AZ$41,$BH43))&lt;=0,"ALL SETTLED","OUTSTANDING"),""))</f>
        <v/>
      </c>
      <c r="BH43">
        <f>IFERROR(MATCH(43,$BF$4:$BF$13,0),0)</f>
        <v/>
      </c>
      <c r="BI43">
        <f>IF(43=$BG$4,1,0)</f>
        <v/>
      </c>
      <c r="BJ43">
        <f>IF(OR($BH43&gt;0,$BI43=1),0,IFERROR(INDEX($BC$5:$BC$41,MATCH(43,$BB$5:$BB$41,0)),0))</f>
        <v/>
      </c>
      <c r="BK43">
        <f>IF($BJ43&gt;0,IF(INDEX($AZ$5:$AZ$41,MATCH(43,$BB$5:$BB$41,0))=10,1,0),IF($BH43=10,1,0))</f>
        <v/>
      </c>
    </row>
    <row r="44" ht="15" customHeight="1">
      <c r="A44" s="649">
        <f>IF($BJ44&gt;0,INDEX($BA$5:$BA$41,MATCH(44,$BB$5:$BB$41,0)),IF(OR($BI44=1,$BH44&gt;0),"∑",""))</f>
        <v/>
      </c>
      <c r="B44" s="650">
        <f>IF($BJ44&gt;0,IF(INDEX('Final Calculation Sheet'!$F$4:$F$40,$BJ44-3)="","",INDEX('Final Calculation Sheet'!$F$4:$F$40,$BJ44-3)),"")</f>
        <v/>
      </c>
      <c r="C44" s="650">
        <f>IF($BJ44&gt;0,IF(INDEX('Final Calculation Sheet'!$G$4:$G$40,$BJ44-3)="","",INDEX('Final Calculation Sheet'!$G$4:$G$40,$BJ44-3)),IF(OR($BI44=1,$BH44&gt;0),IF($BI44=1,37,INDEX($BD$4:$BD$13,$BH44))&amp;" lot(s)",""))</f>
        <v/>
      </c>
      <c r="D44" s="651">
        <f>IF($BJ44&gt;0,IF(INDEX('Final Calculation Sheet'!$B$4:$B$40,$BJ44-3)="","",INDEX('Final Calculation Sheet'!$B$4:$B$40,$BJ44-3)),IF(OR($BI44=1,$BH44&gt;0),IF($BI44=1,"GRAND TOTAL  —  matching + remaining",IF($BH44=10,"REMAINING  —  did not match the search",IF($BH44=9,"ALL LOTS  —  nothing typed in the box","GROUP "&amp;$BH44&amp;" TOTAL  —  lots matching  "&amp;INDEX($AR$6:$AY$6,$BH44)))),""))</f>
        <v/>
      </c>
      <c r="E44" s="651">
        <f>IF($BJ44&gt;0,IF(INDEX('Final Calculation Sheet'!$D$4:$D$40,$BJ44-3)="","",INDEX('Final Calculation Sheet'!$D$4:$D$40,$BJ44-3)),IF(OR($BI44=1,$BH44&gt;0),"–",""))</f>
        <v/>
      </c>
      <c r="F44" s="651">
        <f>IF($BJ44&gt;0,IF(INDEX('Final Calculation Sheet'!$A$4:$A$40,$BJ44-3)="","",INDEX('Final Calculation Sheet'!$A$4:$A$40,$BJ44-3)),IF($BI44=1,SUM('Final Calculation Sheet'!$A$4:$A$40),IF($BH44&gt;0,SUMIFS('Final Calculation Sheet'!$A$4:$A$40,$AZ$5:$AZ$41,$BH44),"")))</f>
        <v/>
      </c>
      <c r="G44" s="651">
        <f>IF($BJ44&gt;0,IF(INDEX('Final Calculation Sheet'!$E$4:$E$40,$BJ44-3)="","",INDEX('Final Calculation Sheet'!$E$4:$E$40,$BJ44-3)),IF(OR($BI44=1,$BH44&gt;0),"–",""))</f>
        <v/>
      </c>
      <c r="H44" s="652">
        <f>IF($BJ44&gt;0,IF(INDEX('Final Calculation Sheet'!$C$4:$C$40,$BJ44-3)="","",INDEX('Final Calculation Sheet'!$C$4:$C$40,$BJ44-3)),IF(OR($BI44=1,$BH44&gt;0),"–",""))</f>
        <v/>
      </c>
      <c r="I44" s="652">
        <f>IF($BJ44&gt;0,IF(INDEX('Final Calculation Sheet'!$H$4:$H$40,$BJ44-3)="","",INDEX('Final Calculation Sheet'!$H$4:$H$40,$BJ44-3)),IF($BI44=1,SUM('Final Calculation Sheet'!$H$4:$H$40),IF($BH44&gt;0,SUMIFS('Final Calculation Sheet'!$H$4:$H$40,$AZ$5:$AZ$41,$BH44),"")))</f>
        <v/>
      </c>
      <c r="J44" s="652">
        <f>IF($BJ44&gt;0,IF(INDEX('Final Calculation Sheet'!$I$4:$I$40,$BJ44-3)="","",INDEX('Final Calculation Sheet'!$I$4:$I$40,$BJ44-3)),IF($BI44=1,SUM('Final Calculation Sheet'!$I$4:$I$40),IF($BH44&gt;0,SUMIFS('Final Calculation Sheet'!$I$4:$I$40,$AZ$5:$AZ$41,$BH44),"")))</f>
        <v/>
      </c>
      <c r="K44" s="652">
        <f>IF($BJ44&gt;0,IF(INDEX('Final Calculation Sheet'!$J$4:$J$40,$BJ44-3)="","",INDEX('Final Calculation Sheet'!$J$4:$J$40,$BJ44-3)),IF($BI44=1,SUM('Final Calculation Sheet'!$J$4:$J$40),IF($BH44&gt;0,SUMIFS('Final Calculation Sheet'!$J$4:$J$40,$AZ$5:$AZ$41,$BH44),"")))</f>
        <v/>
      </c>
      <c r="L44" s="652">
        <f>IF($BJ44&gt;0,IF(INDEX('Final Calculation Sheet'!$K$4:$K$40,$BJ44-3)="","",INDEX('Final Calculation Sheet'!$K$4:$K$40,$BJ44-3)),IF($BI44=1,SUM('Final Calculation Sheet'!$K$4:$K$40),IF($BH44&gt;0,SUMIFS('Final Calculation Sheet'!$K$4:$K$40,$AZ$5:$AZ$41,$BH44),"")))</f>
        <v/>
      </c>
      <c r="M44" s="652">
        <f>IF($BJ44&gt;0,IF(INDEX('Final Calculation Sheet'!$L$4:$L$40,$BJ44-3)="","",INDEX('Final Calculation Sheet'!$L$4:$L$40,$BJ44-3)),IF($BI44=1,SUM('Final Calculation Sheet'!$L$4:$L$40),IF($BH44&gt;0,SUMIFS('Final Calculation Sheet'!$L$4:$L$40,$AZ$5:$AZ$41,$BH44),"")))</f>
        <v/>
      </c>
      <c r="N44" s="652">
        <f>IF($BJ44&gt;0,IF(INDEX('Final Calculation Sheet'!$M$4:$M$40,$BJ44-3)="","",INDEX('Final Calculation Sheet'!$M$4:$M$40,$BJ44-3)),IF($BI44=1,SUM('Final Calculation Sheet'!$M$4:$M$40),IF($BH44&gt;0,SUMIFS('Final Calculation Sheet'!$M$4:$M$40,$AZ$5:$AZ$41,$BH44),"")))</f>
        <v/>
      </c>
      <c r="O44" s="653">
        <f>IF($BJ44&gt;0,IF(INDEX('Final Calculation Sheet'!$N$4:$N$40,$BJ44-3)="","",INDEX('Final Calculation Sheet'!$N$4:$N$40,$BJ44-3)),IF($BI44=1,SUM('Final Calculation Sheet'!$N$4:$N$40),IF($BH44&gt;0,SUMIFS('Final Calculation Sheet'!$N$4:$N$40,$AZ$5:$AZ$41,$BH44),"")))</f>
        <v/>
      </c>
      <c r="P44" s="652">
        <f>IF($BJ44&gt;0,IF(INDEX('Final Calculation Sheet'!$O$4:$O$40,$BJ44-3)="","",INDEX('Final Calculation Sheet'!$O$4:$O$40,$BJ44-3)),IF($BI44=1,SUM('Final Calculation Sheet'!$O$4:$O$40),IF($BH44&gt;0,SUMIFS('Final Calculation Sheet'!$O$4:$O$40,$AZ$5:$AZ$41,$BH44),"")))</f>
        <v/>
      </c>
      <c r="Q44" s="652">
        <f>IF($BJ44&gt;0,IF(INDEX('Final Calculation Sheet'!$P$4:$P$40,$BJ44-3)="","",INDEX('Final Calculation Sheet'!$P$4:$P$40,$BJ44-3)),IF($BI44=1,SUM('Final Calculation Sheet'!$P$4:$P$40),IF($BH44&gt;0,SUMIFS('Final Calculation Sheet'!$P$4:$P$40,$AZ$5:$AZ$41,$BH44),"")))</f>
        <v/>
      </c>
      <c r="R44" s="654">
        <f>IF($BJ44&gt;0,IF(INDEX('Final Calculation Sheet'!$Q$4:$Q$40,$BJ44-3)="","",INDEX('Final Calculation Sheet'!$Q$4:$Q$40,$BJ44-3)),IF(OR($BI44=1,$BH44&gt;0),"–",""))</f>
        <v/>
      </c>
      <c r="S44" s="652">
        <f>IF($BJ44&gt;0,IF(INDEX('Final Calculation Sheet'!$R$4:$R$40,$BJ44-3)="","",INDEX('Final Calculation Sheet'!$R$4:$R$40,$BJ44-3)),IF($BI44=1,SUM('Final Calculation Sheet'!$R$4:$R$40),IF($BH44&gt;0,SUMIFS('Final Calculation Sheet'!$R$4:$R$40,$AZ$5:$AZ$41,$BH44),"")))</f>
        <v/>
      </c>
      <c r="T44" s="652">
        <f>IF($BJ44&gt;0,IF(INDEX('Final Calculation Sheet'!$S$4:$S$40,$BJ44-3)="","",INDEX('Final Calculation Sheet'!$S$4:$S$40,$BJ44-3)),IF($BI44=1,SUM('Final Calculation Sheet'!$S$4:$S$40),IF($BH44&gt;0,SUMIFS('Final Calculation Sheet'!$S$4:$S$40,$AZ$5:$AZ$41,$BH44),"")))</f>
        <v/>
      </c>
      <c r="U44" s="652">
        <f>IF($BJ44&gt;0,IF(INDEX('Final Calculation Sheet'!$T$4:$T$40,$BJ44-3)="","",INDEX('Final Calculation Sheet'!$T$4:$T$40,$BJ44-3)),IF($BI44=1,SUM('Final Calculation Sheet'!$T$4:$T$40),IF($BH44&gt;0,SUMIFS('Final Calculation Sheet'!$T$4:$T$40,$AZ$5:$AZ$41,$BH44),"")))</f>
        <v/>
      </c>
      <c r="V44" s="655">
        <f>IF($BJ44&gt;0,IF(INDEX('Final Calculation Sheet'!$U$4:$U$40,$BJ44-3)="","",INDEX('Final Calculation Sheet'!$U$4:$U$40,$BJ44-3)),IF($BI44=1,SUM('Final Calculation Sheet'!$U$4:$U$40),IF($BH44&gt;0,SUMIFS('Final Calculation Sheet'!$U$4:$U$40,$AZ$5:$AZ$41,$BH44),"")))</f>
        <v/>
      </c>
      <c r="W44" s="652">
        <f>IF($BJ44&gt;0,IF(INDEX('Final Calculation Sheet'!$V$4:$V$40,$BJ44-3)="","",INDEX('Final Calculation Sheet'!$V$4:$V$40,$BJ44-3)),IF(OR($BI44=1,$BH44&gt;0),"–",""))</f>
        <v/>
      </c>
      <c r="X44" s="652">
        <f>IF($BJ44&gt;0,IF(INDEX('Final Calculation Sheet'!$W$4:$W$40,$BJ44-3)="","",INDEX('Final Calculation Sheet'!$W$4:$W$40,$BJ44-3)),IF($BI44=1,SUM('Final Calculation Sheet'!$W$4:$W$40),IF($BH44&gt;0,SUMIFS('Final Calculation Sheet'!$W$4:$W$40,$AZ$5:$AZ$41,$BH44),"")))</f>
        <v/>
      </c>
      <c r="Y44" s="652">
        <f>IF($BJ44&gt;0,IF(INDEX('Final Calculation Sheet'!$X$4:$X$40,$BJ44-3)="","",INDEX('Final Calculation Sheet'!$X$4:$X$40,$BJ44-3)),IF($BI44=1,SUM('Final Calculation Sheet'!$X$4:$X$40),IF($BH44&gt;0,SUMIFS('Final Calculation Sheet'!$X$4:$X$40,$AZ$5:$AZ$41,$BH44),"")))</f>
        <v/>
      </c>
      <c r="Z44" s="652">
        <f>IF($BJ44&gt;0,IF(INDEX('Final Calculation Sheet'!$Y$4:$Y$40,$BJ44-3)="","",INDEX('Final Calculation Sheet'!$Y$4:$Y$40,$BJ44-3)),IF(OR($BI44=1,$BH44&gt;0),"–",""))</f>
        <v/>
      </c>
      <c r="AA44" s="652">
        <f>IF($BJ44&gt;0,IF(INDEX('Final Calculation Sheet'!$Z$4:$Z$40,$BJ44-3)="","",INDEX('Final Calculation Sheet'!$Z$4:$Z$40,$BJ44-3)),IF($BI44=1,SUM('Final Calculation Sheet'!$Z$4:$Z$40),IF($BH44&gt;0,SUMIFS('Final Calculation Sheet'!$Z$4:$Z$40,$AZ$5:$AZ$41,$BH44),"")))</f>
        <v/>
      </c>
      <c r="AB44" s="652">
        <f>IF($BJ44&gt;0,IF(INDEX('Final Calculation Sheet'!$AA$4:$AA$40,$BJ44-3)="","",INDEX('Final Calculation Sheet'!$AA$4:$AA$40,$BJ44-3)),IF($BI44=1,SUM('Final Calculation Sheet'!$AA$4:$AA$40),IF($BH44&gt;0,SUMIFS('Final Calculation Sheet'!$AA$4:$AA$40,$AZ$5:$AZ$41,$BH44),"")))</f>
        <v/>
      </c>
      <c r="AC44" s="652">
        <f>IF($BJ44&gt;0,IF(INDEX('Final Calculation Sheet'!$AB$4:$AB$40,$BJ44-3)="","",INDEX('Final Calculation Sheet'!$AB$4:$AB$40,$BJ44-3)),IF(OR($BI44=1,$BH44&gt;0),"–",""))</f>
        <v/>
      </c>
      <c r="AD44" s="652">
        <f>IF($BJ44&gt;0,IF(INDEX('Final Calculation Sheet'!$AC$4:$AC$40,$BJ44-3)="","",INDEX('Final Calculation Sheet'!$AC$4:$AC$40,$BJ44-3)),IF($BI44=1,SUM('Final Calculation Sheet'!$AC$4:$AC$40),IF($BH44&gt;0,SUMIFS('Final Calculation Sheet'!$AC$4:$AC$40,$AZ$5:$AZ$41,$BH44),"")))</f>
        <v/>
      </c>
      <c r="AE44" s="652">
        <f>IF($BJ44&gt;0,IF(INDEX('Final Calculation Sheet'!$AD$4:$AD$40,$BJ44-3)="","",INDEX('Final Calculation Sheet'!$AD$4:$AD$40,$BJ44-3)),IF($BI44=1,SUM('Final Calculation Sheet'!$AD$4:$AD$40),IF($BH44&gt;0,SUMIFS('Final Calculation Sheet'!$AD$4:$AD$40,$AZ$5:$AZ$41,$BH44),"")))</f>
        <v/>
      </c>
      <c r="AF44" s="652">
        <f>IF($BJ44&gt;0,IF(INDEX('Final Calculation Sheet'!$AE$4:$AE$40,$BJ44-3)="","",INDEX('Final Calculation Sheet'!$AE$4:$AE$40,$BJ44-3)),IF(OR($BI44=1,$BH44&gt;0),"–",""))</f>
        <v/>
      </c>
      <c r="AG44" s="656">
        <f>IF($BJ44&gt;0,IF(INDEX('Final Calculation Sheet'!$AF$4:$AF$40,$BJ44-3)="","",INDEX('Final Calculation Sheet'!$AF$4:$AF$40,$BJ44-3)),IF(OR($BI44=1,$BH44&gt;0),"–",""))</f>
        <v/>
      </c>
      <c r="AH44" s="652">
        <f>IF($BJ44&gt;0,IF(INDEX('Final Calculation Sheet'!$AG$4:$AG$40,$BJ44-3)="","",INDEX('Final Calculation Sheet'!$AG$4:$AG$40,$BJ44-3)),IF(OR($BI44=1,$BH44&gt;0),"–",""))</f>
        <v/>
      </c>
      <c r="AI44" s="657">
        <f>IF($BJ44&gt;0,IF(INDEX('Final Calculation Sheet'!$AD$4:$AD$40,$BJ44-3)="","",IF(INDEX('Final Calculation Sheet'!$AD$4:$AD$40,$BJ44-3)&lt;=0,"SETTLED","OUTSTANDING")),IF(OR($BI44=1,$BH44&gt;0),IF(IF($BI44=1,SUM('Final Calculation Sheet'!$AD$4:$AD$40),SUMIFS('Final Calculation Sheet'!$AD$4:$AD$40,$AZ$5:$AZ$41,$BH44))&lt;=0,"ALL SETTLED","OUTSTANDING"),""))</f>
        <v/>
      </c>
      <c r="BH44">
        <f>IFERROR(MATCH(44,$BF$4:$BF$13,0),0)</f>
        <v/>
      </c>
      <c r="BI44">
        <f>IF(44=$BG$4,1,0)</f>
        <v/>
      </c>
      <c r="BJ44">
        <f>IF(OR($BH44&gt;0,$BI44=1),0,IFERROR(INDEX($BC$5:$BC$41,MATCH(44,$BB$5:$BB$41,0)),0))</f>
        <v/>
      </c>
      <c r="BK44">
        <f>IF($BJ44&gt;0,IF(INDEX($AZ$5:$AZ$41,MATCH(44,$BB$5:$BB$41,0))=10,1,0),IF($BH44=10,1,0))</f>
        <v/>
      </c>
    </row>
    <row r="45" ht="15" customHeight="1">
      <c r="A45" s="649">
        <f>IF($BJ45&gt;0,INDEX($BA$5:$BA$41,MATCH(45,$BB$5:$BB$41,0)),IF(OR($BI45=1,$BH45&gt;0),"∑",""))</f>
        <v/>
      </c>
      <c r="B45" s="650">
        <f>IF($BJ45&gt;0,IF(INDEX('Final Calculation Sheet'!$F$4:$F$40,$BJ45-3)="","",INDEX('Final Calculation Sheet'!$F$4:$F$40,$BJ45-3)),"")</f>
        <v/>
      </c>
      <c r="C45" s="650">
        <f>IF($BJ45&gt;0,IF(INDEX('Final Calculation Sheet'!$G$4:$G$40,$BJ45-3)="","",INDEX('Final Calculation Sheet'!$G$4:$G$40,$BJ45-3)),IF(OR($BI45=1,$BH45&gt;0),IF($BI45=1,37,INDEX($BD$4:$BD$13,$BH45))&amp;" lot(s)",""))</f>
        <v/>
      </c>
      <c r="D45" s="651">
        <f>IF($BJ45&gt;0,IF(INDEX('Final Calculation Sheet'!$B$4:$B$40,$BJ45-3)="","",INDEX('Final Calculation Sheet'!$B$4:$B$40,$BJ45-3)),IF(OR($BI45=1,$BH45&gt;0),IF($BI45=1,"GRAND TOTAL  —  matching + remaining",IF($BH45=10,"REMAINING  —  did not match the search",IF($BH45=9,"ALL LOTS  —  nothing typed in the box","GROUP "&amp;$BH45&amp;" TOTAL  —  lots matching  "&amp;INDEX($AR$6:$AY$6,$BH45)))),""))</f>
        <v/>
      </c>
      <c r="E45" s="651">
        <f>IF($BJ45&gt;0,IF(INDEX('Final Calculation Sheet'!$D$4:$D$40,$BJ45-3)="","",INDEX('Final Calculation Sheet'!$D$4:$D$40,$BJ45-3)),IF(OR($BI45=1,$BH45&gt;0),"–",""))</f>
        <v/>
      </c>
      <c r="F45" s="651">
        <f>IF($BJ45&gt;0,IF(INDEX('Final Calculation Sheet'!$A$4:$A$40,$BJ45-3)="","",INDEX('Final Calculation Sheet'!$A$4:$A$40,$BJ45-3)),IF($BI45=1,SUM('Final Calculation Sheet'!$A$4:$A$40),IF($BH45&gt;0,SUMIFS('Final Calculation Sheet'!$A$4:$A$40,$AZ$5:$AZ$41,$BH45),"")))</f>
        <v/>
      </c>
      <c r="G45" s="651">
        <f>IF($BJ45&gt;0,IF(INDEX('Final Calculation Sheet'!$E$4:$E$40,$BJ45-3)="","",INDEX('Final Calculation Sheet'!$E$4:$E$40,$BJ45-3)),IF(OR($BI45=1,$BH45&gt;0),"–",""))</f>
        <v/>
      </c>
      <c r="H45" s="652">
        <f>IF($BJ45&gt;0,IF(INDEX('Final Calculation Sheet'!$C$4:$C$40,$BJ45-3)="","",INDEX('Final Calculation Sheet'!$C$4:$C$40,$BJ45-3)),IF(OR($BI45=1,$BH45&gt;0),"–",""))</f>
        <v/>
      </c>
      <c r="I45" s="652">
        <f>IF($BJ45&gt;0,IF(INDEX('Final Calculation Sheet'!$H$4:$H$40,$BJ45-3)="","",INDEX('Final Calculation Sheet'!$H$4:$H$40,$BJ45-3)),IF($BI45=1,SUM('Final Calculation Sheet'!$H$4:$H$40),IF($BH45&gt;0,SUMIFS('Final Calculation Sheet'!$H$4:$H$40,$AZ$5:$AZ$41,$BH45),"")))</f>
        <v/>
      </c>
      <c r="J45" s="652">
        <f>IF($BJ45&gt;0,IF(INDEX('Final Calculation Sheet'!$I$4:$I$40,$BJ45-3)="","",INDEX('Final Calculation Sheet'!$I$4:$I$40,$BJ45-3)),IF($BI45=1,SUM('Final Calculation Sheet'!$I$4:$I$40),IF($BH45&gt;0,SUMIFS('Final Calculation Sheet'!$I$4:$I$40,$AZ$5:$AZ$41,$BH45),"")))</f>
        <v/>
      </c>
      <c r="K45" s="652">
        <f>IF($BJ45&gt;0,IF(INDEX('Final Calculation Sheet'!$J$4:$J$40,$BJ45-3)="","",INDEX('Final Calculation Sheet'!$J$4:$J$40,$BJ45-3)),IF($BI45=1,SUM('Final Calculation Sheet'!$J$4:$J$40),IF($BH45&gt;0,SUMIFS('Final Calculation Sheet'!$J$4:$J$40,$AZ$5:$AZ$41,$BH45),"")))</f>
        <v/>
      </c>
      <c r="L45" s="652">
        <f>IF($BJ45&gt;0,IF(INDEX('Final Calculation Sheet'!$K$4:$K$40,$BJ45-3)="","",INDEX('Final Calculation Sheet'!$K$4:$K$40,$BJ45-3)),IF($BI45=1,SUM('Final Calculation Sheet'!$K$4:$K$40),IF($BH45&gt;0,SUMIFS('Final Calculation Sheet'!$K$4:$K$40,$AZ$5:$AZ$41,$BH45),"")))</f>
        <v/>
      </c>
      <c r="M45" s="652">
        <f>IF($BJ45&gt;0,IF(INDEX('Final Calculation Sheet'!$L$4:$L$40,$BJ45-3)="","",INDEX('Final Calculation Sheet'!$L$4:$L$40,$BJ45-3)),IF($BI45=1,SUM('Final Calculation Sheet'!$L$4:$L$40),IF($BH45&gt;0,SUMIFS('Final Calculation Sheet'!$L$4:$L$40,$AZ$5:$AZ$41,$BH45),"")))</f>
        <v/>
      </c>
      <c r="N45" s="652">
        <f>IF($BJ45&gt;0,IF(INDEX('Final Calculation Sheet'!$M$4:$M$40,$BJ45-3)="","",INDEX('Final Calculation Sheet'!$M$4:$M$40,$BJ45-3)),IF($BI45=1,SUM('Final Calculation Sheet'!$M$4:$M$40),IF($BH45&gt;0,SUMIFS('Final Calculation Sheet'!$M$4:$M$40,$AZ$5:$AZ$41,$BH45),"")))</f>
        <v/>
      </c>
      <c r="O45" s="653">
        <f>IF($BJ45&gt;0,IF(INDEX('Final Calculation Sheet'!$N$4:$N$40,$BJ45-3)="","",INDEX('Final Calculation Sheet'!$N$4:$N$40,$BJ45-3)),IF($BI45=1,SUM('Final Calculation Sheet'!$N$4:$N$40),IF($BH45&gt;0,SUMIFS('Final Calculation Sheet'!$N$4:$N$40,$AZ$5:$AZ$41,$BH45),"")))</f>
        <v/>
      </c>
      <c r="P45" s="652">
        <f>IF($BJ45&gt;0,IF(INDEX('Final Calculation Sheet'!$O$4:$O$40,$BJ45-3)="","",INDEX('Final Calculation Sheet'!$O$4:$O$40,$BJ45-3)),IF($BI45=1,SUM('Final Calculation Sheet'!$O$4:$O$40),IF($BH45&gt;0,SUMIFS('Final Calculation Sheet'!$O$4:$O$40,$AZ$5:$AZ$41,$BH45),"")))</f>
        <v/>
      </c>
      <c r="Q45" s="652">
        <f>IF($BJ45&gt;0,IF(INDEX('Final Calculation Sheet'!$P$4:$P$40,$BJ45-3)="","",INDEX('Final Calculation Sheet'!$P$4:$P$40,$BJ45-3)),IF($BI45=1,SUM('Final Calculation Sheet'!$P$4:$P$40),IF($BH45&gt;0,SUMIFS('Final Calculation Sheet'!$P$4:$P$40,$AZ$5:$AZ$41,$BH45),"")))</f>
        <v/>
      </c>
      <c r="R45" s="654">
        <f>IF($BJ45&gt;0,IF(INDEX('Final Calculation Sheet'!$Q$4:$Q$40,$BJ45-3)="","",INDEX('Final Calculation Sheet'!$Q$4:$Q$40,$BJ45-3)),IF(OR($BI45=1,$BH45&gt;0),"–",""))</f>
        <v/>
      </c>
      <c r="S45" s="652">
        <f>IF($BJ45&gt;0,IF(INDEX('Final Calculation Sheet'!$R$4:$R$40,$BJ45-3)="","",INDEX('Final Calculation Sheet'!$R$4:$R$40,$BJ45-3)),IF($BI45=1,SUM('Final Calculation Sheet'!$R$4:$R$40),IF($BH45&gt;0,SUMIFS('Final Calculation Sheet'!$R$4:$R$40,$AZ$5:$AZ$41,$BH45),"")))</f>
        <v/>
      </c>
      <c r="T45" s="652">
        <f>IF($BJ45&gt;0,IF(INDEX('Final Calculation Sheet'!$S$4:$S$40,$BJ45-3)="","",INDEX('Final Calculation Sheet'!$S$4:$S$40,$BJ45-3)),IF($BI45=1,SUM('Final Calculation Sheet'!$S$4:$S$40),IF($BH45&gt;0,SUMIFS('Final Calculation Sheet'!$S$4:$S$40,$AZ$5:$AZ$41,$BH45),"")))</f>
        <v/>
      </c>
      <c r="U45" s="652">
        <f>IF($BJ45&gt;0,IF(INDEX('Final Calculation Sheet'!$T$4:$T$40,$BJ45-3)="","",INDEX('Final Calculation Sheet'!$T$4:$T$40,$BJ45-3)),IF($BI45=1,SUM('Final Calculation Sheet'!$T$4:$T$40),IF($BH45&gt;0,SUMIFS('Final Calculation Sheet'!$T$4:$T$40,$AZ$5:$AZ$41,$BH45),"")))</f>
        <v/>
      </c>
      <c r="V45" s="655">
        <f>IF($BJ45&gt;0,IF(INDEX('Final Calculation Sheet'!$U$4:$U$40,$BJ45-3)="","",INDEX('Final Calculation Sheet'!$U$4:$U$40,$BJ45-3)),IF($BI45=1,SUM('Final Calculation Sheet'!$U$4:$U$40),IF($BH45&gt;0,SUMIFS('Final Calculation Sheet'!$U$4:$U$40,$AZ$5:$AZ$41,$BH45),"")))</f>
        <v/>
      </c>
      <c r="W45" s="652">
        <f>IF($BJ45&gt;0,IF(INDEX('Final Calculation Sheet'!$V$4:$V$40,$BJ45-3)="","",INDEX('Final Calculation Sheet'!$V$4:$V$40,$BJ45-3)),IF(OR($BI45=1,$BH45&gt;0),"–",""))</f>
        <v/>
      </c>
      <c r="X45" s="652">
        <f>IF($BJ45&gt;0,IF(INDEX('Final Calculation Sheet'!$W$4:$W$40,$BJ45-3)="","",INDEX('Final Calculation Sheet'!$W$4:$W$40,$BJ45-3)),IF($BI45=1,SUM('Final Calculation Sheet'!$W$4:$W$40),IF($BH45&gt;0,SUMIFS('Final Calculation Sheet'!$W$4:$W$40,$AZ$5:$AZ$41,$BH45),"")))</f>
        <v/>
      </c>
      <c r="Y45" s="652">
        <f>IF($BJ45&gt;0,IF(INDEX('Final Calculation Sheet'!$X$4:$X$40,$BJ45-3)="","",INDEX('Final Calculation Sheet'!$X$4:$X$40,$BJ45-3)),IF($BI45=1,SUM('Final Calculation Sheet'!$X$4:$X$40),IF($BH45&gt;0,SUMIFS('Final Calculation Sheet'!$X$4:$X$40,$AZ$5:$AZ$41,$BH45),"")))</f>
        <v/>
      </c>
      <c r="Z45" s="652">
        <f>IF($BJ45&gt;0,IF(INDEX('Final Calculation Sheet'!$Y$4:$Y$40,$BJ45-3)="","",INDEX('Final Calculation Sheet'!$Y$4:$Y$40,$BJ45-3)),IF(OR($BI45=1,$BH45&gt;0),"–",""))</f>
        <v/>
      </c>
      <c r="AA45" s="652">
        <f>IF($BJ45&gt;0,IF(INDEX('Final Calculation Sheet'!$Z$4:$Z$40,$BJ45-3)="","",INDEX('Final Calculation Sheet'!$Z$4:$Z$40,$BJ45-3)),IF($BI45=1,SUM('Final Calculation Sheet'!$Z$4:$Z$40),IF($BH45&gt;0,SUMIFS('Final Calculation Sheet'!$Z$4:$Z$40,$AZ$5:$AZ$41,$BH45),"")))</f>
        <v/>
      </c>
      <c r="AB45" s="652">
        <f>IF($BJ45&gt;0,IF(INDEX('Final Calculation Sheet'!$AA$4:$AA$40,$BJ45-3)="","",INDEX('Final Calculation Sheet'!$AA$4:$AA$40,$BJ45-3)),IF($BI45=1,SUM('Final Calculation Sheet'!$AA$4:$AA$40),IF($BH45&gt;0,SUMIFS('Final Calculation Sheet'!$AA$4:$AA$40,$AZ$5:$AZ$41,$BH45),"")))</f>
        <v/>
      </c>
      <c r="AC45" s="652">
        <f>IF($BJ45&gt;0,IF(INDEX('Final Calculation Sheet'!$AB$4:$AB$40,$BJ45-3)="","",INDEX('Final Calculation Sheet'!$AB$4:$AB$40,$BJ45-3)),IF(OR($BI45=1,$BH45&gt;0),"–",""))</f>
        <v/>
      </c>
      <c r="AD45" s="652">
        <f>IF($BJ45&gt;0,IF(INDEX('Final Calculation Sheet'!$AC$4:$AC$40,$BJ45-3)="","",INDEX('Final Calculation Sheet'!$AC$4:$AC$40,$BJ45-3)),IF($BI45=1,SUM('Final Calculation Sheet'!$AC$4:$AC$40),IF($BH45&gt;0,SUMIFS('Final Calculation Sheet'!$AC$4:$AC$40,$AZ$5:$AZ$41,$BH45),"")))</f>
        <v/>
      </c>
      <c r="AE45" s="652">
        <f>IF($BJ45&gt;0,IF(INDEX('Final Calculation Sheet'!$AD$4:$AD$40,$BJ45-3)="","",INDEX('Final Calculation Sheet'!$AD$4:$AD$40,$BJ45-3)),IF($BI45=1,SUM('Final Calculation Sheet'!$AD$4:$AD$40),IF($BH45&gt;0,SUMIFS('Final Calculation Sheet'!$AD$4:$AD$40,$AZ$5:$AZ$41,$BH45),"")))</f>
        <v/>
      </c>
      <c r="AF45" s="652">
        <f>IF($BJ45&gt;0,IF(INDEX('Final Calculation Sheet'!$AE$4:$AE$40,$BJ45-3)="","",INDEX('Final Calculation Sheet'!$AE$4:$AE$40,$BJ45-3)),IF(OR($BI45=1,$BH45&gt;0),"–",""))</f>
        <v/>
      </c>
      <c r="AG45" s="656">
        <f>IF($BJ45&gt;0,IF(INDEX('Final Calculation Sheet'!$AF$4:$AF$40,$BJ45-3)="","",INDEX('Final Calculation Sheet'!$AF$4:$AF$40,$BJ45-3)),IF(OR($BI45=1,$BH45&gt;0),"–",""))</f>
        <v/>
      </c>
      <c r="AH45" s="652">
        <f>IF($BJ45&gt;0,IF(INDEX('Final Calculation Sheet'!$AG$4:$AG$40,$BJ45-3)="","",INDEX('Final Calculation Sheet'!$AG$4:$AG$40,$BJ45-3)),IF(OR($BI45=1,$BH45&gt;0),"–",""))</f>
        <v/>
      </c>
      <c r="AI45" s="657">
        <f>IF($BJ45&gt;0,IF(INDEX('Final Calculation Sheet'!$AD$4:$AD$40,$BJ45-3)="","",IF(INDEX('Final Calculation Sheet'!$AD$4:$AD$40,$BJ45-3)&lt;=0,"SETTLED","OUTSTANDING")),IF(OR($BI45=1,$BH45&gt;0),IF(IF($BI45=1,SUM('Final Calculation Sheet'!$AD$4:$AD$40),SUMIFS('Final Calculation Sheet'!$AD$4:$AD$40,$AZ$5:$AZ$41,$BH45))&lt;=0,"ALL SETTLED","OUTSTANDING"),""))</f>
        <v/>
      </c>
      <c r="BH45">
        <f>IFERROR(MATCH(45,$BF$4:$BF$13,0),0)</f>
        <v/>
      </c>
      <c r="BI45">
        <f>IF(45=$BG$4,1,0)</f>
        <v/>
      </c>
      <c r="BJ45">
        <f>IF(OR($BH45&gt;0,$BI45=1),0,IFERROR(INDEX($BC$5:$BC$41,MATCH(45,$BB$5:$BB$41,0)),0))</f>
        <v/>
      </c>
      <c r="BK45">
        <f>IF($BJ45&gt;0,IF(INDEX($AZ$5:$AZ$41,MATCH(45,$BB$5:$BB$41,0))=10,1,0),IF($BH45=10,1,0))</f>
        <v/>
      </c>
    </row>
    <row r="46" ht="15" customHeight="1">
      <c r="A46" s="649">
        <f>IF($BJ46&gt;0,INDEX($BA$5:$BA$41,MATCH(46,$BB$5:$BB$41,0)),IF(OR($BI46=1,$BH46&gt;0),"∑",""))</f>
        <v/>
      </c>
      <c r="B46" s="650">
        <f>IF($BJ46&gt;0,IF(INDEX('Final Calculation Sheet'!$F$4:$F$40,$BJ46-3)="","",INDEX('Final Calculation Sheet'!$F$4:$F$40,$BJ46-3)),"")</f>
        <v/>
      </c>
      <c r="C46" s="650">
        <f>IF($BJ46&gt;0,IF(INDEX('Final Calculation Sheet'!$G$4:$G$40,$BJ46-3)="","",INDEX('Final Calculation Sheet'!$G$4:$G$40,$BJ46-3)),IF(OR($BI46=1,$BH46&gt;0),IF($BI46=1,37,INDEX($BD$4:$BD$13,$BH46))&amp;" lot(s)",""))</f>
        <v/>
      </c>
      <c r="D46" s="651">
        <f>IF($BJ46&gt;0,IF(INDEX('Final Calculation Sheet'!$B$4:$B$40,$BJ46-3)="","",INDEX('Final Calculation Sheet'!$B$4:$B$40,$BJ46-3)),IF(OR($BI46=1,$BH46&gt;0),IF($BI46=1,"GRAND TOTAL  —  matching + remaining",IF($BH46=10,"REMAINING  —  did not match the search",IF($BH46=9,"ALL LOTS  —  nothing typed in the box","GROUP "&amp;$BH46&amp;" TOTAL  —  lots matching  "&amp;INDEX($AR$6:$AY$6,$BH46)))),""))</f>
        <v/>
      </c>
      <c r="E46" s="651">
        <f>IF($BJ46&gt;0,IF(INDEX('Final Calculation Sheet'!$D$4:$D$40,$BJ46-3)="","",INDEX('Final Calculation Sheet'!$D$4:$D$40,$BJ46-3)),IF(OR($BI46=1,$BH46&gt;0),"–",""))</f>
        <v/>
      </c>
      <c r="F46" s="651">
        <f>IF($BJ46&gt;0,IF(INDEX('Final Calculation Sheet'!$A$4:$A$40,$BJ46-3)="","",INDEX('Final Calculation Sheet'!$A$4:$A$40,$BJ46-3)),IF($BI46=1,SUM('Final Calculation Sheet'!$A$4:$A$40),IF($BH46&gt;0,SUMIFS('Final Calculation Sheet'!$A$4:$A$40,$AZ$5:$AZ$41,$BH46),"")))</f>
        <v/>
      </c>
      <c r="G46" s="651">
        <f>IF($BJ46&gt;0,IF(INDEX('Final Calculation Sheet'!$E$4:$E$40,$BJ46-3)="","",INDEX('Final Calculation Sheet'!$E$4:$E$40,$BJ46-3)),IF(OR($BI46=1,$BH46&gt;0),"–",""))</f>
        <v/>
      </c>
      <c r="H46" s="652">
        <f>IF($BJ46&gt;0,IF(INDEX('Final Calculation Sheet'!$C$4:$C$40,$BJ46-3)="","",INDEX('Final Calculation Sheet'!$C$4:$C$40,$BJ46-3)),IF(OR($BI46=1,$BH46&gt;0),"–",""))</f>
        <v/>
      </c>
      <c r="I46" s="652">
        <f>IF($BJ46&gt;0,IF(INDEX('Final Calculation Sheet'!$H$4:$H$40,$BJ46-3)="","",INDEX('Final Calculation Sheet'!$H$4:$H$40,$BJ46-3)),IF($BI46=1,SUM('Final Calculation Sheet'!$H$4:$H$40),IF($BH46&gt;0,SUMIFS('Final Calculation Sheet'!$H$4:$H$40,$AZ$5:$AZ$41,$BH46),"")))</f>
        <v/>
      </c>
      <c r="J46" s="652">
        <f>IF($BJ46&gt;0,IF(INDEX('Final Calculation Sheet'!$I$4:$I$40,$BJ46-3)="","",INDEX('Final Calculation Sheet'!$I$4:$I$40,$BJ46-3)),IF($BI46=1,SUM('Final Calculation Sheet'!$I$4:$I$40),IF($BH46&gt;0,SUMIFS('Final Calculation Sheet'!$I$4:$I$40,$AZ$5:$AZ$41,$BH46),"")))</f>
        <v/>
      </c>
      <c r="K46" s="652">
        <f>IF($BJ46&gt;0,IF(INDEX('Final Calculation Sheet'!$J$4:$J$40,$BJ46-3)="","",INDEX('Final Calculation Sheet'!$J$4:$J$40,$BJ46-3)),IF($BI46=1,SUM('Final Calculation Sheet'!$J$4:$J$40),IF($BH46&gt;0,SUMIFS('Final Calculation Sheet'!$J$4:$J$40,$AZ$5:$AZ$41,$BH46),"")))</f>
        <v/>
      </c>
      <c r="L46" s="652">
        <f>IF($BJ46&gt;0,IF(INDEX('Final Calculation Sheet'!$K$4:$K$40,$BJ46-3)="","",INDEX('Final Calculation Sheet'!$K$4:$K$40,$BJ46-3)),IF($BI46=1,SUM('Final Calculation Sheet'!$K$4:$K$40),IF($BH46&gt;0,SUMIFS('Final Calculation Sheet'!$K$4:$K$40,$AZ$5:$AZ$41,$BH46),"")))</f>
        <v/>
      </c>
      <c r="M46" s="652">
        <f>IF($BJ46&gt;0,IF(INDEX('Final Calculation Sheet'!$L$4:$L$40,$BJ46-3)="","",INDEX('Final Calculation Sheet'!$L$4:$L$40,$BJ46-3)),IF($BI46=1,SUM('Final Calculation Sheet'!$L$4:$L$40),IF($BH46&gt;0,SUMIFS('Final Calculation Sheet'!$L$4:$L$40,$AZ$5:$AZ$41,$BH46),"")))</f>
        <v/>
      </c>
      <c r="N46" s="652">
        <f>IF($BJ46&gt;0,IF(INDEX('Final Calculation Sheet'!$M$4:$M$40,$BJ46-3)="","",INDEX('Final Calculation Sheet'!$M$4:$M$40,$BJ46-3)),IF($BI46=1,SUM('Final Calculation Sheet'!$M$4:$M$40),IF($BH46&gt;0,SUMIFS('Final Calculation Sheet'!$M$4:$M$40,$AZ$5:$AZ$41,$BH46),"")))</f>
        <v/>
      </c>
      <c r="O46" s="653">
        <f>IF($BJ46&gt;0,IF(INDEX('Final Calculation Sheet'!$N$4:$N$40,$BJ46-3)="","",INDEX('Final Calculation Sheet'!$N$4:$N$40,$BJ46-3)),IF($BI46=1,SUM('Final Calculation Sheet'!$N$4:$N$40),IF($BH46&gt;0,SUMIFS('Final Calculation Sheet'!$N$4:$N$40,$AZ$5:$AZ$41,$BH46),"")))</f>
        <v/>
      </c>
      <c r="P46" s="652">
        <f>IF($BJ46&gt;0,IF(INDEX('Final Calculation Sheet'!$O$4:$O$40,$BJ46-3)="","",INDEX('Final Calculation Sheet'!$O$4:$O$40,$BJ46-3)),IF($BI46=1,SUM('Final Calculation Sheet'!$O$4:$O$40),IF($BH46&gt;0,SUMIFS('Final Calculation Sheet'!$O$4:$O$40,$AZ$5:$AZ$41,$BH46),"")))</f>
        <v/>
      </c>
      <c r="Q46" s="652">
        <f>IF($BJ46&gt;0,IF(INDEX('Final Calculation Sheet'!$P$4:$P$40,$BJ46-3)="","",INDEX('Final Calculation Sheet'!$P$4:$P$40,$BJ46-3)),IF($BI46=1,SUM('Final Calculation Sheet'!$P$4:$P$40),IF($BH46&gt;0,SUMIFS('Final Calculation Sheet'!$P$4:$P$40,$AZ$5:$AZ$41,$BH46),"")))</f>
        <v/>
      </c>
      <c r="R46" s="654">
        <f>IF($BJ46&gt;0,IF(INDEX('Final Calculation Sheet'!$Q$4:$Q$40,$BJ46-3)="","",INDEX('Final Calculation Sheet'!$Q$4:$Q$40,$BJ46-3)),IF(OR($BI46=1,$BH46&gt;0),"–",""))</f>
        <v/>
      </c>
      <c r="S46" s="652">
        <f>IF($BJ46&gt;0,IF(INDEX('Final Calculation Sheet'!$R$4:$R$40,$BJ46-3)="","",INDEX('Final Calculation Sheet'!$R$4:$R$40,$BJ46-3)),IF($BI46=1,SUM('Final Calculation Sheet'!$R$4:$R$40),IF($BH46&gt;0,SUMIFS('Final Calculation Sheet'!$R$4:$R$40,$AZ$5:$AZ$41,$BH46),"")))</f>
        <v/>
      </c>
      <c r="T46" s="652">
        <f>IF($BJ46&gt;0,IF(INDEX('Final Calculation Sheet'!$S$4:$S$40,$BJ46-3)="","",INDEX('Final Calculation Sheet'!$S$4:$S$40,$BJ46-3)),IF($BI46=1,SUM('Final Calculation Sheet'!$S$4:$S$40),IF($BH46&gt;0,SUMIFS('Final Calculation Sheet'!$S$4:$S$40,$AZ$5:$AZ$41,$BH46),"")))</f>
        <v/>
      </c>
      <c r="U46" s="652">
        <f>IF($BJ46&gt;0,IF(INDEX('Final Calculation Sheet'!$T$4:$T$40,$BJ46-3)="","",INDEX('Final Calculation Sheet'!$T$4:$T$40,$BJ46-3)),IF($BI46=1,SUM('Final Calculation Sheet'!$T$4:$T$40),IF($BH46&gt;0,SUMIFS('Final Calculation Sheet'!$T$4:$T$40,$AZ$5:$AZ$41,$BH46),"")))</f>
        <v/>
      </c>
      <c r="V46" s="655">
        <f>IF($BJ46&gt;0,IF(INDEX('Final Calculation Sheet'!$U$4:$U$40,$BJ46-3)="","",INDEX('Final Calculation Sheet'!$U$4:$U$40,$BJ46-3)),IF($BI46=1,SUM('Final Calculation Sheet'!$U$4:$U$40),IF($BH46&gt;0,SUMIFS('Final Calculation Sheet'!$U$4:$U$40,$AZ$5:$AZ$41,$BH46),"")))</f>
        <v/>
      </c>
      <c r="W46" s="652">
        <f>IF($BJ46&gt;0,IF(INDEX('Final Calculation Sheet'!$V$4:$V$40,$BJ46-3)="","",INDEX('Final Calculation Sheet'!$V$4:$V$40,$BJ46-3)),IF(OR($BI46=1,$BH46&gt;0),"–",""))</f>
        <v/>
      </c>
      <c r="X46" s="652">
        <f>IF($BJ46&gt;0,IF(INDEX('Final Calculation Sheet'!$W$4:$W$40,$BJ46-3)="","",INDEX('Final Calculation Sheet'!$W$4:$W$40,$BJ46-3)),IF($BI46=1,SUM('Final Calculation Sheet'!$W$4:$W$40),IF($BH46&gt;0,SUMIFS('Final Calculation Sheet'!$W$4:$W$40,$AZ$5:$AZ$41,$BH46),"")))</f>
        <v/>
      </c>
      <c r="Y46" s="652">
        <f>IF($BJ46&gt;0,IF(INDEX('Final Calculation Sheet'!$X$4:$X$40,$BJ46-3)="","",INDEX('Final Calculation Sheet'!$X$4:$X$40,$BJ46-3)),IF($BI46=1,SUM('Final Calculation Sheet'!$X$4:$X$40),IF($BH46&gt;0,SUMIFS('Final Calculation Sheet'!$X$4:$X$40,$AZ$5:$AZ$41,$BH46),"")))</f>
        <v/>
      </c>
      <c r="Z46" s="652">
        <f>IF($BJ46&gt;0,IF(INDEX('Final Calculation Sheet'!$Y$4:$Y$40,$BJ46-3)="","",INDEX('Final Calculation Sheet'!$Y$4:$Y$40,$BJ46-3)),IF(OR($BI46=1,$BH46&gt;0),"–",""))</f>
        <v/>
      </c>
      <c r="AA46" s="652">
        <f>IF($BJ46&gt;0,IF(INDEX('Final Calculation Sheet'!$Z$4:$Z$40,$BJ46-3)="","",INDEX('Final Calculation Sheet'!$Z$4:$Z$40,$BJ46-3)),IF($BI46=1,SUM('Final Calculation Sheet'!$Z$4:$Z$40),IF($BH46&gt;0,SUMIFS('Final Calculation Sheet'!$Z$4:$Z$40,$AZ$5:$AZ$41,$BH46),"")))</f>
        <v/>
      </c>
      <c r="AB46" s="652">
        <f>IF($BJ46&gt;0,IF(INDEX('Final Calculation Sheet'!$AA$4:$AA$40,$BJ46-3)="","",INDEX('Final Calculation Sheet'!$AA$4:$AA$40,$BJ46-3)),IF($BI46=1,SUM('Final Calculation Sheet'!$AA$4:$AA$40),IF($BH46&gt;0,SUMIFS('Final Calculation Sheet'!$AA$4:$AA$40,$AZ$5:$AZ$41,$BH46),"")))</f>
        <v/>
      </c>
      <c r="AC46" s="652">
        <f>IF($BJ46&gt;0,IF(INDEX('Final Calculation Sheet'!$AB$4:$AB$40,$BJ46-3)="","",INDEX('Final Calculation Sheet'!$AB$4:$AB$40,$BJ46-3)),IF(OR($BI46=1,$BH46&gt;0),"–",""))</f>
        <v/>
      </c>
      <c r="AD46" s="652">
        <f>IF($BJ46&gt;0,IF(INDEX('Final Calculation Sheet'!$AC$4:$AC$40,$BJ46-3)="","",INDEX('Final Calculation Sheet'!$AC$4:$AC$40,$BJ46-3)),IF($BI46=1,SUM('Final Calculation Sheet'!$AC$4:$AC$40),IF($BH46&gt;0,SUMIFS('Final Calculation Sheet'!$AC$4:$AC$40,$AZ$5:$AZ$41,$BH46),"")))</f>
        <v/>
      </c>
      <c r="AE46" s="652">
        <f>IF($BJ46&gt;0,IF(INDEX('Final Calculation Sheet'!$AD$4:$AD$40,$BJ46-3)="","",INDEX('Final Calculation Sheet'!$AD$4:$AD$40,$BJ46-3)),IF($BI46=1,SUM('Final Calculation Sheet'!$AD$4:$AD$40),IF($BH46&gt;0,SUMIFS('Final Calculation Sheet'!$AD$4:$AD$40,$AZ$5:$AZ$41,$BH46),"")))</f>
        <v/>
      </c>
      <c r="AF46" s="652">
        <f>IF($BJ46&gt;0,IF(INDEX('Final Calculation Sheet'!$AE$4:$AE$40,$BJ46-3)="","",INDEX('Final Calculation Sheet'!$AE$4:$AE$40,$BJ46-3)),IF(OR($BI46=1,$BH46&gt;0),"–",""))</f>
        <v/>
      </c>
      <c r="AG46" s="656">
        <f>IF($BJ46&gt;0,IF(INDEX('Final Calculation Sheet'!$AF$4:$AF$40,$BJ46-3)="","",INDEX('Final Calculation Sheet'!$AF$4:$AF$40,$BJ46-3)),IF(OR($BI46=1,$BH46&gt;0),"–",""))</f>
        <v/>
      </c>
      <c r="AH46" s="652">
        <f>IF($BJ46&gt;0,IF(INDEX('Final Calculation Sheet'!$AG$4:$AG$40,$BJ46-3)="","",INDEX('Final Calculation Sheet'!$AG$4:$AG$40,$BJ46-3)),IF(OR($BI46=1,$BH46&gt;0),"–",""))</f>
        <v/>
      </c>
      <c r="AI46" s="657">
        <f>IF($BJ46&gt;0,IF(INDEX('Final Calculation Sheet'!$AD$4:$AD$40,$BJ46-3)="","",IF(INDEX('Final Calculation Sheet'!$AD$4:$AD$40,$BJ46-3)&lt;=0,"SETTLED","OUTSTANDING")),IF(OR($BI46=1,$BH46&gt;0),IF(IF($BI46=1,SUM('Final Calculation Sheet'!$AD$4:$AD$40),SUMIFS('Final Calculation Sheet'!$AD$4:$AD$40,$AZ$5:$AZ$41,$BH46))&lt;=0,"ALL SETTLED","OUTSTANDING"),""))</f>
        <v/>
      </c>
      <c r="BH46">
        <f>IFERROR(MATCH(46,$BF$4:$BF$13,0),0)</f>
        <v/>
      </c>
      <c r="BI46">
        <f>IF(46=$BG$4,1,0)</f>
        <v/>
      </c>
      <c r="BJ46">
        <f>IF(OR($BH46&gt;0,$BI46=1),0,IFERROR(INDEX($BC$5:$BC$41,MATCH(46,$BB$5:$BB$41,0)),0))</f>
        <v/>
      </c>
      <c r="BK46">
        <f>IF($BJ46&gt;0,IF(INDEX($AZ$5:$AZ$41,MATCH(46,$BB$5:$BB$41,0))=10,1,0),IF($BH46=10,1,0))</f>
        <v/>
      </c>
    </row>
    <row r="47" ht="15" customHeight="1">
      <c r="A47" s="649">
        <f>IF($BJ47&gt;0,INDEX($BA$5:$BA$41,MATCH(47,$BB$5:$BB$41,0)),IF(OR($BI47=1,$BH47&gt;0),"∑",""))</f>
        <v/>
      </c>
      <c r="B47" s="650">
        <f>IF($BJ47&gt;0,IF(INDEX('Final Calculation Sheet'!$F$4:$F$40,$BJ47-3)="","",INDEX('Final Calculation Sheet'!$F$4:$F$40,$BJ47-3)),"")</f>
        <v/>
      </c>
      <c r="C47" s="650">
        <f>IF($BJ47&gt;0,IF(INDEX('Final Calculation Sheet'!$G$4:$G$40,$BJ47-3)="","",INDEX('Final Calculation Sheet'!$G$4:$G$40,$BJ47-3)),IF(OR($BI47=1,$BH47&gt;0),IF($BI47=1,37,INDEX($BD$4:$BD$13,$BH47))&amp;" lot(s)",""))</f>
        <v/>
      </c>
      <c r="D47" s="651">
        <f>IF($BJ47&gt;0,IF(INDEX('Final Calculation Sheet'!$B$4:$B$40,$BJ47-3)="","",INDEX('Final Calculation Sheet'!$B$4:$B$40,$BJ47-3)),IF(OR($BI47=1,$BH47&gt;0),IF($BI47=1,"GRAND TOTAL  —  matching + remaining",IF($BH47=10,"REMAINING  —  did not match the search",IF($BH47=9,"ALL LOTS  —  nothing typed in the box","GROUP "&amp;$BH47&amp;" TOTAL  —  lots matching  "&amp;INDEX($AR$6:$AY$6,$BH47)))),""))</f>
        <v/>
      </c>
      <c r="E47" s="651">
        <f>IF($BJ47&gt;0,IF(INDEX('Final Calculation Sheet'!$D$4:$D$40,$BJ47-3)="","",INDEX('Final Calculation Sheet'!$D$4:$D$40,$BJ47-3)),IF(OR($BI47=1,$BH47&gt;0),"–",""))</f>
        <v/>
      </c>
      <c r="F47" s="651">
        <f>IF($BJ47&gt;0,IF(INDEX('Final Calculation Sheet'!$A$4:$A$40,$BJ47-3)="","",INDEX('Final Calculation Sheet'!$A$4:$A$40,$BJ47-3)),IF($BI47=1,SUM('Final Calculation Sheet'!$A$4:$A$40),IF($BH47&gt;0,SUMIFS('Final Calculation Sheet'!$A$4:$A$40,$AZ$5:$AZ$41,$BH47),"")))</f>
        <v/>
      </c>
      <c r="G47" s="651">
        <f>IF($BJ47&gt;0,IF(INDEX('Final Calculation Sheet'!$E$4:$E$40,$BJ47-3)="","",INDEX('Final Calculation Sheet'!$E$4:$E$40,$BJ47-3)),IF(OR($BI47=1,$BH47&gt;0),"–",""))</f>
        <v/>
      </c>
      <c r="H47" s="652">
        <f>IF($BJ47&gt;0,IF(INDEX('Final Calculation Sheet'!$C$4:$C$40,$BJ47-3)="","",INDEX('Final Calculation Sheet'!$C$4:$C$40,$BJ47-3)),IF(OR($BI47=1,$BH47&gt;0),"–",""))</f>
        <v/>
      </c>
      <c r="I47" s="652">
        <f>IF($BJ47&gt;0,IF(INDEX('Final Calculation Sheet'!$H$4:$H$40,$BJ47-3)="","",INDEX('Final Calculation Sheet'!$H$4:$H$40,$BJ47-3)),IF($BI47=1,SUM('Final Calculation Sheet'!$H$4:$H$40),IF($BH47&gt;0,SUMIFS('Final Calculation Sheet'!$H$4:$H$40,$AZ$5:$AZ$41,$BH47),"")))</f>
        <v/>
      </c>
      <c r="J47" s="652">
        <f>IF($BJ47&gt;0,IF(INDEX('Final Calculation Sheet'!$I$4:$I$40,$BJ47-3)="","",INDEX('Final Calculation Sheet'!$I$4:$I$40,$BJ47-3)),IF($BI47=1,SUM('Final Calculation Sheet'!$I$4:$I$40),IF($BH47&gt;0,SUMIFS('Final Calculation Sheet'!$I$4:$I$40,$AZ$5:$AZ$41,$BH47),"")))</f>
        <v/>
      </c>
      <c r="K47" s="652">
        <f>IF($BJ47&gt;0,IF(INDEX('Final Calculation Sheet'!$J$4:$J$40,$BJ47-3)="","",INDEX('Final Calculation Sheet'!$J$4:$J$40,$BJ47-3)),IF($BI47=1,SUM('Final Calculation Sheet'!$J$4:$J$40),IF($BH47&gt;0,SUMIFS('Final Calculation Sheet'!$J$4:$J$40,$AZ$5:$AZ$41,$BH47),"")))</f>
        <v/>
      </c>
      <c r="L47" s="652">
        <f>IF($BJ47&gt;0,IF(INDEX('Final Calculation Sheet'!$K$4:$K$40,$BJ47-3)="","",INDEX('Final Calculation Sheet'!$K$4:$K$40,$BJ47-3)),IF($BI47=1,SUM('Final Calculation Sheet'!$K$4:$K$40),IF($BH47&gt;0,SUMIFS('Final Calculation Sheet'!$K$4:$K$40,$AZ$5:$AZ$41,$BH47),"")))</f>
        <v/>
      </c>
      <c r="M47" s="652">
        <f>IF($BJ47&gt;0,IF(INDEX('Final Calculation Sheet'!$L$4:$L$40,$BJ47-3)="","",INDEX('Final Calculation Sheet'!$L$4:$L$40,$BJ47-3)),IF($BI47=1,SUM('Final Calculation Sheet'!$L$4:$L$40),IF($BH47&gt;0,SUMIFS('Final Calculation Sheet'!$L$4:$L$40,$AZ$5:$AZ$41,$BH47),"")))</f>
        <v/>
      </c>
      <c r="N47" s="652">
        <f>IF($BJ47&gt;0,IF(INDEX('Final Calculation Sheet'!$M$4:$M$40,$BJ47-3)="","",INDEX('Final Calculation Sheet'!$M$4:$M$40,$BJ47-3)),IF($BI47=1,SUM('Final Calculation Sheet'!$M$4:$M$40),IF($BH47&gt;0,SUMIFS('Final Calculation Sheet'!$M$4:$M$40,$AZ$5:$AZ$41,$BH47),"")))</f>
        <v/>
      </c>
      <c r="O47" s="653">
        <f>IF($BJ47&gt;0,IF(INDEX('Final Calculation Sheet'!$N$4:$N$40,$BJ47-3)="","",INDEX('Final Calculation Sheet'!$N$4:$N$40,$BJ47-3)),IF($BI47=1,SUM('Final Calculation Sheet'!$N$4:$N$40),IF($BH47&gt;0,SUMIFS('Final Calculation Sheet'!$N$4:$N$40,$AZ$5:$AZ$41,$BH47),"")))</f>
        <v/>
      </c>
      <c r="P47" s="652">
        <f>IF($BJ47&gt;0,IF(INDEX('Final Calculation Sheet'!$O$4:$O$40,$BJ47-3)="","",INDEX('Final Calculation Sheet'!$O$4:$O$40,$BJ47-3)),IF($BI47=1,SUM('Final Calculation Sheet'!$O$4:$O$40),IF($BH47&gt;0,SUMIFS('Final Calculation Sheet'!$O$4:$O$40,$AZ$5:$AZ$41,$BH47),"")))</f>
        <v/>
      </c>
      <c r="Q47" s="652">
        <f>IF($BJ47&gt;0,IF(INDEX('Final Calculation Sheet'!$P$4:$P$40,$BJ47-3)="","",INDEX('Final Calculation Sheet'!$P$4:$P$40,$BJ47-3)),IF($BI47=1,SUM('Final Calculation Sheet'!$P$4:$P$40),IF($BH47&gt;0,SUMIFS('Final Calculation Sheet'!$P$4:$P$40,$AZ$5:$AZ$41,$BH47),"")))</f>
        <v/>
      </c>
      <c r="R47" s="654">
        <f>IF($BJ47&gt;0,IF(INDEX('Final Calculation Sheet'!$Q$4:$Q$40,$BJ47-3)="","",INDEX('Final Calculation Sheet'!$Q$4:$Q$40,$BJ47-3)),IF(OR($BI47=1,$BH47&gt;0),"–",""))</f>
        <v/>
      </c>
      <c r="S47" s="652">
        <f>IF($BJ47&gt;0,IF(INDEX('Final Calculation Sheet'!$R$4:$R$40,$BJ47-3)="","",INDEX('Final Calculation Sheet'!$R$4:$R$40,$BJ47-3)),IF($BI47=1,SUM('Final Calculation Sheet'!$R$4:$R$40),IF($BH47&gt;0,SUMIFS('Final Calculation Sheet'!$R$4:$R$40,$AZ$5:$AZ$41,$BH47),"")))</f>
        <v/>
      </c>
      <c r="T47" s="652">
        <f>IF($BJ47&gt;0,IF(INDEX('Final Calculation Sheet'!$S$4:$S$40,$BJ47-3)="","",INDEX('Final Calculation Sheet'!$S$4:$S$40,$BJ47-3)),IF($BI47=1,SUM('Final Calculation Sheet'!$S$4:$S$40),IF($BH47&gt;0,SUMIFS('Final Calculation Sheet'!$S$4:$S$40,$AZ$5:$AZ$41,$BH47),"")))</f>
        <v/>
      </c>
      <c r="U47" s="652">
        <f>IF($BJ47&gt;0,IF(INDEX('Final Calculation Sheet'!$T$4:$T$40,$BJ47-3)="","",INDEX('Final Calculation Sheet'!$T$4:$T$40,$BJ47-3)),IF($BI47=1,SUM('Final Calculation Sheet'!$T$4:$T$40),IF($BH47&gt;0,SUMIFS('Final Calculation Sheet'!$T$4:$T$40,$AZ$5:$AZ$41,$BH47),"")))</f>
        <v/>
      </c>
      <c r="V47" s="655">
        <f>IF($BJ47&gt;0,IF(INDEX('Final Calculation Sheet'!$U$4:$U$40,$BJ47-3)="","",INDEX('Final Calculation Sheet'!$U$4:$U$40,$BJ47-3)),IF($BI47=1,SUM('Final Calculation Sheet'!$U$4:$U$40),IF($BH47&gt;0,SUMIFS('Final Calculation Sheet'!$U$4:$U$40,$AZ$5:$AZ$41,$BH47),"")))</f>
        <v/>
      </c>
      <c r="W47" s="652">
        <f>IF($BJ47&gt;0,IF(INDEX('Final Calculation Sheet'!$V$4:$V$40,$BJ47-3)="","",INDEX('Final Calculation Sheet'!$V$4:$V$40,$BJ47-3)),IF(OR($BI47=1,$BH47&gt;0),"–",""))</f>
        <v/>
      </c>
      <c r="X47" s="652">
        <f>IF($BJ47&gt;0,IF(INDEX('Final Calculation Sheet'!$W$4:$W$40,$BJ47-3)="","",INDEX('Final Calculation Sheet'!$W$4:$W$40,$BJ47-3)),IF($BI47=1,SUM('Final Calculation Sheet'!$W$4:$W$40),IF($BH47&gt;0,SUMIFS('Final Calculation Sheet'!$W$4:$W$40,$AZ$5:$AZ$41,$BH47),"")))</f>
        <v/>
      </c>
      <c r="Y47" s="652">
        <f>IF($BJ47&gt;0,IF(INDEX('Final Calculation Sheet'!$X$4:$X$40,$BJ47-3)="","",INDEX('Final Calculation Sheet'!$X$4:$X$40,$BJ47-3)),IF($BI47=1,SUM('Final Calculation Sheet'!$X$4:$X$40),IF($BH47&gt;0,SUMIFS('Final Calculation Sheet'!$X$4:$X$40,$AZ$5:$AZ$41,$BH47),"")))</f>
        <v/>
      </c>
      <c r="Z47" s="652">
        <f>IF($BJ47&gt;0,IF(INDEX('Final Calculation Sheet'!$Y$4:$Y$40,$BJ47-3)="","",INDEX('Final Calculation Sheet'!$Y$4:$Y$40,$BJ47-3)),IF(OR($BI47=1,$BH47&gt;0),"–",""))</f>
        <v/>
      </c>
      <c r="AA47" s="652">
        <f>IF($BJ47&gt;0,IF(INDEX('Final Calculation Sheet'!$Z$4:$Z$40,$BJ47-3)="","",INDEX('Final Calculation Sheet'!$Z$4:$Z$40,$BJ47-3)),IF($BI47=1,SUM('Final Calculation Sheet'!$Z$4:$Z$40),IF($BH47&gt;0,SUMIFS('Final Calculation Sheet'!$Z$4:$Z$40,$AZ$5:$AZ$41,$BH47),"")))</f>
        <v/>
      </c>
      <c r="AB47" s="652">
        <f>IF($BJ47&gt;0,IF(INDEX('Final Calculation Sheet'!$AA$4:$AA$40,$BJ47-3)="","",INDEX('Final Calculation Sheet'!$AA$4:$AA$40,$BJ47-3)),IF($BI47=1,SUM('Final Calculation Sheet'!$AA$4:$AA$40),IF($BH47&gt;0,SUMIFS('Final Calculation Sheet'!$AA$4:$AA$40,$AZ$5:$AZ$41,$BH47),"")))</f>
        <v/>
      </c>
      <c r="AC47" s="652">
        <f>IF($BJ47&gt;0,IF(INDEX('Final Calculation Sheet'!$AB$4:$AB$40,$BJ47-3)="","",INDEX('Final Calculation Sheet'!$AB$4:$AB$40,$BJ47-3)),IF(OR($BI47=1,$BH47&gt;0),"–",""))</f>
        <v/>
      </c>
      <c r="AD47" s="652">
        <f>IF($BJ47&gt;0,IF(INDEX('Final Calculation Sheet'!$AC$4:$AC$40,$BJ47-3)="","",INDEX('Final Calculation Sheet'!$AC$4:$AC$40,$BJ47-3)),IF($BI47=1,SUM('Final Calculation Sheet'!$AC$4:$AC$40),IF($BH47&gt;0,SUMIFS('Final Calculation Sheet'!$AC$4:$AC$40,$AZ$5:$AZ$41,$BH47),"")))</f>
        <v/>
      </c>
      <c r="AE47" s="652">
        <f>IF($BJ47&gt;0,IF(INDEX('Final Calculation Sheet'!$AD$4:$AD$40,$BJ47-3)="","",INDEX('Final Calculation Sheet'!$AD$4:$AD$40,$BJ47-3)),IF($BI47=1,SUM('Final Calculation Sheet'!$AD$4:$AD$40),IF($BH47&gt;0,SUMIFS('Final Calculation Sheet'!$AD$4:$AD$40,$AZ$5:$AZ$41,$BH47),"")))</f>
        <v/>
      </c>
      <c r="AF47" s="652">
        <f>IF($BJ47&gt;0,IF(INDEX('Final Calculation Sheet'!$AE$4:$AE$40,$BJ47-3)="","",INDEX('Final Calculation Sheet'!$AE$4:$AE$40,$BJ47-3)),IF(OR($BI47=1,$BH47&gt;0),"–",""))</f>
        <v/>
      </c>
      <c r="AG47" s="656">
        <f>IF($BJ47&gt;0,IF(INDEX('Final Calculation Sheet'!$AF$4:$AF$40,$BJ47-3)="","",INDEX('Final Calculation Sheet'!$AF$4:$AF$40,$BJ47-3)),IF(OR($BI47=1,$BH47&gt;0),"–",""))</f>
        <v/>
      </c>
      <c r="AH47" s="652">
        <f>IF($BJ47&gt;0,IF(INDEX('Final Calculation Sheet'!$AG$4:$AG$40,$BJ47-3)="","",INDEX('Final Calculation Sheet'!$AG$4:$AG$40,$BJ47-3)),IF(OR($BI47=1,$BH47&gt;0),"–",""))</f>
        <v/>
      </c>
      <c r="AI47" s="657">
        <f>IF($BJ47&gt;0,IF(INDEX('Final Calculation Sheet'!$AD$4:$AD$40,$BJ47-3)="","",IF(INDEX('Final Calculation Sheet'!$AD$4:$AD$40,$BJ47-3)&lt;=0,"SETTLED","OUTSTANDING")),IF(OR($BI47=1,$BH47&gt;0),IF(IF($BI47=1,SUM('Final Calculation Sheet'!$AD$4:$AD$40),SUMIFS('Final Calculation Sheet'!$AD$4:$AD$40,$AZ$5:$AZ$41,$BH47))&lt;=0,"ALL SETTLED","OUTSTANDING"),""))</f>
        <v/>
      </c>
      <c r="BH47">
        <f>IFERROR(MATCH(47,$BF$4:$BF$13,0),0)</f>
        <v/>
      </c>
      <c r="BI47">
        <f>IF(47=$BG$4,1,0)</f>
        <v/>
      </c>
      <c r="BJ47">
        <f>IF(OR($BH47&gt;0,$BI47=1),0,IFERROR(INDEX($BC$5:$BC$41,MATCH(47,$BB$5:$BB$41,0)),0))</f>
        <v/>
      </c>
      <c r="BK47">
        <f>IF($BJ47&gt;0,IF(INDEX($AZ$5:$AZ$41,MATCH(47,$BB$5:$BB$41,0))=10,1,0),IF($BH47=10,1,0))</f>
        <v/>
      </c>
    </row>
    <row r="48" ht="15" customHeight="1">
      <c r="A48" s="649">
        <f>IF($BJ48&gt;0,INDEX($BA$5:$BA$41,MATCH(48,$BB$5:$BB$41,0)),IF(OR($BI48=1,$BH48&gt;0),"∑",""))</f>
        <v/>
      </c>
      <c r="B48" s="650">
        <f>IF($BJ48&gt;0,IF(INDEX('Final Calculation Sheet'!$F$4:$F$40,$BJ48-3)="","",INDEX('Final Calculation Sheet'!$F$4:$F$40,$BJ48-3)),"")</f>
        <v/>
      </c>
      <c r="C48" s="650">
        <f>IF($BJ48&gt;0,IF(INDEX('Final Calculation Sheet'!$G$4:$G$40,$BJ48-3)="","",INDEX('Final Calculation Sheet'!$G$4:$G$40,$BJ48-3)),IF(OR($BI48=1,$BH48&gt;0),IF($BI48=1,37,INDEX($BD$4:$BD$13,$BH48))&amp;" lot(s)",""))</f>
        <v/>
      </c>
      <c r="D48" s="651">
        <f>IF($BJ48&gt;0,IF(INDEX('Final Calculation Sheet'!$B$4:$B$40,$BJ48-3)="","",INDEX('Final Calculation Sheet'!$B$4:$B$40,$BJ48-3)),IF(OR($BI48=1,$BH48&gt;0),IF($BI48=1,"GRAND TOTAL  —  matching + remaining",IF($BH48=10,"REMAINING  —  did not match the search",IF($BH48=9,"ALL LOTS  —  nothing typed in the box","GROUP "&amp;$BH48&amp;" TOTAL  —  lots matching  "&amp;INDEX($AR$6:$AY$6,$BH48)))),""))</f>
        <v/>
      </c>
      <c r="E48" s="651">
        <f>IF($BJ48&gt;0,IF(INDEX('Final Calculation Sheet'!$D$4:$D$40,$BJ48-3)="","",INDEX('Final Calculation Sheet'!$D$4:$D$40,$BJ48-3)),IF(OR($BI48=1,$BH48&gt;0),"–",""))</f>
        <v/>
      </c>
      <c r="F48" s="651">
        <f>IF($BJ48&gt;0,IF(INDEX('Final Calculation Sheet'!$A$4:$A$40,$BJ48-3)="","",INDEX('Final Calculation Sheet'!$A$4:$A$40,$BJ48-3)),IF($BI48=1,SUM('Final Calculation Sheet'!$A$4:$A$40),IF($BH48&gt;0,SUMIFS('Final Calculation Sheet'!$A$4:$A$40,$AZ$5:$AZ$41,$BH48),"")))</f>
        <v/>
      </c>
      <c r="G48" s="651">
        <f>IF($BJ48&gt;0,IF(INDEX('Final Calculation Sheet'!$E$4:$E$40,$BJ48-3)="","",INDEX('Final Calculation Sheet'!$E$4:$E$40,$BJ48-3)),IF(OR($BI48=1,$BH48&gt;0),"–",""))</f>
        <v/>
      </c>
      <c r="H48" s="652">
        <f>IF($BJ48&gt;0,IF(INDEX('Final Calculation Sheet'!$C$4:$C$40,$BJ48-3)="","",INDEX('Final Calculation Sheet'!$C$4:$C$40,$BJ48-3)),IF(OR($BI48=1,$BH48&gt;0),"–",""))</f>
        <v/>
      </c>
      <c r="I48" s="652">
        <f>IF($BJ48&gt;0,IF(INDEX('Final Calculation Sheet'!$H$4:$H$40,$BJ48-3)="","",INDEX('Final Calculation Sheet'!$H$4:$H$40,$BJ48-3)),IF($BI48=1,SUM('Final Calculation Sheet'!$H$4:$H$40),IF($BH48&gt;0,SUMIFS('Final Calculation Sheet'!$H$4:$H$40,$AZ$5:$AZ$41,$BH48),"")))</f>
        <v/>
      </c>
      <c r="J48" s="652">
        <f>IF($BJ48&gt;0,IF(INDEX('Final Calculation Sheet'!$I$4:$I$40,$BJ48-3)="","",INDEX('Final Calculation Sheet'!$I$4:$I$40,$BJ48-3)),IF($BI48=1,SUM('Final Calculation Sheet'!$I$4:$I$40),IF($BH48&gt;0,SUMIFS('Final Calculation Sheet'!$I$4:$I$40,$AZ$5:$AZ$41,$BH48),"")))</f>
        <v/>
      </c>
      <c r="K48" s="652">
        <f>IF($BJ48&gt;0,IF(INDEX('Final Calculation Sheet'!$J$4:$J$40,$BJ48-3)="","",INDEX('Final Calculation Sheet'!$J$4:$J$40,$BJ48-3)),IF($BI48=1,SUM('Final Calculation Sheet'!$J$4:$J$40),IF($BH48&gt;0,SUMIFS('Final Calculation Sheet'!$J$4:$J$40,$AZ$5:$AZ$41,$BH48),"")))</f>
        <v/>
      </c>
      <c r="L48" s="652">
        <f>IF($BJ48&gt;0,IF(INDEX('Final Calculation Sheet'!$K$4:$K$40,$BJ48-3)="","",INDEX('Final Calculation Sheet'!$K$4:$K$40,$BJ48-3)),IF($BI48=1,SUM('Final Calculation Sheet'!$K$4:$K$40),IF($BH48&gt;0,SUMIFS('Final Calculation Sheet'!$K$4:$K$40,$AZ$5:$AZ$41,$BH48),"")))</f>
        <v/>
      </c>
      <c r="M48" s="652">
        <f>IF($BJ48&gt;0,IF(INDEX('Final Calculation Sheet'!$L$4:$L$40,$BJ48-3)="","",INDEX('Final Calculation Sheet'!$L$4:$L$40,$BJ48-3)),IF($BI48=1,SUM('Final Calculation Sheet'!$L$4:$L$40),IF($BH48&gt;0,SUMIFS('Final Calculation Sheet'!$L$4:$L$40,$AZ$5:$AZ$41,$BH48),"")))</f>
        <v/>
      </c>
      <c r="N48" s="652">
        <f>IF($BJ48&gt;0,IF(INDEX('Final Calculation Sheet'!$M$4:$M$40,$BJ48-3)="","",INDEX('Final Calculation Sheet'!$M$4:$M$40,$BJ48-3)),IF($BI48=1,SUM('Final Calculation Sheet'!$M$4:$M$40),IF($BH48&gt;0,SUMIFS('Final Calculation Sheet'!$M$4:$M$40,$AZ$5:$AZ$41,$BH48),"")))</f>
        <v/>
      </c>
      <c r="O48" s="653">
        <f>IF($BJ48&gt;0,IF(INDEX('Final Calculation Sheet'!$N$4:$N$40,$BJ48-3)="","",INDEX('Final Calculation Sheet'!$N$4:$N$40,$BJ48-3)),IF($BI48=1,SUM('Final Calculation Sheet'!$N$4:$N$40),IF($BH48&gt;0,SUMIFS('Final Calculation Sheet'!$N$4:$N$40,$AZ$5:$AZ$41,$BH48),"")))</f>
        <v/>
      </c>
      <c r="P48" s="652">
        <f>IF($BJ48&gt;0,IF(INDEX('Final Calculation Sheet'!$O$4:$O$40,$BJ48-3)="","",INDEX('Final Calculation Sheet'!$O$4:$O$40,$BJ48-3)),IF($BI48=1,SUM('Final Calculation Sheet'!$O$4:$O$40),IF($BH48&gt;0,SUMIFS('Final Calculation Sheet'!$O$4:$O$40,$AZ$5:$AZ$41,$BH48),"")))</f>
        <v/>
      </c>
      <c r="Q48" s="652">
        <f>IF($BJ48&gt;0,IF(INDEX('Final Calculation Sheet'!$P$4:$P$40,$BJ48-3)="","",INDEX('Final Calculation Sheet'!$P$4:$P$40,$BJ48-3)),IF($BI48=1,SUM('Final Calculation Sheet'!$P$4:$P$40),IF($BH48&gt;0,SUMIFS('Final Calculation Sheet'!$P$4:$P$40,$AZ$5:$AZ$41,$BH48),"")))</f>
        <v/>
      </c>
      <c r="R48" s="654">
        <f>IF($BJ48&gt;0,IF(INDEX('Final Calculation Sheet'!$Q$4:$Q$40,$BJ48-3)="","",INDEX('Final Calculation Sheet'!$Q$4:$Q$40,$BJ48-3)),IF(OR($BI48=1,$BH48&gt;0),"–",""))</f>
        <v/>
      </c>
      <c r="S48" s="652">
        <f>IF($BJ48&gt;0,IF(INDEX('Final Calculation Sheet'!$R$4:$R$40,$BJ48-3)="","",INDEX('Final Calculation Sheet'!$R$4:$R$40,$BJ48-3)),IF($BI48=1,SUM('Final Calculation Sheet'!$R$4:$R$40),IF($BH48&gt;0,SUMIFS('Final Calculation Sheet'!$R$4:$R$40,$AZ$5:$AZ$41,$BH48),"")))</f>
        <v/>
      </c>
      <c r="T48" s="652">
        <f>IF($BJ48&gt;0,IF(INDEX('Final Calculation Sheet'!$S$4:$S$40,$BJ48-3)="","",INDEX('Final Calculation Sheet'!$S$4:$S$40,$BJ48-3)),IF($BI48=1,SUM('Final Calculation Sheet'!$S$4:$S$40),IF($BH48&gt;0,SUMIFS('Final Calculation Sheet'!$S$4:$S$40,$AZ$5:$AZ$41,$BH48),"")))</f>
        <v/>
      </c>
      <c r="U48" s="652">
        <f>IF($BJ48&gt;0,IF(INDEX('Final Calculation Sheet'!$T$4:$T$40,$BJ48-3)="","",INDEX('Final Calculation Sheet'!$T$4:$T$40,$BJ48-3)),IF($BI48=1,SUM('Final Calculation Sheet'!$T$4:$T$40),IF($BH48&gt;0,SUMIFS('Final Calculation Sheet'!$T$4:$T$40,$AZ$5:$AZ$41,$BH48),"")))</f>
        <v/>
      </c>
      <c r="V48" s="655">
        <f>IF($BJ48&gt;0,IF(INDEX('Final Calculation Sheet'!$U$4:$U$40,$BJ48-3)="","",INDEX('Final Calculation Sheet'!$U$4:$U$40,$BJ48-3)),IF($BI48=1,SUM('Final Calculation Sheet'!$U$4:$U$40),IF($BH48&gt;0,SUMIFS('Final Calculation Sheet'!$U$4:$U$40,$AZ$5:$AZ$41,$BH48),"")))</f>
        <v/>
      </c>
      <c r="W48" s="652">
        <f>IF($BJ48&gt;0,IF(INDEX('Final Calculation Sheet'!$V$4:$V$40,$BJ48-3)="","",INDEX('Final Calculation Sheet'!$V$4:$V$40,$BJ48-3)),IF(OR($BI48=1,$BH48&gt;0),"–",""))</f>
        <v/>
      </c>
      <c r="X48" s="652">
        <f>IF($BJ48&gt;0,IF(INDEX('Final Calculation Sheet'!$W$4:$W$40,$BJ48-3)="","",INDEX('Final Calculation Sheet'!$W$4:$W$40,$BJ48-3)),IF($BI48=1,SUM('Final Calculation Sheet'!$W$4:$W$40),IF($BH48&gt;0,SUMIFS('Final Calculation Sheet'!$W$4:$W$40,$AZ$5:$AZ$41,$BH48),"")))</f>
        <v/>
      </c>
      <c r="Y48" s="652">
        <f>IF($BJ48&gt;0,IF(INDEX('Final Calculation Sheet'!$X$4:$X$40,$BJ48-3)="","",INDEX('Final Calculation Sheet'!$X$4:$X$40,$BJ48-3)),IF($BI48=1,SUM('Final Calculation Sheet'!$X$4:$X$40),IF($BH48&gt;0,SUMIFS('Final Calculation Sheet'!$X$4:$X$40,$AZ$5:$AZ$41,$BH48),"")))</f>
        <v/>
      </c>
      <c r="Z48" s="652">
        <f>IF($BJ48&gt;0,IF(INDEX('Final Calculation Sheet'!$Y$4:$Y$40,$BJ48-3)="","",INDEX('Final Calculation Sheet'!$Y$4:$Y$40,$BJ48-3)),IF(OR($BI48=1,$BH48&gt;0),"–",""))</f>
        <v/>
      </c>
      <c r="AA48" s="652">
        <f>IF($BJ48&gt;0,IF(INDEX('Final Calculation Sheet'!$Z$4:$Z$40,$BJ48-3)="","",INDEX('Final Calculation Sheet'!$Z$4:$Z$40,$BJ48-3)),IF($BI48=1,SUM('Final Calculation Sheet'!$Z$4:$Z$40),IF($BH48&gt;0,SUMIFS('Final Calculation Sheet'!$Z$4:$Z$40,$AZ$5:$AZ$41,$BH48),"")))</f>
        <v/>
      </c>
      <c r="AB48" s="652">
        <f>IF($BJ48&gt;0,IF(INDEX('Final Calculation Sheet'!$AA$4:$AA$40,$BJ48-3)="","",INDEX('Final Calculation Sheet'!$AA$4:$AA$40,$BJ48-3)),IF($BI48=1,SUM('Final Calculation Sheet'!$AA$4:$AA$40),IF($BH48&gt;0,SUMIFS('Final Calculation Sheet'!$AA$4:$AA$40,$AZ$5:$AZ$41,$BH48),"")))</f>
        <v/>
      </c>
      <c r="AC48" s="652">
        <f>IF($BJ48&gt;0,IF(INDEX('Final Calculation Sheet'!$AB$4:$AB$40,$BJ48-3)="","",INDEX('Final Calculation Sheet'!$AB$4:$AB$40,$BJ48-3)),IF(OR($BI48=1,$BH48&gt;0),"–",""))</f>
        <v/>
      </c>
      <c r="AD48" s="652">
        <f>IF($BJ48&gt;0,IF(INDEX('Final Calculation Sheet'!$AC$4:$AC$40,$BJ48-3)="","",INDEX('Final Calculation Sheet'!$AC$4:$AC$40,$BJ48-3)),IF($BI48=1,SUM('Final Calculation Sheet'!$AC$4:$AC$40),IF($BH48&gt;0,SUMIFS('Final Calculation Sheet'!$AC$4:$AC$40,$AZ$5:$AZ$41,$BH48),"")))</f>
        <v/>
      </c>
      <c r="AE48" s="652">
        <f>IF($BJ48&gt;0,IF(INDEX('Final Calculation Sheet'!$AD$4:$AD$40,$BJ48-3)="","",INDEX('Final Calculation Sheet'!$AD$4:$AD$40,$BJ48-3)),IF($BI48=1,SUM('Final Calculation Sheet'!$AD$4:$AD$40),IF($BH48&gt;0,SUMIFS('Final Calculation Sheet'!$AD$4:$AD$40,$AZ$5:$AZ$41,$BH48),"")))</f>
        <v/>
      </c>
      <c r="AF48" s="652">
        <f>IF($BJ48&gt;0,IF(INDEX('Final Calculation Sheet'!$AE$4:$AE$40,$BJ48-3)="","",INDEX('Final Calculation Sheet'!$AE$4:$AE$40,$BJ48-3)),IF(OR($BI48=1,$BH48&gt;0),"–",""))</f>
        <v/>
      </c>
      <c r="AG48" s="656">
        <f>IF($BJ48&gt;0,IF(INDEX('Final Calculation Sheet'!$AF$4:$AF$40,$BJ48-3)="","",INDEX('Final Calculation Sheet'!$AF$4:$AF$40,$BJ48-3)),IF(OR($BI48=1,$BH48&gt;0),"–",""))</f>
        <v/>
      </c>
      <c r="AH48" s="652">
        <f>IF($BJ48&gt;0,IF(INDEX('Final Calculation Sheet'!$AG$4:$AG$40,$BJ48-3)="","",INDEX('Final Calculation Sheet'!$AG$4:$AG$40,$BJ48-3)),IF(OR($BI48=1,$BH48&gt;0),"–",""))</f>
        <v/>
      </c>
      <c r="AI48" s="657">
        <f>IF($BJ48&gt;0,IF(INDEX('Final Calculation Sheet'!$AD$4:$AD$40,$BJ48-3)="","",IF(INDEX('Final Calculation Sheet'!$AD$4:$AD$40,$BJ48-3)&lt;=0,"SETTLED","OUTSTANDING")),IF(OR($BI48=1,$BH48&gt;0),IF(IF($BI48=1,SUM('Final Calculation Sheet'!$AD$4:$AD$40),SUMIFS('Final Calculation Sheet'!$AD$4:$AD$40,$AZ$5:$AZ$41,$BH48))&lt;=0,"ALL SETTLED","OUTSTANDING"),""))</f>
        <v/>
      </c>
      <c r="BH48">
        <f>IFERROR(MATCH(48,$BF$4:$BF$13,0),0)</f>
        <v/>
      </c>
      <c r="BI48">
        <f>IF(48=$BG$4,1,0)</f>
        <v/>
      </c>
      <c r="BJ48">
        <f>IF(OR($BH48&gt;0,$BI48=1),0,IFERROR(INDEX($BC$5:$BC$41,MATCH(48,$BB$5:$BB$41,0)),0))</f>
        <v/>
      </c>
      <c r="BK48">
        <f>IF($BJ48&gt;0,IF(INDEX($AZ$5:$AZ$41,MATCH(48,$BB$5:$BB$41,0))=10,1,0),IF($BH48=10,1,0))</f>
        <v/>
      </c>
    </row>
    <row r="49" ht="15" customHeight="1">
      <c r="A49" s="649">
        <f>IF($BJ49&gt;0,INDEX($BA$5:$BA$41,MATCH(49,$BB$5:$BB$41,0)),IF(OR($BI49=1,$BH49&gt;0),"∑",""))</f>
        <v/>
      </c>
      <c r="B49" s="650">
        <f>IF($BJ49&gt;0,IF(INDEX('Final Calculation Sheet'!$F$4:$F$40,$BJ49-3)="","",INDEX('Final Calculation Sheet'!$F$4:$F$40,$BJ49-3)),"")</f>
        <v/>
      </c>
      <c r="C49" s="650">
        <f>IF($BJ49&gt;0,IF(INDEX('Final Calculation Sheet'!$G$4:$G$40,$BJ49-3)="","",INDEX('Final Calculation Sheet'!$G$4:$G$40,$BJ49-3)),IF(OR($BI49=1,$BH49&gt;0),IF($BI49=1,37,INDEX($BD$4:$BD$13,$BH49))&amp;" lot(s)",""))</f>
        <v/>
      </c>
      <c r="D49" s="651">
        <f>IF($BJ49&gt;0,IF(INDEX('Final Calculation Sheet'!$B$4:$B$40,$BJ49-3)="","",INDEX('Final Calculation Sheet'!$B$4:$B$40,$BJ49-3)),IF(OR($BI49=1,$BH49&gt;0),IF($BI49=1,"GRAND TOTAL  —  matching + remaining",IF($BH49=10,"REMAINING  —  did not match the search",IF($BH49=9,"ALL LOTS  —  nothing typed in the box","GROUP "&amp;$BH49&amp;" TOTAL  —  lots matching  "&amp;INDEX($AR$6:$AY$6,$BH49)))),""))</f>
        <v/>
      </c>
      <c r="E49" s="651">
        <f>IF($BJ49&gt;0,IF(INDEX('Final Calculation Sheet'!$D$4:$D$40,$BJ49-3)="","",INDEX('Final Calculation Sheet'!$D$4:$D$40,$BJ49-3)),IF(OR($BI49=1,$BH49&gt;0),"–",""))</f>
        <v/>
      </c>
      <c r="F49" s="651">
        <f>IF($BJ49&gt;0,IF(INDEX('Final Calculation Sheet'!$A$4:$A$40,$BJ49-3)="","",INDEX('Final Calculation Sheet'!$A$4:$A$40,$BJ49-3)),IF($BI49=1,SUM('Final Calculation Sheet'!$A$4:$A$40),IF($BH49&gt;0,SUMIFS('Final Calculation Sheet'!$A$4:$A$40,$AZ$5:$AZ$41,$BH49),"")))</f>
        <v/>
      </c>
      <c r="G49" s="651">
        <f>IF($BJ49&gt;0,IF(INDEX('Final Calculation Sheet'!$E$4:$E$40,$BJ49-3)="","",INDEX('Final Calculation Sheet'!$E$4:$E$40,$BJ49-3)),IF(OR($BI49=1,$BH49&gt;0),"–",""))</f>
        <v/>
      </c>
      <c r="H49" s="652">
        <f>IF($BJ49&gt;0,IF(INDEX('Final Calculation Sheet'!$C$4:$C$40,$BJ49-3)="","",INDEX('Final Calculation Sheet'!$C$4:$C$40,$BJ49-3)),IF(OR($BI49=1,$BH49&gt;0),"–",""))</f>
        <v/>
      </c>
      <c r="I49" s="652">
        <f>IF($BJ49&gt;0,IF(INDEX('Final Calculation Sheet'!$H$4:$H$40,$BJ49-3)="","",INDEX('Final Calculation Sheet'!$H$4:$H$40,$BJ49-3)),IF($BI49=1,SUM('Final Calculation Sheet'!$H$4:$H$40),IF($BH49&gt;0,SUMIFS('Final Calculation Sheet'!$H$4:$H$40,$AZ$5:$AZ$41,$BH49),"")))</f>
        <v/>
      </c>
      <c r="J49" s="652">
        <f>IF($BJ49&gt;0,IF(INDEX('Final Calculation Sheet'!$I$4:$I$40,$BJ49-3)="","",INDEX('Final Calculation Sheet'!$I$4:$I$40,$BJ49-3)),IF($BI49=1,SUM('Final Calculation Sheet'!$I$4:$I$40),IF($BH49&gt;0,SUMIFS('Final Calculation Sheet'!$I$4:$I$40,$AZ$5:$AZ$41,$BH49),"")))</f>
        <v/>
      </c>
      <c r="K49" s="652">
        <f>IF($BJ49&gt;0,IF(INDEX('Final Calculation Sheet'!$J$4:$J$40,$BJ49-3)="","",INDEX('Final Calculation Sheet'!$J$4:$J$40,$BJ49-3)),IF($BI49=1,SUM('Final Calculation Sheet'!$J$4:$J$40),IF($BH49&gt;0,SUMIFS('Final Calculation Sheet'!$J$4:$J$40,$AZ$5:$AZ$41,$BH49),"")))</f>
        <v/>
      </c>
      <c r="L49" s="652">
        <f>IF($BJ49&gt;0,IF(INDEX('Final Calculation Sheet'!$K$4:$K$40,$BJ49-3)="","",INDEX('Final Calculation Sheet'!$K$4:$K$40,$BJ49-3)),IF($BI49=1,SUM('Final Calculation Sheet'!$K$4:$K$40),IF($BH49&gt;0,SUMIFS('Final Calculation Sheet'!$K$4:$K$40,$AZ$5:$AZ$41,$BH49),"")))</f>
        <v/>
      </c>
      <c r="M49" s="652">
        <f>IF($BJ49&gt;0,IF(INDEX('Final Calculation Sheet'!$L$4:$L$40,$BJ49-3)="","",INDEX('Final Calculation Sheet'!$L$4:$L$40,$BJ49-3)),IF($BI49=1,SUM('Final Calculation Sheet'!$L$4:$L$40),IF($BH49&gt;0,SUMIFS('Final Calculation Sheet'!$L$4:$L$40,$AZ$5:$AZ$41,$BH49),"")))</f>
        <v/>
      </c>
      <c r="N49" s="652">
        <f>IF($BJ49&gt;0,IF(INDEX('Final Calculation Sheet'!$M$4:$M$40,$BJ49-3)="","",INDEX('Final Calculation Sheet'!$M$4:$M$40,$BJ49-3)),IF($BI49=1,SUM('Final Calculation Sheet'!$M$4:$M$40),IF($BH49&gt;0,SUMIFS('Final Calculation Sheet'!$M$4:$M$40,$AZ$5:$AZ$41,$BH49),"")))</f>
        <v/>
      </c>
      <c r="O49" s="653">
        <f>IF($BJ49&gt;0,IF(INDEX('Final Calculation Sheet'!$N$4:$N$40,$BJ49-3)="","",INDEX('Final Calculation Sheet'!$N$4:$N$40,$BJ49-3)),IF($BI49=1,SUM('Final Calculation Sheet'!$N$4:$N$40),IF($BH49&gt;0,SUMIFS('Final Calculation Sheet'!$N$4:$N$40,$AZ$5:$AZ$41,$BH49),"")))</f>
        <v/>
      </c>
      <c r="P49" s="652">
        <f>IF($BJ49&gt;0,IF(INDEX('Final Calculation Sheet'!$O$4:$O$40,$BJ49-3)="","",INDEX('Final Calculation Sheet'!$O$4:$O$40,$BJ49-3)),IF($BI49=1,SUM('Final Calculation Sheet'!$O$4:$O$40),IF($BH49&gt;0,SUMIFS('Final Calculation Sheet'!$O$4:$O$40,$AZ$5:$AZ$41,$BH49),"")))</f>
        <v/>
      </c>
      <c r="Q49" s="652">
        <f>IF($BJ49&gt;0,IF(INDEX('Final Calculation Sheet'!$P$4:$P$40,$BJ49-3)="","",INDEX('Final Calculation Sheet'!$P$4:$P$40,$BJ49-3)),IF($BI49=1,SUM('Final Calculation Sheet'!$P$4:$P$40),IF($BH49&gt;0,SUMIFS('Final Calculation Sheet'!$P$4:$P$40,$AZ$5:$AZ$41,$BH49),"")))</f>
        <v/>
      </c>
      <c r="R49" s="654">
        <f>IF($BJ49&gt;0,IF(INDEX('Final Calculation Sheet'!$Q$4:$Q$40,$BJ49-3)="","",INDEX('Final Calculation Sheet'!$Q$4:$Q$40,$BJ49-3)),IF(OR($BI49=1,$BH49&gt;0),"–",""))</f>
        <v/>
      </c>
      <c r="S49" s="652">
        <f>IF($BJ49&gt;0,IF(INDEX('Final Calculation Sheet'!$R$4:$R$40,$BJ49-3)="","",INDEX('Final Calculation Sheet'!$R$4:$R$40,$BJ49-3)),IF($BI49=1,SUM('Final Calculation Sheet'!$R$4:$R$40),IF($BH49&gt;0,SUMIFS('Final Calculation Sheet'!$R$4:$R$40,$AZ$5:$AZ$41,$BH49),"")))</f>
        <v/>
      </c>
      <c r="T49" s="652">
        <f>IF($BJ49&gt;0,IF(INDEX('Final Calculation Sheet'!$S$4:$S$40,$BJ49-3)="","",INDEX('Final Calculation Sheet'!$S$4:$S$40,$BJ49-3)),IF($BI49=1,SUM('Final Calculation Sheet'!$S$4:$S$40),IF($BH49&gt;0,SUMIFS('Final Calculation Sheet'!$S$4:$S$40,$AZ$5:$AZ$41,$BH49),"")))</f>
        <v/>
      </c>
      <c r="U49" s="652">
        <f>IF($BJ49&gt;0,IF(INDEX('Final Calculation Sheet'!$T$4:$T$40,$BJ49-3)="","",INDEX('Final Calculation Sheet'!$T$4:$T$40,$BJ49-3)),IF($BI49=1,SUM('Final Calculation Sheet'!$T$4:$T$40),IF($BH49&gt;0,SUMIFS('Final Calculation Sheet'!$T$4:$T$40,$AZ$5:$AZ$41,$BH49),"")))</f>
        <v/>
      </c>
      <c r="V49" s="655">
        <f>IF($BJ49&gt;0,IF(INDEX('Final Calculation Sheet'!$U$4:$U$40,$BJ49-3)="","",INDEX('Final Calculation Sheet'!$U$4:$U$40,$BJ49-3)),IF($BI49=1,SUM('Final Calculation Sheet'!$U$4:$U$40),IF($BH49&gt;0,SUMIFS('Final Calculation Sheet'!$U$4:$U$40,$AZ$5:$AZ$41,$BH49),"")))</f>
        <v/>
      </c>
      <c r="W49" s="652">
        <f>IF($BJ49&gt;0,IF(INDEX('Final Calculation Sheet'!$V$4:$V$40,$BJ49-3)="","",INDEX('Final Calculation Sheet'!$V$4:$V$40,$BJ49-3)),IF(OR($BI49=1,$BH49&gt;0),"–",""))</f>
        <v/>
      </c>
      <c r="X49" s="652">
        <f>IF($BJ49&gt;0,IF(INDEX('Final Calculation Sheet'!$W$4:$W$40,$BJ49-3)="","",INDEX('Final Calculation Sheet'!$W$4:$W$40,$BJ49-3)),IF($BI49=1,SUM('Final Calculation Sheet'!$W$4:$W$40),IF($BH49&gt;0,SUMIFS('Final Calculation Sheet'!$W$4:$W$40,$AZ$5:$AZ$41,$BH49),"")))</f>
        <v/>
      </c>
      <c r="Y49" s="652">
        <f>IF($BJ49&gt;0,IF(INDEX('Final Calculation Sheet'!$X$4:$X$40,$BJ49-3)="","",INDEX('Final Calculation Sheet'!$X$4:$X$40,$BJ49-3)),IF($BI49=1,SUM('Final Calculation Sheet'!$X$4:$X$40),IF($BH49&gt;0,SUMIFS('Final Calculation Sheet'!$X$4:$X$40,$AZ$5:$AZ$41,$BH49),"")))</f>
        <v/>
      </c>
      <c r="Z49" s="652">
        <f>IF($BJ49&gt;0,IF(INDEX('Final Calculation Sheet'!$Y$4:$Y$40,$BJ49-3)="","",INDEX('Final Calculation Sheet'!$Y$4:$Y$40,$BJ49-3)),IF(OR($BI49=1,$BH49&gt;0),"–",""))</f>
        <v/>
      </c>
      <c r="AA49" s="652">
        <f>IF($BJ49&gt;0,IF(INDEX('Final Calculation Sheet'!$Z$4:$Z$40,$BJ49-3)="","",INDEX('Final Calculation Sheet'!$Z$4:$Z$40,$BJ49-3)),IF($BI49=1,SUM('Final Calculation Sheet'!$Z$4:$Z$40),IF($BH49&gt;0,SUMIFS('Final Calculation Sheet'!$Z$4:$Z$40,$AZ$5:$AZ$41,$BH49),"")))</f>
        <v/>
      </c>
      <c r="AB49" s="652">
        <f>IF($BJ49&gt;0,IF(INDEX('Final Calculation Sheet'!$AA$4:$AA$40,$BJ49-3)="","",INDEX('Final Calculation Sheet'!$AA$4:$AA$40,$BJ49-3)),IF($BI49=1,SUM('Final Calculation Sheet'!$AA$4:$AA$40),IF($BH49&gt;0,SUMIFS('Final Calculation Sheet'!$AA$4:$AA$40,$AZ$5:$AZ$41,$BH49),"")))</f>
        <v/>
      </c>
      <c r="AC49" s="652">
        <f>IF($BJ49&gt;0,IF(INDEX('Final Calculation Sheet'!$AB$4:$AB$40,$BJ49-3)="","",INDEX('Final Calculation Sheet'!$AB$4:$AB$40,$BJ49-3)),IF(OR($BI49=1,$BH49&gt;0),"–",""))</f>
        <v/>
      </c>
      <c r="AD49" s="652">
        <f>IF($BJ49&gt;0,IF(INDEX('Final Calculation Sheet'!$AC$4:$AC$40,$BJ49-3)="","",INDEX('Final Calculation Sheet'!$AC$4:$AC$40,$BJ49-3)),IF($BI49=1,SUM('Final Calculation Sheet'!$AC$4:$AC$40),IF($BH49&gt;0,SUMIFS('Final Calculation Sheet'!$AC$4:$AC$40,$AZ$5:$AZ$41,$BH49),"")))</f>
        <v/>
      </c>
      <c r="AE49" s="652">
        <f>IF($BJ49&gt;0,IF(INDEX('Final Calculation Sheet'!$AD$4:$AD$40,$BJ49-3)="","",INDEX('Final Calculation Sheet'!$AD$4:$AD$40,$BJ49-3)),IF($BI49=1,SUM('Final Calculation Sheet'!$AD$4:$AD$40),IF($BH49&gt;0,SUMIFS('Final Calculation Sheet'!$AD$4:$AD$40,$AZ$5:$AZ$41,$BH49),"")))</f>
        <v/>
      </c>
      <c r="AF49" s="652">
        <f>IF($BJ49&gt;0,IF(INDEX('Final Calculation Sheet'!$AE$4:$AE$40,$BJ49-3)="","",INDEX('Final Calculation Sheet'!$AE$4:$AE$40,$BJ49-3)),IF(OR($BI49=1,$BH49&gt;0),"–",""))</f>
        <v/>
      </c>
      <c r="AG49" s="656">
        <f>IF($BJ49&gt;0,IF(INDEX('Final Calculation Sheet'!$AF$4:$AF$40,$BJ49-3)="","",INDEX('Final Calculation Sheet'!$AF$4:$AF$40,$BJ49-3)),IF(OR($BI49=1,$BH49&gt;0),"–",""))</f>
        <v/>
      </c>
      <c r="AH49" s="652">
        <f>IF($BJ49&gt;0,IF(INDEX('Final Calculation Sheet'!$AG$4:$AG$40,$BJ49-3)="","",INDEX('Final Calculation Sheet'!$AG$4:$AG$40,$BJ49-3)),IF(OR($BI49=1,$BH49&gt;0),"–",""))</f>
        <v/>
      </c>
      <c r="AI49" s="657">
        <f>IF($BJ49&gt;0,IF(INDEX('Final Calculation Sheet'!$AD$4:$AD$40,$BJ49-3)="","",IF(INDEX('Final Calculation Sheet'!$AD$4:$AD$40,$BJ49-3)&lt;=0,"SETTLED","OUTSTANDING")),IF(OR($BI49=1,$BH49&gt;0),IF(IF($BI49=1,SUM('Final Calculation Sheet'!$AD$4:$AD$40),SUMIFS('Final Calculation Sheet'!$AD$4:$AD$40,$AZ$5:$AZ$41,$BH49))&lt;=0,"ALL SETTLED","OUTSTANDING"),""))</f>
        <v/>
      </c>
      <c r="BH49">
        <f>IFERROR(MATCH(49,$BF$4:$BF$13,0),0)</f>
        <v/>
      </c>
      <c r="BI49">
        <f>IF(49=$BG$4,1,0)</f>
        <v/>
      </c>
      <c r="BJ49">
        <f>IF(OR($BH49&gt;0,$BI49=1),0,IFERROR(INDEX($BC$5:$BC$41,MATCH(49,$BB$5:$BB$41,0)),0))</f>
        <v/>
      </c>
      <c r="BK49">
        <f>IF($BJ49&gt;0,IF(INDEX($AZ$5:$AZ$41,MATCH(49,$BB$5:$BB$41,0))=10,1,0),IF($BH49=10,1,0))</f>
        <v/>
      </c>
    </row>
    <row r="50" ht="15" customHeight="1">
      <c r="A50" s="649">
        <f>IF($BJ50&gt;0,INDEX($BA$5:$BA$41,MATCH(50,$BB$5:$BB$41,0)),IF(OR($BI50=1,$BH50&gt;0),"∑",""))</f>
        <v/>
      </c>
      <c r="B50" s="650">
        <f>IF($BJ50&gt;0,IF(INDEX('Final Calculation Sheet'!$F$4:$F$40,$BJ50-3)="","",INDEX('Final Calculation Sheet'!$F$4:$F$40,$BJ50-3)),"")</f>
        <v/>
      </c>
      <c r="C50" s="650">
        <f>IF($BJ50&gt;0,IF(INDEX('Final Calculation Sheet'!$G$4:$G$40,$BJ50-3)="","",INDEX('Final Calculation Sheet'!$G$4:$G$40,$BJ50-3)),IF(OR($BI50=1,$BH50&gt;0),IF($BI50=1,37,INDEX($BD$4:$BD$13,$BH50))&amp;" lot(s)",""))</f>
        <v/>
      </c>
      <c r="D50" s="651">
        <f>IF($BJ50&gt;0,IF(INDEX('Final Calculation Sheet'!$B$4:$B$40,$BJ50-3)="","",INDEX('Final Calculation Sheet'!$B$4:$B$40,$BJ50-3)),IF(OR($BI50=1,$BH50&gt;0),IF($BI50=1,"GRAND TOTAL  —  matching + remaining",IF($BH50=10,"REMAINING  —  did not match the search",IF($BH50=9,"ALL LOTS  —  nothing typed in the box","GROUP "&amp;$BH50&amp;" TOTAL  —  lots matching  "&amp;INDEX($AR$6:$AY$6,$BH50)))),""))</f>
        <v/>
      </c>
      <c r="E50" s="651">
        <f>IF($BJ50&gt;0,IF(INDEX('Final Calculation Sheet'!$D$4:$D$40,$BJ50-3)="","",INDEX('Final Calculation Sheet'!$D$4:$D$40,$BJ50-3)),IF(OR($BI50=1,$BH50&gt;0),"–",""))</f>
        <v/>
      </c>
      <c r="F50" s="651">
        <f>IF($BJ50&gt;0,IF(INDEX('Final Calculation Sheet'!$A$4:$A$40,$BJ50-3)="","",INDEX('Final Calculation Sheet'!$A$4:$A$40,$BJ50-3)),IF($BI50=1,SUM('Final Calculation Sheet'!$A$4:$A$40),IF($BH50&gt;0,SUMIFS('Final Calculation Sheet'!$A$4:$A$40,$AZ$5:$AZ$41,$BH50),"")))</f>
        <v/>
      </c>
      <c r="G50" s="651">
        <f>IF($BJ50&gt;0,IF(INDEX('Final Calculation Sheet'!$E$4:$E$40,$BJ50-3)="","",INDEX('Final Calculation Sheet'!$E$4:$E$40,$BJ50-3)),IF(OR($BI50=1,$BH50&gt;0),"–",""))</f>
        <v/>
      </c>
      <c r="H50" s="652">
        <f>IF($BJ50&gt;0,IF(INDEX('Final Calculation Sheet'!$C$4:$C$40,$BJ50-3)="","",INDEX('Final Calculation Sheet'!$C$4:$C$40,$BJ50-3)),IF(OR($BI50=1,$BH50&gt;0),"–",""))</f>
        <v/>
      </c>
      <c r="I50" s="652">
        <f>IF($BJ50&gt;0,IF(INDEX('Final Calculation Sheet'!$H$4:$H$40,$BJ50-3)="","",INDEX('Final Calculation Sheet'!$H$4:$H$40,$BJ50-3)),IF($BI50=1,SUM('Final Calculation Sheet'!$H$4:$H$40),IF($BH50&gt;0,SUMIFS('Final Calculation Sheet'!$H$4:$H$40,$AZ$5:$AZ$41,$BH50),"")))</f>
        <v/>
      </c>
      <c r="J50" s="652">
        <f>IF($BJ50&gt;0,IF(INDEX('Final Calculation Sheet'!$I$4:$I$40,$BJ50-3)="","",INDEX('Final Calculation Sheet'!$I$4:$I$40,$BJ50-3)),IF($BI50=1,SUM('Final Calculation Sheet'!$I$4:$I$40),IF($BH50&gt;0,SUMIFS('Final Calculation Sheet'!$I$4:$I$40,$AZ$5:$AZ$41,$BH50),"")))</f>
        <v/>
      </c>
      <c r="K50" s="652">
        <f>IF($BJ50&gt;0,IF(INDEX('Final Calculation Sheet'!$J$4:$J$40,$BJ50-3)="","",INDEX('Final Calculation Sheet'!$J$4:$J$40,$BJ50-3)),IF($BI50=1,SUM('Final Calculation Sheet'!$J$4:$J$40),IF($BH50&gt;0,SUMIFS('Final Calculation Sheet'!$J$4:$J$40,$AZ$5:$AZ$41,$BH50),"")))</f>
        <v/>
      </c>
      <c r="L50" s="652">
        <f>IF($BJ50&gt;0,IF(INDEX('Final Calculation Sheet'!$K$4:$K$40,$BJ50-3)="","",INDEX('Final Calculation Sheet'!$K$4:$K$40,$BJ50-3)),IF($BI50=1,SUM('Final Calculation Sheet'!$K$4:$K$40),IF($BH50&gt;0,SUMIFS('Final Calculation Sheet'!$K$4:$K$40,$AZ$5:$AZ$41,$BH50),"")))</f>
        <v/>
      </c>
      <c r="M50" s="652">
        <f>IF($BJ50&gt;0,IF(INDEX('Final Calculation Sheet'!$L$4:$L$40,$BJ50-3)="","",INDEX('Final Calculation Sheet'!$L$4:$L$40,$BJ50-3)),IF($BI50=1,SUM('Final Calculation Sheet'!$L$4:$L$40),IF($BH50&gt;0,SUMIFS('Final Calculation Sheet'!$L$4:$L$40,$AZ$5:$AZ$41,$BH50),"")))</f>
        <v/>
      </c>
      <c r="N50" s="652">
        <f>IF($BJ50&gt;0,IF(INDEX('Final Calculation Sheet'!$M$4:$M$40,$BJ50-3)="","",INDEX('Final Calculation Sheet'!$M$4:$M$40,$BJ50-3)),IF($BI50=1,SUM('Final Calculation Sheet'!$M$4:$M$40),IF($BH50&gt;0,SUMIFS('Final Calculation Sheet'!$M$4:$M$40,$AZ$5:$AZ$41,$BH50),"")))</f>
        <v/>
      </c>
      <c r="O50" s="653">
        <f>IF($BJ50&gt;0,IF(INDEX('Final Calculation Sheet'!$N$4:$N$40,$BJ50-3)="","",INDEX('Final Calculation Sheet'!$N$4:$N$40,$BJ50-3)),IF($BI50=1,SUM('Final Calculation Sheet'!$N$4:$N$40),IF($BH50&gt;0,SUMIFS('Final Calculation Sheet'!$N$4:$N$40,$AZ$5:$AZ$41,$BH50),"")))</f>
        <v/>
      </c>
      <c r="P50" s="652">
        <f>IF($BJ50&gt;0,IF(INDEX('Final Calculation Sheet'!$O$4:$O$40,$BJ50-3)="","",INDEX('Final Calculation Sheet'!$O$4:$O$40,$BJ50-3)),IF($BI50=1,SUM('Final Calculation Sheet'!$O$4:$O$40),IF($BH50&gt;0,SUMIFS('Final Calculation Sheet'!$O$4:$O$40,$AZ$5:$AZ$41,$BH50),"")))</f>
        <v/>
      </c>
      <c r="Q50" s="652">
        <f>IF($BJ50&gt;0,IF(INDEX('Final Calculation Sheet'!$P$4:$P$40,$BJ50-3)="","",INDEX('Final Calculation Sheet'!$P$4:$P$40,$BJ50-3)),IF($BI50=1,SUM('Final Calculation Sheet'!$P$4:$P$40),IF($BH50&gt;0,SUMIFS('Final Calculation Sheet'!$P$4:$P$40,$AZ$5:$AZ$41,$BH50),"")))</f>
        <v/>
      </c>
      <c r="R50" s="654">
        <f>IF($BJ50&gt;0,IF(INDEX('Final Calculation Sheet'!$Q$4:$Q$40,$BJ50-3)="","",INDEX('Final Calculation Sheet'!$Q$4:$Q$40,$BJ50-3)),IF(OR($BI50=1,$BH50&gt;0),"–",""))</f>
        <v/>
      </c>
      <c r="S50" s="652">
        <f>IF($BJ50&gt;0,IF(INDEX('Final Calculation Sheet'!$R$4:$R$40,$BJ50-3)="","",INDEX('Final Calculation Sheet'!$R$4:$R$40,$BJ50-3)),IF($BI50=1,SUM('Final Calculation Sheet'!$R$4:$R$40),IF($BH50&gt;0,SUMIFS('Final Calculation Sheet'!$R$4:$R$40,$AZ$5:$AZ$41,$BH50),"")))</f>
        <v/>
      </c>
      <c r="T50" s="652">
        <f>IF($BJ50&gt;0,IF(INDEX('Final Calculation Sheet'!$S$4:$S$40,$BJ50-3)="","",INDEX('Final Calculation Sheet'!$S$4:$S$40,$BJ50-3)),IF($BI50=1,SUM('Final Calculation Sheet'!$S$4:$S$40),IF($BH50&gt;0,SUMIFS('Final Calculation Sheet'!$S$4:$S$40,$AZ$5:$AZ$41,$BH50),"")))</f>
        <v/>
      </c>
      <c r="U50" s="652">
        <f>IF($BJ50&gt;0,IF(INDEX('Final Calculation Sheet'!$T$4:$T$40,$BJ50-3)="","",INDEX('Final Calculation Sheet'!$T$4:$T$40,$BJ50-3)),IF($BI50=1,SUM('Final Calculation Sheet'!$T$4:$T$40),IF($BH50&gt;0,SUMIFS('Final Calculation Sheet'!$T$4:$T$40,$AZ$5:$AZ$41,$BH50),"")))</f>
        <v/>
      </c>
      <c r="V50" s="655">
        <f>IF($BJ50&gt;0,IF(INDEX('Final Calculation Sheet'!$U$4:$U$40,$BJ50-3)="","",INDEX('Final Calculation Sheet'!$U$4:$U$40,$BJ50-3)),IF($BI50=1,SUM('Final Calculation Sheet'!$U$4:$U$40),IF($BH50&gt;0,SUMIFS('Final Calculation Sheet'!$U$4:$U$40,$AZ$5:$AZ$41,$BH50),"")))</f>
        <v/>
      </c>
      <c r="W50" s="652">
        <f>IF($BJ50&gt;0,IF(INDEX('Final Calculation Sheet'!$V$4:$V$40,$BJ50-3)="","",INDEX('Final Calculation Sheet'!$V$4:$V$40,$BJ50-3)),IF(OR($BI50=1,$BH50&gt;0),"–",""))</f>
        <v/>
      </c>
      <c r="X50" s="652">
        <f>IF($BJ50&gt;0,IF(INDEX('Final Calculation Sheet'!$W$4:$W$40,$BJ50-3)="","",INDEX('Final Calculation Sheet'!$W$4:$W$40,$BJ50-3)),IF($BI50=1,SUM('Final Calculation Sheet'!$W$4:$W$40),IF($BH50&gt;0,SUMIFS('Final Calculation Sheet'!$W$4:$W$40,$AZ$5:$AZ$41,$BH50),"")))</f>
        <v/>
      </c>
      <c r="Y50" s="652">
        <f>IF($BJ50&gt;0,IF(INDEX('Final Calculation Sheet'!$X$4:$X$40,$BJ50-3)="","",INDEX('Final Calculation Sheet'!$X$4:$X$40,$BJ50-3)),IF($BI50=1,SUM('Final Calculation Sheet'!$X$4:$X$40),IF($BH50&gt;0,SUMIFS('Final Calculation Sheet'!$X$4:$X$40,$AZ$5:$AZ$41,$BH50),"")))</f>
        <v/>
      </c>
      <c r="Z50" s="652">
        <f>IF($BJ50&gt;0,IF(INDEX('Final Calculation Sheet'!$Y$4:$Y$40,$BJ50-3)="","",INDEX('Final Calculation Sheet'!$Y$4:$Y$40,$BJ50-3)),IF(OR($BI50=1,$BH50&gt;0),"–",""))</f>
        <v/>
      </c>
      <c r="AA50" s="652">
        <f>IF($BJ50&gt;0,IF(INDEX('Final Calculation Sheet'!$Z$4:$Z$40,$BJ50-3)="","",INDEX('Final Calculation Sheet'!$Z$4:$Z$40,$BJ50-3)),IF($BI50=1,SUM('Final Calculation Sheet'!$Z$4:$Z$40),IF($BH50&gt;0,SUMIFS('Final Calculation Sheet'!$Z$4:$Z$40,$AZ$5:$AZ$41,$BH50),"")))</f>
        <v/>
      </c>
      <c r="AB50" s="652">
        <f>IF($BJ50&gt;0,IF(INDEX('Final Calculation Sheet'!$AA$4:$AA$40,$BJ50-3)="","",INDEX('Final Calculation Sheet'!$AA$4:$AA$40,$BJ50-3)),IF($BI50=1,SUM('Final Calculation Sheet'!$AA$4:$AA$40),IF($BH50&gt;0,SUMIFS('Final Calculation Sheet'!$AA$4:$AA$40,$AZ$5:$AZ$41,$BH50),"")))</f>
        <v/>
      </c>
      <c r="AC50" s="652">
        <f>IF($BJ50&gt;0,IF(INDEX('Final Calculation Sheet'!$AB$4:$AB$40,$BJ50-3)="","",INDEX('Final Calculation Sheet'!$AB$4:$AB$40,$BJ50-3)),IF(OR($BI50=1,$BH50&gt;0),"–",""))</f>
        <v/>
      </c>
      <c r="AD50" s="652">
        <f>IF($BJ50&gt;0,IF(INDEX('Final Calculation Sheet'!$AC$4:$AC$40,$BJ50-3)="","",INDEX('Final Calculation Sheet'!$AC$4:$AC$40,$BJ50-3)),IF($BI50=1,SUM('Final Calculation Sheet'!$AC$4:$AC$40),IF($BH50&gt;0,SUMIFS('Final Calculation Sheet'!$AC$4:$AC$40,$AZ$5:$AZ$41,$BH50),"")))</f>
        <v/>
      </c>
      <c r="AE50" s="652">
        <f>IF($BJ50&gt;0,IF(INDEX('Final Calculation Sheet'!$AD$4:$AD$40,$BJ50-3)="","",INDEX('Final Calculation Sheet'!$AD$4:$AD$40,$BJ50-3)),IF($BI50=1,SUM('Final Calculation Sheet'!$AD$4:$AD$40),IF($BH50&gt;0,SUMIFS('Final Calculation Sheet'!$AD$4:$AD$40,$AZ$5:$AZ$41,$BH50),"")))</f>
        <v/>
      </c>
      <c r="AF50" s="652">
        <f>IF($BJ50&gt;0,IF(INDEX('Final Calculation Sheet'!$AE$4:$AE$40,$BJ50-3)="","",INDEX('Final Calculation Sheet'!$AE$4:$AE$40,$BJ50-3)),IF(OR($BI50=1,$BH50&gt;0),"–",""))</f>
        <v/>
      </c>
      <c r="AG50" s="656">
        <f>IF($BJ50&gt;0,IF(INDEX('Final Calculation Sheet'!$AF$4:$AF$40,$BJ50-3)="","",INDEX('Final Calculation Sheet'!$AF$4:$AF$40,$BJ50-3)),IF(OR($BI50=1,$BH50&gt;0),"–",""))</f>
        <v/>
      </c>
      <c r="AH50" s="652">
        <f>IF($BJ50&gt;0,IF(INDEX('Final Calculation Sheet'!$AG$4:$AG$40,$BJ50-3)="","",INDEX('Final Calculation Sheet'!$AG$4:$AG$40,$BJ50-3)),IF(OR($BI50=1,$BH50&gt;0),"–",""))</f>
        <v/>
      </c>
      <c r="AI50" s="657">
        <f>IF($BJ50&gt;0,IF(INDEX('Final Calculation Sheet'!$AD$4:$AD$40,$BJ50-3)="","",IF(INDEX('Final Calculation Sheet'!$AD$4:$AD$40,$BJ50-3)&lt;=0,"SETTLED","OUTSTANDING")),IF(OR($BI50=1,$BH50&gt;0),IF(IF($BI50=1,SUM('Final Calculation Sheet'!$AD$4:$AD$40),SUMIFS('Final Calculation Sheet'!$AD$4:$AD$40,$AZ$5:$AZ$41,$BH50))&lt;=0,"ALL SETTLED","OUTSTANDING"),""))</f>
        <v/>
      </c>
      <c r="BH50">
        <f>IFERROR(MATCH(50,$BF$4:$BF$13,0),0)</f>
        <v/>
      </c>
      <c r="BI50">
        <f>IF(50=$BG$4,1,0)</f>
        <v/>
      </c>
      <c r="BJ50">
        <f>IF(OR($BH50&gt;0,$BI50=1),0,IFERROR(INDEX($BC$5:$BC$41,MATCH(50,$BB$5:$BB$41,0)),0))</f>
        <v/>
      </c>
      <c r="BK50">
        <f>IF($BJ50&gt;0,IF(INDEX($AZ$5:$AZ$41,MATCH(50,$BB$5:$BB$41,0))=10,1,0),IF($BH50=10,1,0))</f>
        <v/>
      </c>
    </row>
    <row r="51" ht="15" customHeight="1">
      <c r="A51" s="649">
        <f>IF($BJ51&gt;0,INDEX($BA$5:$BA$41,MATCH(51,$BB$5:$BB$41,0)),IF(OR($BI51=1,$BH51&gt;0),"∑",""))</f>
        <v/>
      </c>
      <c r="B51" s="650">
        <f>IF($BJ51&gt;0,IF(INDEX('Final Calculation Sheet'!$F$4:$F$40,$BJ51-3)="","",INDEX('Final Calculation Sheet'!$F$4:$F$40,$BJ51-3)),"")</f>
        <v/>
      </c>
      <c r="C51" s="650">
        <f>IF($BJ51&gt;0,IF(INDEX('Final Calculation Sheet'!$G$4:$G$40,$BJ51-3)="","",INDEX('Final Calculation Sheet'!$G$4:$G$40,$BJ51-3)),IF(OR($BI51=1,$BH51&gt;0),IF($BI51=1,37,INDEX($BD$4:$BD$13,$BH51))&amp;" lot(s)",""))</f>
        <v/>
      </c>
      <c r="D51" s="651">
        <f>IF($BJ51&gt;0,IF(INDEX('Final Calculation Sheet'!$B$4:$B$40,$BJ51-3)="","",INDEX('Final Calculation Sheet'!$B$4:$B$40,$BJ51-3)),IF(OR($BI51=1,$BH51&gt;0),IF($BI51=1,"GRAND TOTAL  —  matching + remaining",IF($BH51=10,"REMAINING  —  did not match the search",IF($BH51=9,"ALL LOTS  —  nothing typed in the box","GROUP "&amp;$BH51&amp;" TOTAL  —  lots matching  "&amp;INDEX($AR$6:$AY$6,$BH51)))),""))</f>
        <v/>
      </c>
      <c r="E51" s="651">
        <f>IF($BJ51&gt;0,IF(INDEX('Final Calculation Sheet'!$D$4:$D$40,$BJ51-3)="","",INDEX('Final Calculation Sheet'!$D$4:$D$40,$BJ51-3)),IF(OR($BI51=1,$BH51&gt;0),"–",""))</f>
        <v/>
      </c>
      <c r="F51" s="651">
        <f>IF($BJ51&gt;0,IF(INDEX('Final Calculation Sheet'!$A$4:$A$40,$BJ51-3)="","",INDEX('Final Calculation Sheet'!$A$4:$A$40,$BJ51-3)),IF($BI51=1,SUM('Final Calculation Sheet'!$A$4:$A$40),IF($BH51&gt;0,SUMIFS('Final Calculation Sheet'!$A$4:$A$40,$AZ$5:$AZ$41,$BH51),"")))</f>
        <v/>
      </c>
      <c r="G51" s="651">
        <f>IF($BJ51&gt;0,IF(INDEX('Final Calculation Sheet'!$E$4:$E$40,$BJ51-3)="","",INDEX('Final Calculation Sheet'!$E$4:$E$40,$BJ51-3)),IF(OR($BI51=1,$BH51&gt;0),"–",""))</f>
        <v/>
      </c>
      <c r="H51" s="652">
        <f>IF($BJ51&gt;0,IF(INDEX('Final Calculation Sheet'!$C$4:$C$40,$BJ51-3)="","",INDEX('Final Calculation Sheet'!$C$4:$C$40,$BJ51-3)),IF(OR($BI51=1,$BH51&gt;0),"–",""))</f>
        <v/>
      </c>
      <c r="I51" s="652">
        <f>IF($BJ51&gt;0,IF(INDEX('Final Calculation Sheet'!$H$4:$H$40,$BJ51-3)="","",INDEX('Final Calculation Sheet'!$H$4:$H$40,$BJ51-3)),IF($BI51=1,SUM('Final Calculation Sheet'!$H$4:$H$40),IF($BH51&gt;0,SUMIFS('Final Calculation Sheet'!$H$4:$H$40,$AZ$5:$AZ$41,$BH51),"")))</f>
        <v/>
      </c>
      <c r="J51" s="652">
        <f>IF($BJ51&gt;0,IF(INDEX('Final Calculation Sheet'!$I$4:$I$40,$BJ51-3)="","",INDEX('Final Calculation Sheet'!$I$4:$I$40,$BJ51-3)),IF($BI51=1,SUM('Final Calculation Sheet'!$I$4:$I$40),IF($BH51&gt;0,SUMIFS('Final Calculation Sheet'!$I$4:$I$40,$AZ$5:$AZ$41,$BH51),"")))</f>
        <v/>
      </c>
      <c r="K51" s="652">
        <f>IF($BJ51&gt;0,IF(INDEX('Final Calculation Sheet'!$J$4:$J$40,$BJ51-3)="","",INDEX('Final Calculation Sheet'!$J$4:$J$40,$BJ51-3)),IF($BI51=1,SUM('Final Calculation Sheet'!$J$4:$J$40),IF($BH51&gt;0,SUMIFS('Final Calculation Sheet'!$J$4:$J$40,$AZ$5:$AZ$41,$BH51),"")))</f>
        <v/>
      </c>
      <c r="L51" s="652">
        <f>IF($BJ51&gt;0,IF(INDEX('Final Calculation Sheet'!$K$4:$K$40,$BJ51-3)="","",INDEX('Final Calculation Sheet'!$K$4:$K$40,$BJ51-3)),IF($BI51=1,SUM('Final Calculation Sheet'!$K$4:$K$40),IF($BH51&gt;0,SUMIFS('Final Calculation Sheet'!$K$4:$K$40,$AZ$5:$AZ$41,$BH51),"")))</f>
        <v/>
      </c>
      <c r="M51" s="652">
        <f>IF($BJ51&gt;0,IF(INDEX('Final Calculation Sheet'!$L$4:$L$40,$BJ51-3)="","",INDEX('Final Calculation Sheet'!$L$4:$L$40,$BJ51-3)),IF($BI51=1,SUM('Final Calculation Sheet'!$L$4:$L$40),IF($BH51&gt;0,SUMIFS('Final Calculation Sheet'!$L$4:$L$40,$AZ$5:$AZ$41,$BH51),"")))</f>
        <v/>
      </c>
      <c r="N51" s="652">
        <f>IF($BJ51&gt;0,IF(INDEX('Final Calculation Sheet'!$M$4:$M$40,$BJ51-3)="","",INDEX('Final Calculation Sheet'!$M$4:$M$40,$BJ51-3)),IF($BI51=1,SUM('Final Calculation Sheet'!$M$4:$M$40),IF($BH51&gt;0,SUMIFS('Final Calculation Sheet'!$M$4:$M$40,$AZ$5:$AZ$41,$BH51),"")))</f>
        <v/>
      </c>
      <c r="O51" s="653">
        <f>IF($BJ51&gt;0,IF(INDEX('Final Calculation Sheet'!$N$4:$N$40,$BJ51-3)="","",INDEX('Final Calculation Sheet'!$N$4:$N$40,$BJ51-3)),IF($BI51=1,SUM('Final Calculation Sheet'!$N$4:$N$40),IF($BH51&gt;0,SUMIFS('Final Calculation Sheet'!$N$4:$N$40,$AZ$5:$AZ$41,$BH51),"")))</f>
        <v/>
      </c>
      <c r="P51" s="652">
        <f>IF($BJ51&gt;0,IF(INDEX('Final Calculation Sheet'!$O$4:$O$40,$BJ51-3)="","",INDEX('Final Calculation Sheet'!$O$4:$O$40,$BJ51-3)),IF($BI51=1,SUM('Final Calculation Sheet'!$O$4:$O$40),IF($BH51&gt;0,SUMIFS('Final Calculation Sheet'!$O$4:$O$40,$AZ$5:$AZ$41,$BH51),"")))</f>
        <v/>
      </c>
      <c r="Q51" s="652">
        <f>IF($BJ51&gt;0,IF(INDEX('Final Calculation Sheet'!$P$4:$P$40,$BJ51-3)="","",INDEX('Final Calculation Sheet'!$P$4:$P$40,$BJ51-3)),IF($BI51=1,SUM('Final Calculation Sheet'!$P$4:$P$40),IF($BH51&gt;0,SUMIFS('Final Calculation Sheet'!$P$4:$P$40,$AZ$5:$AZ$41,$BH51),"")))</f>
        <v/>
      </c>
      <c r="R51" s="654">
        <f>IF($BJ51&gt;0,IF(INDEX('Final Calculation Sheet'!$Q$4:$Q$40,$BJ51-3)="","",INDEX('Final Calculation Sheet'!$Q$4:$Q$40,$BJ51-3)),IF(OR($BI51=1,$BH51&gt;0),"–",""))</f>
        <v/>
      </c>
      <c r="S51" s="652">
        <f>IF($BJ51&gt;0,IF(INDEX('Final Calculation Sheet'!$R$4:$R$40,$BJ51-3)="","",INDEX('Final Calculation Sheet'!$R$4:$R$40,$BJ51-3)),IF($BI51=1,SUM('Final Calculation Sheet'!$R$4:$R$40),IF($BH51&gt;0,SUMIFS('Final Calculation Sheet'!$R$4:$R$40,$AZ$5:$AZ$41,$BH51),"")))</f>
        <v/>
      </c>
      <c r="T51" s="652">
        <f>IF($BJ51&gt;0,IF(INDEX('Final Calculation Sheet'!$S$4:$S$40,$BJ51-3)="","",INDEX('Final Calculation Sheet'!$S$4:$S$40,$BJ51-3)),IF($BI51=1,SUM('Final Calculation Sheet'!$S$4:$S$40),IF($BH51&gt;0,SUMIFS('Final Calculation Sheet'!$S$4:$S$40,$AZ$5:$AZ$41,$BH51),"")))</f>
        <v/>
      </c>
      <c r="U51" s="652">
        <f>IF($BJ51&gt;0,IF(INDEX('Final Calculation Sheet'!$T$4:$T$40,$BJ51-3)="","",INDEX('Final Calculation Sheet'!$T$4:$T$40,$BJ51-3)),IF($BI51=1,SUM('Final Calculation Sheet'!$T$4:$T$40),IF($BH51&gt;0,SUMIFS('Final Calculation Sheet'!$T$4:$T$40,$AZ$5:$AZ$41,$BH51),"")))</f>
        <v/>
      </c>
      <c r="V51" s="655">
        <f>IF($BJ51&gt;0,IF(INDEX('Final Calculation Sheet'!$U$4:$U$40,$BJ51-3)="","",INDEX('Final Calculation Sheet'!$U$4:$U$40,$BJ51-3)),IF($BI51=1,SUM('Final Calculation Sheet'!$U$4:$U$40),IF($BH51&gt;0,SUMIFS('Final Calculation Sheet'!$U$4:$U$40,$AZ$5:$AZ$41,$BH51),"")))</f>
        <v/>
      </c>
      <c r="W51" s="652">
        <f>IF($BJ51&gt;0,IF(INDEX('Final Calculation Sheet'!$V$4:$V$40,$BJ51-3)="","",INDEX('Final Calculation Sheet'!$V$4:$V$40,$BJ51-3)),IF(OR($BI51=1,$BH51&gt;0),"–",""))</f>
        <v/>
      </c>
      <c r="X51" s="652">
        <f>IF($BJ51&gt;0,IF(INDEX('Final Calculation Sheet'!$W$4:$W$40,$BJ51-3)="","",INDEX('Final Calculation Sheet'!$W$4:$W$40,$BJ51-3)),IF($BI51=1,SUM('Final Calculation Sheet'!$W$4:$W$40),IF($BH51&gt;0,SUMIFS('Final Calculation Sheet'!$W$4:$W$40,$AZ$5:$AZ$41,$BH51),"")))</f>
        <v/>
      </c>
      <c r="Y51" s="652">
        <f>IF($BJ51&gt;0,IF(INDEX('Final Calculation Sheet'!$X$4:$X$40,$BJ51-3)="","",INDEX('Final Calculation Sheet'!$X$4:$X$40,$BJ51-3)),IF($BI51=1,SUM('Final Calculation Sheet'!$X$4:$X$40),IF($BH51&gt;0,SUMIFS('Final Calculation Sheet'!$X$4:$X$40,$AZ$5:$AZ$41,$BH51),"")))</f>
        <v/>
      </c>
      <c r="Z51" s="652">
        <f>IF($BJ51&gt;0,IF(INDEX('Final Calculation Sheet'!$Y$4:$Y$40,$BJ51-3)="","",INDEX('Final Calculation Sheet'!$Y$4:$Y$40,$BJ51-3)),IF(OR($BI51=1,$BH51&gt;0),"–",""))</f>
        <v/>
      </c>
      <c r="AA51" s="652">
        <f>IF($BJ51&gt;0,IF(INDEX('Final Calculation Sheet'!$Z$4:$Z$40,$BJ51-3)="","",INDEX('Final Calculation Sheet'!$Z$4:$Z$40,$BJ51-3)),IF($BI51=1,SUM('Final Calculation Sheet'!$Z$4:$Z$40),IF($BH51&gt;0,SUMIFS('Final Calculation Sheet'!$Z$4:$Z$40,$AZ$5:$AZ$41,$BH51),"")))</f>
        <v/>
      </c>
      <c r="AB51" s="652">
        <f>IF($BJ51&gt;0,IF(INDEX('Final Calculation Sheet'!$AA$4:$AA$40,$BJ51-3)="","",INDEX('Final Calculation Sheet'!$AA$4:$AA$40,$BJ51-3)),IF($BI51=1,SUM('Final Calculation Sheet'!$AA$4:$AA$40),IF($BH51&gt;0,SUMIFS('Final Calculation Sheet'!$AA$4:$AA$40,$AZ$5:$AZ$41,$BH51),"")))</f>
        <v/>
      </c>
      <c r="AC51" s="652">
        <f>IF($BJ51&gt;0,IF(INDEX('Final Calculation Sheet'!$AB$4:$AB$40,$BJ51-3)="","",INDEX('Final Calculation Sheet'!$AB$4:$AB$40,$BJ51-3)),IF(OR($BI51=1,$BH51&gt;0),"–",""))</f>
        <v/>
      </c>
      <c r="AD51" s="652">
        <f>IF($BJ51&gt;0,IF(INDEX('Final Calculation Sheet'!$AC$4:$AC$40,$BJ51-3)="","",INDEX('Final Calculation Sheet'!$AC$4:$AC$40,$BJ51-3)),IF($BI51=1,SUM('Final Calculation Sheet'!$AC$4:$AC$40),IF($BH51&gt;0,SUMIFS('Final Calculation Sheet'!$AC$4:$AC$40,$AZ$5:$AZ$41,$BH51),"")))</f>
        <v/>
      </c>
      <c r="AE51" s="652">
        <f>IF($BJ51&gt;0,IF(INDEX('Final Calculation Sheet'!$AD$4:$AD$40,$BJ51-3)="","",INDEX('Final Calculation Sheet'!$AD$4:$AD$40,$BJ51-3)),IF($BI51=1,SUM('Final Calculation Sheet'!$AD$4:$AD$40),IF($BH51&gt;0,SUMIFS('Final Calculation Sheet'!$AD$4:$AD$40,$AZ$5:$AZ$41,$BH51),"")))</f>
        <v/>
      </c>
      <c r="AF51" s="652">
        <f>IF($BJ51&gt;0,IF(INDEX('Final Calculation Sheet'!$AE$4:$AE$40,$BJ51-3)="","",INDEX('Final Calculation Sheet'!$AE$4:$AE$40,$BJ51-3)),IF(OR($BI51=1,$BH51&gt;0),"–",""))</f>
        <v/>
      </c>
      <c r="AG51" s="656">
        <f>IF($BJ51&gt;0,IF(INDEX('Final Calculation Sheet'!$AF$4:$AF$40,$BJ51-3)="","",INDEX('Final Calculation Sheet'!$AF$4:$AF$40,$BJ51-3)),IF(OR($BI51=1,$BH51&gt;0),"–",""))</f>
        <v/>
      </c>
      <c r="AH51" s="652">
        <f>IF($BJ51&gt;0,IF(INDEX('Final Calculation Sheet'!$AG$4:$AG$40,$BJ51-3)="","",INDEX('Final Calculation Sheet'!$AG$4:$AG$40,$BJ51-3)),IF(OR($BI51=1,$BH51&gt;0),"–",""))</f>
        <v/>
      </c>
      <c r="AI51" s="657">
        <f>IF($BJ51&gt;0,IF(INDEX('Final Calculation Sheet'!$AD$4:$AD$40,$BJ51-3)="","",IF(INDEX('Final Calculation Sheet'!$AD$4:$AD$40,$BJ51-3)&lt;=0,"SETTLED","OUTSTANDING")),IF(OR($BI51=1,$BH51&gt;0),IF(IF($BI51=1,SUM('Final Calculation Sheet'!$AD$4:$AD$40),SUMIFS('Final Calculation Sheet'!$AD$4:$AD$40,$AZ$5:$AZ$41,$BH51))&lt;=0,"ALL SETTLED","OUTSTANDING"),""))</f>
        <v/>
      </c>
      <c r="BH51">
        <f>IFERROR(MATCH(51,$BF$4:$BF$13,0),0)</f>
        <v/>
      </c>
      <c r="BI51">
        <f>IF(51=$BG$4,1,0)</f>
        <v/>
      </c>
      <c r="BJ51">
        <f>IF(OR($BH51&gt;0,$BI51=1),0,IFERROR(INDEX($BC$5:$BC$41,MATCH(51,$BB$5:$BB$41,0)),0))</f>
        <v/>
      </c>
      <c r="BK51">
        <f>IF($BJ51&gt;0,IF(INDEX($AZ$5:$AZ$41,MATCH(51,$BB$5:$BB$41,0))=10,1,0),IF($BH51=10,1,0))</f>
        <v/>
      </c>
    </row>
    <row r="52" ht="15" customHeight="1">
      <c r="A52" s="649">
        <f>IF($BJ52&gt;0,INDEX($BA$5:$BA$41,MATCH(52,$BB$5:$BB$41,0)),IF(OR($BI52=1,$BH52&gt;0),"∑",""))</f>
        <v/>
      </c>
      <c r="B52" s="650">
        <f>IF($BJ52&gt;0,IF(INDEX('Final Calculation Sheet'!$F$4:$F$40,$BJ52-3)="","",INDEX('Final Calculation Sheet'!$F$4:$F$40,$BJ52-3)),"")</f>
        <v/>
      </c>
      <c r="C52" s="650">
        <f>IF($BJ52&gt;0,IF(INDEX('Final Calculation Sheet'!$G$4:$G$40,$BJ52-3)="","",INDEX('Final Calculation Sheet'!$G$4:$G$40,$BJ52-3)),IF(OR($BI52=1,$BH52&gt;0),IF($BI52=1,37,INDEX($BD$4:$BD$13,$BH52))&amp;" lot(s)",""))</f>
        <v/>
      </c>
      <c r="D52" s="651">
        <f>IF($BJ52&gt;0,IF(INDEX('Final Calculation Sheet'!$B$4:$B$40,$BJ52-3)="","",INDEX('Final Calculation Sheet'!$B$4:$B$40,$BJ52-3)),IF(OR($BI52=1,$BH52&gt;0),IF($BI52=1,"GRAND TOTAL  —  matching + remaining",IF($BH52=10,"REMAINING  —  did not match the search",IF($BH52=9,"ALL LOTS  —  nothing typed in the box","GROUP "&amp;$BH52&amp;" TOTAL  —  lots matching  "&amp;INDEX($AR$6:$AY$6,$BH52)))),""))</f>
        <v/>
      </c>
      <c r="E52" s="651">
        <f>IF($BJ52&gt;0,IF(INDEX('Final Calculation Sheet'!$D$4:$D$40,$BJ52-3)="","",INDEX('Final Calculation Sheet'!$D$4:$D$40,$BJ52-3)),IF(OR($BI52=1,$BH52&gt;0),"–",""))</f>
        <v/>
      </c>
      <c r="F52" s="651">
        <f>IF($BJ52&gt;0,IF(INDEX('Final Calculation Sheet'!$A$4:$A$40,$BJ52-3)="","",INDEX('Final Calculation Sheet'!$A$4:$A$40,$BJ52-3)),IF($BI52=1,SUM('Final Calculation Sheet'!$A$4:$A$40),IF($BH52&gt;0,SUMIFS('Final Calculation Sheet'!$A$4:$A$40,$AZ$5:$AZ$41,$BH52),"")))</f>
        <v/>
      </c>
      <c r="G52" s="651">
        <f>IF($BJ52&gt;0,IF(INDEX('Final Calculation Sheet'!$E$4:$E$40,$BJ52-3)="","",INDEX('Final Calculation Sheet'!$E$4:$E$40,$BJ52-3)),IF(OR($BI52=1,$BH52&gt;0),"–",""))</f>
        <v/>
      </c>
      <c r="H52" s="652">
        <f>IF($BJ52&gt;0,IF(INDEX('Final Calculation Sheet'!$C$4:$C$40,$BJ52-3)="","",INDEX('Final Calculation Sheet'!$C$4:$C$40,$BJ52-3)),IF(OR($BI52=1,$BH52&gt;0),"–",""))</f>
        <v/>
      </c>
      <c r="I52" s="652">
        <f>IF($BJ52&gt;0,IF(INDEX('Final Calculation Sheet'!$H$4:$H$40,$BJ52-3)="","",INDEX('Final Calculation Sheet'!$H$4:$H$40,$BJ52-3)),IF($BI52=1,SUM('Final Calculation Sheet'!$H$4:$H$40),IF($BH52&gt;0,SUMIFS('Final Calculation Sheet'!$H$4:$H$40,$AZ$5:$AZ$41,$BH52),"")))</f>
        <v/>
      </c>
      <c r="J52" s="652">
        <f>IF($BJ52&gt;0,IF(INDEX('Final Calculation Sheet'!$I$4:$I$40,$BJ52-3)="","",INDEX('Final Calculation Sheet'!$I$4:$I$40,$BJ52-3)),IF($BI52=1,SUM('Final Calculation Sheet'!$I$4:$I$40),IF($BH52&gt;0,SUMIFS('Final Calculation Sheet'!$I$4:$I$40,$AZ$5:$AZ$41,$BH52),"")))</f>
        <v/>
      </c>
      <c r="K52" s="652">
        <f>IF($BJ52&gt;0,IF(INDEX('Final Calculation Sheet'!$J$4:$J$40,$BJ52-3)="","",INDEX('Final Calculation Sheet'!$J$4:$J$40,$BJ52-3)),IF($BI52=1,SUM('Final Calculation Sheet'!$J$4:$J$40),IF($BH52&gt;0,SUMIFS('Final Calculation Sheet'!$J$4:$J$40,$AZ$5:$AZ$41,$BH52),"")))</f>
        <v/>
      </c>
      <c r="L52" s="652">
        <f>IF($BJ52&gt;0,IF(INDEX('Final Calculation Sheet'!$K$4:$K$40,$BJ52-3)="","",INDEX('Final Calculation Sheet'!$K$4:$K$40,$BJ52-3)),IF($BI52=1,SUM('Final Calculation Sheet'!$K$4:$K$40),IF($BH52&gt;0,SUMIFS('Final Calculation Sheet'!$K$4:$K$40,$AZ$5:$AZ$41,$BH52),"")))</f>
        <v/>
      </c>
      <c r="M52" s="652">
        <f>IF($BJ52&gt;0,IF(INDEX('Final Calculation Sheet'!$L$4:$L$40,$BJ52-3)="","",INDEX('Final Calculation Sheet'!$L$4:$L$40,$BJ52-3)),IF($BI52=1,SUM('Final Calculation Sheet'!$L$4:$L$40),IF($BH52&gt;0,SUMIFS('Final Calculation Sheet'!$L$4:$L$40,$AZ$5:$AZ$41,$BH52),"")))</f>
        <v/>
      </c>
      <c r="N52" s="652">
        <f>IF($BJ52&gt;0,IF(INDEX('Final Calculation Sheet'!$M$4:$M$40,$BJ52-3)="","",INDEX('Final Calculation Sheet'!$M$4:$M$40,$BJ52-3)),IF($BI52=1,SUM('Final Calculation Sheet'!$M$4:$M$40),IF($BH52&gt;0,SUMIFS('Final Calculation Sheet'!$M$4:$M$40,$AZ$5:$AZ$41,$BH52),"")))</f>
        <v/>
      </c>
      <c r="O52" s="653">
        <f>IF($BJ52&gt;0,IF(INDEX('Final Calculation Sheet'!$N$4:$N$40,$BJ52-3)="","",INDEX('Final Calculation Sheet'!$N$4:$N$40,$BJ52-3)),IF($BI52=1,SUM('Final Calculation Sheet'!$N$4:$N$40),IF($BH52&gt;0,SUMIFS('Final Calculation Sheet'!$N$4:$N$40,$AZ$5:$AZ$41,$BH52),"")))</f>
        <v/>
      </c>
      <c r="P52" s="652">
        <f>IF($BJ52&gt;0,IF(INDEX('Final Calculation Sheet'!$O$4:$O$40,$BJ52-3)="","",INDEX('Final Calculation Sheet'!$O$4:$O$40,$BJ52-3)),IF($BI52=1,SUM('Final Calculation Sheet'!$O$4:$O$40),IF($BH52&gt;0,SUMIFS('Final Calculation Sheet'!$O$4:$O$40,$AZ$5:$AZ$41,$BH52),"")))</f>
        <v/>
      </c>
      <c r="Q52" s="652">
        <f>IF($BJ52&gt;0,IF(INDEX('Final Calculation Sheet'!$P$4:$P$40,$BJ52-3)="","",INDEX('Final Calculation Sheet'!$P$4:$P$40,$BJ52-3)),IF($BI52=1,SUM('Final Calculation Sheet'!$P$4:$P$40),IF($BH52&gt;0,SUMIFS('Final Calculation Sheet'!$P$4:$P$40,$AZ$5:$AZ$41,$BH52),"")))</f>
        <v/>
      </c>
      <c r="R52" s="654">
        <f>IF($BJ52&gt;0,IF(INDEX('Final Calculation Sheet'!$Q$4:$Q$40,$BJ52-3)="","",INDEX('Final Calculation Sheet'!$Q$4:$Q$40,$BJ52-3)),IF(OR($BI52=1,$BH52&gt;0),"–",""))</f>
        <v/>
      </c>
      <c r="S52" s="652">
        <f>IF($BJ52&gt;0,IF(INDEX('Final Calculation Sheet'!$R$4:$R$40,$BJ52-3)="","",INDEX('Final Calculation Sheet'!$R$4:$R$40,$BJ52-3)),IF($BI52=1,SUM('Final Calculation Sheet'!$R$4:$R$40),IF($BH52&gt;0,SUMIFS('Final Calculation Sheet'!$R$4:$R$40,$AZ$5:$AZ$41,$BH52),"")))</f>
        <v/>
      </c>
      <c r="T52" s="652">
        <f>IF($BJ52&gt;0,IF(INDEX('Final Calculation Sheet'!$S$4:$S$40,$BJ52-3)="","",INDEX('Final Calculation Sheet'!$S$4:$S$40,$BJ52-3)),IF($BI52=1,SUM('Final Calculation Sheet'!$S$4:$S$40),IF($BH52&gt;0,SUMIFS('Final Calculation Sheet'!$S$4:$S$40,$AZ$5:$AZ$41,$BH52),"")))</f>
        <v/>
      </c>
      <c r="U52" s="652">
        <f>IF($BJ52&gt;0,IF(INDEX('Final Calculation Sheet'!$T$4:$T$40,$BJ52-3)="","",INDEX('Final Calculation Sheet'!$T$4:$T$40,$BJ52-3)),IF($BI52=1,SUM('Final Calculation Sheet'!$T$4:$T$40),IF($BH52&gt;0,SUMIFS('Final Calculation Sheet'!$T$4:$T$40,$AZ$5:$AZ$41,$BH52),"")))</f>
        <v/>
      </c>
      <c r="V52" s="655">
        <f>IF($BJ52&gt;0,IF(INDEX('Final Calculation Sheet'!$U$4:$U$40,$BJ52-3)="","",INDEX('Final Calculation Sheet'!$U$4:$U$40,$BJ52-3)),IF($BI52=1,SUM('Final Calculation Sheet'!$U$4:$U$40),IF($BH52&gt;0,SUMIFS('Final Calculation Sheet'!$U$4:$U$40,$AZ$5:$AZ$41,$BH52),"")))</f>
        <v/>
      </c>
      <c r="W52" s="652">
        <f>IF($BJ52&gt;0,IF(INDEX('Final Calculation Sheet'!$V$4:$V$40,$BJ52-3)="","",INDEX('Final Calculation Sheet'!$V$4:$V$40,$BJ52-3)),IF(OR($BI52=1,$BH52&gt;0),"–",""))</f>
        <v/>
      </c>
      <c r="X52" s="652">
        <f>IF($BJ52&gt;0,IF(INDEX('Final Calculation Sheet'!$W$4:$W$40,$BJ52-3)="","",INDEX('Final Calculation Sheet'!$W$4:$W$40,$BJ52-3)),IF($BI52=1,SUM('Final Calculation Sheet'!$W$4:$W$40),IF($BH52&gt;0,SUMIFS('Final Calculation Sheet'!$W$4:$W$40,$AZ$5:$AZ$41,$BH52),"")))</f>
        <v/>
      </c>
      <c r="Y52" s="652">
        <f>IF($BJ52&gt;0,IF(INDEX('Final Calculation Sheet'!$X$4:$X$40,$BJ52-3)="","",INDEX('Final Calculation Sheet'!$X$4:$X$40,$BJ52-3)),IF($BI52=1,SUM('Final Calculation Sheet'!$X$4:$X$40),IF($BH52&gt;0,SUMIFS('Final Calculation Sheet'!$X$4:$X$40,$AZ$5:$AZ$41,$BH52),"")))</f>
        <v/>
      </c>
      <c r="Z52" s="652">
        <f>IF($BJ52&gt;0,IF(INDEX('Final Calculation Sheet'!$Y$4:$Y$40,$BJ52-3)="","",INDEX('Final Calculation Sheet'!$Y$4:$Y$40,$BJ52-3)),IF(OR($BI52=1,$BH52&gt;0),"–",""))</f>
        <v/>
      </c>
      <c r="AA52" s="652">
        <f>IF($BJ52&gt;0,IF(INDEX('Final Calculation Sheet'!$Z$4:$Z$40,$BJ52-3)="","",INDEX('Final Calculation Sheet'!$Z$4:$Z$40,$BJ52-3)),IF($BI52=1,SUM('Final Calculation Sheet'!$Z$4:$Z$40),IF($BH52&gt;0,SUMIFS('Final Calculation Sheet'!$Z$4:$Z$40,$AZ$5:$AZ$41,$BH52),"")))</f>
        <v/>
      </c>
      <c r="AB52" s="652">
        <f>IF($BJ52&gt;0,IF(INDEX('Final Calculation Sheet'!$AA$4:$AA$40,$BJ52-3)="","",INDEX('Final Calculation Sheet'!$AA$4:$AA$40,$BJ52-3)),IF($BI52=1,SUM('Final Calculation Sheet'!$AA$4:$AA$40),IF($BH52&gt;0,SUMIFS('Final Calculation Sheet'!$AA$4:$AA$40,$AZ$5:$AZ$41,$BH52),"")))</f>
        <v/>
      </c>
      <c r="AC52" s="652">
        <f>IF($BJ52&gt;0,IF(INDEX('Final Calculation Sheet'!$AB$4:$AB$40,$BJ52-3)="","",INDEX('Final Calculation Sheet'!$AB$4:$AB$40,$BJ52-3)),IF(OR($BI52=1,$BH52&gt;0),"–",""))</f>
        <v/>
      </c>
      <c r="AD52" s="652">
        <f>IF($BJ52&gt;0,IF(INDEX('Final Calculation Sheet'!$AC$4:$AC$40,$BJ52-3)="","",INDEX('Final Calculation Sheet'!$AC$4:$AC$40,$BJ52-3)),IF($BI52=1,SUM('Final Calculation Sheet'!$AC$4:$AC$40),IF($BH52&gt;0,SUMIFS('Final Calculation Sheet'!$AC$4:$AC$40,$AZ$5:$AZ$41,$BH52),"")))</f>
        <v/>
      </c>
      <c r="AE52" s="652">
        <f>IF($BJ52&gt;0,IF(INDEX('Final Calculation Sheet'!$AD$4:$AD$40,$BJ52-3)="","",INDEX('Final Calculation Sheet'!$AD$4:$AD$40,$BJ52-3)),IF($BI52=1,SUM('Final Calculation Sheet'!$AD$4:$AD$40),IF($BH52&gt;0,SUMIFS('Final Calculation Sheet'!$AD$4:$AD$40,$AZ$5:$AZ$41,$BH52),"")))</f>
        <v/>
      </c>
      <c r="AF52" s="652">
        <f>IF($BJ52&gt;0,IF(INDEX('Final Calculation Sheet'!$AE$4:$AE$40,$BJ52-3)="","",INDEX('Final Calculation Sheet'!$AE$4:$AE$40,$BJ52-3)),IF(OR($BI52=1,$BH52&gt;0),"–",""))</f>
        <v/>
      </c>
      <c r="AG52" s="656">
        <f>IF($BJ52&gt;0,IF(INDEX('Final Calculation Sheet'!$AF$4:$AF$40,$BJ52-3)="","",INDEX('Final Calculation Sheet'!$AF$4:$AF$40,$BJ52-3)),IF(OR($BI52=1,$BH52&gt;0),"–",""))</f>
        <v/>
      </c>
      <c r="AH52" s="652">
        <f>IF($BJ52&gt;0,IF(INDEX('Final Calculation Sheet'!$AG$4:$AG$40,$BJ52-3)="","",INDEX('Final Calculation Sheet'!$AG$4:$AG$40,$BJ52-3)),IF(OR($BI52=1,$BH52&gt;0),"–",""))</f>
        <v/>
      </c>
      <c r="AI52" s="657">
        <f>IF($BJ52&gt;0,IF(INDEX('Final Calculation Sheet'!$AD$4:$AD$40,$BJ52-3)="","",IF(INDEX('Final Calculation Sheet'!$AD$4:$AD$40,$BJ52-3)&lt;=0,"SETTLED","OUTSTANDING")),IF(OR($BI52=1,$BH52&gt;0),IF(IF($BI52=1,SUM('Final Calculation Sheet'!$AD$4:$AD$40),SUMIFS('Final Calculation Sheet'!$AD$4:$AD$40,$AZ$5:$AZ$41,$BH52))&lt;=0,"ALL SETTLED","OUTSTANDING"),""))</f>
        <v/>
      </c>
      <c r="BH52">
        <f>IFERROR(MATCH(52,$BF$4:$BF$13,0),0)</f>
        <v/>
      </c>
      <c r="BI52">
        <f>IF(52=$BG$4,1,0)</f>
        <v/>
      </c>
      <c r="BJ52">
        <f>IF(OR($BH52&gt;0,$BI52=1),0,IFERROR(INDEX($BC$5:$BC$41,MATCH(52,$BB$5:$BB$41,0)),0))</f>
        <v/>
      </c>
      <c r="BK52">
        <f>IF($BJ52&gt;0,IF(INDEX($AZ$5:$AZ$41,MATCH(52,$BB$5:$BB$41,0))=10,1,0),IF($BH52=10,1,0))</f>
        <v/>
      </c>
    </row>
  </sheetData>
  <mergeCells count="4">
    <mergeCell ref="A2:AI2"/>
    <mergeCell ref="B3:D3"/>
    <mergeCell ref="I3:AI3"/>
    <mergeCell ref="A1:AI1"/>
  </mergeCells>
  <conditionalFormatting sqref="A5:AH52">
    <cfRule type="expression" priority="1" dxfId="9">
      <formula>AND($B$3&lt;&gt;"",$BK5=1,$BH5=0,$BI5=0)</formula>
    </cfRule>
    <cfRule type="expression" priority="2" dxfId="10">
      <formula>$BH5=10</formula>
    </cfRule>
    <cfRule type="expression" priority="3" dxfId="11">
      <formula>$BI5=1</formula>
    </cfRule>
    <cfRule type="expression" priority="4" dxfId="12">
      <formula>$BH5&gt;0</formula>
    </cfRule>
    <cfRule type="expression" priority="5" dxfId="7">
      <formula>AND($B$3&lt;&gt;"",$BJ5&gt;0,$BK5=0)</formula>
    </cfRule>
    <cfRule type="expression" priority="6" dxfId="13">
      <formula>AND($BJ5&gt;0,MOD($BJ5,2)=0)</formula>
    </cfRule>
  </conditionalFormatting>
  <conditionalFormatting sqref="AE5:AE52">
    <cfRule type="cellIs" priority="7" operator="greaterThan" dxfId="8">
      <formula>0</formula>
    </cfRule>
  </conditionalFormatting>
  <conditionalFormatting sqref="AI5:AI52">
    <cfRule type="cellIs" priority="8" operator="equal" dxfId="0">
      <formula>"SETTLED"</formula>
    </cfRule>
    <cfRule type="cellIs" priority="9" operator="equal" dxfId="1">
      <formula>"OUTSTANDING"</formula>
    </cfRule>
  </conditionalFormatting>
  <conditionalFormatting sqref="A5:AI52">
    <cfRule type="expression" priority="10" dxfId="14">
      <formula>OR($BJ5&gt;0,$BH5&gt;0,$BI5=1)</formula>
    </cfRule>
  </conditionalFormatting>
  <dataValidations count="1">
    <dataValidation sqref="F3" showDropDown="0" showInputMessage="0" showErrorMessage="0" allowBlank="0" type="list">
      <formula1>$AO$4:$AO$9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AM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4.5" customWidth="1" min="39" max="3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a one-for-one copy of 'Final Calculation Sheet' turned on its side: the 33 field captions of row 3 run down column A in the same order, one column per lot, and the last column is the source's own total row (row 41)   •   every cell is a live link, so the two sheets can never disagree   •   the header colour of a lot column is its auction: 1F4E79 = bid sheet 21980  •  C55A11 = bid sheet 21977  •  548235 = bid sheet 21978  •  7030A0 = bid sheet 21979   •   filter with the ▼ arrow on the FIELD column</t>
        </is>
      </c>
    </row>
    <row r="3" ht="30" customHeight="1">
      <c r="A3" s="424" t="inlineStr">
        <is>
          <t>FIELD (row 3 of the source)  ▸  |  LOT →</t>
        </is>
      </c>
      <c r="B3" s="536">
        <f>IF('Final Calculation Sheet'!$F$4="","",'Final Calculation Sheet'!$F$4)</f>
        <v/>
      </c>
      <c r="C3" s="537">
        <f>IF('Final Calculation Sheet'!$F$5="","",'Final Calculation Sheet'!$F$5)</f>
        <v/>
      </c>
      <c r="D3" s="537">
        <f>IF('Final Calculation Sheet'!$F$6="","",'Final Calculation Sheet'!$F$6)</f>
        <v/>
      </c>
      <c r="E3" s="537">
        <f>IF('Final Calculation Sheet'!$F$7="","",'Final Calculation Sheet'!$F$7)</f>
        <v/>
      </c>
      <c r="F3" s="536">
        <f>IF('Final Calculation Sheet'!$F$8="","",'Final Calculation Sheet'!$F$8)</f>
        <v/>
      </c>
      <c r="G3" s="537">
        <f>IF('Final Calculation Sheet'!$F$9="","",'Final Calculation Sheet'!$F$9)</f>
        <v/>
      </c>
      <c r="H3" s="537">
        <f>IF('Final Calculation Sheet'!$F$10="","",'Final Calculation Sheet'!$F$10)</f>
        <v/>
      </c>
      <c r="I3" s="537">
        <f>IF('Final Calculation Sheet'!$F$11="","",'Final Calculation Sheet'!$F$11)</f>
        <v/>
      </c>
      <c r="J3" s="537">
        <f>IF('Final Calculation Sheet'!$F$12="","",'Final Calculation Sheet'!$F$12)</f>
        <v/>
      </c>
      <c r="K3" s="537">
        <f>IF('Final Calculation Sheet'!$F$13="","",'Final Calculation Sheet'!$F$13)</f>
        <v/>
      </c>
      <c r="L3" s="537">
        <f>IF('Final Calculation Sheet'!$F$14="","",'Final Calculation Sheet'!$F$14)</f>
        <v/>
      </c>
      <c r="M3" s="537">
        <f>IF('Final Calculation Sheet'!$F$15="","",'Final Calculation Sheet'!$F$15)</f>
        <v/>
      </c>
      <c r="N3" s="537">
        <f>IF('Final Calculation Sheet'!$F$16="","",'Final Calculation Sheet'!$F$16)</f>
        <v/>
      </c>
      <c r="O3" s="538">
        <f>IF('Final Calculation Sheet'!$F$17="","",'Final Calculation Sheet'!$F$17)</f>
        <v/>
      </c>
      <c r="P3" s="538">
        <f>IF('Final Calculation Sheet'!$F$18="","",'Final Calculation Sheet'!$F$18)</f>
        <v/>
      </c>
      <c r="Q3" s="538">
        <f>IF('Final Calculation Sheet'!$F$19="","",'Final Calculation Sheet'!$F$19)</f>
        <v/>
      </c>
      <c r="R3" s="538">
        <f>IF('Final Calculation Sheet'!$F$20="","",'Final Calculation Sheet'!$F$20)</f>
        <v/>
      </c>
      <c r="S3" s="538">
        <f>IF('Final Calculation Sheet'!$F$21="","",'Final Calculation Sheet'!$F$21)</f>
        <v/>
      </c>
      <c r="T3" s="538">
        <f>IF('Final Calculation Sheet'!$F$22="","",'Final Calculation Sheet'!$F$22)</f>
        <v/>
      </c>
      <c r="U3" s="538">
        <f>IF('Final Calculation Sheet'!$F$23="","",'Final Calculation Sheet'!$F$23)</f>
        <v/>
      </c>
      <c r="V3" s="538">
        <f>IF('Final Calculation Sheet'!$F$24="","",'Final Calculation Sheet'!$F$24)</f>
        <v/>
      </c>
      <c r="W3" s="538">
        <f>IF('Final Calculation Sheet'!$F$25="","",'Final Calculation Sheet'!$F$25)</f>
        <v/>
      </c>
      <c r="X3" s="538">
        <f>IF('Final Calculation Sheet'!$F$26="","",'Final Calculation Sheet'!$F$26)</f>
        <v/>
      </c>
      <c r="Y3" s="538">
        <f>IF('Final Calculation Sheet'!$F$27="","",'Final Calculation Sheet'!$F$27)</f>
        <v/>
      </c>
      <c r="Z3" s="538">
        <f>IF('Final Calculation Sheet'!$F$28="","",'Final Calculation Sheet'!$F$28)</f>
        <v/>
      </c>
      <c r="AA3" s="538">
        <f>IF('Final Calculation Sheet'!$F$29="","",'Final Calculation Sheet'!$F$29)</f>
        <v/>
      </c>
      <c r="AB3" s="539">
        <f>IF('Final Calculation Sheet'!$F$30="","",'Final Calculation Sheet'!$F$30)</f>
        <v/>
      </c>
      <c r="AC3" s="539">
        <f>IF('Final Calculation Sheet'!$F$31="","",'Final Calculation Sheet'!$F$31)</f>
        <v/>
      </c>
      <c r="AD3" s="539">
        <f>IF('Final Calculation Sheet'!$F$32="","",'Final Calculation Sheet'!$F$32)</f>
        <v/>
      </c>
      <c r="AE3" s="539">
        <f>IF('Final Calculation Sheet'!$F$33="","",'Final Calculation Sheet'!$F$33)</f>
        <v/>
      </c>
      <c r="AF3" s="539">
        <f>IF('Final Calculation Sheet'!$F$34="","",'Final Calculation Sheet'!$F$34)</f>
        <v/>
      </c>
      <c r="AG3" s="536">
        <f>IF('Final Calculation Sheet'!$F$35="","",'Final Calculation Sheet'!$F$35)</f>
        <v/>
      </c>
      <c r="AH3" s="536">
        <f>IF('Final Calculation Sheet'!$F$36="","",'Final Calculation Sheet'!$F$36)</f>
        <v/>
      </c>
      <c r="AI3" s="536">
        <f>IF('Final Calculation Sheet'!$F$37="","",'Final Calculation Sheet'!$F$37)</f>
        <v/>
      </c>
      <c r="AJ3" s="536">
        <f>IF('Final Calculation Sheet'!$F$38="","",'Final Calculation Sheet'!$F$38)</f>
        <v/>
      </c>
      <c r="AK3" s="536">
        <f>IF('Final Calculation Sheet'!$F$39="","",'Final Calculation Sheet'!$F$39)</f>
        <v/>
      </c>
      <c r="AL3" s="536">
        <f>IF('Final Calculation Sheet'!$F$40="","",'Final Calculation Sheet'!$F$40)</f>
        <v/>
      </c>
      <c r="AM3" s="490" t="inlineStr">
        <is>
          <t>TOTAL (src row 41)</t>
        </is>
      </c>
    </row>
    <row r="4" ht="15" customHeight="1">
      <c r="A4" s="540" t="inlineStr">
        <is>
          <t>Quantity</t>
        </is>
      </c>
      <c r="B4" s="69">
        <f>IF('Final Calculation Sheet'!$A$4="","",'Final Calculation Sheet'!$A$4)</f>
        <v/>
      </c>
      <c r="C4" s="541">
        <f>IF('Final Calculation Sheet'!$A$5="","",'Final Calculation Sheet'!$A$5)</f>
        <v/>
      </c>
      <c r="D4" s="69">
        <f>IF('Final Calculation Sheet'!$A$6="","",'Final Calculation Sheet'!$A$6)</f>
        <v/>
      </c>
      <c r="E4" s="541">
        <f>IF('Final Calculation Sheet'!$A$7="","",'Final Calculation Sheet'!$A$7)</f>
        <v/>
      </c>
      <c r="F4" s="69">
        <f>IF('Final Calculation Sheet'!$A$8="","",'Final Calculation Sheet'!$A$8)</f>
        <v/>
      </c>
      <c r="G4" s="541">
        <f>IF('Final Calculation Sheet'!$A$9="","",'Final Calculation Sheet'!$A$9)</f>
        <v/>
      </c>
      <c r="H4" s="69">
        <f>IF('Final Calculation Sheet'!$A$10="","",'Final Calculation Sheet'!$A$10)</f>
        <v/>
      </c>
      <c r="I4" s="541">
        <f>IF('Final Calculation Sheet'!$A$11="","",'Final Calculation Sheet'!$A$11)</f>
        <v/>
      </c>
      <c r="J4" s="69">
        <f>IF('Final Calculation Sheet'!$A$12="","",'Final Calculation Sheet'!$A$12)</f>
        <v/>
      </c>
      <c r="K4" s="541">
        <f>IF('Final Calculation Sheet'!$A$13="","",'Final Calculation Sheet'!$A$13)</f>
        <v/>
      </c>
      <c r="L4" s="69">
        <f>IF('Final Calculation Sheet'!$A$14="","",'Final Calculation Sheet'!$A$14)</f>
        <v/>
      </c>
      <c r="M4" s="541">
        <f>IF('Final Calculation Sheet'!$A$15="","",'Final Calculation Sheet'!$A$15)</f>
        <v/>
      </c>
      <c r="N4" s="69">
        <f>IF('Final Calculation Sheet'!$A$16="","",'Final Calculation Sheet'!$A$16)</f>
        <v/>
      </c>
      <c r="O4" s="541">
        <f>IF('Final Calculation Sheet'!$A$17="","",'Final Calculation Sheet'!$A$17)</f>
        <v/>
      </c>
      <c r="P4" s="69">
        <f>IF('Final Calculation Sheet'!$A$18="","",'Final Calculation Sheet'!$A$18)</f>
        <v/>
      </c>
      <c r="Q4" s="541">
        <f>IF('Final Calculation Sheet'!$A$19="","",'Final Calculation Sheet'!$A$19)</f>
        <v/>
      </c>
      <c r="R4" s="69">
        <f>IF('Final Calculation Sheet'!$A$20="","",'Final Calculation Sheet'!$A$20)</f>
        <v/>
      </c>
      <c r="S4" s="541">
        <f>IF('Final Calculation Sheet'!$A$21="","",'Final Calculation Sheet'!$A$21)</f>
        <v/>
      </c>
      <c r="T4" s="69">
        <f>IF('Final Calculation Sheet'!$A$22="","",'Final Calculation Sheet'!$A$22)</f>
        <v/>
      </c>
      <c r="U4" s="541">
        <f>IF('Final Calculation Sheet'!$A$23="","",'Final Calculation Sheet'!$A$23)</f>
        <v/>
      </c>
      <c r="V4" s="69">
        <f>IF('Final Calculation Sheet'!$A$24="","",'Final Calculation Sheet'!$A$24)</f>
        <v/>
      </c>
      <c r="W4" s="541">
        <f>IF('Final Calculation Sheet'!$A$25="","",'Final Calculation Sheet'!$A$25)</f>
        <v/>
      </c>
      <c r="X4" s="69">
        <f>IF('Final Calculation Sheet'!$A$26="","",'Final Calculation Sheet'!$A$26)</f>
        <v/>
      </c>
      <c r="Y4" s="541">
        <f>IF('Final Calculation Sheet'!$A$27="","",'Final Calculation Sheet'!$A$27)</f>
        <v/>
      </c>
      <c r="Z4" s="69">
        <f>IF('Final Calculation Sheet'!$A$28="","",'Final Calculation Sheet'!$A$28)</f>
        <v/>
      </c>
      <c r="AA4" s="541">
        <f>IF('Final Calculation Sheet'!$A$29="","",'Final Calculation Sheet'!$A$29)</f>
        <v/>
      </c>
      <c r="AB4" s="69">
        <f>IF('Final Calculation Sheet'!$A$30="","",'Final Calculation Sheet'!$A$30)</f>
        <v/>
      </c>
      <c r="AC4" s="541">
        <f>IF('Final Calculation Sheet'!$A$31="","",'Final Calculation Sheet'!$A$31)</f>
        <v/>
      </c>
      <c r="AD4" s="69">
        <f>IF('Final Calculation Sheet'!$A$32="","",'Final Calculation Sheet'!$A$32)</f>
        <v/>
      </c>
      <c r="AE4" s="541">
        <f>IF('Final Calculation Sheet'!$A$33="","",'Final Calculation Sheet'!$A$33)</f>
        <v/>
      </c>
      <c r="AF4" s="69">
        <f>IF('Final Calculation Sheet'!$A$34="","",'Final Calculation Sheet'!$A$34)</f>
        <v/>
      </c>
      <c r="AG4" s="541">
        <f>IF('Final Calculation Sheet'!$A$35="","",'Final Calculation Sheet'!$A$35)</f>
        <v/>
      </c>
      <c r="AH4" s="69">
        <f>IF('Final Calculation Sheet'!$A$36="","",'Final Calculation Sheet'!$A$36)</f>
        <v/>
      </c>
      <c r="AI4" s="541">
        <f>IF('Final Calculation Sheet'!$A$37="","",'Final Calculation Sheet'!$A$37)</f>
        <v/>
      </c>
      <c r="AJ4" s="69">
        <f>IF('Final Calculation Sheet'!$A$38="","",'Final Calculation Sheet'!$A$38)</f>
        <v/>
      </c>
      <c r="AK4" s="541">
        <f>IF('Final Calculation Sheet'!$A$39="","",'Final Calculation Sheet'!$A$39)</f>
        <v/>
      </c>
      <c r="AL4" s="69">
        <f>IF('Final Calculation Sheet'!$A$40="","",'Final Calculation Sheet'!$A$40)</f>
        <v/>
      </c>
      <c r="AM4" s="542">
        <f>IF('Final Calculation Sheet'!$A$41="","",'Final Calculation Sheet'!$A$41)</f>
        <v/>
      </c>
    </row>
    <row r="5" ht="15" customHeight="1">
      <c r="A5" s="543" t="inlineStr">
        <is>
          <t>Lot Name</t>
        </is>
      </c>
      <c r="B5" s="69">
        <f>IF('Final Calculation Sheet'!$B$4="","",'Final Calculation Sheet'!$B$4)</f>
        <v/>
      </c>
      <c r="C5" s="541">
        <f>IF('Final Calculation Sheet'!$B$5="","",'Final Calculation Sheet'!$B$5)</f>
        <v/>
      </c>
      <c r="D5" s="69">
        <f>IF('Final Calculation Sheet'!$B$6="","",'Final Calculation Sheet'!$B$6)</f>
        <v/>
      </c>
      <c r="E5" s="541">
        <f>IF('Final Calculation Sheet'!$B$7="","",'Final Calculation Sheet'!$B$7)</f>
        <v/>
      </c>
      <c r="F5" s="69">
        <f>IF('Final Calculation Sheet'!$B$8="","",'Final Calculation Sheet'!$B$8)</f>
        <v/>
      </c>
      <c r="G5" s="541">
        <f>IF('Final Calculation Sheet'!$B$9="","",'Final Calculation Sheet'!$B$9)</f>
        <v/>
      </c>
      <c r="H5" s="69">
        <f>IF('Final Calculation Sheet'!$B$10="","",'Final Calculation Sheet'!$B$10)</f>
        <v/>
      </c>
      <c r="I5" s="541">
        <f>IF('Final Calculation Sheet'!$B$11="","",'Final Calculation Sheet'!$B$11)</f>
        <v/>
      </c>
      <c r="J5" s="69">
        <f>IF('Final Calculation Sheet'!$B$12="","",'Final Calculation Sheet'!$B$12)</f>
        <v/>
      </c>
      <c r="K5" s="541">
        <f>IF('Final Calculation Sheet'!$B$13="","",'Final Calculation Sheet'!$B$13)</f>
        <v/>
      </c>
      <c r="L5" s="69">
        <f>IF('Final Calculation Sheet'!$B$14="","",'Final Calculation Sheet'!$B$14)</f>
        <v/>
      </c>
      <c r="M5" s="541">
        <f>IF('Final Calculation Sheet'!$B$15="","",'Final Calculation Sheet'!$B$15)</f>
        <v/>
      </c>
      <c r="N5" s="69">
        <f>IF('Final Calculation Sheet'!$B$16="","",'Final Calculation Sheet'!$B$16)</f>
        <v/>
      </c>
      <c r="O5" s="541">
        <f>IF('Final Calculation Sheet'!$B$17="","",'Final Calculation Sheet'!$B$17)</f>
        <v/>
      </c>
      <c r="P5" s="69">
        <f>IF('Final Calculation Sheet'!$B$18="","",'Final Calculation Sheet'!$B$18)</f>
        <v/>
      </c>
      <c r="Q5" s="541">
        <f>IF('Final Calculation Sheet'!$B$19="","",'Final Calculation Sheet'!$B$19)</f>
        <v/>
      </c>
      <c r="R5" s="69">
        <f>IF('Final Calculation Sheet'!$B$20="","",'Final Calculation Sheet'!$B$20)</f>
        <v/>
      </c>
      <c r="S5" s="541">
        <f>IF('Final Calculation Sheet'!$B$21="","",'Final Calculation Sheet'!$B$21)</f>
        <v/>
      </c>
      <c r="T5" s="69">
        <f>IF('Final Calculation Sheet'!$B$22="","",'Final Calculation Sheet'!$B$22)</f>
        <v/>
      </c>
      <c r="U5" s="541">
        <f>IF('Final Calculation Sheet'!$B$23="","",'Final Calculation Sheet'!$B$23)</f>
        <v/>
      </c>
      <c r="V5" s="69">
        <f>IF('Final Calculation Sheet'!$B$24="","",'Final Calculation Sheet'!$B$24)</f>
        <v/>
      </c>
      <c r="W5" s="541">
        <f>IF('Final Calculation Sheet'!$B$25="","",'Final Calculation Sheet'!$B$25)</f>
        <v/>
      </c>
      <c r="X5" s="69">
        <f>IF('Final Calculation Sheet'!$B$26="","",'Final Calculation Sheet'!$B$26)</f>
        <v/>
      </c>
      <c r="Y5" s="541">
        <f>IF('Final Calculation Sheet'!$B$27="","",'Final Calculation Sheet'!$B$27)</f>
        <v/>
      </c>
      <c r="Z5" s="69">
        <f>IF('Final Calculation Sheet'!$B$28="","",'Final Calculation Sheet'!$B$28)</f>
        <v/>
      </c>
      <c r="AA5" s="541">
        <f>IF('Final Calculation Sheet'!$B$29="","",'Final Calculation Sheet'!$B$29)</f>
        <v/>
      </c>
      <c r="AB5" s="69">
        <f>IF('Final Calculation Sheet'!$B$30="","",'Final Calculation Sheet'!$B$30)</f>
        <v/>
      </c>
      <c r="AC5" s="541">
        <f>IF('Final Calculation Sheet'!$B$31="","",'Final Calculation Sheet'!$B$31)</f>
        <v/>
      </c>
      <c r="AD5" s="69">
        <f>IF('Final Calculation Sheet'!$B$32="","",'Final Calculation Sheet'!$B$32)</f>
        <v/>
      </c>
      <c r="AE5" s="541">
        <f>IF('Final Calculation Sheet'!$B$33="","",'Final Calculation Sheet'!$B$33)</f>
        <v/>
      </c>
      <c r="AF5" s="69">
        <f>IF('Final Calculation Sheet'!$B$34="","",'Final Calculation Sheet'!$B$34)</f>
        <v/>
      </c>
      <c r="AG5" s="541">
        <f>IF('Final Calculation Sheet'!$B$35="","",'Final Calculation Sheet'!$B$35)</f>
        <v/>
      </c>
      <c r="AH5" s="69">
        <f>IF('Final Calculation Sheet'!$B$36="","",'Final Calculation Sheet'!$B$36)</f>
        <v/>
      </c>
      <c r="AI5" s="541">
        <f>IF('Final Calculation Sheet'!$B$37="","",'Final Calculation Sheet'!$B$37)</f>
        <v/>
      </c>
      <c r="AJ5" s="69">
        <f>IF('Final Calculation Sheet'!$B$38="","",'Final Calculation Sheet'!$B$38)</f>
        <v/>
      </c>
      <c r="AK5" s="541">
        <f>IF('Final Calculation Sheet'!$B$39="","",'Final Calculation Sheet'!$B$39)</f>
        <v/>
      </c>
      <c r="AL5" s="69">
        <f>IF('Final Calculation Sheet'!$B$40="","",'Final Calculation Sheet'!$B$40)</f>
        <v/>
      </c>
      <c r="AM5" s="542">
        <f>IF('Final Calculation Sheet'!$B$41="","",'Final Calculation Sheet'!$B$41)</f>
        <v/>
      </c>
    </row>
    <row r="6" ht="15" customHeight="1">
      <c r="A6" s="540" t="inlineStr">
        <is>
          <t>Rate</t>
        </is>
      </c>
      <c r="B6" s="544">
        <f>IF('Final Calculation Sheet'!$C$4="","",'Final Calculation Sheet'!$C$4)</f>
        <v/>
      </c>
      <c r="C6" s="545">
        <f>IF('Final Calculation Sheet'!$C$5="","",'Final Calculation Sheet'!$C$5)</f>
        <v/>
      </c>
      <c r="D6" s="544">
        <f>IF('Final Calculation Sheet'!$C$6="","",'Final Calculation Sheet'!$C$6)</f>
        <v/>
      </c>
      <c r="E6" s="545">
        <f>IF('Final Calculation Sheet'!$C$7="","",'Final Calculation Sheet'!$C$7)</f>
        <v/>
      </c>
      <c r="F6" s="544">
        <f>IF('Final Calculation Sheet'!$C$8="","",'Final Calculation Sheet'!$C$8)</f>
        <v/>
      </c>
      <c r="G6" s="545">
        <f>IF('Final Calculation Sheet'!$C$9="","",'Final Calculation Sheet'!$C$9)</f>
        <v/>
      </c>
      <c r="H6" s="544">
        <f>IF('Final Calculation Sheet'!$C$10="","",'Final Calculation Sheet'!$C$10)</f>
        <v/>
      </c>
      <c r="I6" s="545">
        <f>IF('Final Calculation Sheet'!$C$11="","",'Final Calculation Sheet'!$C$11)</f>
        <v/>
      </c>
      <c r="J6" s="544">
        <f>IF('Final Calculation Sheet'!$C$12="","",'Final Calculation Sheet'!$C$12)</f>
        <v/>
      </c>
      <c r="K6" s="545">
        <f>IF('Final Calculation Sheet'!$C$13="","",'Final Calculation Sheet'!$C$13)</f>
        <v/>
      </c>
      <c r="L6" s="544">
        <f>IF('Final Calculation Sheet'!$C$14="","",'Final Calculation Sheet'!$C$14)</f>
        <v/>
      </c>
      <c r="M6" s="545">
        <f>IF('Final Calculation Sheet'!$C$15="","",'Final Calculation Sheet'!$C$15)</f>
        <v/>
      </c>
      <c r="N6" s="544">
        <f>IF('Final Calculation Sheet'!$C$16="","",'Final Calculation Sheet'!$C$16)</f>
        <v/>
      </c>
      <c r="O6" s="545">
        <f>IF('Final Calculation Sheet'!$C$17="","",'Final Calculation Sheet'!$C$17)</f>
        <v/>
      </c>
      <c r="P6" s="544">
        <f>IF('Final Calculation Sheet'!$C$18="","",'Final Calculation Sheet'!$C$18)</f>
        <v/>
      </c>
      <c r="Q6" s="545">
        <f>IF('Final Calculation Sheet'!$C$19="","",'Final Calculation Sheet'!$C$19)</f>
        <v/>
      </c>
      <c r="R6" s="544">
        <f>IF('Final Calculation Sheet'!$C$20="","",'Final Calculation Sheet'!$C$20)</f>
        <v/>
      </c>
      <c r="S6" s="545">
        <f>IF('Final Calculation Sheet'!$C$21="","",'Final Calculation Sheet'!$C$21)</f>
        <v/>
      </c>
      <c r="T6" s="544">
        <f>IF('Final Calculation Sheet'!$C$22="","",'Final Calculation Sheet'!$C$22)</f>
        <v/>
      </c>
      <c r="U6" s="545">
        <f>IF('Final Calculation Sheet'!$C$23="","",'Final Calculation Sheet'!$C$23)</f>
        <v/>
      </c>
      <c r="V6" s="544">
        <f>IF('Final Calculation Sheet'!$C$24="","",'Final Calculation Sheet'!$C$24)</f>
        <v/>
      </c>
      <c r="W6" s="545">
        <f>IF('Final Calculation Sheet'!$C$25="","",'Final Calculation Sheet'!$C$25)</f>
        <v/>
      </c>
      <c r="X6" s="544">
        <f>IF('Final Calculation Sheet'!$C$26="","",'Final Calculation Sheet'!$C$26)</f>
        <v/>
      </c>
      <c r="Y6" s="545">
        <f>IF('Final Calculation Sheet'!$C$27="","",'Final Calculation Sheet'!$C$27)</f>
        <v/>
      </c>
      <c r="Z6" s="544">
        <f>IF('Final Calculation Sheet'!$C$28="","",'Final Calculation Sheet'!$C$28)</f>
        <v/>
      </c>
      <c r="AA6" s="545">
        <f>IF('Final Calculation Sheet'!$C$29="","",'Final Calculation Sheet'!$C$29)</f>
        <v/>
      </c>
      <c r="AB6" s="544">
        <f>IF('Final Calculation Sheet'!$C$30="","",'Final Calculation Sheet'!$C$30)</f>
        <v/>
      </c>
      <c r="AC6" s="545">
        <f>IF('Final Calculation Sheet'!$C$31="","",'Final Calculation Sheet'!$C$31)</f>
        <v/>
      </c>
      <c r="AD6" s="544">
        <f>IF('Final Calculation Sheet'!$C$32="","",'Final Calculation Sheet'!$C$32)</f>
        <v/>
      </c>
      <c r="AE6" s="545">
        <f>IF('Final Calculation Sheet'!$C$33="","",'Final Calculation Sheet'!$C$33)</f>
        <v/>
      </c>
      <c r="AF6" s="544">
        <f>IF('Final Calculation Sheet'!$C$34="","",'Final Calculation Sheet'!$C$34)</f>
        <v/>
      </c>
      <c r="AG6" s="545">
        <f>IF('Final Calculation Sheet'!$C$35="","",'Final Calculation Sheet'!$C$35)</f>
        <v/>
      </c>
      <c r="AH6" s="544">
        <f>IF('Final Calculation Sheet'!$C$36="","",'Final Calculation Sheet'!$C$36)</f>
        <v/>
      </c>
      <c r="AI6" s="545">
        <f>IF('Final Calculation Sheet'!$C$37="","",'Final Calculation Sheet'!$C$37)</f>
        <v/>
      </c>
      <c r="AJ6" s="544">
        <f>IF('Final Calculation Sheet'!$C$38="","",'Final Calculation Sheet'!$C$38)</f>
        <v/>
      </c>
      <c r="AK6" s="545">
        <f>IF('Final Calculation Sheet'!$C$39="","",'Final Calculation Sheet'!$C$39)</f>
        <v/>
      </c>
      <c r="AL6" s="544">
        <f>IF('Final Calculation Sheet'!$C$40="","",'Final Calculation Sheet'!$C$40)</f>
        <v/>
      </c>
      <c r="AM6" s="546">
        <f>IF('Final Calculation Sheet'!$C$41="","",'Final Calculation Sheet'!$C$41)</f>
        <v/>
      </c>
    </row>
    <row r="7" ht="15" customHeight="1">
      <c r="A7" s="543" t="inlineStr">
        <is>
          <t>Bid Sheet</t>
        </is>
      </c>
      <c r="B7" s="69">
        <f>IF('Final Calculation Sheet'!$D$4="","",'Final Calculation Sheet'!$D$4)</f>
        <v/>
      </c>
      <c r="C7" s="541">
        <f>IF('Final Calculation Sheet'!$D$5="","",'Final Calculation Sheet'!$D$5)</f>
        <v/>
      </c>
      <c r="D7" s="69">
        <f>IF('Final Calculation Sheet'!$D$6="","",'Final Calculation Sheet'!$D$6)</f>
        <v/>
      </c>
      <c r="E7" s="541">
        <f>IF('Final Calculation Sheet'!$D$7="","",'Final Calculation Sheet'!$D$7)</f>
        <v/>
      </c>
      <c r="F7" s="69">
        <f>IF('Final Calculation Sheet'!$D$8="","",'Final Calculation Sheet'!$D$8)</f>
        <v/>
      </c>
      <c r="G7" s="541">
        <f>IF('Final Calculation Sheet'!$D$9="","",'Final Calculation Sheet'!$D$9)</f>
        <v/>
      </c>
      <c r="H7" s="69">
        <f>IF('Final Calculation Sheet'!$D$10="","",'Final Calculation Sheet'!$D$10)</f>
        <v/>
      </c>
      <c r="I7" s="541">
        <f>IF('Final Calculation Sheet'!$D$11="","",'Final Calculation Sheet'!$D$11)</f>
        <v/>
      </c>
      <c r="J7" s="69">
        <f>IF('Final Calculation Sheet'!$D$12="","",'Final Calculation Sheet'!$D$12)</f>
        <v/>
      </c>
      <c r="K7" s="541">
        <f>IF('Final Calculation Sheet'!$D$13="","",'Final Calculation Sheet'!$D$13)</f>
        <v/>
      </c>
      <c r="L7" s="69">
        <f>IF('Final Calculation Sheet'!$D$14="","",'Final Calculation Sheet'!$D$14)</f>
        <v/>
      </c>
      <c r="M7" s="541">
        <f>IF('Final Calculation Sheet'!$D$15="","",'Final Calculation Sheet'!$D$15)</f>
        <v/>
      </c>
      <c r="N7" s="69">
        <f>IF('Final Calculation Sheet'!$D$16="","",'Final Calculation Sheet'!$D$16)</f>
        <v/>
      </c>
      <c r="O7" s="541">
        <f>IF('Final Calculation Sheet'!$D$17="","",'Final Calculation Sheet'!$D$17)</f>
        <v/>
      </c>
      <c r="P7" s="69">
        <f>IF('Final Calculation Sheet'!$D$18="","",'Final Calculation Sheet'!$D$18)</f>
        <v/>
      </c>
      <c r="Q7" s="541">
        <f>IF('Final Calculation Sheet'!$D$19="","",'Final Calculation Sheet'!$D$19)</f>
        <v/>
      </c>
      <c r="R7" s="69">
        <f>IF('Final Calculation Sheet'!$D$20="","",'Final Calculation Sheet'!$D$20)</f>
        <v/>
      </c>
      <c r="S7" s="541">
        <f>IF('Final Calculation Sheet'!$D$21="","",'Final Calculation Sheet'!$D$21)</f>
        <v/>
      </c>
      <c r="T7" s="69">
        <f>IF('Final Calculation Sheet'!$D$22="","",'Final Calculation Sheet'!$D$22)</f>
        <v/>
      </c>
      <c r="U7" s="541">
        <f>IF('Final Calculation Sheet'!$D$23="","",'Final Calculation Sheet'!$D$23)</f>
        <v/>
      </c>
      <c r="V7" s="69">
        <f>IF('Final Calculation Sheet'!$D$24="","",'Final Calculation Sheet'!$D$24)</f>
        <v/>
      </c>
      <c r="W7" s="541">
        <f>IF('Final Calculation Sheet'!$D$25="","",'Final Calculation Sheet'!$D$25)</f>
        <v/>
      </c>
      <c r="X7" s="69">
        <f>IF('Final Calculation Sheet'!$D$26="","",'Final Calculation Sheet'!$D$26)</f>
        <v/>
      </c>
      <c r="Y7" s="541">
        <f>IF('Final Calculation Sheet'!$D$27="","",'Final Calculation Sheet'!$D$27)</f>
        <v/>
      </c>
      <c r="Z7" s="69">
        <f>IF('Final Calculation Sheet'!$D$28="","",'Final Calculation Sheet'!$D$28)</f>
        <v/>
      </c>
      <c r="AA7" s="541">
        <f>IF('Final Calculation Sheet'!$D$29="","",'Final Calculation Sheet'!$D$29)</f>
        <v/>
      </c>
      <c r="AB7" s="69">
        <f>IF('Final Calculation Sheet'!$D$30="","",'Final Calculation Sheet'!$D$30)</f>
        <v/>
      </c>
      <c r="AC7" s="541">
        <f>IF('Final Calculation Sheet'!$D$31="","",'Final Calculation Sheet'!$D$31)</f>
        <v/>
      </c>
      <c r="AD7" s="69">
        <f>IF('Final Calculation Sheet'!$D$32="","",'Final Calculation Sheet'!$D$32)</f>
        <v/>
      </c>
      <c r="AE7" s="541">
        <f>IF('Final Calculation Sheet'!$D$33="","",'Final Calculation Sheet'!$D$33)</f>
        <v/>
      </c>
      <c r="AF7" s="69">
        <f>IF('Final Calculation Sheet'!$D$34="","",'Final Calculation Sheet'!$D$34)</f>
        <v/>
      </c>
      <c r="AG7" s="541">
        <f>IF('Final Calculation Sheet'!$D$35="","",'Final Calculation Sheet'!$D$35)</f>
        <v/>
      </c>
      <c r="AH7" s="69">
        <f>IF('Final Calculation Sheet'!$D$36="","",'Final Calculation Sheet'!$D$36)</f>
        <v/>
      </c>
      <c r="AI7" s="541">
        <f>IF('Final Calculation Sheet'!$D$37="","",'Final Calculation Sheet'!$D$37)</f>
        <v/>
      </c>
      <c r="AJ7" s="69">
        <f>IF('Final Calculation Sheet'!$D$38="","",'Final Calculation Sheet'!$D$38)</f>
        <v/>
      </c>
      <c r="AK7" s="541">
        <f>IF('Final Calculation Sheet'!$D$39="","",'Final Calculation Sheet'!$D$39)</f>
        <v/>
      </c>
      <c r="AL7" s="69">
        <f>IF('Final Calculation Sheet'!$D$40="","",'Final Calculation Sheet'!$D$40)</f>
        <v/>
      </c>
      <c r="AM7" s="542">
        <f>IF('Final Calculation Sheet'!$D$41="","",'Final Calculation Sheet'!$D$41)</f>
        <v/>
      </c>
    </row>
    <row r="8" ht="15" customHeight="1">
      <c r="A8" s="540" t="inlineStr">
        <is>
          <t>Unit</t>
        </is>
      </c>
      <c r="B8" s="69">
        <f>IF('Final Calculation Sheet'!$E$4="","",'Final Calculation Sheet'!$E$4)</f>
        <v/>
      </c>
      <c r="C8" s="541">
        <f>IF('Final Calculation Sheet'!$E$5="","",'Final Calculation Sheet'!$E$5)</f>
        <v/>
      </c>
      <c r="D8" s="69">
        <f>IF('Final Calculation Sheet'!$E$6="","",'Final Calculation Sheet'!$E$6)</f>
        <v/>
      </c>
      <c r="E8" s="541">
        <f>IF('Final Calculation Sheet'!$E$7="","",'Final Calculation Sheet'!$E$7)</f>
        <v/>
      </c>
      <c r="F8" s="69">
        <f>IF('Final Calculation Sheet'!$E$8="","",'Final Calculation Sheet'!$E$8)</f>
        <v/>
      </c>
      <c r="G8" s="541">
        <f>IF('Final Calculation Sheet'!$E$9="","",'Final Calculation Sheet'!$E$9)</f>
        <v/>
      </c>
      <c r="H8" s="69">
        <f>IF('Final Calculation Sheet'!$E$10="","",'Final Calculation Sheet'!$E$10)</f>
        <v/>
      </c>
      <c r="I8" s="541">
        <f>IF('Final Calculation Sheet'!$E$11="","",'Final Calculation Sheet'!$E$11)</f>
        <v/>
      </c>
      <c r="J8" s="69">
        <f>IF('Final Calculation Sheet'!$E$12="","",'Final Calculation Sheet'!$E$12)</f>
        <v/>
      </c>
      <c r="K8" s="541">
        <f>IF('Final Calculation Sheet'!$E$13="","",'Final Calculation Sheet'!$E$13)</f>
        <v/>
      </c>
      <c r="L8" s="69">
        <f>IF('Final Calculation Sheet'!$E$14="","",'Final Calculation Sheet'!$E$14)</f>
        <v/>
      </c>
      <c r="M8" s="541">
        <f>IF('Final Calculation Sheet'!$E$15="","",'Final Calculation Sheet'!$E$15)</f>
        <v/>
      </c>
      <c r="N8" s="69">
        <f>IF('Final Calculation Sheet'!$E$16="","",'Final Calculation Sheet'!$E$16)</f>
        <v/>
      </c>
      <c r="O8" s="541">
        <f>IF('Final Calculation Sheet'!$E$17="","",'Final Calculation Sheet'!$E$17)</f>
        <v/>
      </c>
      <c r="P8" s="69">
        <f>IF('Final Calculation Sheet'!$E$18="","",'Final Calculation Sheet'!$E$18)</f>
        <v/>
      </c>
      <c r="Q8" s="541">
        <f>IF('Final Calculation Sheet'!$E$19="","",'Final Calculation Sheet'!$E$19)</f>
        <v/>
      </c>
      <c r="R8" s="69">
        <f>IF('Final Calculation Sheet'!$E$20="","",'Final Calculation Sheet'!$E$20)</f>
        <v/>
      </c>
      <c r="S8" s="541">
        <f>IF('Final Calculation Sheet'!$E$21="","",'Final Calculation Sheet'!$E$21)</f>
        <v/>
      </c>
      <c r="T8" s="69">
        <f>IF('Final Calculation Sheet'!$E$22="","",'Final Calculation Sheet'!$E$22)</f>
        <v/>
      </c>
      <c r="U8" s="541">
        <f>IF('Final Calculation Sheet'!$E$23="","",'Final Calculation Sheet'!$E$23)</f>
        <v/>
      </c>
      <c r="V8" s="69">
        <f>IF('Final Calculation Sheet'!$E$24="","",'Final Calculation Sheet'!$E$24)</f>
        <v/>
      </c>
      <c r="W8" s="541">
        <f>IF('Final Calculation Sheet'!$E$25="","",'Final Calculation Sheet'!$E$25)</f>
        <v/>
      </c>
      <c r="X8" s="69">
        <f>IF('Final Calculation Sheet'!$E$26="","",'Final Calculation Sheet'!$E$26)</f>
        <v/>
      </c>
      <c r="Y8" s="541">
        <f>IF('Final Calculation Sheet'!$E$27="","",'Final Calculation Sheet'!$E$27)</f>
        <v/>
      </c>
      <c r="Z8" s="69">
        <f>IF('Final Calculation Sheet'!$E$28="","",'Final Calculation Sheet'!$E$28)</f>
        <v/>
      </c>
      <c r="AA8" s="541">
        <f>IF('Final Calculation Sheet'!$E$29="","",'Final Calculation Sheet'!$E$29)</f>
        <v/>
      </c>
      <c r="AB8" s="69">
        <f>IF('Final Calculation Sheet'!$E$30="","",'Final Calculation Sheet'!$E$30)</f>
        <v/>
      </c>
      <c r="AC8" s="541">
        <f>IF('Final Calculation Sheet'!$E$31="","",'Final Calculation Sheet'!$E$31)</f>
        <v/>
      </c>
      <c r="AD8" s="69">
        <f>IF('Final Calculation Sheet'!$E$32="","",'Final Calculation Sheet'!$E$32)</f>
        <v/>
      </c>
      <c r="AE8" s="541">
        <f>IF('Final Calculation Sheet'!$E$33="","",'Final Calculation Sheet'!$E$33)</f>
        <v/>
      </c>
      <c r="AF8" s="69">
        <f>IF('Final Calculation Sheet'!$E$34="","",'Final Calculation Sheet'!$E$34)</f>
        <v/>
      </c>
      <c r="AG8" s="541">
        <f>IF('Final Calculation Sheet'!$E$35="","",'Final Calculation Sheet'!$E$35)</f>
        <v/>
      </c>
      <c r="AH8" s="69">
        <f>IF('Final Calculation Sheet'!$E$36="","",'Final Calculation Sheet'!$E$36)</f>
        <v/>
      </c>
      <c r="AI8" s="541">
        <f>IF('Final Calculation Sheet'!$E$37="","",'Final Calculation Sheet'!$E$37)</f>
        <v/>
      </c>
      <c r="AJ8" s="69">
        <f>IF('Final Calculation Sheet'!$E$38="","",'Final Calculation Sheet'!$E$38)</f>
        <v/>
      </c>
      <c r="AK8" s="541">
        <f>IF('Final Calculation Sheet'!$E$39="","",'Final Calculation Sheet'!$E$39)</f>
        <v/>
      </c>
      <c r="AL8" s="69">
        <f>IF('Final Calculation Sheet'!$E$40="","",'Final Calculation Sheet'!$E$40)</f>
        <v/>
      </c>
      <c r="AM8" s="542">
        <f>IF('Final Calculation Sheet'!$E$41="","",'Final Calculation Sheet'!$E$41)</f>
        <v/>
      </c>
    </row>
    <row r="9" ht="15" customHeight="1">
      <c r="A9" s="543" t="inlineStr">
        <is>
          <t>Lot No.</t>
        </is>
      </c>
      <c r="B9" s="69">
        <f>IF('Final Calculation Sheet'!$F$4="","",'Final Calculation Sheet'!$F$4)</f>
        <v/>
      </c>
      <c r="C9" s="541">
        <f>IF('Final Calculation Sheet'!$F$5="","",'Final Calculation Sheet'!$F$5)</f>
        <v/>
      </c>
      <c r="D9" s="69">
        <f>IF('Final Calculation Sheet'!$F$6="","",'Final Calculation Sheet'!$F$6)</f>
        <v/>
      </c>
      <c r="E9" s="541">
        <f>IF('Final Calculation Sheet'!$F$7="","",'Final Calculation Sheet'!$F$7)</f>
        <v/>
      </c>
      <c r="F9" s="69">
        <f>IF('Final Calculation Sheet'!$F$8="","",'Final Calculation Sheet'!$F$8)</f>
        <v/>
      </c>
      <c r="G9" s="541">
        <f>IF('Final Calculation Sheet'!$F$9="","",'Final Calculation Sheet'!$F$9)</f>
        <v/>
      </c>
      <c r="H9" s="69">
        <f>IF('Final Calculation Sheet'!$F$10="","",'Final Calculation Sheet'!$F$10)</f>
        <v/>
      </c>
      <c r="I9" s="541">
        <f>IF('Final Calculation Sheet'!$F$11="","",'Final Calculation Sheet'!$F$11)</f>
        <v/>
      </c>
      <c r="J9" s="69">
        <f>IF('Final Calculation Sheet'!$F$12="","",'Final Calculation Sheet'!$F$12)</f>
        <v/>
      </c>
      <c r="K9" s="541">
        <f>IF('Final Calculation Sheet'!$F$13="","",'Final Calculation Sheet'!$F$13)</f>
        <v/>
      </c>
      <c r="L9" s="69">
        <f>IF('Final Calculation Sheet'!$F$14="","",'Final Calculation Sheet'!$F$14)</f>
        <v/>
      </c>
      <c r="M9" s="541">
        <f>IF('Final Calculation Sheet'!$F$15="","",'Final Calculation Sheet'!$F$15)</f>
        <v/>
      </c>
      <c r="N9" s="69">
        <f>IF('Final Calculation Sheet'!$F$16="","",'Final Calculation Sheet'!$F$16)</f>
        <v/>
      </c>
      <c r="O9" s="541">
        <f>IF('Final Calculation Sheet'!$F$17="","",'Final Calculation Sheet'!$F$17)</f>
        <v/>
      </c>
      <c r="P9" s="69">
        <f>IF('Final Calculation Sheet'!$F$18="","",'Final Calculation Sheet'!$F$18)</f>
        <v/>
      </c>
      <c r="Q9" s="541">
        <f>IF('Final Calculation Sheet'!$F$19="","",'Final Calculation Sheet'!$F$19)</f>
        <v/>
      </c>
      <c r="R9" s="69">
        <f>IF('Final Calculation Sheet'!$F$20="","",'Final Calculation Sheet'!$F$20)</f>
        <v/>
      </c>
      <c r="S9" s="541">
        <f>IF('Final Calculation Sheet'!$F$21="","",'Final Calculation Sheet'!$F$21)</f>
        <v/>
      </c>
      <c r="T9" s="69">
        <f>IF('Final Calculation Sheet'!$F$22="","",'Final Calculation Sheet'!$F$22)</f>
        <v/>
      </c>
      <c r="U9" s="541">
        <f>IF('Final Calculation Sheet'!$F$23="","",'Final Calculation Sheet'!$F$23)</f>
        <v/>
      </c>
      <c r="V9" s="69">
        <f>IF('Final Calculation Sheet'!$F$24="","",'Final Calculation Sheet'!$F$24)</f>
        <v/>
      </c>
      <c r="W9" s="541">
        <f>IF('Final Calculation Sheet'!$F$25="","",'Final Calculation Sheet'!$F$25)</f>
        <v/>
      </c>
      <c r="X9" s="69">
        <f>IF('Final Calculation Sheet'!$F$26="","",'Final Calculation Sheet'!$F$26)</f>
        <v/>
      </c>
      <c r="Y9" s="541">
        <f>IF('Final Calculation Sheet'!$F$27="","",'Final Calculation Sheet'!$F$27)</f>
        <v/>
      </c>
      <c r="Z9" s="69">
        <f>IF('Final Calculation Sheet'!$F$28="","",'Final Calculation Sheet'!$F$28)</f>
        <v/>
      </c>
      <c r="AA9" s="541">
        <f>IF('Final Calculation Sheet'!$F$29="","",'Final Calculation Sheet'!$F$29)</f>
        <v/>
      </c>
      <c r="AB9" s="69">
        <f>IF('Final Calculation Sheet'!$F$30="","",'Final Calculation Sheet'!$F$30)</f>
        <v/>
      </c>
      <c r="AC9" s="541">
        <f>IF('Final Calculation Sheet'!$F$31="","",'Final Calculation Sheet'!$F$31)</f>
        <v/>
      </c>
      <c r="AD9" s="69">
        <f>IF('Final Calculation Sheet'!$F$32="","",'Final Calculation Sheet'!$F$32)</f>
        <v/>
      </c>
      <c r="AE9" s="541">
        <f>IF('Final Calculation Sheet'!$F$33="","",'Final Calculation Sheet'!$F$33)</f>
        <v/>
      </c>
      <c r="AF9" s="69">
        <f>IF('Final Calculation Sheet'!$F$34="","",'Final Calculation Sheet'!$F$34)</f>
        <v/>
      </c>
      <c r="AG9" s="541">
        <f>IF('Final Calculation Sheet'!$F$35="","",'Final Calculation Sheet'!$F$35)</f>
        <v/>
      </c>
      <c r="AH9" s="69">
        <f>IF('Final Calculation Sheet'!$F$36="","",'Final Calculation Sheet'!$F$36)</f>
        <v/>
      </c>
      <c r="AI9" s="541">
        <f>IF('Final Calculation Sheet'!$F$37="","",'Final Calculation Sheet'!$F$37)</f>
        <v/>
      </c>
      <c r="AJ9" s="69">
        <f>IF('Final Calculation Sheet'!$F$38="","",'Final Calculation Sheet'!$F$38)</f>
        <v/>
      </c>
      <c r="AK9" s="541">
        <f>IF('Final Calculation Sheet'!$F$39="","",'Final Calculation Sheet'!$F$39)</f>
        <v/>
      </c>
      <c r="AL9" s="69">
        <f>IF('Final Calculation Sheet'!$F$40="","",'Final Calculation Sheet'!$F$40)</f>
        <v/>
      </c>
      <c r="AM9" s="542">
        <f>IF('Final Calculation Sheet'!$F$41="","",'Final Calculation Sheet'!$F$41)</f>
        <v/>
      </c>
    </row>
    <row r="10" ht="15" customHeight="1">
      <c r="A10" s="540" t="inlineStr">
        <is>
          <t>Buyer</t>
        </is>
      </c>
      <c r="B10" s="69">
        <f>IF('Final Calculation Sheet'!$G$4="","",'Final Calculation Sheet'!$G$4)</f>
        <v/>
      </c>
      <c r="C10" s="541">
        <f>IF('Final Calculation Sheet'!$G$5="","",'Final Calculation Sheet'!$G$5)</f>
        <v/>
      </c>
      <c r="D10" s="69">
        <f>IF('Final Calculation Sheet'!$G$6="","",'Final Calculation Sheet'!$G$6)</f>
        <v/>
      </c>
      <c r="E10" s="541">
        <f>IF('Final Calculation Sheet'!$G$7="","",'Final Calculation Sheet'!$G$7)</f>
        <v/>
      </c>
      <c r="F10" s="69">
        <f>IF('Final Calculation Sheet'!$G$8="","",'Final Calculation Sheet'!$G$8)</f>
        <v/>
      </c>
      <c r="G10" s="541">
        <f>IF('Final Calculation Sheet'!$G$9="","",'Final Calculation Sheet'!$G$9)</f>
        <v/>
      </c>
      <c r="H10" s="69">
        <f>IF('Final Calculation Sheet'!$G$10="","",'Final Calculation Sheet'!$G$10)</f>
        <v/>
      </c>
      <c r="I10" s="541">
        <f>IF('Final Calculation Sheet'!$G$11="","",'Final Calculation Sheet'!$G$11)</f>
        <v/>
      </c>
      <c r="J10" s="69">
        <f>IF('Final Calculation Sheet'!$G$12="","",'Final Calculation Sheet'!$G$12)</f>
        <v/>
      </c>
      <c r="K10" s="541">
        <f>IF('Final Calculation Sheet'!$G$13="","",'Final Calculation Sheet'!$G$13)</f>
        <v/>
      </c>
      <c r="L10" s="69">
        <f>IF('Final Calculation Sheet'!$G$14="","",'Final Calculation Sheet'!$G$14)</f>
        <v/>
      </c>
      <c r="M10" s="541">
        <f>IF('Final Calculation Sheet'!$G$15="","",'Final Calculation Sheet'!$G$15)</f>
        <v/>
      </c>
      <c r="N10" s="69">
        <f>IF('Final Calculation Sheet'!$G$16="","",'Final Calculation Sheet'!$G$16)</f>
        <v/>
      </c>
      <c r="O10" s="541">
        <f>IF('Final Calculation Sheet'!$G$17="","",'Final Calculation Sheet'!$G$17)</f>
        <v/>
      </c>
      <c r="P10" s="69">
        <f>IF('Final Calculation Sheet'!$G$18="","",'Final Calculation Sheet'!$G$18)</f>
        <v/>
      </c>
      <c r="Q10" s="541">
        <f>IF('Final Calculation Sheet'!$G$19="","",'Final Calculation Sheet'!$G$19)</f>
        <v/>
      </c>
      <c r="R10" s="69">
        <f>IF('Final Calculation Sheet'!$G$20="","",'Final Calculation Sheet'!$G$20)</f>
        <v/>
      </c>
      <c r="S10" s="541">
        <f>IF('Final Calculation Sheet'!$G$21="","",'Final Calculation Sheet'!$G$21)</f>
        <v/>
      </c>
      <c r="T10" s="69">
        <f>IF('Final Calculation Sheet'!$G$22="","",'Final Calculation Sheet'!$G$22)</f>
        <v/>
      </c>
      <c r="U10" s="541">
        <f>IF('Final Calculation Sheet'!$G$23="","",'Final Calculation Sheet'!$G$23)</f>
        <v/>
      </c>
      <c r="V10" s="69">
        <f>IF('Final Calculation Sheet'!$G$24="","",'Final Calculation Sheet'!$G$24)</f>
        <v/>
      </c>
      <c r="W10" s="541">
        <f>IF('Final Calculation Sheet'!$G$25="","",'Final Calculation Sheet'!$G$25)</f>
        <v/>
      </c>
      <c r="X10" s="69">
        <f>IF('Final Calculation Sheet'!$G$26="","",'Final Calculation Sheet'!$G$26)</f>
        <v/>
      </c>
      <c r="Y10" s="541">
        <f>IF('Final Calculation Sheet'!$G$27="","",'Final Calculation Sheet'!$G$27)</f>
        <v/>
      </c>
      <c r="Z10" s="69">
        <f>IF('Final Calculation Sheet'!$G$28="","",'Final Calculation Sheet'!$G$28)</f>
        <v/>
      </c>
      <c r="AA10" s="541">
        <f>IF('Final Calculation Sheet'!$G$29="","",'Final Calculation Sheet'!$G$29)</f>
        <v/>
      </c>
      <c r="AB10" s="69">
        <f>IF('Final Calculation Sheet'!$G$30="","",'Final Calculation Sheet'!$G$30)</f>
        <v/>
      </c>
      <c r="AC10" s="541">
        <f>IF('Final Calculation Sheet'!$G$31="","",'Final Calculation Sheet'!$G$31)</f>
        <v/>
      </c>
      <c r="AD10" s="69">
        <f>IF('Final Calculation Sheet'!$G$32="","",'Final Calculation Sheet'!$G$32)</f>
        <v/>
      </c>
      <c r="AE10" s="541">
        <f>IF('Final Calculation Sheet'!$G$33="","",'Final Calculation Sheet'!$G$33)</f>
        <v/>
      </c>
      <c r="AF10" s="69">
        <f>IF('Final Calculation Sheet'!$G$34="","",'Final Calculation Sheet'!$G$34)</f>
        <v/>
      </c>
      <c r="AG10" s="541">
        <f>IF('Final Calculation Sheet'!$G$35="","",'Final Calculation Sheet'!$G$35)</f>
        <v/>
      </c>
      <c r="AH10" s="69">
        <f>IF('Final Calculation Sheet'!$G$36="","",'Final Calculation Sheet'!$G$36)</f>
        <v/>
      </c>
      <c r="AI10" s="541">
        <f>IF('Final Calculation Sheet'!$G$37="","",'Final Calculation Sheet'!$G$37)</f>
        <v/>
      </c>
      <c r="AJ10" s="69">
        <f>IF('Final Calculation Sheet'!$G$38="","",'Final Calculation Sheet'!$G$38)</f>
        <v/>
      </c>
      <c r="AK10" s="541">
        <f>IF('Final Calculation Sheet'!$G$39="","",'Final Calculation Sheet'!$G$39)</f>
        <v/>
      </c>
      <c r="AL10" s="69">
        <f>IF('Final Calculation Sheet'!$G$40="","",'Final Calculation Sheet'!$G$40)</f>
        <v/>
      </c>
      <c r="AM10" s="542">
        <f>IF('Final Calculation Sheet'!$G$41="","",'Final Calculation Sheet'!$G$41)</f>
        <v/>
      </c>
    </row>
    <row r="11" ht="15" customHeight="1">
      <c r="A11" s="543" t="inlineStr">
        <is>
          <t>Mat. Value</t>
        </is>
      </c>
      <c r="B11" s="544">
        <f>IF('Final Calculation Sheet'!$H$4="","",'Final Calculation Sheet'!$H$4)</f>
        <v/>
      </c>
      <c r="C11" s="545">
        <f>IF('Final Calculation Sheet'!$H$5="","",'Final Calculation Sheet'!$H$5)</f>
        <v/>
      </c>
      <c r="D11" s="544">
        <f>IF('Final Calculation Sheet'!$H$6="","",'Final Calculation Sheet'!$H$6)</f>
        <v/>
      </c>
      <c r="E11" s="545">
        <f>IF('Final Calculation Sheet'!$H$7="","",'Final Calculation Sheet'!$H$7)</f>
        <v/>
      </c>
      <c r="F11" s="544">
        <f>IF('Final Calculation Sheet'!$H$8="","",'Final Calculation Sheet'!$H$8)</f>
        <v/>
      </c>
      <c r="G11" s="545">
        <f>IF('Final Calculation Sheet'!$H$9="","",'Final Calculation Sheet'!$H$9)</f>
        <v/>
      </c>
      <c r="H11" s="544">
        <f>IF('Final Calculation Sheet'!$H$10="","",'Final Calculation Sheet'!$H$10)</f>
        <v/>
      </c>
      <c r="I11" s="545">
        <f>IF('Final Calculation Sheet'!$H$11="","",'Final Calculation Sheet'!$H$11)</f>
        <v/>
      </c>
      <c r="J11" s="544">
        <f>IF('Final Calculation Sheet'!$H$12="","",'Final Calculation Sheet'!$H$12)</f>
        <v/>
      </c>
      <c r="K11" s="545">
        <f>IF('Final Calculation Sheet'!$H$13="","",'Final Calculation Sheet'!$H$13)</f>
        <v/>
      </c>
      <c r="L11" s="544">
        <f>IF('Final Calculation Sheet'!$H$14="","",'Final Calculation Sheet'!$H$14)</f>
        <v/>
      </c>
      <c r="M11" s="545">
        <f>IF('Final Calculation Sheet'!$H$15="","",'Final Calculation Sheet'!$H$15)</f>
        <v/>
      </c>
      <c r="N11" s="544">
        <f>IF('Final Calculation Sheet'!$H$16="","",'Final Calculation Sheet'!$H$16)</f>
        <v/>
      </c>
      <c r="O11" s="545">
        <f>IF('Final Calculation Sheet'!$H$17="","",'Final Calculation Sheet'!$H$17)</f>
        <v/>
      </c>
      <c r="P11" s="544">
        <f>IF('Final Calculation Sheet'!$H$18="","",'Final Calculation Sheet'!$H$18)</f>
        <v/>
      </c>
      <c r="Q11" s="545">
        <f>IF('Final Calculation Sheet'!$H$19="","",'Final Calculation Sheet'!$H$19)</f>
        <v/>
      </c>
      <c r="R11" s="544">
        <f>IF('Final Calculation Sheet'!$H$20="","",'Final Calculation Sheet'!$H$20)</f>
        <v/>
      </c>
      <c r="S11" s="545">
        <f>IF('Final Calculation Sheet'!$H$21="","",'Final Calculation Sheet'!$H$21)</f>
        <v/>
      </c>
      <c r="T11" s="544">
        <f>IF('Final Calculation Sheet'!$H$22="","",'Final Calculation Sheet'!$H$22)</f>
        <v/>
      </c>
      <c r="U11" s="545">
        <f>IF('Final Calculation Sheet'!$H$23="","",'Final Calculation Sheet'!$H$23)</f>
        <v/>
      </c>
      <c r="V11" s="544">
        <f>IF('Final Calculation Sheet'!$H$24="","",'Final Calculation Sheet'!$H$24)</f>
        <v/>
      </c>
      <c r="W11" s="545">
        <f>IF('Final Calculation Sheet'!$H$25="","",'Final Calculation Sheet'!$H$25)</f>
        <v/>
      </c>
      <c r="X11" s="544">
        <f>IF('Final Calculation Sheet'!$H$26="","",'Final Calculation Sheet'!$H$26)</f>
        <v/>
      </c>
      <c r="Y11" s="545">
        <f>IF('Final Calculation Sheet'!$H$27="","",'Final Calculation Sheet'!$H$27)</f>
        <v/>
      </c>
      <c r="Z11" s="544">
        <f>IF('Final Calculation Sheet'!$H$28="","",'Final Calculation Sheet'!$H$28)</f>
        <v/>
      </c>
      <c r="AA11" s="545">
        <f>IF('Final Calculation Sheet'!$H$29="","",'Final Calculation Sheet'!$H$29)</f>
        <v/>
      </c>
      <c r="AB11" s="544">
        <f>IF('Final Calculation Sheet'!$H$30="","",'Final Calculation Sheet'!$H$30)</f>
        <v/>
      </c>
      <c r="AC11" s="545">
        <f>IF('Final Calculation Sheet'!$H$31="","",'Final Calculation Sheet'!$H$31)</f>
        <v/>
      </c>
      <c r="AD11" s="544">
        <f>IF('Final Calculation Sheet'!$H$32="","",'Final Calculation Sheet'!$H$32)</f>
        <v/>
      </c>
      <c r="AE11" s="545">
        <f>IF('Final Calculation Sheet'!$H$33="","",'Final Calculation Sheet'!$H$33)</f>
        <v/>
      </c>
      <c r="AF11" s="544">
        <f>IF('Final Calculation Sheet'!$H$34="","",'Final Calculation Sheet'!$H$34)</f>
        <v/>
      </c>
      <c r="AG11" s="545">
        <f>IF('Final Calculation Sheet'!$H$35="","",'Final Calculation Sheet'!$H$35)</f>
        <v/>
      </c>
      <c r="AH11" s="544">
        <f>IF('Final Calculation Sheet'!$H$36="","",'Final Calculation Sheet'!$H$36)</f>
        <v/>
      </c>
      <c r="AI11" s="545">
        <f>IF('Final Calculation Sheet'!$H$37="","",'Final Calculation Sheet'!$H$37)</f>
        <v/>
      </c>
      <c r="AJ11" s="544">
        <f>IF('Final Calculation Sheet'!$H$38="","",'Final Calculation Sheet'!$H$38)</f>
        <v/>
      </c>
      <c r="AK11" s="545">
        <f>IF('Final Calculation Sheet'!$H$39="","",'Final Calculation Sheet'!$H$39)</f>
        <v/>
      </c>
      <c r="AL11" s="544">
        <f>IF('Final Calculation Sheet'!$H$40="","",'Final Calculation Sheet'!$H$40)</f>
        <v/>
      </c>
      <c r="AM11" s="546">
        <f>IF('Final Calculation Sheet'!$H$41="","",'Final Calculation Sheet'!$H$41)</f>
        <v/>
      </c>
    </row>
    <row r="12" ht="15" customHeight="1">
      <c r="A12" s="540" t="inlineStr">
        <is>
          <t>GST</t>
        </is>
      </c>
      <c r="B12" s="544">
        <f>IF('Final Calculation Sheet'!$I$4="","",'Final Calculation Sheet'!$I$4)</f>
        <v/>
      </c>
      <c r="C12" s="545">
        <f>IF('Final Calculation Sheet'!$I$5="","",'Final Calculation Sheet'!$I$5)</f>
        <v/>
      </c>
      <c r="D12" s="544">
        <f>IF('Final Calculation Sheet'!$I$6="","",'Final Calculation Sheet'!$I$6)</f>
        <v/>
      </c>
      <c r="E12" s="545">
        <f>IF('Final Calculation Sheet'!$I$7="","",'Final Calculation Sheet'!$I$7)</f>
        <v/>
      </c>
      <c r="F12" s="544">
        <f>IF('Final Calculation Sheet'!$I$8="","",'Final Calculation Sheet'!$I$8)</f>
        <v/>
      </c>
      <c r="G12" s="545">
        <f>IF('Final Calculation Sheet'!$I$9="","",'Final Calculation Sheet'!$I$9)</f>
        <v/>
      </c>
      <c r="H12" s="544">
        <f>IF('Final Calculation Sheet'!$I$10="","",'Final Calculation Sheet'!$I$10)</f>
        <v/>
      </c>
      <c r="I12" s="545">
        <f>IF('Final Calculation Sheet'!$I$11="","",'Final Calculation Sheet'!$I$11)</f>
        <v/>
      </c>
      <c r="J12" s="544">
        <f>IF('Final Calculation Sheet'!$I$12="","",'Final Calculation Sheet'!$I$12)</f>
        <v/>
      </c>
      <c r="K12" s="545">
        <f>IF('Final Calculation Sheet'!$I$13="","",'Final Calculation Sheet'!$I$13)</f>
        <v/>
      </c>
      <c r="L12" s="544">
        <f>IF('Final Calculation Sheet'!$I$14="","",'Final Calculation Sheet'!$I$14)</f>
        <v/>
      </c>
      <c r="M12" s="545">
        <f>IF('Final Calculation Sheet'!$I$15="","",'Final Calculation Sheet'!$I$15)</f>
        <v/>
      </c>
      <c r="N12" s="544">
        <f>IF('Final Calculation Sheet'!$I$16="","",'Final Calculation Sheet'!$I$16)</f>
        <v/>
      </c>
      <c r="O12" s="545">
        <f>IF('Final Calculation Sheet'!$I$17="","",'Final Calculation Sheet'!$I$17)</f>
        <v/>
      </c>
      <c r="P12" s="544">
        <f>IF('Final Calculation Sheet'!$I$18="","",'Final Calculation Sheet'!$I$18)</f>
        <v/>
      </c>
      <c r="Q12" s="545">
        <f>IF('Final Calculation Sheet'!$I$19="","",'Final Calculation Sheet'!$I$19)</f>
        <v/>
      </c>
      <c r="R12" s="544">
        <f>IF('Final Calculation Sheet'!$I$20="","",'Final Calculation Sheet'!$I$20)</f>
        <v/>
      </c>
      <c r="S12" s="545">
        <f>IF('Final Calculation Sheet'!$I$21="","",'Final Calculation Sheet'!$I$21)</f>
        <v/>
      </c>
      <c r="T12" s="544">
        <f>IF('Final Calculation Sheet'!$I$22="","",'Final Calculation Sheet'!$I$22)</f>
        <v/>
      </c>
      <c r="U12" s="545">
        <f>IF('Final Calculation Sheet'!$I$23="","",'Final Calculation Sheet'!$I$23)</f>
        <v/>
      </c>
      <c r="V12" s="544">
        <f>IF('Final Calculation Sheet'!$I$24="","",'Final Calculation Sheet'!$I$24)</f>
        <v/>
      </c>
      <c r="W12" s="545">
        <f>IF('Final Calculation Sheet'!$I$25="","",'Final Calculation Sheet'!$I$25)</f>
        <v/>
      </c>
      <c r="X12" s="544">
        <f>IF('Final Calculation Sheet'!$I$26="","",'Final Calculation Sheet'!$I$26)</f>
        <v/>
      </c>
      <c r="Y12" s="545">
        <f>IF('Final Calculation Sheet'!$I$27="","",'Final Calculation Sheet'!$I$27)</f>
        <v/>
      </c>
      <c r="Z12" s="544">
        <f>IF('Final Calculation Sheet'!$I$28="","",'Final Calculation Sheet'!$I$28)</f>
        <v/>
      </c>
      <c r="AA12" s="545">
        <f>IF('Final Calculation Sheet'!$I$29="","",'Final Calculation Sheet'!$I$29)</f>
        <v/>
      </c>
      <c r="AB12" s="544">
        <f>IF('Final Calculation Sheet'!$I$30="","",'Final Calculation Sheet'!$I$30)</f>
        <v/>
      </c>
      <c r="AC12" s="545">
        <f>IF('Final Calculation Sheet'!$I$31="","",'Final Calculation Sheet'!$I$31)</f>
        <v/>
      </c>
      <c r="AD12" s="544">
        <f>IF('Final Calculation Sheet'!$I$32="","",'Final Calculation Sheet'!$I$32)</f>
        <v/>
      </c>
      <c r="AE12" s="545">
        <f>IF('Final Calculation Sheet'!$I$33="","",'Final Calculation Sheet'!$I$33)</f>
        <v/>
      </c>
      <c r="AF12" s="544">
        <f>IF('Final Calculation Sheet'!$I$34="","",'Final Calculation Sheet'!$I$34)</f>
        <v/>
      </c>
      <c r="AG12" s="545">
        <f>IF('Final Calculation Sheet'!$I$35="","",'Final Calculation Sheet'!$I$35)</f>
        <v/>
      </c>
      <c r="AH12" s="544">
        <f>IF('Final Calculation Sheet'!$I$36="","",'Final Calculation Sheet'!$I$36)</f>
        <v/>
      </c>
      <c r="AI12" s="545">
        <f>IF('Final Calculation Sheet'!$I$37="","",'Final Calculation Sheet'!$I$37)</f>
        <v/>
      </c>
      <c r="AJ12" s="544">
        <f>IF('Final Calculation Sheet'!$I$38="","",'Final Calculation Sheet'!$I$38)</f>
        <v/>
      </c>
      <c r="AK12" s="545">
        <f>IF('Final Calculation Sheet'!$I$39="","",'Final Calculation Sheet'!$I$39)</f>
        <v/>
      </c>
      <c r="AL12" s="544">
        <f>IF('Final Calculation Sheet'!$I$40="","",'Final Calculation Sheet'!$I$40)</f>
        <v/>
      </c>
      <c r="AM12" s="546">
        <f>IF('Final Calculation Sheet'!$I$41="","",'Final Calculation Sheet'!$I$41)</f>
        <v/>
      </c>
    </row>
    <row r="13" ht="15" customHeight="1">
      <c r="A13" s="543" t="inlineStr">
        <is>
          <t>Mat. Value + GST</t>
        </is>
      </c>
      <c r="B13" s="544">
        <f>IF('Final Calculation Sheet'!$J$4="","",'Final Calculation Sheet'!$J$4)</f>
        <v/>
      </c>
      <c r="C13" s="545">
        <f>IF('Final Calculation Sheet'!$J$5="","",'Final Calculation Sheet'!$J$5)</f>
        <v/>
      </c>
      <c r="D13" s="544">
        <f>IF('Final Calculation Sheet'!$J$6="","",'Final Calculation Sheet'!$J$6)</f>
        <v/>
      </c>
      <c r="E13" s="545">
        <f>IF('Final Calculation Sheet'!$J$7="","",'Final Calculation Sheet'!$J$7)</f>
        <v/>
      </c>
      <c r="F13" s="544">
        <f>IF('Final Calculation Sheet'!$J$8="","",'Final Calculation Sheet'!$J$8)</f>
        <v/>
      </c>
      <c r="G13" s="545">
        <f>IF('Final Calculation Sheet'!$J$9="","",'Final Calculation Sheet'!$J$9)</f>
        <v/>
      </c>
      <c r="H13" s="544">
        <f>IF('Final Calculation Sheet'!$J$10="","",'Final Calculation Sheet'!$J$10)</f>
        <v/>
      </c>
      <c r="I13" s="545">
        <f>IF('Final Calculation Sheet'!$J$11="","",'Final Calculation Sheet'!$J$11)</f>
        <v/>
      </c>
      <c r="J13" s="544">
        <f>IF('Final Calculation Sheet'!$J$12="","",'Final Calculation Sheet'!$J$12)</f>
        <v/>
      </c>
      <c r="K13" s="545">
        <f>IF('Final Calculation Sheet'!$J$13="","",'Final Calculation Sheet'!$J$13)</f>
        <v/>
      </c>
      <c r="L13" s="544">
        <f>IF('Final Calculation Sheet'!$J$14="","",'Final Calculation Sheet'!$J$14)</f>
        <v/>
      </c>
      <c r="M13" s="545">
        <f>IF('Final Calculation Sheet'!$J$15="","",'Final Calculation Sheet'!$J$15)</f>
        <v/>
      </c>
      <c r="N13" s="544">
        <f>IF('Final Calculation Sheet'!$J$16="","",'Final Calculation Sheet'!$J$16)</f>
        <v/>
      </c>
      <c r="O13" s="545">
        <f>IF('Final Calculation Sheet'!$J$17="","",'Final Calculation Sheet'!$J$17)</f>
        <v/>
      </c>
      <c r="P13" s="544">
        <f>IF('Final Calculation Sheet'!$J$18="","",'Final Calculation Sheet'!$J$18)</f>
        <v/>
      </c>
      <c r="Q13" s="545">
        <f>IF('Final Calculation Sheet'!$J$19="","",'Final Calculation Sheet'!$J$19)</f>
        <v/>
      </c>
      <c r="R13" s="544">
        <f>IF('Final Calculation Sheet'!$J$20="","",'Final Calculation Sheet'!$J$20)</f>
        <v/>
      </c>
      <c r="S13" s="545">
        <f>IF('Final Calculation Sheet'!$J$21="","",'Final Calculation Sheet'!$J$21)</f>
        <v/>
      </c>
      <c r="T13" s="544">
        <f>IF('Final Calculation Sheet'!$J$22="","",'Final Calculation Sheet'!$J$22)</f>
        <v/>
      </c>
      <c r="U13" s="545">
        <f>IF('Final Calculation Sheet'!$J$23="","",'Final Calculation Sheet'!$J$23)</f>
        <v/>
      </c>
      <c r="V13" s="544">
        <f>IF('Final Calculation Sheet'!$J$24="","",'Final Calculation Sheet'!$J$24)</f>
        <v/>
      </c>
      <c r="W13" s="545">
        <f>IF('Final Calculation Sheet'!$J$25="","",'Final Calculation Sheet'!$J$25)</f>
        <v/>
      </c>
      <c r="X13" s="544">
        <f>IF('Final Calculation Sheet'!$J$26="","",'Final Calculation Sheet'!$J$26)</f>
        <v/>
      </c>
      <c r="Y13" s="545">
        <f>IF('Final Calculation Sheet'!$J$27="","",'Final Calculation Sheet'!$J$27)</f>
        <v/>
      </c>
      <c r="Z13" s="544">
        <f>IF('Final Calculation Sheet'!$J$28="","",'Final Calculation Sheet'!$J$28)</f>
        <v/>
      </c>
      <c r="AA13" s="545">
        <f>IF('Final Calculation Sheet'!$J$29="","",'Final Calculation Sheet'!$J$29)</f>
        <v/>
      </c>
      <c r="AB13" s="544">
        <f>IF('Final Calculation Sheet'!$J$30="","",'Final Calculation Sheet'!$J$30)</f>
        <v/>
      </c>
      <c r="AC13" s="545">
        <f>IF('Final Calculation Sheet'!$J$31="","",'Final Calculation Sheet'!$J$31)</f>
        <v/>
      </c>
      <c r="AD13" s="544">
        <f>IF('Final Calculation Sheet'!$J$32="","",'Final Calculation Sheet'!$J$32)</f>
        <v/>
      </c>
      <c r="AE13" s="545">
        <f>IF('Final Calculation Sheet'!$J$33="","",'Final Calculation Sheet'!$J$33)</f>
        <v/>
      </c>
      <c r="AF13" s="544">
        <f>IF('Final Calculation Sheet'!$J$34="","",'Final Calculation Sheet'!$J$34)</f>
        <v/>
      </c>
      <c r="AG13" s="545">
        <f>IF('Final Calculation Sheet'!$J$35="","",'Final Calculation Sheet'!$J$35)</f>
        <v/>
      </c>
      <c r="AH13" s="544">
        <f>IF('Final Calculation Sheet'!$J$36="","",'Final Calculation Sheet'!$J$36)</f>
        <v/>
      </c>
      <c r="AI13" s="545">
        <f>IF('Final Calculation Sheet'!$J$37="","",'Final Calculation Sheet'!$J$37)</f>
        <v/>
      </c>
      <c r="AJ13" s="544">
        <f>IF('Final Calculation Sheet'!$J$38="","",'Final Calculation Sheet'!$J$38)</f>
        <v/>
      </c>
      <c r="AK13" s="545">
        <f>IF('Final Calculation Sheet'!$J$39="","",'Final Calculation Sheet'!$J$39)</f>
        <v/>
      </c>
      <c r="AL13" s="544">
        <f>IF('Final Calculation Sheet'!$J$40="","",'Final Calculation Sheet'!$J$40)</f>
        <v/>
      </c>
      <c r="AM13" s="546">
        <f>IF('Final Calculation Sheet'!$J$41="","",'Final Calculation Sheet'!$J$41)</f>
        <v/>
      </c>
    </row>
    <row r="14" ht="15" customHeight="1">
      <c r="A14" s="540" t="inlineStr">
        <is>
          <t>TCS</t>
        </is>
      </c>
      <c r="B14" s="544">
        <f>IF('Final Calculation Sheet'!$K$4="","",'Final Calculation Sheet'!$K$4)</f>
        <v/>
      </c>
      <c r="C14" s="545">
        <f>IF('Final Calculation Sheet'!$K$5="","",'Final Calculation Sheet'!$K$5)</f>
        <v/>
      </c>
      <c r="D14" s="544">
        <f>IF('Final Calculation Sheet'!$K$6="","",'Final Calculation Sheet'!$K$6)</f>
        <v/>
      </c>
      <c r="E14" s="545">
        <f>IF('Final Calculation Sheet'!$K$7="","",'Final Calculation Sheet'!$K$7)</f>
        <v/>
      </c>
      <c r="F14" s="544">
        <f>IF('Final Calculation Sheet'!$K$8="","",'Final Calculation Sheet'!$K$8)</f>
        <v/>
      </c>
      <c r="G14" s="545">
        <f>IF('Final Calculation Sheet'!$K$9="","",'Final Calculation Sheet'!$K$9)</f>
        <v/>
      </c>
      <c r="H14" s="544">
        <f>IF('Final Calculation Sheet'!$K$10="","",'Final Calculation Sheet'!$K$10)</f>
        <v/>
      </c>
      <c r="I14" s="545">
        <f>IF('Final Calculation Sheet'!$K$11="","",'Final Calculation Sheet'!$K$11)</f>
        <v/>
      </c>
      <c r="J14" s="544">
        <f>IF('Final Calculation Sheet'!$K$12="","",'Final Calculation Sheet'!$K$12)</f>
        <v/>
      </c>
      <c r="K14" s="545">
        <f>IF('Final Calculation Sheet'!$K$13="","",'Final Calculation Sheet'!$K$13)</f>
        <v/>
      </c>
      <c r="L14" s="544">
        <f>IF('Final Calculation Sheet'!$K$14="","",'Final Calculation Sheet'!$K$14)</f>
        <v/>
      </c>
      <c r="M14" s="545">
        <f>IF('Final Calculation Sheet'!$K$15="","",'Final Calculation Sheet'!$K$15)</f>
        <v/>
      </c>
      <c r="N14" s="544">
        <f>IF('Final Calculation Sheet'!$K$16="","",'Final Calculation Sheet'!$K$16)</f>
        <v/>
      </c>
      <c r="O14" s="545">
        <f>IF('Final Calculation Sheet'!$K$17="","",'Final Calculation Sheet'!$K$17)</f>
        <v/>
      </c>
      <c r="P14" s="544">
        <f>IF('Final Calculation Sheet'!$K$18="","",'Final Calculation Sheet'!$K$18)</f>
        <v/>
      </c>
      <c r="Q14" s="545">
        <f>IF('Final Calculation Sheet'!$K$19="","",'Final Calculation Sheet'!$K$19)</f>
        <v/>
      </c>
      <c r="R14" s="544">
        <f>IF('Final Calculation Sheet'!$K$20="","",'Final Calculation Sheet'!$K$20)</f>
        <v/>
      </c>
      <c r="S14" s="545">
        <f>IF('Final Calculation Sheet'!$K$21="","",'Final Calculation Sheet'!$K$21)</f>
        <v/>
      </c>
      <c r="T14" s="544">
        <f>IF('Final Calculation Sheet'!$K$22="","",'Final Calculation Sheet'!$K$22)</f>
        <v/>
      </c>
      <c r="U14" s="545">
        <f>IF('Final Calculation Sheet'!$K$23="","",'Final Calculation Sheet'!$K$23)</f>
        <v/>
      </c>
      <c r="V14" s="544">
        <f>IF('Final Calculation Sheet'!$K$24="","",'Final Calculation Sheet'!$K$24)</f>
        <v/>
      </c>
      <c r="W14" s="545">
        <f>IF('Final Calculation Sheet'!$K$25="","",'Final Calculation Sheet'!$K$25)</f>
        <v/>
      </c>
      <c r="X14" s="544">
        <f>IF('Final Calculation Sheet'!$K$26="","",'Final Calculation Sheet'!$K$26)</f>
        <v/>
      </c>
      <c r="Y14" s="545">
        <f>IF('Final Calculation Sheet'!$K$27="","",'Final Calculation Sheet'!$K$27)</f>
        <v/>
      </c>
      <c r="Z14" s="544">
        <f>IF('Final Calculation Sheet'!$K$28="","",'Final Calculation Sheet'!$K$28)</f>
        <v/>
      </c>
      <c r="AA14" s="545">
        <f>IF('Final Calculation Sheet'!$K$29="","",'Final Calculation Sheet'!$K$29)</f>
        <v/>
      </c>
      <c r="AB14" s="544">
        <f>IF('Final Calculation Sheet'!$K$30="","",'Final Calculation Sheet'!$K$30)</f>
        <v/>
      </c>
      <c r="AC14" s="545">
        <f>IF('Final Calculation Sheet'!$K$31="","",'Final Calculation Sheet'!$K$31)</f>
        <v/>
      </c>
      <c r="AD14" s="544">
        <f>IF('Final Calculation Sheet'!$K$32="","",'Final Calculation Sheet'!$K$32)</f>
        <v/>
      </c>
      <c r="AE14" s="545">
        <f>IF('Final Calculation Sheet'!$K$33="","",'Final Calculation Sheet'!$K$33)</f>
        <v/>
      </c>
      <c r="AF14" s="544">
        <f>IF('Final Calculation Sheet'!$K$34="","",'Final Calculation Sheet'!$K$34)</f>
        <v/>
      </c>
      <c r="AG14" s="545">
        <f>IF('Final Calculation Sheet'!$K$35="","",'Final Calculation Sheet'!$K$35)</f>
        <v/>
      </c>
      <c r="AH14" s="544">
        <f>IF('Final Calculation Sheet'!$K$36="","",'Final Calculation Sheet'!$K$36)</f>
        <v/>
      </c>
      <c r="AI14" s="545">
        <f>IF('Final Calculation Sheet'!$K$37="","",'Final Calculation Sheet'!$K$37)</f>
        <v/>
      </c>
      <c r="AJ14" s="544">
        <f>IF('Final Calculation Sheet'!$K$38="","",'Final Calculation Sheet'!$K$38)</f>
        <v/>
      </c>
      <c r="AK14" s="545">
        <f>IF('Final Calculation Sheet'!$K$39="","",'Final Calculation Sheet'!$K$39)</f>
        <v/>
      </c>
      <c r="AL14" s="544">
        <f>IF('Final Calculation Sheet'!$K$40="","",'Final Calculation Sheet'!$K$40)</f>
        <v/>
      </c>
      <c r="AM14" s="546">
        <f>IF('Final Calculation Sheet'!$K$41="","",'Final Calculation Sheet'!$K$41)</f>
        <v/>
      </c>
    </row>
    <row r="15" ht="15" customHeight="1">
      <c r="A15" s="543" t="inlineStr">
        <is>
          <t>TDS u/s 194(O)</t>
        </is>
      </c>
      <c r="B15" s="544">
        <f>IF('Final Calculation Sheet'!$L$4="","",'Final Calculation Sheet'!$L$4)</f>
        <v/>
      </c>
      <c r="C15" s="545">
        <f>IF('Final Calculation Sheet'!$L$5="","",'Final Calculation Sheet'!$L$5)</f>
        <v/>
      </c>
      <c r="D15" s="544">
        <f>IF('Final Calculation Sheet'!$L$6="","",'Final Calculation Sheet'!$L$6)</f>
        <v/>
      </c>
      <c r="E15" s="545">
        <f>IF('Final Calculation Sheet'!$L$7="","",'Final Calculation Sheet'!$L$7)</f>
        <v/>
      </c>
      <c r="F15" s="544">
        <f>IF('Final Calculation Sheet'!$L$8="","",'Final Calculation Sheet'!$L$8)</f>
        <v/>
      </c>
      <c r="G15" s="545">
        <f>IF('Final Calculation Sheet'!$L$9="","",'Final Calculation Sheet'!$L$9)</f>
        <v/>
      </c>
      <c r="H15" s="544">
        <f>IF('Final Calculation Sheet'!$L$10="","",'Final Calculation Sheet'!$L$10)</f>
        <v/>
      </c>
      <c r="I15" s="545">
        <f>IF('Final Calculation Sheet'!$L$11="","",'Final Calculation Sheet'!$L$11)</f>
        <v/>
      </c>
      <c r="J15" s="544">
        <f>IF('Final Calculation Sheet'!$L$12="","",'Final Calculation Sheet'!$L$12)</f>
        <v/>
      </c>
      <c r="K15" s="545">
        <f>IF('Final Calculation Sheet'!$L$13="","",'Final Calculation Sheet'!$L$13)</f>
        <v/>
      </c>
      <c r="L15" s="544">
        <f>IF('Final Calculation Sheet'!$L$14="","",'Final Calculation Sheet'!$L$14)</f>
        <v/>
      </c>
      <c r="M15" s="545">
        <f>IF('Final Calculation Sheet'!$L$15="","",'Final Calculation Sheet'!$L$15)</f>
        <v/>
      </c>
      <c r="N15" s="544">
        <f>IF('Final Calculation Sheet'!$L$16="","",'Final Calculation Sheet'!$L$16)</f>
        <v/>
      </c>
      <c r="O15" s="545">
        <f>IF('Final Calculation Sheet'!$L$17="","",'Final Calculation Sheet'!$L$17)</f>
        <v/>
      </c>
      <c r="P15" s="544">
        <f>IF('Final Calculation Sheet'!$L$18="","",'Final Calculation Sheet'!$L$18)</f>
        <v/>
      </c>
      <c r="Q15" s="545">
        <f>IF('Final Calculation Sheet'!$L$19="","",'Final Calculation Sheet'!$L$19)</f>
        <v/>
      </c>
      <c r="R15" s="544">
        <f>IF('Final Calculation Sheet'!$L$20="","",'Final Calculation Sheet'!$L$20)</f>
        <v/>
      </c>
      <c r="S15" s="545">
        <f>IF('Final Calculation Sheet'!$L$21="","",'Final Calculation Sheet'!$L$21)</f>
        <v/>
      </c>
      <c r="T15" s="544">
        <f>IF('Final Calculation Sheet'!$L$22="","",'Final Calculation Sheet'!$L$22)</f>
        <v/>
      </c>
      <c r="U15" s="545">
        <f>IF('Final Calculation Sheet'!$L$23="","",'Final Calculation Sheet'!$L$23)</f>
        <v/>
      </c>
      <c r="V15" s="544">
        <f>IF('Final Calculation Sheet'!$L$24="","",'Final Calculation Sheet'!$L$24)</f>
        <v/>
      </c>
      <c r="W15" s="545">
        <f>IF('Final Calculation Sheet'!$L$25="","",'Final Calculation Sheet'!$L$25)</f>
        <v/>
      </c>
      <c r="X15" s="544">
        <f>IF('Final Calculation Sheet'!$L$26="","",'Final Calculation Sheet'!$L$26)</f>
        <v/>
      </c>
      <c r="Y15" s="545">
        <f>IF('Final Calculation Sheet'!$L$27="","",'Final Calculation Sheet'!$L$27)</f>
        <v/>
      </c>
      <c r="Z15" s="544">
        <f>IF('Final Calculation Sheet'!$L$28="","",'Final Calculation Sheet'!$L$28)</f>
        <v/>
      </c>
      <c r="AA15" s="545">
        <f>IF('Final Calculation Sheet'!$L$29="","",'Final Calculation Sheet'!$L$29)</f>
        <v/>
      </c>
      <c r="AB15" s="544">
        <f>IF('Final Calculation Sheet'!$L$30="","",'Final Calculation Sheet'!$L$30)</f>
        <v/>
      </c>
      <c r="AC15" s="545">
        <f>IF('Final Calculation Sheet'!$L$31="","",'Final Calculation Sheet'!$L$31)</f>
        <v/>
      </c>
      <c r="AD15" s="544">
        <f>IF('Final Calculation Sheet'!$L$32="","",'Final Calculation Sheet'!$L$32)</f>
        <v/>
      </c>
      <c r="AE15" s="545">
        <f>IF('Final Calculation Sheet'!$L$33="","",'Final Calculation Sheet'!$L$33)</f>
        <v/>
      </c>
      <c r="AF15" s="544">
        <f>IF('Final Calculation Sheet'!$L$34="","",'Final Calculation Sheet'!$L$34)</f>
        <v/>
      </c>
      <c r="AG15" s="545">
        <f>IF('Final Calculation Sheet'!$L$35="","",'Final Calculation Sheet'!$L$35)</f>
        <v/>
      </c>
      <c r="AH15" s="544">
        <f>IF('Final Calculation Sheet'!$L$36="","",'Final Calculation Sheet'!$L$36)</f>
        <v/>
      </c>
      <c r="AI15" s="545">
        <f>IF('Final Calculation Sheet'!$L$37="","",'Final Calculation Sheet'!$L$37)</f>
        <v/>
      </c>
      <c r="AJ15" s="544">
        <f>IF('Final Calculation Sheet'!$L$38="","",'Final Calculation Sheet'!$L$38)</f>
        <v/>
      </c>
      <c r="AK15" s="545">
        <f>IF('Final Calculation Sheet'!$L$39="","",'Final Calculation Sheet'!$L$39)</f>
        <v/>
      </c>
      <c r="AL15" s="544">
        <f>IF('Final Calculation Sheet'!$L$40="","",'Final Calculation Sheet'!$L$40)</f>
        <v/>
      </c>
      <c r="AM15" s="546">
        <f>IF('Final Calculation Sheet'!$L$41="","",'Final Calculation Sheet'!$L$41)</f>
        <v/>
      </c>
    </row>
    <row r="16" ht="15" customHeight="1">
      <c r="A16" s="540" t="inlineStr">
        <is>
          <t>Service Charge to MSTC</t>
        </is>
      </c>
      <c r="B16" s="544">
        <f>IF('Final Calculation Sheet'!$M$4="","",'Final Calculation Sheet'!$M$4)</f>
        <v/>
      </c>
      <c r="C16" s="545">
        <f>IF('Final Calculation Sheet'!$M$5="","",'Final Calculation Sheet'!$M$5)</f>
        <v/>
      </c>
      <c r="D16" s="544">
        <f>IF('Final Calculation Sheet'!$M$6="","",'Final Calculation Sheet'!$M$6)</f>
        <v/>
      </c>
      <c r="E16" s="545">
        <f>IF('Final Calculation Sheet'!$M$7="","",'Final Calculation Sheet'!$M$7)</f>
        <v/>
      </c>
      <c r="F16" s="544">
        <f>IF('Final Calculation Sheet'!$M$8="","",'Final Calculation Sheet'!$M$8)</f>
        <v/>
      </c>
      <c r="G16" s="545">
        <f>IF('Final Calculation Sheet'!$M$9="","",'Final Calculation Sheet'!$M$9)</f>
        <v/>
      </c>
      <c r="H16" s="544">
        <f>IF('Final Calculation Sheet'!$M$10="","",'Final Calculation Sheet'!$M$10)</f>
        <v/>
      </c>
      <c r="I16" s="545">
        <f>IF('Final Calculation Sheet'!$M$11="","",'Final Calculation Sheet'!$M$11)</f>
        <v/>
      </c>
      <c r="J16" s="544">
        <f>IF('Final Calculation Sheet'!$M$12="","",'Final Calculation Sheet'!$M$12)</f>
        <v/>
      </c>
      <c r="K16" s="545">
        <f>IF('Final Calculation Sheet'!$M$13="","",'Final Calculation Sheet'!$M$13)</f>
        <v/>
      </c>
      <c r="L16" s="544">
        <f>IF('Final Calculation Sheet'!$M$14="","",'Final Calculation Sheet'!$M$14)</f>
        <v/>
      </c>
      <c r="M16" s="545">
        <f>IF('Final Calculation Sheet'!$M$15="","",'Final Calculation Sheet'!$M$15)</f>
        <v/>
      </c>
      <c r="N16" s="544">
        <f>IF('Final Calculation Sheet'!$M$16="","",'Final Calculation Sheet'!$M$16)</f>
        <v/>
      </c>
      <c r="O16" s="545">
        <f>IF('Final Calculation Sheet'!$M$17="","",'Final Calculation Sheet'!$M$17)</f>
        <v/>
      </c>
      <c r="P16" s="544">
        <f>IF('Final Calculation Sheet'!$M$18="","",'Final Calculation Sheet'!$M$18)</f>
        <v/>
      </c>
      <c r="Q16" s="545">
        <f>IF('Final Calculation Sheet'!$M$19="","",'Final Calculation Sheet'!$M$19)</f>
        <v/>
      </c>
      <c r="R16" s="544">
        <f>IF('Final Calculation Sheet'!$M$20="","",'Final Calculation Sheet'!$M$20)</f>
        <v/>
      </c>
      <c r="S16" s="545">
        <f>IF('Final Calculation Sheet'!$M$21="","",'Final Calculation Sheet'!$M$21)</f>
        <v/>
      </c>
      <c r="T16" s="544">
        <f>IF('Final Calculation Sheet'!$M$22="","",'Final Calculation Sheet'!$M$22)</f>
        <v/>
      </c>
      <c r="U16" s="545">
        <f>IF('Final Calculation Sheet'!$M$23="","",'Final Calculation Sheet'!$M$23)</f>
        <v/>
      </c>
      <c r="V16" s="544">
        <f>IF('Final Calculation Sheet'!$M$24="","",'Final Calculation Sheet'!$M$24)</f>
        <v/>
      </c>
      <c r="W16" s="545">
        <f>IF('Final Calculation Sheet'!$M$25="","",'Final Calculation Sheet'!$M$25)</f>
        <v/>
      </c>
      <c r="X16" s="544">
        <f>IF('Final Calculation Sheet'!$M$26="","",'Final Calculation Sheet'!$M$26)</f>
        <v/>
      </c>
      <c r="Y16" s="545">
        <f>IF('Final Calculation Sheet'!$M$27="","",'Final Calculation Sheet'!$M$27)</f>
        <v/>
      </c>
      <c r="Z16" s="544">
        <f>IF('Final Calculation Sheet'!$M$28="","",'Final Calculation Sheet'!$M$28)</f>
        <v/>
      </c>
      <c r="AA16" s="545">
        <f>IF('Final Calculation Sheet'!$M$29="","",'Final Calculation Sheet'!$M$29)</f>
        <v/>
      </c>
      <c r="AB16" s="544">
        <f>IF('Final Calculation Sheet'!$M$30="","",'Final Calculation Sheet'!$M$30)</f>
        <v/>
      </c>
      <c r="AC16" s="545">
        <f>IF('Final Calculation Sheet'!$M$31="","",'Final Calculation Sheet'!$M$31)</f>
        <v/>
      </c>
      <c r="AD16" s="544">
        <f>IF('Final Calculation Sheet'!$M$32="","",'Final Calculation Sheet'!$M$32)</f>
        <v/>
      </c>
      <c r="AE16" s="545">
        <f>IF('Final Calculation Sheet'!$M$33="","",'Final Calculation Sheet'!$M$33)</f>
        <v/>
      </c>
      <c r="AF16" s="544">
        <f>IF('Final Calculation Sheet'!$M$34="","",'Final Calculation Sheet'!$M$34)</f>
        <v/>
      </c>
      <c r="AG16" s="545">
        <f>IF('Final Calculation Sheet'!$M$35="","",'Final Calculation Sheet'!$M$35)</f>
        <v/>
      </c>
      <c r="AH16" s="544">
        <f>IF('Final Calculation Sheet'!$M$36="","",'Final Calculation Sheet'!$M$36)</f>
        <v/>
      </c>
      <c r="AI16" s="545">
        <f>IF('Final Calculation Sheet'!$M$37="","",'Final Calculation Sheet'!$M$37)</f>
        <v/>
      </c>
      <c r="AJ16" s="544">
        <f>IF('Final Calculation Sheet'!$M$38="","",'Final Calculation Sheet'!$M$38)</f>
        <v/>
      </c>
      <c r="AK16" s="545">
        <f>IF('Final Calculation Sheet'!$M$39="","",'Final Calculation Sheet'!$M$39)</f>
        <v/>
      </c>
      <c r="AL16" s="544">
        <f>IF('Final Calculation Sheet'!$M$40="","",'Final Calculation Sheet'!$M$40)</f>
        <v/>
      </c>
      <c r="AM16" s="546">
        <f>IF('Final Calculation Sheet'!$M$41="","",'Final Calculation Sheet'!$M$41)</f>
        <v/>
      </c>
    </row>
    <row r="17" ht="15" customHeight="1">
      <c r="A17" s="543" t="inlineStr">
        <is>
          <t>TDS u/s 194(H)</t>
        </is>
      </c>
      <c r="B17" s="547">
        <f>IF('Final Calculation Sheet'!$N$4="","",'Final Calculation Sheet'!$N$4)</f>
        <v/>
      </c>
      <c r="C17" s="548">
        <f>IF('Final Calculation Sheet'!$N$5="","",'Final Calculation Sheet'!$N$5)</f>
        <v/>
      </c>
      <c r="D17" s="547">
        <f>IF('Final Calculation Sheet'!$N$6="","",'Final Calculation Sheet'!$N$6)</f>
        <v/>
      </c>
      <c r="E17" s="548">
        <f>IF('Final Calculation Sheet'!$N$7="","",'Final Calculation Sheet'!$N$7)</f>
        <v/>
      </c>
      <c r="F17" s="547">
        <f>IF('Final Calculation Sheet'!$N$8="","",'Final Calculation Sheet'!$N$8)</f>
        <v/>
      </c>
      <c r="G17" s="548">
        <f>IF('Final Calculation Sheet'!$N$9="","",'Final Calculation Sheet'!$N$9)</f>
        <v/>
      </c>
      <c r="H17" s="547">
        <f>IF('Final Calculation Sheet'!$N$10="","",'Final Calculation Sheet'!$N$10)</f>
        <v/>
      </c>
      <c r="I17" s="548">
        <f>IF('Final Calculation Sheet'!$N$11="","",'Final Calculation Sheet'!$N$11)</f>
        <v/>
      </c>
      <c r="J17" s="547">
        <f>IF('Final Calculation Sheet'!$N$12="","",'Final Calculation Sheet'!$N$12)</f>
        <v/>
      </c>
      <c r="K17" s="548">
        <f>IF('Final Calculation Sheet'!$N$13="","",'Final Calculation Sheet'!$N$13)</f>
        <v/>
      </c>
      <c r="L17" s="547">
        <f>IF('Final Calculation Sheet'!$N$14="","",'Final Calculation Sheet'!$N$14)</f>
        <v/>
      </c>
      <c r="M17" s="548">
        <f>IF('Final Calculation Sheet'!$N$15="","",'Final Calculation Sheet'!$N$15)</f>
        <v/>
      </c>
      <c r="N17" s="547">
        <f>IF('Final Calculation Sheet'!$N$16="","",'Final Calculation Sheet'!$N$16)</f>
        <v/>
      </c>
      <c r="O17" s="548">
        <f>IF('Final Calculation Sheet'!$N$17="","",'Final Calculation Sheet'!$N$17)</f>
        <v/>
      </c>
      <c r="P17" s="547">
        <f>IF('Final Calculation Sheet'!$N$18="","",'Final Calculation Sheet'!$N$18)</f>
        <v/>
      </c>
      <c r="Q17" s="548">
        <f>IF('Final Calculation Sheet'!$N$19="","",'Final Calculation Sheet'!$N$19)</f>
        <v/>
      </c>
      <c r="R17" s="547">
        <f>IF('Final Calculation Sheet'!$N$20="","",'Final Calculation Sheet'!$N$20)</f>
        <v/>
      </c>
      <c r="S17" s="548">
        <f>IF('Final Calculation Sheet'!$N$21="","",'Final Calculation Sheet'!$N$21)</f>
        <v/>
      </c>
      <c r="T17" s="547">
        <f>IF('Final Calculation Sheet'!$N$22="","",'Final Calculation Sheet'!$N$22)</f>
        <v/>
      </c>
      <c r="U17" s="548">
        <f>IF('Final Calculation Sheet'!$N$23="","",'Final Calculation Sheet'!$N$23)</f>
        <v/>
      </c>
      <c r="V17" s="547">
        <f>IF('Final Calculation Sheet'!$N$24="","",'Final Calculation Sheet'!$N$24)</f>
        <v/>
      </c>
      <c r="W17" s="548">
        <f>IF('Final Calculation Sheet'!$N$25="","",'Final Calculation Sheet'!$N$25)</f>
        <v/>
      </c>
      <c r="X17" s="547">
        <f>IF('Final Calculation Sheet'!$N$26="","",'Final Calculation Sheet'!$N$26)</f>
        <v/>
      </c>
      <c r="Y17" s="548">
        <f>IF('Final Calculation Sheet'!$N$27="","",'Final Calculation Sheet'!$N$27)</f>
        <v/>
      </c>
      <c r="Z17" s="547">
        <f>IF('Final Calculation Sheet'!$N$28="","",'Final Calculation Sheet'!$N$28)</f>
        <v/>
      </c>
      <c r="AA17" s="548">
        <f>IF('Final Calculation Sheet'!$N$29="","",'Final Calculation Sheet'!$N$29)</f>
        <v/>
      </c>
      <c r="AB17" s="547">
        <f>IF('Final Calculation Sheet'!$N$30="","",'Final Calculation Sheet'!$N$30)</f>
        <v/>
      </c>
      <c r="AC17" s="548">
        <f>IF('Final Calculation Sheet'!$N$31="","",'Final Calculation Sheet'!$N$31)</f>
        <v/>
      </c>
      <c r="AD17" s="547">
        <f>IF('Final Calculation Sheet'!$N$32="","",'Final Calculation Sheet'!$N$32)</f>
        <v/>
      </c>
      <c r="AE17" s="548">
        <f>IF('Final Calculation Sheet'!$N$33="","",'Final Calculation Sheet'!$N$33)</f>
        <v/>
      </c>
      <c r="AF17" s="547">
        <f>IF('Final Calculation Sheet'!$N$34="","",'Final Calculation Sheet'!$N$34)</f>
        <v/>
      </c>
      <c r="AG17" s="548">
        <f>IF('Final Calculation Sheet'!$N$35="","",'Final Calculation Sheet'!$N$35)</f>
        <v/>
      </c>
      <c r="AH17" s="547">
        <f>IF('Final Calculation Sheet'!$N$36="","",'Final Calculation Sheet'!$N$36)</f>
        <v/>
      </c>
      <c r="AI17" s="548">
        <f>IF('Final Calculation Sheet'!$N$37="","",'Final Calculation Sheet'!$N$37)</f>
        <v/>
      </c>
      <c r="AJ17" s="547">
        <f>IF('Final Calculation Sheet'!$N$38="","",'Final Calculation Sheet'!$N$38)</f>
        <v/>
      </c>
      <c r="AK17" s="548">
        <f>IF('Final Calculation Sheet'!$N$39="","",'Final Calculation Sheet'!$N$39)</f>
        <v/>
      </c>
      <c r="AL17" s="547">
        <f>IF('Final Calculation Sheet'!$N$40="","",'Final Calculation Sheet'!$N$40)</f>
        <v/>
      </c>
      <c r="AM17" s="414">
        <f>IF('Final Calculation Sheet'!$N$41="","",'Final Calculation Sheet'!$N$41)</f>
        <v/>
      </c>
    </row>
    <row r="18" ht="15" customHeight="1">
      <c r="A18" s="540" t="inlineStr">
        <is>
          <t>Net Service Charge (post TDS 194H)</t>
        </is>
      </c>
      <c r="B18" s="544">
        <f>IF('Final Calculation Sheet'!$O$4="","",'Final Calculation Sheet'!$O$4)</f>
        <v/>
      </c>
      <c r="C18" s="545">
        <f>IF('Final Calculation Sheet'!$O$5="","",'Final Calculation Sheet'!$O$5)</f>
        <v/>
      </c>
      <c r="D18" s="544">
        <f>IF('Final Calculation Sheet'!$O$6="","",'Final Calculation Sheet'!$O$6)</f>
        <v/>
      </c>
      <c r="E18" s="545">
        <f>IF('Final Calculation Sheet'!$O$7="","",'Final Calculation Sheet'!$O$7)</f>
        <v/>
      </c>
      <c r="F18" s="544">
        <f>IF('Final Calculation Sheet'!$O$8="","",'Final Calculation Sheet'!$O$8)</f>
        <v/>
      </c>
      <c r="G18" s="545">
        <f>IF('Final Calculation Sheet'!$O$9="","",'Final Calculation Sheet'!$O$9)</f>
        <v/>
      </c>
      <c r="H18" s="544">
        <f>IF('Final Calculation Sheet'!$O$10="","",'Final Calculation Sheet'!$O$10)</f>
        <v/>
      </c>
      <c r="I18" s="545">
        <f>IF('Final Calculation Sheet'!$O$11="","",'Final Calculation Sheet'!$O$11)</f>
        <v/>
      </c>
      <c r="J18" s="544">
        <f>IF('Final Calculation Sheet'!$O$12="","",'Final Calculation Sheet'!$O$12)</f>
        <v/>
      </c>
      <c r="K18" s="545">
        <f>IF('Final Calculation Sheet'!$O$13="","",'Final Calculation Sheet'!$O$13)</f>
        <v/>
      </c>
      <c r="L18" s="544">
        <f>IF('Final Calculation Sheet'!$O$14="","",'Final Calculation Sheet'!$O$14)</f>
        <v/>
      </c>
      <c r="M18" s="545">
        <f>IF('Final Calculation Sheet'!$O$15="","",'Final Calculation Sheet'!$O$15)</f>
        <v/>
      </c>
      <c r="N18" s="544">
        <f>IF('Final Calculation Sheet'!$O$16="","",'Final Calculation Sheet'!$O$16)</f>
        <v/>
      </c>
      <c r="O18" s="545">
        <f>IF('Final Calculation Sheet'!$O$17="","",'Final Calculation Sheet'!$O$17)</f>
        <v/>
      </c>
      <c r="P18" s="544">
        <f>IF('Final Calculation Sheet'!$O$18="","",'Final Calculation Sheet'!$O$18)</f>
        <v/>
      </c>
      <c r="Q18" s="545">
        <f>IF('Final Calculation Sheet'!$O$19="","",'Final Calculation Sheet'!$O$19)</f>
        <v/>
      </c>
      <c r="R18" s="544">
        <f>IF('Final Calculation Sheet'!$O$20="","",'Final Calculation Sheet'!$O$20)</f>
        <v/>
      </c>
      <c r="S18" s="545">
        <f>IF('Final Calculation Sheet'!$O$21="","",'Final Calculation Sheet'!$O$21)</f>
        <v/>
      </c>
      <c r="T18" s="544">
        <f>IF('Final Calculation Sheet'!$O$22="","",'Final Calculation Sheet'!$O$22)</f>
        <v/>
      </c>
      <c r="U18" s="545">
        <f>IF('Final Calculation Sheet'!$O$23="","",'Final Calculation Sheet'!$O$23)</f>
        <v/>
      </c>
      <c r="V18" s="544">
        <f>IF('Final Calculation Sheet'!$O$24="","",'Final Calculation Sheet'!$O$24)</f>
        <v/>
      </c>
      <c r="W18" s="545">
        <f>IF('Final Calculation Sheet'!$O$25="","",'Final Calculation Sheet'!$O$25)</f>
        <v/>
      </c>
      <c r="X18" s="544">
        <f>IF('Final Calculation Sheet'!$O$26="","",'Final Calculation Sheet'!$O$26)</f>
        <v/>
      </c>
      <c r="Y18" s="545">
        <f>IF('Final Calculation Sheet'!$O$27="","",'Final Calculation Sheet'!$O$27)</f>
        <v/>
      </c>
      <c r="Z18" s="544">
        <f>IF('Final Calculation Sheet'!$O$28="","",'Final Calculation Sheet'!$O$28)</f>
        <v/>
      </c>
      <c r="AA18" s="545">
        <f>IF('Final Calculation Sheet'!$O$29="","",'Final Calculation Sheet'!$O$29)</f>
        <v/>
      </c>
      <c r="AB18" s="544">
        <f>IF('Final Calculation Sheet'!$O$30="","",'Final Calculation Sheet'!$O$30)</f>
        <v/>
      </c>
      <c r="AC18" s="545">
        <f>IF('Final Calculation Sheet'!$O$31="","",'Final Calculation Sheet'!$O$31)</f>
        <v/>
      </c>
      <c r="AD18" s="544">
        <f>IF('Final Calculation Sheet'!$O$32="","",'Final Calculation Sheet'!$O$32)</f>
        <v/>
      </c>
      <c r="AE18" s="545">
        <f>IF('Final Calculation Sheet'!$O$33="","",'Final Calculation Sheet'!$O$33)</f>
        <v/>
      </c>
      <c r="AF18" s="544">
        <f>IF('Final Calculation Sheet'!$O$34="","",'Final Calculation Sheet'!$O$34)</f>
        <v/>
      </c>
      <c r="AG18" s="545">
        <f>IF('Final Calculation Sheet'!$O$35="","",'Final Calculation Sheet'!$O$35)</f>
        <v/>
      </c>
      <c r="AH18" s="544">
        <f>IF('Final Calculation Sheet'!$O$36="","",'Final Calculation Sheet'!$O$36)</f>
        <v/>
      </c>
      <c r="AI18" s="545">
        <f>IF('Final Calculation Sheet'!$O$37="","",'Final Calculation Sheet'!$O$37)</f>
        <v/>
      </c>
      <c r="AJ18" s="544">
        <f>IF('Final Calculation Sheet'!$O$38="","",'Final Calculation Sheet'!$O$38)</f>
        <v/>
      </c>
      <c r="AK18" s="545">
        <f>IF('Final Calculation Sheet'!$O$39="","",'Final Calculation Sheet'!$O$39)</f>
        <v/>
      </c>
      <c r="AL18" s="544">
        <f>IF('Final Calculation Sheet'!$O$40="","",'Final Calculation Sheet'!$O$40)</f>
        <v/>
      </c>
      <c r="AM18" s="546">
        <f>IF('Final Calculation Sheet'!$O$41="","",'Final Calculation Sheet'!$O$41)</f>
        <v/>
      </c>
    </row>
    <row r="19" ht="15" customHeight="1">
      <c r="A19" s="543" t="inlineStr">
        <is>
          <t>Service charge to MSTC</t>
        </is>
      </c>
      <c r="B19" s="544">
        <f>IF('Final Calculation Sheet'!$P$4="","",'Final Calculation Sheet'!$P$4)</f>
        <v/>
      </c>
      <c r="C19" s="545">
        <f>IF('Final Calculation Sheet'!$P$5="","",'Final Calculation Sheet'!$P$5)</f>
        <v/>
      </c>
      <c r="D19" s="544">
        <f>IF('Final Calculation Sheet'!$P$6="","",'Final Calculation Sheet'!$P$6)</f>
        <v/>
      </c>
      <c r="E19" s="545">
        <f>IF('Final Calculation Sheet'!$P$7="","",'Final Calculation Sheet'!$P$7)</f>
        <v/>
      </c>
      <c r="F19" s="544">
        <f>IF('Final Calculation Sheet'!$P$8="","",'Final Calculation Sheet'!$P$8)</f>
        <v/>
      </c>
      <c r="G19" s="545">
        <f>IF('Final Calculation Sheet'!$P$9="","",'Final Calculation Sheet'!$P$9)</f>
        <v/>
      </c>
      <c r="H19" s="544">
        <f>IF('Final Calculation Sheet'!$P$10="","",'Final Calculation Sheet'!$P$10)</f>
        <v/>
      </c>
      <c r="I19" s="545">
        <f>IF('Final Calculation Sheet'!$P$11="","",'Final Calculation Sheet'!$P$11)</f>
        <v/>
      </c>
      <c r="J19" s="544">
        <f>IF('Final Calculation Sheet'!$P$12="","",'Final Calculation Sheet'!$P$12)</f>
        <v/>
      </c>
      <c r="K19" s="545">
        <f>IF('Final Calculation Sheet'!$P$13="","",'Final Calculation Sheet'!$P$13)</f>
        <v/>
      </c>
      <c r="L19" s="544">
        <f>IF('Final Calculation Sheet'!$P$14="","",'Final Calculation Sheet'!$P$14)</f>
        <v/>
      </c>
      <c r="M19" s="545">
        <f>IF('Final Calculation Sheet'!$P$15="","",'Final Calculation Sheet'!$P$15)</f>
        <v/>
      </c>
      <c r="N19" s="544">
        <f>IF('Final Calculation Sheet'!$P$16="","",'Final Calculation Sheet'!$P$16)</f>
        <v/>
      </c>
      <c r="O19" s="545">
        <f>IF('Final Calculation Sheet'!$P$17="","",'Final Calculation Sheet'!$P$17)</f>
        <v/>
      </c>
      <c r="P19" s="544">
        <f>IF('Final Calculation Sheet'!$P$18="","",'Final Calculation Sheet'!$P$18)</f>
        <v/>
      </c>
      <c r="Q19" s="545">
        <f>IF('Final Calculation Sheet'!$P$19="","",'Final Calculation Sheet'!$P$19)</f>
        <v/>
      </c>
      <c r="R19" s="544">
        <f>IF('Final Calculation Sheet'!$P$20="","",'Final Calculation Sheet'!$P$20)</f>
        <v/>
      </c>
      <c r="S19" s="545">
        <f>IF('Final Calculation Sheet'!$P$21="","",'Final Calculation Sheet'!$P$21)</f>
        <v/>
      </c>
      <c r="T19" s="544">
        <f>IF('Final Calculation Sheet'!$P$22="","",'Final Calculation Sheet'!$P$22)</f>
        <v/>
      </c>
      <c r="U19" s="545">
        <f>IF('Final Calculation Sheet'!$P$23="","",'Final Calculation Sheet'!$P$23)</f>
        <v/>
      </c>
      <c r="V19" s="544">
        <f>IF('Final Calculation Sheet'!$P$24="","",'Final Calculation Sheet'!$P$24)</f>
        <v/>
      </c>
      <c r="W19" s="545">
        <f>IF('Final Calculation Sheet'!$P$25="","",'Final Calculation Sheet'!$P$25)</f>
        <v/>
      </c>
      <c r="X19" s="544">
        <f>IF('Final Calculation Sheet'!$P$26="","",'Final Calculation Sheet'!$P$26)</f>
        <v/>
      </c>
      <c r="Y19" s="545">
        <f>IF('Final Calculation Sheet'!$P$27="","",'Final Calculation Sheet'!$P$27)</f>
        <v/>
      </c>
      <c r="Z19" s="544">
        <f>IF('Final Calculation Sheet'!$P$28="","",'Final Calculation Sheet'!$P$28)</f>
        <v/>
      </c>
      <c r="AA19" s="545">
        <f>IF('Final Calculation Sheet'!$P$29="","",'Final Calculation Sheet'!$P$29)</f>
        <v/>
      </c>
      <c r="AB19" s="544">
        <f>IF('Final Calculation Sheet'!$P$30="","",'Final Calculation Sheet'!$P$30)</f>
        <v/>
      </c>
      <c r="AC19" s="545">
        <f>IF('Final Calculation Sheet'!$P$31="","",'Final Calculation Sheet'!$P$31)</f>
        <v/>
      </c>
      <c r="AD19" s="544">
        <f>IF('Final Calculation Sheet'!$P$32="","",'Final Calculation Sheet'!$P$32)</f>
        <v/>
      </c>
      <c r="AE19" s="545">
        <f>IF('Final Calculation Sheet'!$P$33="","",'Final Calculation Sheet'!$P$33)</f>
        <v/>
      </c>
      <c r="AF19" s="544">
        <f>IF('Final Calculation Sheet'!$P$34="","",'Final Calculation Sheet'!$P$34)</f>
        <v/>
      </c>
      <c r="AG19" s="545">
        <f>IF('Final Calculation Sheet'!$P$35="","",'Final Calculation Sheet'!$P$35)</f>
        <v/>
      </c>
      <c r="AH19" s="544">
        <f>IF('Final Calculation Sheet'!$P$36="","",'Final Calculation Sheet'!$P$36)</f>
        <v/>
      </c>
      <c r="AI19" s="545">
        <f>IF('Final Calculation Sheet'!$P$37="","",'Final Calculation Sheet'!$P$37)</f>
        <v/>
      </c>
      <c r="AJ19" s="544">
        <f>IF('Final Calculation Sheet'!$P$38="","",'Final Calculation Sheet'!$P$38)</f>
        <v/>
      </c>
      <c r="AK19" s="545">
        <f>IF('Final Calculation Sheet'!$P$39="","",'Final Calculation Sheet'!$P$39)</f>
        <v/>
      </c>
      <c r="AL19" s="544">
        <f>IF('Final Calculation Sheet'!$P$40="","",'Final Calculation Sheet'!$P$40)</f>
        <v/>
      </c>
      <c r="AM19" s="546">
        <f>IF('Final Calculation Sheet'!$P$41="","",'Final Calculation Sheet'!$P$41)</f>
        <v/>
      </c>
    </row>
    <row r="20" ht="15" customHeight="1">
      <c r="A20" s="540" t="inlineStr">
        <is>
          <t>GST TDS Rate</t>
        </is>
      </c>
      <c r="B20" s="549">
        <f>IF('Final Calculation Sheet'!$Q$4="","",'Final Calculation Sheet'!$Q$4)</f>
        <v/>
      </c>
      <c r="C20" s="550">
        <f>IF('Final Calculation Sheet'!$Q$5="","",'Final Calculation Sheet'!$Q$5)</f>
        <v/>
      </c>
      <c r="D20" s="549">
        <f>IF('Final Calculation Sheet'!$Q$6="","",'Final Calculation Sheet'!$Q$6)</f>
        <v/>
      </c>
      <c r="E20" s="550">
        <f>IF('Final Calculation Sheet'!$Q$7="","",'Final Calculation Sheet'!$Q$7)</f>
        <v/>
      </c>
      <c r="F20" s="549">
        <f>IF('Final Calculation Sheet'!$Q$8="","",'Final Calculation Sheet'!$Q$8)</f>
        <v/>
      </c>
      <c r="G20" s="550">
        <f>IF('Final Calculation Sheet'!$Q$9="","",'Final Calculation Sheet'!$Q$9)</f>
        <v/>
      </c>
      <c r="H20" s="549">
        <f>IF('Final Calculation Sheet'!$Q$10="","",'Final Calculation Sheet'!$Q$10)</f>
        <v/>
      </c>
      <c r="I20" s="550">
        <f>IF('Final Calculation Sheet'!$Q$11="","",'Final Calculation Sheet'!$Q$11)</f>
        <v/>
      </c>
      <c r="J20" s="549">
        <f>IF('Final Calculation Sheet'!$Q$12="","",'Final Calculation Sheet'!$Q$12)</f>
        <v/>
      </c>
      <c r="K20" s="550">
        <f>IF('Final Calculation Sheet'!$Q$13="","",'Final Calculation Sheet'!$Q$13)</f>
        <v/>
      </c>
      <c r="L20" s="549">
        <f>IF('Final Calculation Sheet'!$Q$14="","",'Final Calculation Sheet'!$Q$14)</f>
        <v/>
      </c>
      <c r="M20" s="550">
        <f>IF('Final Calculation Sheet'!$Q$15="","",'Final Calculation Sheet'!$Q$15)</f>
        <v/>
      </c>
      <c r="N20" s="549">
        <f>IF('Final Calculation Sheet'!$Q$16="","",'Final Calculation Sheet'!$Q$16)</f>
        <v/>
      </c>
      <c r="O20" s="550">
        <f>IF('Final Calculation Sheet'!$Q$17="","",'Final Calculation Sheet'!$Q$17)</f>
        <v/>
      </c>
      <c r="P20" s="549">
        <f>IF('Final Calculation Sheet'!$Q$18="","",'Final Calculation Sheet'!$Q$18)</f>
        <v/>
      </c>
      <c r="Q20" s="550">
        <f>IF('Final Calculation Sheet'!$Q$19="","",'Final Calculation Sheet'!$Q$19)</f>
        <v/>
      </c>
      <c r="R20" s="549">
        <f>IF('Final Calculation Sheet'!$Q$20="","",'Final Calculation Sheet'!$Q$20)</f>
        <v/>
      </c>
      <c r="S20" s="550">
        <f>IF('Final Calculation Sheet'!$Q$21="","",'Final Calculation Sheet'!$Q$21)</f>
        <v/>
      </c>
      <c r="T20" s="549">
        <f>IF('Final Calculation Sheet'!$Q$22="","",'Final Calculation Sheet'!$Q$22)</f>
        <v/>
      </c>
      <c r="U20" s="550">
        <f>IF('Final Calculation Sheet'!$Q$23="","",'Final Calculation Sheet'!$Q$23)</f>
        <v/>
      </c>
      <c r="V20" s="549">
        <f>IF('Final Calculation Sheet'!$Q$24="","",'Final Calculation Sheet'!$Q$24)</f>
        <v/>
      </c>
      <c r="W20" s="550">
        <f>IF('Final Calculation Sheet'!$Q$25="","",'Final Calculation Sheet'!$Q$25)</f>
        <v/>
      </c>
      <c r="X20" s="549">
        <f>IF('Final Calculation Sheet'!$Q$26="","",'Final Calculation Sheet'!$Q$26)</f>
        <v/>
      </c>
      <c r="Y20" s="550">
        <f>IF('Final Calculation Sheet'!$Q$27="","",'Final Calculation Sheet'!$Q$27)</f>
        <v/>
      </c>
      <c r="Z20" s="549">
        <f>IF('Final Calculation Sheet'!$Q$28="","",'Final Calculation Sheet'!$Q$28)</f>
        <v/>
      </c>
      <c r="AA20" s="550">
        <f>IF('Final Calculation Sheet'!$Q$29="","",'Final Calculation Sheet'!$Q$29)</f>
        <v/>
      </c>
      <c r="AB20" s="549">
        <f>IF('Final Calculation Sheet'!$Q$30="","",'Final Calculation Sheet'!$Q$30)</f>
        <v/>
      </c>
      <c r="AC20" s="550">
        <f>IF('Final Calculation Sheet'!$Q$31="","",'Final Calculation Sheet'!$Q$31)</f>
        <v/>
      </c>
      <c r="AD20" s="549">
        <f>IF('Final Calculation Sheet'!$Q$32="","",'Final Calculation Sheet'!$Q$32)</f>
        <v/>
      </c>
      <c r="AE20" s="550">
        <f>IF('Final Calculation Sheet'!$Q$33="","",'Final Calculation Sheet'!$Q$33)</f>
        <v/>
      </c>
      <c r="AF20" s="549">
        <f>IF('Final Calculation Sheet'!$Q$34="","",'Final Calculation Sheet'!$Q$34)</f>
        <v/>
      </c>
      <c r="AG20" s="550">
        <f>IF('Final Calculation Sheet'!$Q$35="","",'Final Calculation Sheet'!$Q$35)</f>
        <v/>
      </c>
      <c r="AH20" s="549">
        <f>IF('Final Calculation Sheet'!$Q$36="","",'Final Calculation Sheet'!$Q$36)</f>
        <v/>
      </c>
      <c r="AI20" s="550">
        <f>IF('Final Calculation Sheet'!$Q$37="","",'Final Calculation Sheet'!$Q$37)</f>
        <v/>
      </c>
      <c r="AJ20" s="549">
        <f>IF('Final Calculation Sheet'!$Q$38="","",'Final Calculation Sheet'!$Q$38)</f>
        <v/>
      </c>
      <c r="AK20" s="550">
        <f>IF('Final Calculation Sheet'!$Q$39="","",'Final Calculation Sheet'!$Q$39)</f>
        <v/>
      </c>
      <c r="AL20" s="549">
        <f>IF('Final Calculation Sheet'!$Q$40="","",'Final Calculation Sheet'!$Q$40)</f>
        <v/>
      </c>
      <c r="AM20" s="551">
        <f>IF('Final Calculation Sheet'!$Q$41="","",'Final Calculation Sheet'!$Q$41)</f>
        <v/>
      </c>
    </row>
    <row r="21" ht="15" customHeight="1">
      <c r="A21" s="543" t="inlineStr">
        <is>
          <t>GST TDS</t>
        </is>
      </c>
      <c r="B21" s="544">
        <f>IF('Final Calculation Sheet'!$R$4="","",'Final Calculation Sheet'!$R$4)</f>
        <v/>
      </c>
      <c r="C21" s="545">
        <f>IF('Final Calculation Sheet'!$R$5="","",'Final Calculation Sheet'!$R$5)</f>
        <v/>
      </c>
      <c r="D21" s="544">
        <f>IF('Final Calculation Sheet'!$R$6="","",'Final Calculation Sheet'!$R$6)</f>
        <v/>
      </c>
      <c r="E21" s="545">
        <f>IF('Final Calculation Sheet'!$R$7="","",'Final Calculation Sheet'!$R$7)</f>
        <v/>
      </c>
      <c r="F21" s="544">
        <f>IF('Final Calculation Sheet'!$R$8="","",'Final Calculation Sheet'!$R$8)</f>
        <v/>
      </c>
      <c r="G21" s="545">
        <f>IF('Final Calculation Sheet'!$R$9="","",'Final Calculation Sheet'!$R$9)</f>
        <v/>
      </c>
      <c r="H21" s="544">
        <f>IF('Final Calculation Sheet'!$R$10="","",'Final Calculation Sheet'!$R$10)</f>
        <v/>
      </c>
      <c r="I21" s="545">
        <f>IF('Final Calculation Sheet'!$R$11="","",'Final Calculation Sheet'!$R$11)</f>
        <v/>
      </c>
      <c r="J21" s="544">
        <f>IF('Final Calculation Sheet'!$R$12="","",'Final Calculation Sheet'!$R$12)</f>
        <v/>
      </c>
      <c r="K21" s="545">
        <f>IF('Final Calculation Sheet'!$R$13="","",'Final Calculation Sheet'!$R$13)</f>
        <v/>
      </c>
      <c r="L21" s="544">
        <f>IF('Final Calculation Sheet'!$R$14="","",'Final Calculation Sheet'!$R$14)</f>
        <v/>
      </c>
      <c r="M21" s="545">
        <f>IF('Final Calculation Sheet'!$R$15="","",'Final Calculation Sheet'!$R$15)</f>
        <v/>
      </c>
      <c r="N21" s="544">
        <f>IF('Final Calculation Sheet'!$R$16="","",'Final Calculation Sheet'!$R$16)</f>
        <v/>
      </c>
      <c r="O21" s="545">
        <f>IF('Final Calculation Sheet'!$R$17="","",'Final Calculation Sheet'!$R$17)</f>
        <v/>
      </c>
      <c r="P21" s="544">
        <f>IF('Final Calculation Sheet'!$R$18="","",'Final Calculation Sheet'!$R$18)</f>
        <v/>
      </c>
      <c r="Q21" s="545">
        <f>IF('Final Calculation Sheet'!$R$19="","",'Final Calculation Sheet'!$R$19)</f>
        <v/>
      </c>
      <c r="R21" s="544">
        <f>IF('Final Calculation Sheet'!$R$20="","",'Final Calculation Sheet'!$R$20)</f>
        <v/>
      </c>
      <c r="S21" s="545">
        <f>IF('Final Calculation Sheet'!$R$21="","",'Final Calculation Sheet'!$R$21)</f>
        <v/>
      </c>
      <c r="T21" s="544">
        <f>IF('Final Calculation Sheet'!$R$22="","",'Final Calculation Sheet'!$R$22)</f>
        <v/>
      </c>
      <c r="U21" s="545">
        <f>IF('Final Calculation Sheet'!$R$23="","",'Final Calculation Sheet'!$R$23)</f>
        <v/>
      </c>
      <c r="V21" s="544">
        <f>IF('Final Calculation Sheet'!$R$24="","",'Final Calculation Sheet'!$R$24)</f>
        <v/>
      </c>
      <c r="W21" s="545">
        <f>IF('Final Calculation Sheet'!$R$25="","",'Final Calculation Sheet'!$R$25)</f>
        <v/>
      </c>
      <c r="X21" s="544">
        <f>IF('Final Calculation Sheet'!$R$26="","",'Final Calculation Sheet'!$R$26)</f>
        <v/>
      </c>
      <c r="Y21" s="545">
        <f>IF('Final Calculation Sheet'!$R$27="","",'Final Calculation Sheet'!$R$27)</f>
        <v/>
      </c>
      <c r="Z21" s="544">
        <f>IF('Final Calculation Sheet'!$R$28="","",'Final Calculation Sheet'!$R$28)</f>
        <v/>
      </c>
      <c r="AA21" s="545">
        <f>IF('Final Calculation Sheet'!$R$29="","",'Final Calculation Sheet'!$R$29)</f>
        <v/>
      </c>
      <c r="AB21" s="544">
        <f>IF('Final Calculation Sheet'!$R$30="","",'Final Calculation Sheet'!$R$30)</f>
        <v/>
      </c>
      <c r="AC21" s="545">
        <f>IF('Final Calculation Sheet'!$R$31="","",'Final Calculation Sheet'!$R$31)</f>
        <v/>
      </c>
      <c r="AD21" s="544">
        <f>IF('Final Calculation Sheet'!$R$32="","",'Final Calculation Sheet'!$R$32)</f>
        <v/>
      </c>
      <c r="AE21" s="545">
        <f>IF('Final Calculation Sheet'!$R$33="","",'Final Calculation Sheet'!$R$33)</f>
        <v/>
      </c>
      <c r="AF21" s="544">
        <f>IF('Final Calculation Sheet'!$R$34="","",'Final Calculation Sheet'!$R$34)</f>
        <v/>
      </c>
      <c r="AG21" s="545">
        <f>IF('Final Calculation Sheet'!$R$35="","",'Final Calculation Sheet'!$R$35)</f>
        <v/>
      </c>
      <c r="AH21" s="544">
        <f>IF('Final Calculation Sheet'!$R$36="","",'Final Calculation Sheet'!$R$36)</f>
        <v/>
      </c>
      <c r="AI21" s="545">
        <f>IF('Final Calculation Sheet'!$R$37="","",'Final Calculation Sheet'!$R$37)</f>
        <v/>
      </c>
      <c r="AJ21" s="544">
        <f>IF('Final Calculation Sheet'!$R$38="","",'Final Calculation Sheet'!$R$38)</f>
        <v/>
      </c>
      <c r="AK21" s="545">
        <f>IF('Final Calculation Sheet'!$R$39="","",'Final Calculation Sheet'!$R$39)</f>
        <v/>
      </c>
      <c r="AL21" s="544">
        <f>IF('Final Calculation Sheet'!$R$40="","",'Final Calculation Sheet'!$R$40)</f>
        <v/>
      </c>
      <c r="AM21" s="546">
        <f>IF('Final Calculation Sheet'!$R$41="","",'Final Calculation Sheet'!$R$41)</f>
        <v/>
      </c>
    </row>
    <row r="22" ht="15" customHeight="1">
      <c r="A22" s="540" t="inlineStr">
        <is>
          <t>Total Receivables in Cash</t>
        </is>
      </c>
      <c r="B22" s="544">
        <f>IF('Final Calculation Sheet'!$S$4="","",'Final Calculation Sheet'!$S$4)</f>
        <v/>
      </c>
      <c r="C22" s="545">
        <f>IF('Final Calculation Sheet'!$S$5="","",'Final Calculation Sheet'!$S$5)</f>
        <v/>
      </c>
      <c r="D22" s="544">
        <f>IF('Final Calculation Sheet'!$S$6="","",'Final Calculation Sheet'!$S$6)</f>
        <v/>
      </c>
      <c r="E22" s="545">
        <f>IF('Final Calculation Sheet'!$S$7="","",'Final Calculation Sheet'!$S$7)</f>
        <v/>
      </c>
      <c r="F22" s="544">
        <f>IF('Final Calculation Sheet'!$S$8="","",'Final Calculation Sheet'!$S$8)</f>
        <v/>
      </c>
      <c r="G22" s="545">
        <f>IF('Final Calculation Sheet'!$S$9="","",'Final Calculation Sheet'!$S$9)</f>
        <v/>
      </c>
      <c r="H22" s="544">
        <f>IF('Final Calculation Sheet'!$S$10="","",'Final Calculation Sheet'!$S$10)</f>
        <v/>
      </c>
      <c r="I22" s="545">
        <f>IF('Final Calculation Sheet'!$S$11="","",'Final Calculation Sheet'!$S$11)</f>
        <v/>
      </c>
      <c r="J22" s="544">
        <f>IF('Final Calculation Sheet'!$S$12="","",'Final Calculation Sheet'!$S$12)</f>
        <v/>
      </c>
      <c r="K22" s="545">
        <f>IF('Final Calculation Sheet'!$S$13="","",'Final Calculation Sheet'!$S$13)</f>
        <v/>
      </c>
      <c r="L22" s="544">
        <f>IF('Final Calculation Sheet'!$S$14="","",'Final Calculation Sheet'!$S$14)</f>
        <v/>
      </c>
      <c r="M22" s="545">
        <f>IF('Final Calculation Sheet'!$S$15="","",'Final Calculation Sheet'!$S$15)</f>
        <v/>
      </c>
      <c r="N22" s="544">
        <f>IF('Final Calculation Sheet'!$S$16="","",'Final Calculation Sheet'!$S$16)</f>
        <v/>
      </c>
      <c r="O22" s="545">
        <f>IF('Final Calculation Sheet'!$S$17="","",'Final Calculation Sheet'!$S$17)</f>
        <v/>
      </c>
      <c r="P22" s="544">
        <f>IF('Final Calculation Sheet'!$S$18="","",'Final Calculation Sheet'!$S$18)</f>
        <v/>
      </c>
      <c r="Q22" s="545">
        <f>IF('Final Calculation Sheet'!$S$19="","",'Final Calculation Sheet'!$S$19)</f>
        <v/>
      </c>
      <c r="R22" s="544">
        <f>IF('Final Calculation Sheet'!$S$20="","",'Final Calculation Sheet'!$S$20)</f>
        <v/>
      </c>
      <c r="S22" s="545">
        <f>IF('Final Calculation Sheet'!$S$21="","",'Final Calculation Sheet'!$S$21)</f>
        <v/>
      </c>
      <c r="T22" s="544">
        <f>IF('Final Calculation Sheet'!$S$22="","",'Final Calculation Sheet'!$S$22)</f>
        <v/>
      </c>
      <c r="U22" s="545">
        <f>IF('Final Calculation Sheet'!$S$23="","",'Final Calculation Sheet'!$S$23)</f>
        <v/>
      </c>
      <c r="V22" s="544">
        <f>IF('Final Calculation Sheet'!$S$24="","",'Final Calculation Sheet'!$S$24)</f>
        <v/>
      </c>
      <c r="W22" s="545">
        <f>IF('Final Calculation Sheet'!$S$25="","",'Final Calculation Sheet'!$S$25)</f>
        <v/>
      </c>
      <c r="X22" s="544">
        <f>IF('Final Calculation Sheet'!$S$26="","",'Final Calculation Sheet'!$S$26)</f>
        <v/>
      </c>
      <c r="Y22" s="545">
        <f>IF('Final Calculation Sheet'!$S$27="","",'Final Calculation Sheet'!$S$27)</f>
        <v/>
      </c>
      <c r="Z22" s="544">
        <f>IF('Final Calculation Sheet'!$S$28="","",'Final Calculation Sheet'!$S$28)</f>
        <v/>
      </c>
      <c r="AA22" s="545">
        <f>IF('Final Calculation Sheet'!$S$29="","",'Final Calculation Sheet'!$S$29)</f>
        <v/>
      </c>
      <c r="AB22" s="544">
        <f>IF('Final Calculation Sheet'!$S$30="","",'Final Calculation Sheet'!$S$30)</f>
        <v/>
      </c>
      <c r="AC22" s="545">
        <f>IF('Final Calculation Sheet'!$S$31="","",'Final Calculation Sheet'!$S$31)</f>
        <v/>
      </c>
      <c r="AD22" s="544">
        <f>IF('Final Calculation Sheet'!$S$32="","",'Final Calculation Sheet'!$S$32)</f>
        <v/>
      </c>
      <c r="AE22" s="545">
        <f>IF('Final Calculation Sheet'!$S$33="","",'Final Calculation Sheet'!$S$33)</f>
        <v/>
      </c>
      <c r="AF22" s="544">
        <f>IF('Final Calculation Sheet'!$S$34="","",'Final Calculation Sheet'!$S$34)</f>
        <v/>
      </c>
      <c r="AG22" s="545">
        <f>IF('Final Calculation Sheet'!$S$35="","",'Final Calculation Sheet'!$S$35)</f>
        <v/>
      </c>
      <c r="AH22" s="544">
        <f>IF('Final Calculation Sheet'!$S$36="","",'Final Calculation Sheet'!$S$36)</f>
        <v/>
      </c>
      <c r="AI22" s="545">
        <f>IF('Final Calculation Sheet'!$S$37="","",'Final Calculation Sheet'!$S$37)</f>
        <v/>
      </c>
      <c r="AJ22" s="544">
        <f>IF('Final Calculation Sheet'!$S$38="","",'Final Calculation Sheet'!$S$38)</f>
        <v/>
      </c>
      <c r="AK22" s="545">
        <f>IF('Final Calculation Sheet'!$S$39="","",'Final Calculation Sheet'!$S$39)</f>
        <v/>
      </c>
      <c r="AL22" s="544">
        <f>IF('Final Calculation Sheet'!$S$40="","",'Final Calculation Sheet'!$S$40)</f>
        <v/>
      </c>
      <c r="AM22" s="546">
        <f>IF('Final Calculation Sheet'!$S$41="","",'Final Calculation Sheet'!$S$41)</f>
        <v/>
      </c>
    </row>
    <row r="23" ht="15" customHeight="1">
      <c r="A23" s="543" t="inlineStr">
        <is>
          <t>Security Deposit (Expected)</t>
        </is>
      </c>
      <c r="B23" s="544">
        <f>IF('Final Calculation Sheet'!$T$4="","",'Final Calculation Sheet'!$T$4)</f>
        <v/>
      </c>
      <c r="C23" s="545">
        <f>IF('Final Calculation Sheet'!$T$5="","",'Final Calculation Sheet'!$T$5)</f>
        <v/>
      </c>
      <c r="D23" s="544">
        <f>IF('Final Calculation Sheet'!$T$6="","",'Final Calculation Sheet'!$T$6)</f>
        <v/>
      </c>
      <c r="E23" s="545">
        <f>IF('Final Calculation Sheet'!$T$7="","",'Final Calculation Sheet'!$T$7)</f>
        <v/>
      </c>
      <c r="F23" s="544">
        <f>IF('Final Calculation Sheet'!$T$8="","",'Final Calculation Sheet'!$T$8)</f>
        <v/>
      </c>
      <c r="G23" s="545">
        <f>IF('Final Calculation Sheet'!$T$9="","",'Final Calculation Sheet'!$T$9)</f>
        <v/>
      </c>
      <c r="H23" s="544">
        <f>IF('Final Calculation Sheet'!$T$10="","",'Final Calculation Sheet'!$T$10)</f>
        <v/>
      </c>
      <c r="I23" s="545">
        <f>IF('Final Calculation Sheet'!$T$11="","",'Final Calculation Sheet'!$T$11)</f>
        <v/>
      </c>
      <c r="J23" s="544">
        <f>IF('Final Calculation Sheet'!$T$12="","",'Final Calculation Sheet'!$T$12)</f>
        <v/>
      </c>
      <c r="K23" s="545">
        <f>IF('Final Calculation Sheet'!$T$13="","",'Final Calculation Sheet'!$T$13)</f>
        <v/>
      </c>
      <c r="L23" s="544">
        <f>IF('Final Calculation Sheet'!$T$14="","",'Final Calculation Sheet'!$T$14)</f>
        <v/>
      </c>
      <c r="M23" s="545">
        <f>IF('Final Calculation Sheet'!$T$15="","",'Final Calculation Sheet'!$T$15)</f>
        <v/>
      </c>
      <c r="N23" s="544">
        <f>IF('Final Calculation Sheet'!$T$16="","",'Final Calculation Sheet'!$T$16)</f>
        <v/>
      </c>
      <c r="O23" s="545">
        <f>IF('Final Calculation Sheet'!$T$17="","",'Final Calculation Sheet'!$T$17)</f>
        <v/>
      </c>
      <c r="P23" s="544">
        <f>IF('Final Calculation Sheet'!$T$18="","",'Final Calculation Sheet'!$T$18)</f>
        <v/>
      </c>
      <c r="Q23" s="545">
        <f>IF('Final Calculation Sheet'!$T$19="","",'Final Calculation Sheet'!$T$19)</f>
        <v/>
      </c>
      <c r="R23" s="544">
        <f>IF('Final Calculation Sheet'!$T$20="","",'Final Calculation Sheet'!$T$20)</f>
        <v/>
      </c>
      <c r="S23" s="545">
        <f>IF('Final Calculation Sheet'!$T$21="","",'Final Calculation Sheet'!$T$21)</f>
        <v/>
      </c>
      <c r="T23" s="544">
        <f>IF('Final Calculation Sheet'!$T$22="","",'Final Calculation Sheet'!$T$22)</f>
        <v/>
      </c>
      <c r="U23" s="545">
        <f>IF('Final Calculation Sheet'!$T$23="","",'Final Calculation Sheet'!$T$23)</f>
        <v/>
      </c>
      <c r="V23" s="544">
        <f>IF('Final Calculation Sheet'!$T$24="","",'Final Calculation Sheet'!$T$24)</f>
        <v/>
      </c>
      <c r="W23" s="545">
        <f>IF('Final Calculation Sheet'!$T$25="","",'Final Calculation Sheet'!$T$25)</f>
        <v/>
      </c>
      <c r="X23" s="544">
        <f>IF('Final Calculation Sheet'!$T$26="","",'Final Calculation Sheet'!$T$26)</f>
        <v/>
      </c>
      <c r="Y23" s="545">
        <f>IF('Final Calculation Sheet'!$T$27="","",'Final Calculation Sheet'!$T$27)</f>
        <v/>
      </c>
      <c r="Z23" s="544">
        <f>IF('Final Calculation Sheet'!$T$28="","",'Final Calculation Sheet'!$T$28)</f>
        <v/>
      </c>
      <c r="AA23" s="545">
        <f>IF('Final Calculation Sheet'!$T$29="","",'Final Calculation Sheet'!$T$29)</f>
        <v/>
      </c>
      <c r="AB23" s="544">
        <f>IF('Final Calculation Sheet'!$T$30="","",'Final Calculation Sheet'!$T$30)</f>
        <v/>
      </c>
      <c r="AC23" s="545">
        <f>IF('Final Calculation Sheet'!$T$31="","",'Final Calculation Sheet'!$T$31)</f>
        <v/>
      </c>
      <c r="AD23" s="544">
        <f>IF('Final Calculation Sheet'!$T$32="","",'Final Calculation Sheet'!$T$32)</f>
        <v/>
      </c>
      <c r="AE23" s="545">
        <f>IF('Final Calculation Sheet'!$T$33="","",'Final Calculation Sheet'!$T$33)</f>
        <v/>
      </c>
      <c r="AF23" s="544">
        <f>IF('Final Calculation Sheet'!$T$34="","",'Final Calculation Sheet'!$T$34)</f>
        <v/>
      </c>
      <c r="AG23" s="545">
        <f>IF('Final Calculation Sheet'!$T$35="","",'Final Calculation Sheet'!$T$35)</f>
        <v/>
      </c>
      <c r="AH23" s="544">
        <f>IF('Final Calculation Sheet'!$T$36="","",'Final Calculation Sheet'!$T$36)</f>
        <v/>
      </c>
      <c r="AI23" s="545">
        <f>IF('Final Calculation Sheet'!$T$37="","",'Final Calculation Sheet'!$T$37)</f>
        <v/>
      </c>
      <c r="AJ23" s="544">
        <f>IF('Final Calculation Sheet'!$T$38="","",'Final Calculation Sheet'!$T$38)</f>
        <v/>
      </c>
      <c r="AK23" s="545">
        <f>IF('Final Calculation Sheet'!$T$39="","",'Final Calculation Sheet'!$T$39)</f>
        <v/>
      </c>
      <c r="AL23" s="544">
        <f>IF('Final Calculation Sheet'!$T$40="","",'Final Calculation Sheet'!$T$40)</f>
        <v/>
      </c>
      <c r="AM23" s="546">
        <f>IF('Final Calculation Sheet'!$T$41="","",'Final Calculation Sheet'!$T$41)</f>
        <v/>
      </c>
    </row>
    <row r="24" ht="15" customHeight="1">
      <c r="A24" s="540" t="inlineStr">
        <is>
          <t>Security Deposit (Received)</t>
        </is>
      </c>
      <c r="B24" s="552">
        <f>IF('Final Calculation Sheet'!$U$4="","",'Final Calculation Sheet'!$U$4)</f>
        <v/>
      </c>
      <c r="C24" s="553">
        <f>IF('Final Calculation Sheet'!$U$5="","",'Final Calculation Sheet'!$U$5)</f>
        <v/>
      </c>
      <c r="D24" s="552">
        <f>IF('Final Calculation Sheet'!$U$6="","",'Final Calculation Sheet'!$U$6)</f>
        <v/>
      </c>
      <c r="E24" s="553">
        <f>IF('Final Calculation Sheet'!$U$7="","",'Final Calculation Sheet'!$U$7)</f>
        <v/>
      </c>
      <c r="F24" s="552">
        <f>IF('Final Calculation Sheet'!$U$8="","",'Final Calculation Sheet'!$U$8)</f>
        <v/>
      </c>
      <c r="G24" s="553">
        <f>IF('Final Calculation Sheet'!$U$9="","",'Final Calculation Sheet'!$U$9)</f>
        <v/>
      </c>
      <c r="H24" s="552">
        <f>IF('Final Calculation Sheet'!$U$10="","",'Final Calculation Sheet'!$U$10)</f>
        <v/>
      </c>
      <c r="I24" s="553">
        <f>IF('Final Calculation Sheet'!$U$11="","",'Final Calculation Sheet'!$U$11)</f>
        <v/>
      </c>
      <c r="J24" s="552">
        <f>IF('Final Calculation Sheet'!$U$12="","",'Final Calculation Sheet'!$U$12)</f>
        <v/>
      </c>
      <c r="K24" s="553">
        <f>IF('Final Calculation Sheet'!$U$13="","",'Final Calculation Sheet'!$U$13)</f>
        <v/>
      </c>
      <c r="L24" s="552">
        <f>IF('Final Calculation Sheet'!$U$14="","",'Final Calculation Sheet'!$U$14)</f>
        <v/>
      </c>
      <c r="M24" s="553">
        <f>IF('Final Calculation Sheet'!$U$15="","",'Final Calculation Sheet'!$U$15)</f>
        <v/>
      </c>
      <c r="N24" s="552">
        <f>IF('Final Calculation Sheet'!$U$16="","",'Final Calculation Sheet'!$U$16)</f>
        <v/>
      </c>
      <c r="O24" s="553">
        <f>IF('Final Calculation Sheet'!$U$17="","",'Final Calculation Sheet'!$U$17)</f>
        <v/>
      </c>
      <c r="P24" s="552">
        <f>IF('Final Calculation Sheet'!$U$18="","",'Final Calculation Sheet'!$U$18)</f>
        <v/>
      </c>
      <c r="Q24" s="553">
        <f>IF('Final Calculation Sheet'!$U$19="","",'Final Calculation Sheet'!$U$19)</f>
        <v/>
      </c>
      <c r="R24" s="552">
        <f>IF('Final Calculation Sheet'!$U$20="","",'Final Calculation Sheet'!$U$20)</f>
        <v/>
      </c>
      <c r="S24" s="553">
        <f>IF('Final Calculation Sheet'!$U$21="","",'Final Calculation Sheet'!$U$21)</f>
        <v/>
      </c>
      <c r="T24" s="552">
        <f>IF('Final Calculation Sheet'!$U$22="","",'Final Calculation Sheet'!$U$22)</f>
        <v/>
      </c>
      <c r="U24" s="553">
        <f>IF('Final Calculation Sheet'!$U$23="","",'Final Calculation Sheet'!$U$23)</f>
        <v/>
      </c>
      <c r="V24" s="552">
        <f>IF('Final Calculation Sheet'!$U$24="","",'Final Calculation Sheet'!$U$24)</f>
        <v/>
      </c>
      <c r="W24" s="553">
        <f>IF('Final Calculation Sheet'!$U$25="","",'Final Calculation Sheet'!$U$25)</f>
        <v/>
      </c>
      <c r="X24" s="552">
        <f>IF('Final Calculation Sheet'!$U$26="","",'Final Calculation Sheet'!$U$26)</f>
        <v/>
      </c>
      <c r="Y24" s="553">
        <f>IF('Final Calculation Sheet'!$U$27="","",'Final Calculation Sheet'!$U$27)</f>
        <v/>
      </c>
      <c r="Z24" s="552">
        <f>IF('Final Calculation Sheet'!$U$28="","",'Final Calculation Sheet'!$U$28)</f>
        <v/>
      </c>
      <c r="AA24" s="553">
        <f>IF('Final Calculation Sheet'!$U$29="","",'Final Calculation Sheet'!$U$29)</f>
        <v/>
      </c>
      <c r="AB24" s="552">
        <f>IF('Final Calculation Sheet'!$U$30="","",'Final Calculation Sheet'!$U$30)</f>
        <v/>
      </c>
      <c r="AC24" s="553">
        <f>IF('Final Calculation Sheet'!$U$31="","",'Final Calculation Sheet'!$U$31)</f>
        <v/>
      </c>
      <c r="AD24" s="552">
        <f>IF('Final Calculation Sheet'!$U$32="","",'Final Calculation Sheet'!$U$32)</f>
        <v/>
      </c>
      <c r="AE24" s="553">
        <f>IF('Final Calculation Sheet'!$U$33="","",'Final Calculation Sheet'!$U$33)</f>
        <v/>
      </c>
      <c r="AF24" s="552">
        <f>IF('Final Calculation Sheet'!$U$34="","",'Final Calculation Sheet'!$U$34)</f>
        <v/>
      </c>
      <c r="AG24" s="553">
        <f>IF('Final Calculation Sheet'!$U$35="","",'Final Calculation Sheet'!$U$35)</f>
        <v/>
      </c>
      <c r="AH24" s="552">
        <f>IF('Final Calculation Sheet'!$U$36="","",'Final Calculation Sheet'!$U$36)</f>
        <v/>
      </c>
      <c r="AI24" s="553">
        <f>IF('Final Calculation Sheet'!$U$37="","",'Final Calculation Sheet'!$U$37)</f>
        <v/>
      </c>
      <c r="AJ24" s="552">
        <f>IF('Final Calculation Sheet'!$U$38="","",'Final Calculation Sheet'!$U$38)</f>
        <v/>
      </c>
      <c r="AK24" s="553">
        <f>IF('Final Calculation Sheet'!$U$39="","",'Final Calculation Sheet'!$U$39)</f>
        <v/>
      </c>
      <c r="AL24" s="552">
        <f>IF('Final Calculation Sheet'!$U$40="","",'Final Calculation Sheet'!$U$40)</f>
        <v/>
      </c>
      <c r="AM24" s="554">
        <f>IF('Final Calculation Sheet'!$U$41="","",'Final Calculation Sheet'!$U$41)</f>
        <v/>
      </c>
    </row>
    <row r="25" ht="15" customHeight="1">
      <c r="A25" s="543" t="inlineStr">
        <is>
          <t>Date of Receipt (col V)</t>
        </is>
      </c>
      <c r="B25" s="544">
        <f>IF('Final Calculation Sheet'!$V$4="","",'Final Calculation Sheet'!$V$4)</f>
        <v/>
      </c>
      <c r="C25" s="545">
        <f>IF('Final Calculation Sheet'!$V$5="","",'Final Calculation Sheet'!$V$5)</f>
        <v/>
      </c>
      <c r="D25" s="544">
        <f>IF('Final Calculation Sheet'!$V$6="","",'Final Calculation Sheet'!$V$6)</f>
        <v/>
      </c>
      <c r="E25" s="545">
        <f>IF('Final Calculation Sheet'!$V$7="","",'Final Calculation Sheet'!$V$7)</f>
        <v/>
      </c>
      <c r="F25" s="544">
        <f>IF('Final Calculation Sheet'!$V$8="","",'Final Calculation Sheet'!$V$8)</f>
        <v/>
      </c>
      <c r="G25" s="545">
        <f>IF('Final Calculation Sheet'!$V$9="","",'Final Calculation Sheet'!$V$9)</f>
        <v/>
      </c>
      <c r="H25" s="544">
        <f>IF('Final Calculation Sheet'!$V$10="","",'Final Calculation Sheet'!$V$10)</f>
        <v/>
      </c>
      <c r="I25" s="545">
        <f>IF('Final Calculation Sheet'!$V$11="","",'Final Calculation Sheet'!$V$11)</f>
        <v/>
      </c>
      <c r="J25" s="544">
        <f>IF('Final Calculation Sheet'!$V$12="","",'Final Calculation Sheet'!$V$12)</f>
        <v/>
      </c>
      <c r="K25" s="545">
        <f>IF('Final Calculation Sheet'!$V$13="","",'Final Calculation Sheet'!$V$13)</f>
        <v/>
      </c>
      <c r="L25" s="544">
        <f>IF('Final Calculation Sheet'!$V$14="","",'Final Calculation Sheet'!$V$14)</f>
        <v/>
      </c>
      <c r="M25" s="545">
        <f>IF('Final Calculation Sheet'!$V$15="","",'Final Calculation Sheet'!$V$15)</f>
        <v/>
      </c>
      <c r="N25" s="544">
        <f>IF('Final Calculation Sheet'!$V$16="","",'Final Calculation Sheet'!$V$16)</f>
        <v/>
      </c>
      <c r="O25" s="545">
        <f>IF('Final Calculation Sheet'!$V$17="","",'Final Calculation Sheet'!$V$17)</f>
        <v/>
      </c>
      <c r="P25" s="544">
        <f>IF('Final Calculation Sheet'!$V$18="","",'Final Calculation Sheet'!$V$18)</f>
        <v/>
      </c>
      <c r="Q25" s="545">
        <f>IF('Final Calculation Sheet'!$V$19="","",'Final Calculation Sheet'!$V$19)</f>
        <v/>
      </c>
      <c r="R25" s="544">
        <f>IF('Final Calculation Sheet'!$V$20="","",'Final Calculation Sheet'!$V$20)</f>
        <v/>
      </c>
      <c r="S25" s="545">
        <f>IF('Final Calculation Sheet'!$V$21="","",'Final Calculation Sheet'!$V$21)</f>
        <v/>
      </c>
      <c r="T25" s="544">
        <f>IF('Final Calculation Sheet'!$V$22="","",'Final Calculation Sheet'!$V$22)</f>
        <v/>
      </c>
      <c r="U25" s="545">
        <f>IF('Final Calculation Sheet'!$V$23="","",'Final Calculation Sheet'!$V$23)</f>
        <v/>
      </c>
      <c r="V25" s="544">
        <f>IF('Final Calculation Sheet'!$V$24="","",'Final Calculation Sheet'!$V$24)</f>
        <v/>
      </c>
      <c r="W25" s="545">
        <f>IF('Final Calculation Sheet'!$V$25="","",'Final Calculation Sheet'!$V$25)</f>
        <v/>
      </c>
      <c r="X25" s="544">
        <f>IF('Final Calculation Sheet'!$V$26="","",'Final Calculation Sheet'!$V$26)</f>
        <v/>
      </c>
      <c r="Y25" s="545">
        <f>IF('Final Calculation Sheet'!$V$27="","",'Final Calculation Sheet'!$V$27)</f>
        <v/>
      </c>
      <c r="Z25" s="544">
        <f>IF('Final Calculation Sheet'!$V$28="","",'Final Calculation Sheet'!$V$28)</f>
        <v/>
      </c>
      <c r="AA25" s="545">
        <f>IF('Final Calculation Sheet'!$V$29="","",'Final Calculation Sheet'!$V$29)</f>
        <v/>
      </c>
      <c r="AB25" s="544">
        <f>IF('Final Calculation Sheet'!$V$30="","",'Final Calculation Sheet'!$V$30)</f>
        <v/>
      </c>
      <c r="AC25" s="545">
        <f>IF('Final Calculation Sheet'!$V$31="","",'Final Calculation Sheet'!$V$31)</f>
        <v/>
      </c>
      <c r="AD25" s="544">
        <f>IF('Final Calculation Sheet'!$V$32="","",'Final Calculation Sheet'!$V$32)</f>
        <v/>
      </c>
      <c r="AE25" s="545">
        <f>IF('Final Calculation Sheet'!$V$33="","",'Final Calculation Sheet'!$V$33)</f>
        <v/>
      </c>
      <c r="AF25" s="544">
        <f>IF('Final Calculation Sheet'!$V$34="","",'Final Calculation Sheet'!$V$34)</f>
        <v/>
      </c>
      <c r="AG25" s="545">
        <f>IF('Final Calculation Sheet'!$V$35="","",'Final Calculation Sheet'!$V$35)</f>
        <v/>
      </c>
      <c r="AH25" s="544">
        <f>IF('Final Calculation Sheet'!$V$36="","",'Final Calculation Sheet'!$V$36)</f>
        <v/>
      </c>
      <c r="AI25" s="545">
        <f>IF('Final Calculation Sheet'!$V$37="","",'Final Calculation Sheet'!$V$37)</f>
        <v/>
      </c>
      <c r="AJ25" s="544">
        <f>IF('Final Calculation Sheet'!$V$38="","",'Final Calculation Sheet'!$V$38)</f>
        <v/>
      </c>
      <c r="AK25" s="545">
        <f>IF('Final Calculation Sheet'!$V$39="","",'Final Calculation Sheet'!$V$39)</f>
        <v/>
      </c>
      <c r="AL25" s="544">
        <f>IF('Final Calculation Sheet'!$V$40="","",'Final Calculation Sheet'!$V$40)</f>
        <v/>
      </c>
      <c r="AM25" s="546">
        <f>IF('Final Calculation Sheet'!$V$41="","",'Final Calculation Sheet'!$V$41)</f>
        <v/>
      </c>
    </row>
    <row r="26" ht="15" customHeight="1">
      <c r="A26" s="540" t="inlineStr">
        <is>
          <t>Final Payment (Expected)</t>
        </is>
      </c>
      <c r="B26" s="544">
        <f>IF('Final Calculation Sheet'!$W$4="","",'Final Calculation Sheet'!$W$4)</f>
        <v/>
      </c>
      <c r="C26" s="545">
        <f>IF('Final Calculation Sheet'!$W$5="","",'Final Calculation Sheet'!$W$5)</f>
        <v/>
      </c>
      <c r="D26" s="544">
        <f>IF('Final Calculation Sheet'!$W$6="","",'Final Calculation Sheet'!$W$6)</f>
        <v/>
      </c>
      <c r="E26" s="545">
        <f>IF('Final Calculation Sheet'!$W$7="","",'Final Calculation Sheet'!$W$7)</f>
        <v/>
      </c>
      <c r="F26" s="544">
        <f>IF('Final Calculation Sheet'!$W$8="","",'Final Calculation Sheet'!$W$8)</f>
        <v/>
      </c>
      <c r="G26" s="545">
        <f>IF('Final Calculation Sheet'!$W$9="","",'Final Calculation Sheet'!$W$9)</f>
        <v/>
      </c>
      <c r="H26" s="544">
        <f>IF('Final Calculation Sheet'!$W$10="","",'Final Calculation Sheet'!$W$10)</f>
        <v/>
      </c>
      <c r="I26" s="545">
        <f>IF('Final Calculation Sheet'!$W$11="","",'Final Calculation Sheet'!$W$11)</f>
        <v/>
      </c>
      <c r="J26" s="544">
        <f>IF('Final Calculation Sheet'!$W$12="","",'Final Calculation Sheet'!$W$12)</f>
        <v/>
      </c>
      <c r="K26" s="545">
        <f>IF('Final Calculation Sheet'!$W$13="","",'Final Calculation Sheet'!$W$13)</f>
        <v/>
      </c>
      <c r="L26" s="544">
        <f>IF('Final Calculation Sheet'!$W$14="","",'Final Calculation Sheet'!$W$14)</f>
        <v/>
      </c>
      <c r="M26" s="545">
        <f>IF('Final Calculation Sheet'!$W$15="","",'Final Calculation Sheet'!$W$15)</f>
        <v/>
      </c>
      <c r="N26" s="544">
        <f>IF('Final Calculation Sheet'!$W$16="","",'Final Calculation Sheet'!$W$16)</f>
        <v/>
      </c>
      <c r="O26" s="545">
        <f>IF('Final Calculation Sheet'!$W$17="","",'Final Calculation Sheet'!$W$17)</f>
        <v/>
      </c>
      <c r="P26" s="544">
        <f>IF('Final Calculation Sheet'!$W$18="","",'Final Calculation Sheet'!$W$18)</f>
        <v/>
      </c>
      <c r="Q26" s="545">
        <f>IF('Final Calculation Sheet'!$W$19="","",'Final Calculation Sheet'!$W$19)</f>
        <v/>
      </c>
      <c r="R26" s="544">
        <f>IF('Final Calculation Sheet'!$W$20="","",'Final Calculation Sheet'!$W$20)</f>
        <v/>
      </c>
      <c r="S26" s="545">
        <f>IF('Final Calculation Sheet'!$W$21="","",'Final Calculation Sheet'!$W$21)</f>
        <v/>
      </c>
      <c r="T26" s="544">
        <f>IF('Final Calculation Sheet'!$W$22="","",'Final Calculation Sheet'!$W$22)</f>
        <v/>
      </c>
      <c r="U26" s="545">
        <f>IF('Final Calculation Sheet'!$W$23="","",'Final Calculation Sheet'!$W$23)</f>
        <v/>
      </c>
      <c r="V26" s="544">
        <f>IF('Final Calculation Sheet'!$W$24="","",'Final Calculation Sheet'!$W$24)</f>
        <v/>
      </c>
      <c r="W26" s="545">
        <f>IF('Final Calculation Sheet'!$W$25="","",'Final Calculation Sheet'!$W$25)</f>
        <v/>
      </c>
      <c r="X26" s="544">
        <f>IF('Final Calculation Sheet'!$W$26="","",'Final Calculation Sheet'!$W$26)</f>
        <v/>
      </c>
      <c r="Y26" s="545">
        <f>IF('Final Calculation Sheet'!$W$27="","",'Final Calculation Sheet'!$W$27)</f>
        <v/>
      </c>
      <c r="Z26" s="544">
        <f>IF('Final Calculation Sheet'!$W$28="","",'Final Calculation Sheet'!$W$28)</f>
        <v/>
      </c>
      <c r="AA26" s="545">
        <f>IF('Final Calculation Sheet'!$W$29="","",'Final Calculation Sheet'!$W$29)</f>
        <v/>
      </c>
      <c r="AB26" s="544">
        <f>IF('Final Calculation Sheet'!$W$30="","",'Final Calculation Sheet'!$W$30)</f>
        <v/>
      </c>
      <c r="AC26" s="545">
        <f>IF('Final Calculation Sheet'!$W$31="","",'Final Calculation Sheet'!$W$31)</f>
        <v/>
      </c>
      <c r="AD26" s="544">
        <f>IF('Final Calculation Sheet'!$W$32="","",'Final Calculation Sheet'!$W$32)</f>
        <v/>
      </c>
      <c r="AE26" s="545">
        <f>IF('Final Calculation Sheet'!$W$33="","",'Final Calculation Sheet'!$W$33)</f>
        <v/>
      </c>
      <c r="AF26" s="544">
        <f>IF('Final Calculation Sheet'!$W$34="","",'Final Calculation Sheet'!$W$34)</f>
        <v/>
      </c>
      <c r="AG26" s="545">
        <f>IF('Final Calculation Sheet'!$W$35="","",'Final Calculation Sheet'!$W$35)</f>
        <v/>
      </c>
      <c r="AH26" s="544">
        <f>IF('Final Calculation Sheet'!$W$36="","",'Final Calculation Sheet'!$W$36)</f>
        <v/>
      </c>
      <c r="AI26" s="545">
        <f>IF('Final Calculation Sheet'!$W$37="","",'Final Calculation Sheet'!$W$37)</f>
        <v/>
      </c>
      <c r="AJ26" s="544">
        <f>IF('Final Calculation Sheet'!$W$38="","",'Final Calculation Sheet'!$W$38)</f>
        <v/>
      </c>
      <c r="AK26" s="545">
        <f>IF('Final Calculation Sheet'!$W$39="","",'Final Calculation Sheet'!$W$39)</f>
        <v/>
      </c>
      <c r="AL26" s="544">
        <f>IF('Final Calculation Sheet'!$W$40="","",'Final Calculation Sheet'!$W$40)</f>
        <v/>
      </c>
      <c r="AM26" s="546">
        <f>IF('Final Calculation Sheet'!$W$41="","",'Final Calculation Sheet'!$W$41)</f>
        <v/>
      </c>
    </row>
    <row r="27" ht="15" customHeight="1">
      <c r="A27" s="543" t="inlineStr">
        <is>
          <t>Final Payment (Received)</t>
        </is>
      </c>
      <c r="B27" s="544">
        <f>IF('Final Calculation Sheet'!$X$4="","",'Final Calculation Sheet'!$X$4)</f>
        <v/>
      </c>
      <c r="C27" s="545">
        <f>IF('Final Calculation Sheet'!$X$5="","",'Final Calculation Sheet'!$X$5)</f>
        <v/>
      </c>
      <c r="D27" s="544">
        <f>IF('Final Calculation Sheet'!$X$6="","",'Final Calculation Sheet'!$X$6)</f>
        <v/>
      </c>
      <c r="E27" s="545">
        <f>IF('Final Calculation Sheet'!$X$7="","",'Final Calculation Sheet'!$X$7)</f>
        <v/>
      </c>
      <c r="F27" s="544">
        <f>IF('Final Calculation Sheet'!$X$8="","",'Final Calculation Sheet'!$X$8)</f>
        <v/>
      </c>
      <c r="G27" s="545">
        <f>IF('Final Calculation Sheet'!$X$9="","",'Final Calculation Sheet'!$X$9)</f>
        <v/>
      </c>
      <c r="H27" s="544">
        <f>IF('Final Calculation Sheet'!$X$10="","",'Final Calculation Sheet'!$X$10)</f>
        <v/>
      </c>
      <c r="I27" s="545">
        <f>IF('Final Calculation Sheet'!$X$11="","",'Final Calculation Sheet'!$X$11)</f>
        <v/>
      </c>
      <c r="J27" s="544">
        <f>IF('Final Calculation Sheet'!$X$12="","",'Final Calculation Sheet'!$X$12)</f>
        <v/>
      </c>
      <c r="K27" s="545">
        <f>IF('Final Calculation Sheet'!$X$13="","",'Final Calculation Sheet'!$X$13)</f>
        <v/>
      </c>
      <c r="L27" s="544">
        <f>IF('Final Calculation Sheet'!$X$14="","",'Final Calculation Sheet'!$X$14)</f>
        <v/>
      </c>
      <c r="M27" s="545">
        <f>IF('Final Calculation Sheet'!$X$15="","",'Final Calculation Sheet'!$X$15)</f>
        <v/>
      </c>
      <c r="N27" s="544">
        <f>IF('Final Calculation Sheet'!$X$16="","",'Final Calculation Sheet'!$X$16)</f>
        <v/>
      </c>
      <c r="O27" s="545">
        <f>IF('Final Calculation Sheet'!$X$17="","",'Final Calculation Sheet'!$X$17)</f>
        <v/>
      </c>
      <c r="P27" s="544">
        <f>IF('Final Calculation Sheet'!$X$18="","",'Final Calculation Sheet'!$X$18)</f>
        <v/>
      </c>
      <c r="Q27" s="545">
        <f>IF('Final Calculation Sheet'!$X$19="","",'Final Calculation Sheet'!$X$19)</f>
        <v/>
      </c>
      <c r="R27" s="544">
        <f>IF('Final Calculation Sheet'!$X$20="","",'Final Calculation Sheet'!$X$20)</f>
        <v/>
      </c>
      <c r="S27" s="545">
        <f>IF('Final Calculation Sheet'!$X$21="","",'Final Calculation Sheet'!$X$21)</f>
        <v/>
      </c>
      <c r="T27" s="544">
        <f>IF('Final Calculation Sheet'!$X$22="","",'Final Calculation Sheet'!$X$22)</f>
        <v/>
      </c>
      <c r="U27" s="545">
        <f>IF('Final Calculation Sheet'!$X$23="","",'Final Calculation Sheet'!$X$23)</f>
        <v/>
      </c>
      <c r="V27" s="544">
        <f>IF('Final Calculation Sheet'!$X$24="","",'Final Calculation Sheet'!$X$24)</f>
        <v/>
      </c>
      <c r="W27" s="545">
        <f>IF('Final Calculation Sheet'!$X$25="","",'Final Calculation Sheet'!$X$25)</f>
        <v/>
      </c>
      <c r="X27" s="544">
        <f>IF('Final Calculation Sheet'!$X$26="","",'Final Calculation Sheet'!$X$26)</f>
        <v/>
      </c>
      <c r="Y27" s="545">
        <f>IF('Final Calculation Sheet'!$X$27="","",'Final Calculation Sheet'!$X$27)</f>
        <v/>
      </c>
      <c r="Z27" s="544">
        <f>IF('Final Calculation Sheet'!$X$28="","",'Final Calculation Sheet'!$X$28)</f>
        <v/>
      </c>
      <c r="AA27" s="545">
        <f>IF('Final Calculation Sheet'!$X$29="","",'Final Calculation Sheet'!$X$29)</f>
        <v/>
      </c>
      <c r="AB27" s="544">
        <f>IF('Final Calculation Sheet'!$X$30="","",'Final Calculation Sheet'!$X$30)</f>
        <v/>
      </c>
      <c r="AC27" s="545">
        <f>IF('Final Calculation Sheet'!$X$31="","",'Final Calculation Sheet'!$X$31)</f>
        <v/>
      </c>
      <c r="AD27" s="544">
        <f>IF('Final Calculation Sheet'!$X$32="","",'Final Calculation Sheet'!$X$32)</f>
        <v/>
      </c>
      <c r="AE27" s="545">
        <f>IF('Final Calculation Sheet'!$X$33="","",'Final Calculation Sheet'!$X$33)</f>
        <v/>
      </c>
      <c r="AF27" s="544">
        <f>IF('Final Calculation Sheet'!$X$34="","",'Final Calculation Sheet'!$X$34)</f>
        <v/>
      </c>
      <c r="AG27" s="545">
        <f>IF('Final Calculation Sheet'!$X$35="","",'Final Calculation Sheet'!$X$35)</f>
        <v/>
      </c>
      <c r="AH27" s="544">
        <f>IF('Final Calculation Sheet'!$X$36="","",'Final Calculation Sheet'!$X$36)</f>
        <v/>
      </c>
      <c r="AI27" s="545">
        <f>IF('Final Calculation Sheet'!$X$37="","",'Final Calculation Sheet'!$X$37)</f>
        <v/>
      </c>
      <c r="AJ27" s="544">
        <f>IF('Final Calculation Sheet'!$X$38="","",'Final Calculation Sheet'!$X$38)</f>
        <v/>
      </c>
      <c r="AK27" s="545">
        <f>IF('Final Calculation Sheet'!$X$39="","",'Final Calculation Sheet'!$X$39)</f>
        <v/>
      </c>
      <c r="AL27" s="544">
        <f>IF('Final Calculation Sheet'!$X$40="","",'Final Calculation Sheet'!$X$40)</f>
        <v/>
      </c>
      <c r="AM27" s="546">
        <f>IF('Final Calculation Sheet'!$X$41="","",'Final Calculation Sheet'!$X$41)</f>
        <v/>
      </c>
    </row>
    <row r="28" ht="15" customHeight="1">
      <c r="A28" s="540" t="inlineStr">
        <is>
          <t>Date of Receipt (col Y)</t>
        </is>
      </c>
      <c r="B28" s="544">
        <f>IF('Final Calculation Sheet'!$Y$4="","",'Final Calculation Sheet'!$Y$4)</f>
        <v/>
      </c>
      <c r="C28" s="545">
        <f>IF('Final Calculation Sheet'!$Y$5="","",'Final Calculation Sheet'!$Y$5)</f>
        <v/>
      </c>
      <c r="D28" s="544">
        <f>IF('Final Calculation Sheet'!$Y$6="","",'Final Calculation Sheet'!$Y$6)</f>
        <v/>
      </c>
      <c r="E28" s="545">
        <f>IF('Final Calculation Sheet'!$Y$7="","",'Final Calculation Sheet'!$Y$7)</f>
        <v/>
      </c>
      <c r="F28" s="544">
        <f>IF('Final Calculation Sheet'!$Y$8="","",'Final Calculation Sheet'!$Y$8)</f>
        <v/>
      </c>
      <c r="G28" s="545">
        <f>IF('Final Calculation Sheet'!$Y$9="","",'Final Calculation Sheet'!$Y$9)</f>
        <v/>
      </c>
      <c r="H28" s="544">
        <f>IF('Final Calculation Sheet'!$Y$10="","",'Final Calculation Sheet'!$Y$10)</f>
        <v/>
      </c>
      <c r="I28" s="545">
        <f>IF('Final Calculation Sheet'!$Y$11="","",'Final Calculation Sheet'!$Y$11)</f>
        <v/>
      </c>
      <c r="J28" s="544">
        <f>IF('Final Calculation Sheet'!$Y$12="","",'Final Calculation Sheet'!$Y$12)</f>
        <v/>
      </c>
      <c r="K28" s="545">
        <f>IF('Final Calculation Sheet'!$Y$13="","",'Final Calculation Sheet'!$Y$13)</f>
        <v/>
      </c>
      <c r="L28" s="544">
        <f>IF('Final Calculation Sheet'!$Y$14="","",'Final Calculation Sheet'!$Y$14)</f>
        <v/>
      </c>
      <c r="M28" s="545">
        <f>IF('Final Calculation Sheet'!$Y$15="","",'Final Calculation Sheet'!$Y$15)</f>
        <v/>
      </c>
      <c r="N28" s="544">
        <f>IF('Final Calculation Sheet'!$Y$16="","",'Final Calculation Sheet'!$Y$16)</f>
        <v/>
      </c>
      <c r="O28" s="545">
        <f>IF('Final Calculation Sheet'!$Y$17="","",'Final Calculation Sheet'!$Y$17)</f>
        <v/>
      </c>
      <c r="P28" s="544">
        <f>IF('Final Calculation Sheet'!$Y$18="","",'Final Calculation Sheet'!$Y$18)</f>
        <v/>
      </c>
      <c r="Q28" s="545">
        <f>IF('Final Calculation Sheet'!$Y$19="","",'Final Calculation Sheet'!$Y$19)</f>
        <v/>
      </c>
      <c r="R28" s="544">
        <f>IF('Final Calculation Sheet'!$Y$20="","",'Final Calculation Sheet'!$Y$20)</f>
        <v/>
      </c>
      <c r="S28" s="545">
        <f>IF('Final Calculation Sheet'!$Y$21="","",'Final Calculation Sheet'!$Y$21)</f>
        <v/>
      </c>
      <c r="T28" s="544">
        <f>IF('Final Calculation Sheet'!$Y$22="","",'Final Calculation Sheet'!$Y$22)</f>
        <v/>
      </c>
      <c r="U28" s="545">
        <f>IF('Final Calculation Sheet'!$Y$23="","",'Final Calculation Sheet'!$Y$23)</f>
        <v/>
      </c>
      <c r="V28" s="544">
        <f>IF('Final Calculation Sheet'!$Y$24="","",'Final Calculation Sheet'!$Y$24)</f>
        <v/>
      </c>
      <c r="W28" s="545">
        <f>IF('Final Calculation Sheet'!$Y$25="","",'Final Calculation Sheet'!$Y$25)</f>
        <v/>
      </c>
      <c r="X28" s="544">
        <f>IF('Final Calculation Sheet'!$Y$26="","",'Final Calculation Sheet'!$Y$26)</f>
        <v/>
      </c>
      <c r="Y28" s="545">
        <f>IF('Final Calculation Sheet'!$Y$27="","",'Final Calculation Sheet'!$Y$27)</f>
        <v/>
      </c>
      <c r="Z28" s="544">
        <f>IF('Final Calculation Sheet'!$Y$28="","",'Final Calculation Sheet'!$Y$28)</f>
        <v/>
      </c>
      <c r="AA28" s="545">
        <f>IF('Final Calculation Sheet'!$Y$29="","",'Final Calculation Sheet'!$Y$29)</f>
        <v/>
      </c>
      <c r="AB28" s="544">
        <f>IF('Final Calculation Sheet'!$Y$30="","",'Final Calculation Sheet'!$Y$30)</f>
        <v/>
      </c>
      <c r="AC28" s="545">
        <f>IF('Final Calculation Sheet'!$Y$31="","",'Final Calculation Sheet'!$Y$31)</f>
        <v/>
      </c>
      <c r="AD28" s="544">
        <f>IF('Final Calculation Sheet'!$Y$32="","",'Final Calculation Sheet'!$Y$32)</f>
        <v/>
      </c>
      <c r="AE28" s="545">
        <f>IF('Final Calculation Sheet'!$Y$33="","",'Final Calculation Sheet'!$Y$33)</f>
        <v/>
      </c>
      <c r="AF28" s="544">
        <f>IF('Final Calculation Sheet'!$Y$34="","",'Final Calculation Sheet'!$Y$34)</f>
        <v/>
      </c>
      <c r="AG28" s="545">
        <f>IF('Final Calculation Sheet'!$Y$35="","",'Final Calculation Sheet'!$Y$35)</f>
        <v/>
      </c>
      <c r="AH28" s="544">
        <f>IF('Final Calculation Sheet'!$Y$36="","",'Final Calculation Sheet'!$Y$36)</f>
        <v/>
      </c>
      <c r="AI28" s="545">
        <f>IF('Final Calculation Sheet'!$Y$37="","",'Final Calculation Sheet'!$Y$37)</f>
        <v/>
      </c>
      <c r="AJ28" s="544">
        <f>IF('Final Calculation Sheet'!$Y$38="","",'Final Calculation Sheet'!$Y$38)</f>
        <v/>
      </c>
      <c r="AK28" s="545">
        <f>IF('Final Calculation Sheet'!$Y$39="","",'Final Calculation Sheet'!$Y$39)</f>
        <v/>
      </c>
      <c r="AL28" s="544">
        <f>IF('Final Calculation Sheet'!$Y$40="","",'Final Calculation Sheet'!$Y$40)</f>
        <v/>
      </c>
      <c r="AM28" s="546">
        <f>IF('Final Calculation Sheet'!$Y$41="","",'Final Calculation Sheet'!$Y$41)</f>
        <v/>
      </c>
    </row>
    <row r="29" ht="15" customHeight="1">
      <c r="A29" s="543" t="inlineStr">
        <is>
          <t>LPP Expected</t>
        </is>
      </c>
      <c r="B29" s="544">
        <f>IF('Final Calculation Sheet'!$Z$4="","",'Final Calculation Sheet'!$Z$4)</f>
        <v/>
      </c>
      <c r="C29" s="545">
        <f>IF('Final Calculation Sheet'!$Z$5="","",'Final Calculation Sheet'!$Z$5)</f>
        <v/>
      </c>
      <c r="D29" s="544">
        <f>IF('Final Calculation Sheet'!$Z$6="","",'Final Calculation Sheet'!$Z$6)</f>
        <v/>
      </c>
      <c r="E29" s="545">
        <f>IF('Final Calculation Sheet'!$Z$7="","",'Final Calculation Sheet'!$Z$7)</f>
        <v/>
      </c>
      <c r="F29" s="544">
        <f>IF('Final Calculation Sheet'!$Z$8="","",'Final Calculation Sheet'!$Z$8)</f>
        <v/>
      </c>
      <c r="G29" s="545">
        <f>IF('Final Calculation Sheet'!$Z$9="","",'Final Calculation Sheet'!$Z$9)</f>
        <v/>
      </c>
      <c r="H29" s="544">
        <f>IF('Final Calculation Sheet'!$Z$10="","",'Final Calculation Sheet'!$Z$10)</f>
        <v/>
      </c>
      <c r="I29" s="545">
        <f>IF('Final Calculation Sheet'!$Z$11="","",'Final Calculation Sheet'!$Z$11)</f>
        <v/>
      </c>
      <c r="J29" s="544">
        <f>IF('Final Calculation Sheet'!$Z$12="","",'Final Calculation Sheet'!$Z$12)</f>
        <v/>
      </c>
      <c r="K29" s="545">
        <f>IF('Final Calculation Sheet'!$Z$13="","",'Final Calculation Sheet'!$Z$13)</f>
        <v/>
      </c>
      <c r="L29" s="544">
        <f>IF('Final Calculation Sheet'!$Z$14="","",'Final Calculation Sheet'!$Z$14)</f>
        <v/>
      </c>
      <c r="M29" s="545">
        <f>IF('Final Calculation Sheet'!$Z$15="","",'Final Calculation Sheet'!$Z$15)</f>
        <v/>
      </c>
      <c r="N29" s="544">
        <f>IF('Final Calculation Sheet'!$Z$16="","",'Final Calculation Sheet'!$Z$16)</f>
        <v/>
      </c>
      <c r="O29" s="545">
        <f>IF('Final Calculation Sheet'!$Z$17="","",'Final Calculation Sheet'!$Z$17)</f>
        <v/>
      </c>
      <c r="P29" s="544">
        <f>IF('Final Calculation Sheet'!$Z$18="","",'Final Calculation Sheet'!$Z$18)</f>
        <v/>
      </c>
      <c r="Q29" s="545">
        <f>IF('Final Calculation Sheet'!$Z$19="","",'Final Calculation Sheet'!$Z$19)</f>
        <v/>
      </c>
      <c r="R29" s="544">
        <f>IF('Final Calculation Sheet'!$Z$20="","",'Final Calculation Sheet'!$Z$20)</f>
        <v/>
      </c>
      <c r="S29" s="545">
        <f>IF('Final Calculation Sheet'!$Z$21="","",'Final Calculation Sheet'!$Z$21)</f>
        <v/>
      </c>
      <c r="T29" s="544">
        <f>IF('Final Calculation Sheet'!$Z$22="","",'Final Calculation Sheet'!$Z$22)</f>
        <v/>
      </c>
      <c r="U29" s="545">
        <f>IF('Final Calculation Sheet'!$Z$23="","",'Final Calculation Sheet'!$Z$23)</f>
        <v/>
      </c>
      <c r="V29" s="544">
        <f>IF('Final Calculation Sheet'!$Z$24="","",'Final Calculation Sheet'!$Z$24)</f>
        <v/>
      </c>
      <c r="W29" s="545">
        <f>IF('Final Calculation Sheet'!$Z$25="","",'Final Calculation Sheet'!$Z$25)</f>
        <v/>
      </c>
      <c r="X29" s="544">
        <f>IF('Final Calculation Sheet'!$Z$26="","",'Final Calculation Sheet'!$Z$26)</f>
        <v/>
      </c>
      <c r="Y29" s="545">
        <f>IF('Final Calculation Sheet'!$Z$27="","",'Final Calculation Sheet'!$Z$27)</f>
        <v/>
      </c>
      <c r="Z29" s="544">
        <f>IF('Final Calculation Sheet'!$Z$28="","",'Final Calculation Sheet'!$Z$28)</f>
        <v/>
      </c>
      <c r="AA29" s="545">
        <f>IF('Final Calculation Sheet'!$Z$29="","",'Final Calculation Sheet'!$Z$29)</f>
        <v/>
      </c>
      <c r="AB29" s="544">
        <f>IF('Final Calculation Sheet'!$Z$30="","",'Final Calculation Sheet'!$Z$30)</f>
        <v/>
      </c>
      <c r="AC29" s="545">
        <f>IF('Final Calculation Sheet'!$Z$31="","",'Final Calculation Sheet'!$Z$31)</f>
        <v/>
      </c>
      <c r="AD29" s="544">
        <f>IF('Final Calculation Sheet'!$Z$32="","",'Final Calculation Sheet'!$Z$32)</f>
        <v/>
      </c>
      <c r="AE29" s="545">
        <f>IF('Final Calculation Sheet'!$Z$33="","",'Final Calculation Sheet'!$Z$33)</f>
        <v/>
      </c>
      <c r="AF29" s="544">
        <f>IF('Final Calculation Sheet'!$Z$34="","",'Final Calculation Sheet'!$Z$34)</f>
        <v/>
      </c>
      <c r="AG29" s="545">
        <f>IF('Final Calculation Sheet'!$Z$35="","",'Final Calculation Sheet'!$Z$35)</f>
        <v/>
      </c>
      <c r="AH29" s="544">
        <f>IF('Final Calculation Sheet'!$Z$36="","",'Final Calculation Sheet'!$Z$36)</f>
        <v/>
      </c>
      <c r="AI29" s="545">
        <f>IF('Final Calculation Sheet'!$Z$37="","",'Final Calculation Sheet'!$Z$37)</f>
        <v/>
      </c>
      <c r="AJ29" s="544">
        <f>IF('Final Calculation Sheet'!$Z$38="","",'Final Calculation Sheet'!$Z$38)</f>
        <v/>
      </c>
      <c r="AK29" s="545">
        <f>IF('Final Calculation Sheet'!$Z$39="","",'Final Calculation Sheet'!$Z$39)</f>
        <v/>
      </c>
      <c r="AL29" s="544">
        <f>IF('Final Calculation Sheet'!$Z$40="","",'Final Calculation Sheet'!$Z$40)</f>
        <v/>
      </c>
      <c r="AM29" s="546">
        <f>IF('Final Calculation Sheet'!$Z$41="","",'Final Calculation Sheet'!$Z$41)</f>
        <v/>
      </c>
    </row>
    <row r="30" ht="15" customHeight="1">
      <c r="A30" s="540" t="inlineStr">
        <is>
          <t>LPP Received</t>
        </is>
      </c>
      <c r="B30" s="544">
        <f>IF('Final Calculation Sheet'!$AA$4="","",'Final Calculation Sheet'!$AA$4)</f>
        <v/>
      </c>
      <c r="C30" s="545">
        <f>IF('Final Calculation Sheet'!$AA$5="","",'Final Calculation Sheet'!$AA$5)</f>
        <v/>
      </c>
      <c r="D30" s="544">
        <f>IF('Final Calculation Sheet'!$AA$6="","",'Final Calculation Sheet'!$AA$6)</f>
        <v/>
      </c>
      <c r="E30" s="545">
        <f>IF('Final Calculation Sheet'!$AA$7="","",'Final Calculation Sheet'!$AA$7)</f>
        <v/>
      </c>
      <c r="F30" s="544">
        <f>IF('Final Calculation Sheet'!$AA$8="","",'Final Calculation Sheet'!$AA$8)</f>
        <v/>
      </c>
      <c r="G30" s="545">
        <f>IF('Final Calculation Sheet'!$AA$9="","",'Final Calculation Sheet'!$AA$9)</f>
        <v/>
      </c>
      <c r="H30" s="544">
        <f>IF('Final Calculation Sheet'!$AA$10="","",'Final Calculation Sheet'!$AA$10)</f>
        <v/>
      </c>
      <c r="I30" s="545">
        <f>IF('Final Calculation Sheet'!$AA$11="","",'Final Calculation Sheet'!$AA$11)</f>
        <v/>
      </c>
      <c r="J30" s="544">
        <f>IF('Final Calculation Sheet'!$AA$12="","",'Final Calculation Sheet'!$AA$12)</f>
        <v/>
      </c>
      <c r="K30" s="545">
        <f>IF('Final Calculation Sheet'!$AA$13="","",'Final Calculation Sheet'!$AA$13)</f>
        <v/>
      </c>
      <c r="L30" s="544">
        <f>IF('Final Calculation Sheet'!$AA$14="","",'Final Calculation Sheet'!$AA$14)</f>
        <v/>
      </c>
      <c r="M30" s="545">
        <f>IF('Final Calculation Sheet'!$AA$15="","",'Final Calculation Sheet'!$AA$15)</f>
        <v/>
      </c>
      <c r="N30" s="544">
        <f>IF('Final Calculation Sheet'!$AA$16="","",'Final Calculation Sheet'!$AA$16)</f>
        <v/>
      </c>
      <c r="O30" s="545">
        <f>IF('Final Calculation Sheet'!$AA$17="","",'Final Calculation Sheet'!$AA$17)</f>
        <v/>
      </c>
      <c r="P30" s="544">
        <f>IF('Final Calculation Sheet'!$AA$18="","",'Final Calculation Sheet'!$AA$18)</f>
        <v/>
      </c>
      <c r="Q30" s="545">
        <f>IF('Final Calculation Sheet'!$AA$19="","",'Final Calculation Sheet'!$AA$19)</f>
        <v/>
      </c>
      <c r="R30" s="544">
        <f>IF('Final Calculation Sheet'!$AA$20="","",'Final Calculation Sheet'!$AA$20)</f>
        <v/>
      </c>
      <c r="S30" s="545">
        <f>IF('Final Calculation Sheet'!$AA$21="","",'Final Calculation Sheet'!$AA$21)</f>
        <v/>
      </c>
      <c r="T30" s="544">
        <f>IF('Final Calculation Sheet'!$AA$22="","",'Final Calculation Sheet'!$AA$22)</f>
        <v/>
      </c>
      <c r="U30" s="545">
        <f>IF('Final Calculation Sheet'!$AA$23="","",'Final Calculation Sheet'!$AA$23)</f>
        <v/>
      </c>
      <c r="V30" s="544">
        <f>IF('Final Calculation Sheet'!$AA$24="","",'Final Calculation Sheet'!$AA$24)</f>
        <v/>
      </c>
      <c r="W30" s="545">
        <f>IF('Final Calculation Sheet'!$AA$25="","",'Final Calculation Sheet'!$AA$25)</f>
        <v/>
      </c>
      <c r="X30" s="544">
        <f>IF('Final Calculation Sheet'!$AA$26="","",'Final Calculation Sheet'!$AA$26)</f>
        <v/>
      </c>
      <c r="Y30" s="545">
        <f>IF('Final Calculation Sheet'!$AA$27="","",'Final Calculation Sheet'!$AA$27)</f>
        <v/>
      </c>
      <c r="Z30" s="544">
        <f>IF('Final Calculation Sheet'!$AA$28="","",'Final Calculation Sheet'!$AA$28)</f>
        <v/>
      </c>
      <c r="AA30" s="545">
        <f>IF('Final Calculation Sheet'!$AA$29="","",'Final Calculation Sheet'!$AA$29)</f>
        <v/>
      </c>
      <c r="AB30" s="544">
        <f>IF('Final Calculation Sheet'!$AA$30="","",'Final Calculation Sheet'!$AA$30)</f>
        <v/>
      </c>
      <c r="AC30" s="545">
        <f>IF('Final Calculation Sheet'!$AA$31="","",'Final Calculation Sheet'!$AA$31)</f>
        <v/>
      </c>
      <c r="AD30" s="544">
        <f>IF('Final Calculation Sheet'!$AA$32="","",'Final Calculation Sheet'!$AA$32)</f>
        <v/>
      </c>
      <c r="AE30" s="545">
        <f>IF('Final Calculation Sheet'!$AA$33="","",'Final Calculation Sheet'!$AA$33)</f>
        <v/>
      </c>
      <c r="AF30" s="544">
        <f>IF('Final Calculation Sheet'!$AA$34="","",'Final Calculation Sheet'!$AA$34)</f>
        <v/>
      </c>
      <c r="AG30" s="545">
        <f>IF('Final Calculation Sheet'!$AA$35="","",'Final Calculation Sheet'!$AA$35)</f>
        <v/>
      </c>
      <c r="AH30" s="544">
        <f>IF('Final Calculation Sheet'!$AA$36="","",'Final Calculation Sheet'!$AA$36)</f>
        <v/>
      </c>
      <c r="AI30" s="545">
        <f>IF('Final Calculation Sheet'!$AA$37="","",'Final Calculation Sheet'!$AA$37)</f>
        <v/>
      </c>
      <c r="AJ30" s="544">
        <f>IF('Final Calculation Sheet'!$AA$38="","",'Final Calculation Sheet'!$AA$38)</f>
        <v/>
      </c>
      <c r="AK30" s="545">
        <f>IF('Final Calculation Sheet'!$AA$39="","",'Final Calculation Sheet'!$AA$39)</f>
        <v/>
      </c>
      <c r="AL30" s="544">
        <f>IF('Final Calculation Sheet'!$AA$40="","",'Final Calculation Sheet'!$AA$40)</f>
        <v/>
      </c>
      <c r="AM30" s="546">
        <f>IF('Final Calculation Sheet'!$AA$41="","",'Final Calculation Sheet'!$AA$41)</f>
        <v/>
      </c>
    </row>
    <row r="31" ht="15" customHeight="1">
      <c r="A31" s="543" t="inlineStr">
        <is>
          <t>Date of Recepit of LPP</t>
        </is>
      </c>
      <c r="B31" s="544">
        <f>IF('Final Calculation Sheet'!$AB$4="","",'Final Calculation Sheet'!$AB$4)</f>
        <v/>
      </c>
      <c r="C31" s="545">
        <f>IF('Final Calculation Sheet'!$AB$5="","",'Final Calculation Sheet'!$AB$5)</f>
        <v/>
      </c>
      <c r="D31" s="544">
        <f>IF('Final Calculation Sheet'!$AB$6="","",'Final Calculation Sheet'!$AB$6)</f>
        <v/>
      </c>
      <c r="E31" s="545">
        <f>IF('Final Calculation Sheet'!$AB$7="","",'Final Calculation Sheet'!$AB$7)</f>
        <v/>
      </c>
      <c r="F31" s="544">
        <f>IF('Final Calculation Sheet'!$AB$8="","",'Final Calculation Sheet'!$AB$8)</f>
        <v/>
      </c>
      <c r="G31" s="545">
        <f>IF('Final Calculation Sheet'!$AB$9="","",'Final Calculation Sheet'!$AB$9)</f>
        <v/>
      </c>
      <c r="H31" s="544">
        <f>IF('Final Calculation Sheet'!$AB$10="","",'Final Calculation Sheet'!$AB$10)</f>
        <v/>
      </c>
      <c r="I31" s="545">
        <f>IF('Final Calculation Sheet'!$AB$11="","",'Final Calculation Sheet'!$AB$11)</f>
        <v/>
      </c>
      <c r="J31" s="544">
        <f>IF('Final Calculation Sheet'!$AB$12="","",'Final Calculation Sheet'!$AB$12)</f>
        <v/>
      </c>
      <c r="K31" s="545">
        <f>IF('Final Calculation Sheet'!$AB$13="","",'Final Calculation Sheet'!$AB$13)</f>
        <v/>
      </c>
      <c r="L31" s="544">
        <f>IF('Final Calculation Sheet'!$AB$14="","",'Final Calculation Sheet'!$AB$14)</f>
        <v/>
      </c>
      <c r="M31" s="545">
        <f>IF('Final Calculation Sheet'!$AB$15="","",'Final Calculation Sheet'!$AB$15)</f>
        <v/>
      </c>
      <c r="N31" s="544">
        <f>IF('Final Calculation Sheet'!$AB$16="","",'Final Calculation Sheet'!$AB$16)</f>
        <v/>
      </c>
      <c r="O31" s="545">
        <f>IF('Final Calculation Sheet'!$AB$17="","",'Final Calculation Sheet'!$AB$17)</f>
        <v/>
      </c>
      <c r="P31" s="544">
        <f>IF('Final Calculation Sheet'!$AB$18="","",'Final Calculation Sheet'!$AB$18)</f>
        <v/>
      </c>
      <c r="Q31" s="545">
        <f>IF('Final Calculation Sheet'!$AB$19="","",'Final Calculation Sheet'!$AB$19)</f>
        <v/>
      </c>
      <c r="R31" s="544">
        <f>IF('Final Calculation Sheet'!$AB$20="","",'Final Calculation Sheet'!$AB$20)</f>
        <v/>
      </c>
      <c r="S31" s="545">
        <f>IF('Final Calculation Sheet'!$AB$21="","",'Final Calculation Sheet'!$AB$21)</f>
        <v/>
      </c>
      <c r="T31" s="544">
        <f>IF('Final Calculation Sheet'!$AB$22="","",'Final Calculation Sheet'!$AB$22)</f>
        <v/>
      </c>
      <c r="U31" s="545">
        <f>IF('Final Calculation Sheet'!$AB$23="","",'Final Calculation Sheet'!$AB$23)</f>
        <v/>
      </c>
      <c r="V31" s="544">
        <f>IF('Final Calculation Sheet'!$AB$24="","",'Final Calculation Sheet'!$AB$24)</f>
        <v/>
      </c>
      <c r="W31" s="545">
        <f>IF('Final Calculation Sheet'!$AB$25="","",'Final Calculation Sheet'!$AB$25)</f>
        <v/>
      </c>
      <c r="X31" s="544">
        <f>IF('Final Calculation Sheet'!$AB$26="","",'Final Calculation Sheet'!$AB$26)</f>
        <v/>
      </c>
      <c r="Y31" s="545">
        <f>IF('Final Calculation Sheet'!$AB$27="","",'Final Calculation Sheet'!$AB$27)</f>
        <v/>
      </c>
      <c r="Z31" s="544">
        <f>IF('Final Calculation Sheet'!$AB$28="","",'Final Calculation Sheet'!$AB$28)</f>
        <v/>
      </c>
      <c r="AA31" s="545">
        <f>IF('Final Calculation Sheet'!$AB$29="","",'Final Calculation Sheet'!$AB$29)</f>
        <v/>
      </c>
      <c r="AB31" s="544">
        <f>IF('Final Calculation Sheet'!$AB$30="","",'Final Calculation Sheet'!$AB$30)</f>
        <v/>
      </c>
      <c r="AC31" s="545">
        <f>IF('Final Calculation Sheet'!$AB$31="","",'Final Calculation Sheet'!$AB$31)</f>
        <v/>
      </c>
      <c r="AD31" s="544">
        <f>IF('Final Calculation Sheet'!$AB$32="","",'Final Calculation Sheet'!$AB$32)</f>
        <v/>
      </c>
      <c r="AE31" s="545">
        <f>IF('Final Calculation Sheet'!$AB$33="","",'Final Calculation Sheet'!$AB$33)</f>
        <v/>
      </c>
      <c r="AF31" s="544">
        <f>IF('Final Calculation Sheet'!$AB$34="","",'Final Calculation Sheet'!$AB$34)</f>
        <v/>
      </c>
      <c r="AG31" s="545">
        <f>IF('Final Calculation Sheet'!$AB$35="","",'Final Calculation Sheet'!$AB$35)</f>
        <v/>
      </c>
      <c r="AH31" s="544">
        <f>IF('Final Calculation Sheet'!$AB$36="","",'Final Calculation Sheet'!$AB$36)</f>
        <v/>
      </c>
      <c r="AI31" s="545">
        <f>IF('Final Calculation Sheet'!$AB$37="","",'Final Calculation Sheet'!$AB$37)</f>
        <v/>
      </c>
      <c r="AJ31" s="544">
        <f>IF('Final Calculation Sheet'!$AB$38="","",'Final Calculation Sheet'!$AB$38)</f>
        <v/>
      </c>
      <c r="AK31" s="545">
        <f>IF('Final Calculation Sheet'!$AB$39="","",'Final Calculation Sheet'!$AB$39)</f>
        <v/>
      </c>
      <c r="AL31" s="544">
        <f>IF('Final Calculation Sheet'!$AB$40="","",'Final Calculation Sheet'!$AB$40)</f>
        <v/>
      </c>
      <c r="AM31" s="546">
        <f>IF('Final Calculation Sheet'!$AB$41="","",'Final Calculation Sheet'!$AB$41)</f>
        <v/>
      </c>
    </row>
    <row r="32" ht="15" customHeight="1">
      <c r="A32" s="540" t="inlineStr">
        <is>
          <t>Total Received</t>
        </is>
      </c>
      <c r="B32" s="544">
        <f>IF('Final Calculation Sheet'!$AC$4="","",'Final Calculation Sheet'!$AC$4)</f>
        <v/>
      </c>
      <c r="C32" s="545">
        <f>IF('Final Calculation Sheet'!$AC$5="","",'Final Calculation Sheet'!$AC$5)</f>
        <v/>
      </c>
      <c r="D32" s="544">
        <f>IF('Final Calculation Sheet'!$AC$6="","",'Final Calculation Sheet'!$AC$6)</f>
        <v/>
      </c>
      <c r="E32" s="545">
        <f>IF('Final Calculation Sheet'!$AC$7="","",'Final Calculation Sheet'!$AC$7)</f>
        <v/>
      </c>
      <c r="F32" s="544">
        <f>IF('Final Calculation Sheet'!$AC$8="","",'Final Calculation Sheet'!$AC$8)</f>
        <v/>
      </c>
      <c r="G32" s="545">
        <f>IF('Final Calculation Sheet'!$AC$9="","",'Final Calculation Sheet'!$AC$9)</f>
        <v/>
      </c>
      <c r="H32" s="544">
        <f>IF('Final Calculation Sheet'!$AC$10="","",'Final Calculation Sheet'!$AC$10)</f>
        <v/>
      </c>
      <c r="I32" s="545">
        <f>IF('Final Calculation Sheet'!$AC$11="","",'Final Calculation Sheet'!$AC$11)</f>
        <v/>
      </c>
      <c r="J32" s="544">
        <f>IF('Final Calculation Sheet'!$AC$12="","",'Final Calculation Sheet'!$AC$12)</f>
        <v/>
      </c>
      <c r="K32" s="545">
        <f>IF('Final Calculation Sheet'!$AC$13="","",'Final Calculation Sheet'!$AC$13)</f>
        <v/>
      </c>
      <c r="L32" s="544">
        <f>IF('Final Calculation Sheet'!$AC$14="","",'Final Calculation Sheet'!$AC$14)</f>
        <v/>
      </c>
      <c r="M32" s="545">
        <f>IF('Final Calculation Sheet'!$AC$15="","",'Final Calculation Sheet'!$AC$15)</f>
        <v/>
      </c>
      <c r="N32" s="544">
        <f>IF('Final Calculation Sheet'!$AC$16="","",'Final Calculation Sheet'!$AC$16)</f>
        <v/>
      </c>
      <c r="O32" s="545">
        <f>IF('Final Calculation Sheet'!$AC$17="","",'Final Calculation Sheet'!$AC$17)</f>
        <v/>
      </c>
      <c r="P32" s="544">
        <f>IF('Final Calculation Sheet'!$AC$18="","",'Final Calculation Sheet'!$AC$18)</f>
        <v/>
      </c>
      <c r="Q32" s="545">
        <f>IF('Final Calculation Sheet'!$AC$19="","",'Final Calculation Sheet'!$AC$19)</f>
        <v/>
      </c>
      <c r="R32" s="544">
        <f>IF('Final Calculation Sheet'!$AC$20="","",'Final Calculation Sheet'!$AC$20)</f>
        <v/>
      </c>
      <c r="S32" s="545">
        <f>IF('Final Calculation Sheet'!$AC$21="","",'Final Calculation Sheet'!$AC$21)</f>
        <v/>
      </c>
      <c r="T32" s="544">
        <f>IF('Final Calculation Sheet'!$AC$22="","",'Final Calculation Sheet'!$AC$22)</f>
        <v/>
      </c>
      <c r="U32" s="545">
        <f>IF('Final Calculation Sheet'!$AC$23="","",'Final Calculation Sheet'!$AC$23)</f>
        <v/>
      </c>
      <c r="V32" s="544">
        <f>IF('Final Calculation Sheet'!$AC$24="","",'Final Calculation Sheet'!$AC$24)</f>
        <v/>
      </c>
      <c r="W32" s="545">
        <f>IF('Final Calculation Sheet'!$AC$25="","",'Final Calculation Sheet'!$AC$25)</f>
        <v/>
      </c>
      <c r="X32" s="544">
        <f>IF('Final Calculation Sheet'!$AC$26="","",'Final Calculation Sheet'!$AC$26)</f>
        <v/>
      </c>
      <c r="Y32" s="545">
        <f>IF('Final Calculation Sheet'!$AC$27="","",'Final Calculation Sheet'!$AC$27)</f>
        <v/>
      </c>
      <c r="Z32" s="544">
        <f>IF('Final Calculation Sheet'!$AC$28="","",'Final Calculation Sheet'!$AC$28)</f>
        <v/>
      </c>
      <c r="AA32" s="545">
        <f>IF('Final Calculation Sheet'!$AC$29="","",'Final Calculation Sheet'!$AC$29)</f>
        <v/>
      </c>
      <c r="AB32" s="544">
        <f>IF('Final Calculation Sheet'!$AC$30="","",'Final Calculation Sheet'!$AC$30)</f>
        <v/>
      </c>
      <c r="AC32" s="545">
        <f>IF('Final Calculation Sheet'!$AC$31="","",'Final Calculation Sheet'!$AC$31)</f>
        <v/>
      </c>
      <c r="AD32" s="544">
        <f>IF('Final Calculation Sheet'!$AC$32="","",'Final Calculation Sheet'!$AC$32)</f>
        <v/>
      </c>
      <c r="AE32" s="545">
        <f>IF('Final Calculation Sheet'!$AC$33="","",'Final Calculation Sheet'!$AC$33)</f>
        <v/>
      </c>
      <c r="AF32" s="544">
        <f>IF('Final Calculation Sheet'!$AC$34="","",'Final Calculation Sheet'!$AC$34)</f>
        <v/>
      </c>
      <c r="AG32" s="545">
        <f>IF('Final Calculation Sheet'!$AC$35="","",'Final Calculation Sheet'!$AC$35)</f>
        <v/>
      </c>
      <c r="AH32" s="544">
        <f>IF('Final Calculation Sheet'!$AC$36="","",'Final Calculation Sheet'!$AC$36)</f>
        <v/>
      </c>
      <c r="AI32" s="545">
        <f>IF('Final Calculation Sheet'!$AC$37="","",'Final Calculation Sheet'!$AC$37)</f>
        <v/>
      </c>
      <c r="AJ32" s="544">
        <f>IF('Final Calculation Sheet'!$AC$38="","",'Final Calculation Sheet'!$AC$38)</f>
        <v/>
      </c>
      <c r="AK32" s="545">
        <f>IF('Final Calculation Sheet'!$AC$39="","",'Final Calculation Sheet'!$AC$39)</f>
        <v/>
      </c>
      <c r="AL32" s="544">
        <f>IF('Final Calculation Sheet'!$AC$40="","",'Final Calculation Sheet'!$AC$40)</f>
        <v/>
      </c>
      <c r="AM32" s="546">
        <f>IF('Final Calculation Sheet'!$AC$41="","",'Final Calculation Sheet'!$AC$41)</f>
        <v/>
      </c>
    </row>
    <row r="33" ht="15" customHeight="1">
      <c r="A33" s="543" t="inlineStr">
        <is>
          <t>Outstanding</t>
        </is>
      </c>
      <c r="B33" s="544">
        <f>IF('Final Calculation Sheet'!$AD$4="","",'Final Calculation Sheet'!$AD$4)</f>
        <v/>
      </c>
      <c r="C33" s="545">
        <f>IF('Final Calculation Sheet'!$AD$5="","",'Final Calculation Sheet'!$AD$5)</f>
        <v/>
      </c>
      <c r="D33" s="544">
        <f>IF('Final Calculation Sheet'!$AD$6="","",'Final Calculation Sheet'!$AD$6)</f>
        <v/>
      </c>
      <c r="E33" s="545">
        <f>IF('Final Calculation Sheet'!$AD$7="","",'Final Calculation Sheet'!$AD$7)</f>
        <v/>
      </c>
      <c r="F33" s="544">
        <f>IF('Final Calculation Sheet'!$AD$8="","",'Final Calculation Sheet'!$AD$8)</f>
        <v/>
      </c>
      <c r="G33" s="545">
        <f>IF('Final Calculation Sheet'!$AD$9="","",'Final Calculation Sheet'!$AD$9)</f>
        <v/>
      </c>
      <c r="H33" s="544">
        <f>IF('Final Calculation Sheet'!$AD$10="","",'Final Calculation Sheet'!$AD$10)</f>
        <v/>
      </c>
      <c r="I33" s="545">
        <f>IF('Final Calculation Sheet'!$AD$11="","",'Final Calculation Sheet'!$AD$11)</f>
        <v/>
      </c>
      <c r="J33" s="544">
        <f>IF('Final Calculation Sheet'!$AD$12="","",'Final Calculation Sheet'!$AD$12)</f>
        <v/>
      </c>
      <c r="K33" s="545">
        <f>IF('Final Calculation Sheet'!$AD$13="","",'Final Calculation Sheet'!$AD$13)</f>
        <v/>
      </c>
      <c r="L33" s="544">
        <f>IF('Final Calculation Sheet'!$AD$14="","",'Final Calculation Sheet'!$AD$14)</f>
        <v/>
      </c>
      <c r="M33" s="545">
        <f>IF('Final Calculation Sheet'!$AD$15="","",'Final Calculation Sheet'!$AD$15)</f>
        <v/>
      </c>
      <c r="N33" s="544">
        <f>IF('Final Calculation Sheet'!$AD$16="","",'Final Calculation Sheet'!$AD$16)</f>
        <v/>
      </c>
      <c r="O33" s="545">
        <f>IF('Final Calculation Sheet'!$AD$17="","",'Final Calculation Sheet'!$AD$17)</f>
        <v/>
      </c>
      <c r="P33" s="544">
        <f>IF('Final Calculation Sheet'!$AD$18="","",'Final Calculation Sheet'!$AD$18)</f>
        <v/>
      </c>
      <c r="Q33" s="545">
        <f>IF('Final Calculation Sheet'!$AD$19="","",'Final Calculation Sheet'!$AD$19)</f>
        <v/>
      </c>
      <c r="R33" s="544">
        <f>IF('Final Calculation Sheet'!$AD$20="","",'Final Calculation Sheet'!$AD$20)</f>
        <v/>
      </c>
      <c r="S33" s="545">
        <f>IF('Final Calculation Sheet'!$AD$21="","",'Final Calculation Sheet'!$AD$21)</f>
        <v/>
      </c>
      <c r="T33" s="544">
        <f>IF('Final Calculation Sheet'!$AD$22="","",'Final Calculation Sheet'!$AD$22)</f>
        <v/>
      </c>
      <c r="U33" s="545">
        <f>IF('Final Calculation Sheet'!$AD$23="","",'Final Calculation Sheet'!$AD$23)</f>
        <v/>
      </c>
      <c r="V33" s="544">
        <f>IF('Final Calculation Sheet'!$AD$24="","",'Final Calculation Sheet'!$AD$24)</f>
        <v/>
      </c>
      <c r="W33" s="545">
        <f>IF('Final Calculation Sheet'!$AD$25="","",'Final Calculation Sheet'!$AD$25)</f>
        <v/>
      </c>
      <c r="X33" s="544">
        <f>IF('Final Calculation Sheet'!$AD$26="","",'Final Calculation Sheet'!$AD$26)</f>
        <v/>
      </c>
      <c r="Y33" s="545">
        <f>IF('Final Calculation Sheet'!$AD$27="","",'Final Calculation Sheet'!$AD$27)</f>
        <v/>
      </c>
      <c r="Z33" s="544">
        <f>IF('Final Calculation Sheet'!$AD$28="","",'Final Calculation Sheet'!$AD$28)</f>
        <v/>
      </c>
      <c r="AA33" s="545">
        <f>IF('Final Calculation Sheet'!$AD$29="","",'Final Calculation Sheet'!$AD$29)</f>
        <v/>
      </c>
      <c r="AB33" s="544">
        <f>IF('Final Calculation Sheet'!$AD$30="","",'Final Calculation Sheet'!$AD$30)</f>
        <v/>
      </c>
      <c r="AC33" s="545">
        <f>IF('Final Calculation Sheet'!$AD$31="","",'Final Calculation Sheet'!$AD$31)</f>
        <v/>
      </c>
      <c r="AD33" s="544">
        <f>IF('Final Calculation Sheet'!$AD$32="","",'Final Calculation Sheet'!$AD$32)</f>
        <v/>
      </c>
      <c r="AE33" s="545">
        <f>IF('Final Calculation Sheet'!$AD$33="","",'Final Calculation Sheet'!$AD$33)</f>
        <v/>
      </c>
      <c r="AF33" s="544">
        <f>IF('Final Calculation Sheet'!$AD$34="","",'Final Calculation Sheet'!$AD$34)</f>
        <v/>
      </c>
      <c r="AG33" s="545">
        <f>IF('Final Calculation Sheet'!$AD$35="","",'Final Calculation Sheet'!$AD$35)</f>
        <v/>
      </c>
      <c r="AH33" s="544">
        <f>IF('Final Calculation Sheet'!$AD$36="","",'Final Calculation Sheet'!$AD$36)</f>
        <v/>
      </c>
      <c r="AI33" s="545">
        <f>IF('Final Calculation Sheet'!$AD$37="","",'Final Calculation Sheet'!$AD$37)</f>
        <v/>
      </c>
      <c r="AJ33" s="544">
        <f>IF('Final Calculation Sheet'!$AD$38="","",'Final Calculation Sheet'!$AD$38)</f>
        <v/>
      </c>
      <c r="AK33" s="545">
        <f>IF('Final Calculation Sheet'!$AD$39="","",'Final Calculation Sheet'!$AD$39)</f>
        <v/>
      </c>
      <c r="AL33" s="544">
        <f>IF('Final Calculation Sheet'!$AD$40="","",'Final Calculation Sheet'!$AD$40)</f>
        <v/>
      </c>
      <c r="AM33" s="546">
        <f>IF('Final Calculation Sheet'!$AD$41="","",'Final Calculation Sheet'!$AD$41)</f>
        <v/>
      </c>
    </row>
    <row r="34" ht="15" customHeight="1">
      <c r="A34" s="540" t="inlineStr">
        <is>
          <t>Invoice No.</t>
        </is>
      </c>
      <c r="B34" s="544">
        <f>IF('Final Calculation Sheet'!$AE$4="","",'Final Calculation Sheet'!$AE$4)</f>
        <v/>
      </c>
      <c r="C34" s="545">
        <f>IF('Final Calculation Sheet'!$AE$5="","",'Final Calculation Sheet'!$AE$5)</f>
        <v/>
      </c>
      <c r="D34" s="544">
        <f>IF('Final Calculation Sheet'!$AE$6="","",'Final Calculation Sheet'!$AE$6)</f>
        <v/>
      </c>
      <c r="E34" s="545">
        <f>IF('Final Calculation Sheet'!$AE$7="","",'Final Calculation Sheet'!$AE$7)</f>
        <v/>
      </c>
      <c r="F34" s="544">
        <f>IF('Final Calculation Sheet'!$AE$8="","",'Final Calculation Sheet'!$AE$8)</f>
        <v/>
      </c>
      <c r="G34" s="545">
        <f>IF('Final Calculation Sheet'!$AE$9="","",'Final Calculation Sheet'!$AE$9)</f>
        <v/>
      </c>
      <c r="H34" s="544">
        <f>IF('Final Calculation Sheet'!$AE$10="","",'Final Calculation Sheet'!$AE$10)</f>
        <v/>
      </c>
      <c r="I34" s="545">
        <f>IF('Final Calculation Sheet'!$AE$11="","",'Final Calculation Sheet'!$AE$11)</f>
        <v/>
      </c>
      <c r="J34" s="544">
        <f>IF('Final Calculation Sheet'!$AE$12="","",'Final Calculation Sheet'!$AE$12)</f>
        <v/>
      </c>
      <c r="K34" s="545">
        <f>IF('Final Calculation Sheet'!$AE$13="","",'Final Calculation Sheet'!$AE$13)</f>
        <v/>
      </c>
      <c r="L34" s="544">
        <f>IF('Final Calculation Sheet'!$AE$14="","",'Final Calculation Sheet'!$AE$14)</f>
        <v/>
      </c>
      <c r="M34" s="545">
        <f>IF('Final Calculation Sheet'!$AE$15="","",'Final Calculation Sheet'!$AE$15)</f>
        <v/>
      </c>
      <c r="N34" s="544">
        <f>IF('Final Calculation Sheet'!$AE$16="","",'Final Calculation Sheet'!$AE$16)</f>
        <v/>
      </c>
      <c r="O34" s="545">
        <f>IF('Final Calculation Sheet'!$AE$17="","",'Final Calculation Sheet'!$AE$17)</f>
        <v/>
      </c>
      <c r="P34" s="544">
        <f>IF('Final Calculation Sheet'!$AE$18="","",'Final Calculation Sheet'!$AE$18)</f>
        <v/>
      </c>
      <c r="Q34" s="545">
        <f>IF('Final Calculation Sheet'!$AE$19="","",'Final Calculation Sheet'!$AE$19)</f>
        <v/>
      </c>
      <c r="R34" s="544">
        <f>IF('Final Calculation Sheet'!$AE$20="","",'Final Calculation Sheet'!$AE$20)</f>
        <v/>
      </c>
      <c r="S34" s="545">
        <f>IF('Final Calculation Sheet'!$AE$21="","",'Final Calculation Sheet'!$AE$21)</f>
        <v/>
      </c>
      <c r="T34" s="544">
        <f>IF('Final Calculation Sheet'!$AE$22="","",'Final Calculation Sheet'!$AE$22)</f>
        <v/>
      </c>
      <c r="U34" s="545">
        <f>IF('Final Calculation Sheet'!$AE$23="","",'Final Calculation Sheet'!$AE$23)</f>
        <v/>
      </c>
      <c r="V34" s="544">
        <f>IF('Final Calculation Sheet'!$AE$24="","",'Final Calculation Sheet'!$AE$24)</f>
        <v/>
      </c>
      <c r="W34" s="545">
        <f>IF('Final Calculation Sheet'!$AE$25="","",'Final Calculation Sheet'!$AE$25)</f>
        <v/>
      </c>
      <c r="X34" s="544">
        <f>IF('Final Calculation Sheet'!$AE$26="","",'Final Calculation Sheet'!$AE$26)</f>
        <v/>
      </c>
      <c r="Y34" s="545">
        <f>IF('Final Calculation Sheet'!$AE$27="","",'Final Calculation Sheet'!$AE$27)</f>
        <v/>
      </c>
      <c r="Z34" s="544">
        <f>IF('Final Calculation Sheet'!$AE$28="","",'Final Calculation Sheet'!$AE$28)</f>
        <v/>
      </c>
      <c r="AA34" s="545">
        <f>IF('Final Calculation Sheet'!$AE$29="","",'Final Calculation Sheet'!$AE$29)</f>
        <v/>
      </c>
      <c r="AB34" s="544">
        <f>IF('Final Calculation Sheet'!$AE$30="","",'Final Calculation Sheet'!$AE$30)</f>
        <v/>
      </c>
      <c r="AC34" s="545">
        <f>IF('Final Calculation Sheet'!$AE$31="","",'Final Calculation Sheet'!$AE$31)</f>
        <v/>
      </c>
      <c r="AD34" s="544">
        <f>IF('Final Calculation Sheet'!$AE$32="","",'Final Calculation Sheet'!$AE$32)</f>
        <v/>
      </c>
      <c r="AE34" s="545">
        <f>IF('Final Calculation Sheet'!$AE$33="","",'Final Calculation Sheet'!$AE$33)</f>
        <v/>
      </c>
      <c r="AF34" s="544">
        <f>IF('Final Calculation Sheet'!$AE$34="","",'Final Calculation Sheet'!$AE$34)</f>
        <v/>
      </c>
      <c r="AG34" s="545">
        <f>IF('Final Calculation Sheet'!$AE$35="","",'Final Calculation Sheet'!$AE$35)</f>
        <v/>
      </c>
      <c r="AH34" s="544">
        <f>IF('Final Calculation Sheet'!$AE$36="","",'Final Calculation Sheet'!$AE$36)</f>
        <v/>
      </c>
      <c r="AI34" s="545">
        <f>IF('Final Calculation Sheet'!$AE$37="","",'Final Calculation Sheet'!$AE$37)</f>
        <v/>
      </c>
      <c r="AJ34" s="544">
        <f>IF('Final Calculation Sheet'!$AE$38="","",'Final Calculation Sheet'!$AE$38)</f>
        <v/>
      </c>
      <c r="AK34" s="545">
        <f>IF('Final Calculation Sheet'!$AE$39="","",'Final Calculation Sheet'!$AE$39)</f>
        <v/>
      </c>
      <c r="AL34" s="544">
        <f>IF('Final Calculation Sheet'!$AE$40="","",'Final Calculation Sheet'!$AE$40)</f>
        <v/>
      </c>
      <c r="AM34" s="546">
        <f>IF('Final Calculation Sheet'!$AE$41="","",'Final Calculation Sheet'!$AE$41)</f>
        <v/>
      </c>
    </row>
    <row r="35" ht="15" customHeight="1">
      <c r="A35" s="543" t="inlineStr">
        <is>
          <t>SAP Document</t>
        </is>
      </c>
      <c r="B35" s="555">
        <f>IF('Final Calculation Sheet'!$AF$4="","",'Final Calculation Sheet'!$AF$4)</f>
        <v/>
      </c>
      <c r="C35" s="556">
        <f>IF('Final Calculation Sheet'!$AF$5="","",'Final Calculation Sheet'!$AF$5)</f>
        <v/>
      </c>
      <c r="D35" s="555">
        <f>IF('Final Calculation Sheet'!$AF$6="","",'Final Calculation Sheet'!$AF$6)</f>
        <v/>
      </c>
      <c r="E35" s="556">
        <f>IF('Final Calculation Sheet'!$AF$7="","",'Final Calculation Sheet'!$AF$7)</f>
        <v/>
      </c>
      <c r="F35" s="555">
        <f>IF('Final Calculation Sheet'!$AF$8="","",'Final Calculation Sheet'!$AF$8)</f>
        <v/>
      </c>
      <c r="G35" s="556">
        <f>IF('Final Calculation Sheet'!$AF$9="","",'Final Calculation Sheet'!$AF$9)</f>
        <v/>
      </c>
      <c r="H35" s="555">
        <f>IF('Final Calculation Sheet'!$AF$10="","",'Final Calculation Sheet'!$AF$10)</f>
        <v/>
      </c>
      <c r="I35" s="556">
        <f>IF('Final Calculation Sheet'!$AF$11="","",'Final Calculation Sheet'!$AF$11)</f>
        <v/>
      </c>
      <c r="J35" s="555">
        <f>IF('Final Calculation Sheet'!$AF$12="","",'Final Calculation Sheet'!$AF$12)</f>
        <v/>
      </c>
      <c r="K35" s="556">
        <f>IF('Final Calculation Sheet'!$AF$13="","",'Final Calculation Sheet'!$AF$13)</f>
        <v/>
      </c>
      <c r="L35" s="555">
        <f>IF('Final Calculation Sheet'!$AF$14="","",'Final Calculation Sheet'!$AF$14)</f>
        <v/>
      </c>
      <c r="M35" s="556">
        <f>IF('Final Calculation Sheet'!$AF$15="","",'Final Calculation Sheet'!$AF$15)</f>
        <v/>
      </c>
      <c r="N35" s="555">
        <f>IF('Final Calculation Sheet'!$AF$16="","",'Final Calculation Sheet'!$AF$16)</f>
        <v/>
      </c>
      <c r="O35" s="556">
        <f>IF('Final Calculation Sheet'!$AF$17="","",'Final Calculation Sheet'!$AF$17)</f>
        <v/>
      </c>
      <c r="P35" s="555">
        <f>IF('Final Calculation Sheet'!$AF$18="","",'Final Calculation Sheet'!$AF$18)</f>
        <v/>
      </c>
      <c r="Q35" s="556">
        <f>IF('Final Calculation Sheet'!$AF$19="","",'Final Calculation Sheet'!$AF$19)</f>
        <v/>
      </c>
      <c r="R35" s="555">
        <f>IF('Final Calculation Sheet'!$AF$20="","",'Final Calculation Sheet'!$AF$20)</f>
        <v/>
      </c>
      <c r="S35" s="556">
        <f>IF('Final Calculation Sheet'!$AF$21="","",'Final Calculation Sheet'!$AF$21)</f>
        <v/>
      </c>
      <c r="T35" s="555">
        <f>IF('Final Calculation Sheet'!$AF$22="","",'Final Calculation Sheet'!$AF$22)</f>
        <v/>
      </c>
      <c r="U35" s="556">
        <f>IF('Final Calculation Sheet'!$AF$23="","",'Final Calculation Sheet'!$AF$23)</f>
        <v/>
      </c>
      <c r="V35" s="555">
        <f>IF('Final Calculation Sheet'!$AF$24="","",'Final Calculation Sheet'!$AF$24)</f>
        <v/>
      </c>
      <c r="W35" s="556">
        <f>IF('Final Calculation Sheet'!$AF$25="","",'Final Calculation Sheet'!$AF$25)</f>
        <v/>
      </c>
      <c r="X35" s="555">
        <f>IF('Final Calculation Sheet'!$AF$26="","",'Final Calculation Sheet'!$AF$26)</f>
        <v/>
      </c>
      <c r="Y35" s="556">
        <f>IF('Final Calculation Sheet'!$AF$27="","",'Final Calculation Sheet'!$AF$27)</f>
        <v/>
      </c>
      <c r="Z35" s="555">
        <f>IF('Final Calculation Sheet'!$AF$28="","",'Final Calculation Sheet'!$AF$28)</f>
        <v/>
      </c>
      <c r="AA35" s="556">
        <f>IF('Final Calculation Sheet'!$AF$29="","",'Final Calculation Sheet'!$AF$29)</f>
        <v/>
      </c>
      <c r="AB35" s="555">
        <f>IF('Final Calculation Sheet'!$AF$30="","",'Final Calculation Sheet'!$AF$30)</f>
        <v/>
      </c>
      <c r="AC35" s="556">
        <f>IF('Final Calculation Sheet'!$AF$31="","",'Final Calculation Sheet'!$AF$31)</f>
        <v/>
      </c>
      <c r="AD35" s="555">
        <f>IF('Final Calculation Sheet'!$AF$32="","",'Final Calculation Sheet'!$AF$32)</f>
        <v/>
      </c>
      <c r="AE35" s="556">
        <f>IF('Final Calculation Sheet'!$AF$33="","",'Final Calculation Sheet'!$AF$33)</f>
        <v/>
      </c>
      <c r="AF35" s="555">
        <f>IF('Final Calculation Sheet'!$AF$34="","",'Final Calculation Sheet'!$AF$34)</f>
        <v/>
      </c>
      <c r="AG35" s="556">
        <f>IF('Final Calculation Sheet'!$AF$35="","",'Final Calculation Sheet'!$AF$35)</f>
        <v/>
      </c>
      <c r="AH35" s="555">
        <f>IF('Final Calculation Sheet'!$AF$36="","",'Final Calculation Sheet'!$AF$36)</f>
        <v/>
      </c>
      <c r="AI35" s="556">
        <f>IF('Final Calculation Sheet'!$AF$37="","",'Final Calculation Sheet'!$AF$37)</f>
        <v/>
      </c>
      <c r="AJ35" s="555">
        <f>IF('Final Calculation Sheet'!$AF$38="","",'Final Calculation Sheet'!$AF$38)</f>
        <v/>
      </c>
      <c r="AK35" s="556">
        <f>IF('Final Calculation Sheet'!$AF$39="","",'Final Calculation Sheet'!$AF$39)</f>
        <v/>
      </c>
      <c r="AL35" s="555">
        <f>IF('Final Calculation Sheet'!$AF$40="","",'Final Calculation Sheet'!$AF$40)</f>
        <v/>
      </c>
      <c r="AM35" s="499">
        <f>IF('Final Calculation Sheet'!$AF$41="","",'Final Calculation Sheet'!$AF$41)</f>
        <v/>
      </c>
    </row>
    <row r="36" ht="15" customHeight="1">
      <c r="A36" s="540" t="inlineStr">
        <is>
          <t>Doc./Invoice Date</t>
        </is>
      </c>
      <c r="B36" s="544">
        <f>IF('Final Calculation Sheet'!$AG$4="","",'Final Calculation Sheet'!$AG$4)</f>
        <v/>
      </c>
      <c r="C36" s="545">
        <f>IF('Final Calculation Sheet'!$AG$5="","",'Final Calculation Sheet'!$AG$5)</f>
        <v/>
      </c>
      <c r="D36" s="544">
        <f>IF('Final Calculation Sheet'!$AG$6="","",'Final Calculation Sheet'!$AG$6)</f>
        <v/>
      </c>
      <c r="E36" s="545">
        <f>IF('Final Calculation Sheet'!$AG$7="","",'Final Calculation Sheet'!$AG$7)</f>
        <v/>
      </c>
      <c r="F36" s="544">
        <f>IF('Final Calculation Sheet'!$AG$8="","",'Final Calculation Sheet'!$AG$8)</f>
        <v/>
      </c>
      <c r="G36" s="545">
        <f>IF('Final Calculation Sheet'!$AG$9="","",'Final Calculation Sheet'!$AG$9)</f>
        <v/>
      </c>
      <c r="H36" s="544">
        <f>IF('Final Calculation Sheet'!$AG$10="","",'Final Calculation Sheet'!$AG$10)</f>
        <v/>
      </c>
      <c r="I36" s="545">
        <f>IF('Final Calculation Sheet'!$AG$11="","",'Final Calculation Sheet'!$AG$11)</f>
        <v/>
      </c>
      <c r="J36" s="544">
        <f>IF('Final Calculation Sheet'!$AG$12="","",'Final Calculation Sheet'!$AG$12)</f>
        <v/>
      </c>
      <c r="K36" s="545">
        <f>IF('Final Calculation Sheet'!$AG$13="","",'Final Calculation Sheet'!$AG$13)</f>
        <v/>
      </c>
      <c r="L36" s="544">
        <f>IF('Final Calculation Sheet'!$AG$14="","",'Final Calculation Sheet'!$AG$14)</f>
        <v/>
      </c>
      <c r="M36" s="545">
        <f>IF('Final Calculation Sheet'!$AG$15="","",'Final Calculation Sheet'!$AG$15)</f>
        <v/>
      </c>
      <c r="N36" s="544">
        <f>IF('Final Calculation Sheet'!$AG$16="","",'Final Calculation Sheet'!$AG$16)</f>
        <v/>
      </c>
      <c r="O36" s="545">
        <f>IF('Final Calculation Sheet'!$AG$17="","",'Final Calculation Sheet'!$AG$17)</f>
        <v/>
      </c>
      <c r="P36" s="544">
        <f>IF('Final Calculation Sheet'!$AG$18="","",'Final Calculation Sheet'!$AG$18)</f>
        <v/>
      </c>
      <c r="Q36" s="545">
        <f>IF('Final Calculation Sheet'!$AG$19="","",'Final Calculation Sheet'!$AG$19)</f>
        <v/>
      </c>
      <c r="R36" s="544">
        <f>IF('Final Calculation Sheet'!$AG$20="","",'Final Calculation Sheet'!$AG$20)</f>
        <v/>
      </c>
      <c r="S36" s="545">
        <f>IF('Final Calculation Sheet'!$AG$21="","",'Final Calculation Sheet'!$AG$21)</f>
        <v/>
      </c>
      <c r="T36" s="544">
        <f>IF('Final Calculation Sheet'!$AG$22="","",'Final Calculation Sheet'!$AG$22)</f>
        <v/>
      </c>
      <c r="U36" s="545">
        <f>IF('Final Calculation Sheet'!$AG$23="","",'Final Calculation Sheet'!$AG$23)</f>
        <v/>
      </c>
      <c r="V36" s="544">
        <f>IF('Final Calculation Sheet'!$AG$24="","",'Final Calculation Sheet'!$AG$24)</f>
        <v/>
      </c>
      <c r="W36" s="545">
        <f>IF('Final Calculation Sheet'!$AG$25="","",'Final Calculation Sheet'!$AG$25)</f>
        <v/>
      </c>
      <c r="X36" s="544">
        <f>IF('Final Calculation Sheet'!$AG$26="","",'Final Calculation Sheet'!$AG$26)</f>
        <v/>
      </c>
      <c r="Y36" s="545">
        <f>IF('Final Calculation Sheet'!$AG$27="","",'Final Calculation Sheet'!$AG$27)</f>
        <v/>
      </c>
      <c r="Z36" s="544">
        <f>IF('Final Calculation Sheet'!$AG$28="","",'Final Calculation Sheet'!$AG$28)</f>
        <v/>
      </c>
      <c r="AA36" s="545">
        <f>IF('Final Calculation Sheet'!$AG$29="","",'Final Calculation Sheet'!$AG$29)</f>
        <v/>
      </c>
      <c r="AB36" s="544">
        <f>IF('Final Calculation Sheet'!$AG$30="","",'Final Calculation Sheet'!$AG$30)</f>
        <v/>
      </c>
      <c r="AC36" s="545">
        <f>IF('Final Calculation Sheet'!$AG$31="","",'Final Calculation Sheet'!$AG$31)</f>
        <v/>
      </c>
      <c r="AD36" s="544">
        <f>IF('Final Calculation Sheet'!$AG$32="","",'Final Calculation Sheet'!$AG$32)</f>
        <v/>
      </c>
      <c r="AE36" s="545">
        <f>IF('Final Calculation Sheet'!$AG$33="","",'Final Calculation Sheet'!$AG$33)</f>
        <v/>
      </c>
      <c r="AF36" s="544">
        <f>IF('Final Calculation Sheet'!$AG$34="","",'Final Calculation Sheet'!$AG$34)</f>
        <v/>
      </c>
      <c r="AG36" s="545">
        <f>IF('Final Calculation Sheet'!$AG$35="","",'Final Calculation Sheet'!$AG$35)</f>
        <v/>
      </c>
      <c r="AH36" s="544">
        <f>IF('Final Calculation Sheet'!$AG$36="","",'Final Calculation Sheet'!$AG$36)</f>
        <v/>
      </c>
      <c r="AI36" s="545">
        <f>IF('Final Calculation Sheet'!$AG$37="","",'Final Calculation Sheet'!$AG$37)</f>
        <v/>
      </c>
      <c r="AJ36" s="544">
        <f>IF('Final Calculation Sheet'!$AG$38="","",'Final Calculation Sheet'!$AG$38)</f>
        <v/>
      </c>
      <c r="AK36" s="545">
        <f>IF('Final Calculation Sheet'!$AG$39="","",'Final Calculation Sheet'!$AG$39)</f>
        <v/>
      </c>
      <c r="AL36" s="544">
        <f>IF('Final Calculation Sheet'!$AG$40="","",'Final Calculation Sheet'!$AG$40)</f>
        <v/>
      </c>
      <c r="AM36" s="546">
        <f>IF('Final Calculation Sheet'!$AG$41="","",'Final Calculation Sheet'!$AG$41)</f>
        <v/>
      </c>
    </row>
  </sheetData>
  <autoFilter ref="A3:A36"/>
  <mergeCells count="2">
    <mergeCell ref="A2:AM2"/>
    <mergeCell ref="A1:AM1"/>
  </mergeCells>
  <conditionalFormatting sqref="B33:AL33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AM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4.5" customWidth="1" min="39" max="3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ONE filter button, on the FIELD label cell at the top of column A: click it and tick the fields you want to see - every other row hides.  The lot headers carry no arrows.  Otherwise identical to 'Final Calc (Transposed)'.</t>
        </is>
      </c>
    </row>
    <row r="3" ht="30" customHeight="1">
      <c r="A3" s="424" t="inlineStr">
        <is>
          <t>FIELD (row 3 of the source)  ▸  |  LOT →</t>
        </is>
      </c>
      <c r="B3" s="536">
        <f>IF('Final Calculation Sheet'!$F$4="","",'Final Calculation Sheet'!$F$4)</f>
        <v/>
      </c>
      <c r="C3" s="537">
        <f>IF('Final Calculation Sheet'!$F$5="","",'Final Calculation Sheet'!$F$5)</f>
        <v/>
      </c>
      <c r="D3" s="537">
        <f>IF('Final Calculation Sheet'!$F$6="","",'Final Calculation Sheet'!$F$6)</f>
        <v/>
      </c>
      <c r="E3" s="537">
        <f>IF('Final Calculation Sheet'!$F$7="","",'Final Calculation Sheet'!$F$7)</f>
        <v/>
      </c>
      <c r="F3" s="536">
        <f>IF('Final Calculation Sheet'!$F$8="","",'Final Calculation Sheet'!$F$8)</f>
        <v/>
      </c>
      <c r="G3" s="537">
        <f>IF('Final Calculation Sheet'!$F$9="","",'Final Calculation Sheet'!$F$9)</f>
        <v/>
      </c>
      <c r="H3" s="537">
        <f>IF('Final Calculation Sheet'!$F$10="","",'Final Calculation Sheet'!$F$10)</f>
        <v/>
      </c>
      <c r="I3" s="537">
        <f>IF('Final Calculation Sheet'!$F$11="","",'Final Calculation Sheet'!$F$11)</f>
        <v/>
      </c>
      <c r="J3" s="537">
        <f>IF('Final Calculation Sheet'!$F$12="","",'Final Calculation Sheet'!$F$12)</f>
        <v/>
      </c>
      <c r="K3" s="537">
        <f>IF('Final Calculation Sheet'!$F$13="","",'Final Calculation Sheet'!$F$13)</f>
        <v/>
      </c>
      <c r="L3" s="537">
        <f>IF('Final Calculation Sheet'!$F$14="","",'Final Calculation Sheet'!$F$14)</f>
        <v/>
      </c>
      <c r="M3" s="537">
        <f>IF('Final Calculation Sheet'!$F$15="","",'Final Calculation Sheet'!$F$15)</f>
        <v/>
      </c>
      <c r="N3" s="537">
        <f>IF('Final Calculation Sheet'!$F$16="","",'Final Calculation Sheet'!$F$16)</f>
        <v/>
      </c>
      <c r="O3" s="538">
        <f>IF('Final Calculation Sheet'!$F$17="","",'Final Calculation Sheet'!$F$17)</f>
        <v/>
      </c>
      <c r="P3" s="538">
        <f>IF('Final Calculation Sheet'!$F$18="","",'Final Calculation Sheet'!$F$18)</f>
        <v/>
      </c>
      <c r="Q3" s="538">
        <f>IF('Final Calculation Sheet'!$F$19="","",'Final Calculation Sheet'!$F$19)</f>
        <v/>
      </c>
      <c r="R3" s="538">
        <f>IF('Final Calculation Sheet'!$F$20="","",'Final Calculation Sheet'!$F$20)</f>
        <v/>
      </c>
      <c r="S3" s="538">
        <f>IF('Final Calculation Sheet'!$F$21="","",'Final Calculation Sheet'!$F$21)</f>
        <v/>
      </c>
      <c r="T3" s="538">
        <f>IF('Final Calculation Sheet'!$F$22="","",'Final Calculation Sheet'!$F$22)</f>
        <v/>
      </c>
      <c r="U3" s="538">
        <f>IF('Final Calculation Sheet'!$F$23="","",'Final Calculation Sheet'!$F$23)</f>
        <v/>
      </c>
      <c r="V3" s="538">
        <f>IF('Final Calculation Sheet'!$F$24="","",'Final Calculation Sheet'!$F$24)</f>
        <v/>
      </c>
      <c r="W3" s="538">
        <f>IF('Final Calculation Sheet'!$F$25="","",'Final Calculation Sheet'!$F$25)</f>
        <v/>
      </c>
      <c r="X3" s="538">
        <f>IF('Final Calculation Sheet'!$F$26="","",'Final Calculation Sheet'!$F$26)</f>
        <v/>
      </c>
      <c r="Y3" s="538">
        <f>IF('Final Calculation Sheet'!$F$27="","",'Final Calculation Sheet'!$F$27)</f>
        <v/>
      </c>
      <c r="Z3" s="538">
        <f>IF('Final Calculation Sheet'!$F$28="","",'Final Calculation Sheet'!$F$28)</f>
        <v/>
      </c>
      <c r="AA3" s="538">
        <f>IF('Final Calculation Sheet'!$F$29="","",'Final Calculation Sheet'!$F$29)</f>
        <v/>
      </c>
      <c r="AB3" s="539">
        <f>IF('Final Calculation Sheet'!$F$30="","",'Final Calculation Sheet'!$F$30)</f>
        <v/>
      </c>
      <c r="AC3" s="539">
        <f>IF('Final Calculation Sheet'!$F$31="","",'Final Calculation Sheet'!$F$31)</f>
        <v/>
      </c>
      <c r="AD3" s="539">
        <f>IF('Final Calculation Sheet'!$F$32="","",'Final Calculation Sheet'!$F$32)</f>
        <v/>
      </c>
      <c r="AE3" s="539">
        <f>IF('Final Calculation Sheet'!$F$33="","",'Final Calculation Sheet'!$F$33)</f>
        <v/>
      </c>
      <c r="AF3" s="539">
        <f>IF('Final Calculation Sheet'!$F$34="","",'Final Calculation Sheet'!$F$34)</f>
        <v/>
      </c>
      <c r="AG3" s="536">
        <f>IF('Final Calculation Sheet'!$F$35="","",'Final Calculation Sheet'!$F$35)</f>
        <v/>
      </c>
      <c r="AH3" s="536">
        <f>IF('Final Calculation Sheet'!$F$36="","",'Final Calculation Sheet'!$F$36)</f>
        <v/>
      </c>
      <c r="AI3" s="536">
        <f>IF('Final Calculation Sheet'!$F$37="","",'Final Calculation Sheet'!$F$37)</f>
        <v/>
      </c>
      <c r="AJ3" s="536">
        <f>IF('Final Calculation Sheet'!$F$38="","",'Final Calculation Sheet'!$F$38)</f>
        <v/>
      </c>
      <c r="AK3" s="536">
        <f>IF('Final Calculation Sheet'!$F$39="","",'Final Calculation Sheet'!$F$39)</f>
        <v/>
      </c>
      <c r="AL3" s="536">
        <f>IF('Final Calculation Sheet'!$F$40="","",'Final Calculation Sheet'!$F$40)</f>
        <v/>
      </c>
      <c r="AM3" s="490" t="inlineStr">
        <is>
          <t>TOTAL (src row 41)</t>
        </is>
      </c>
    </row>
    <row r="4" ht="15" customHeight="1">
      <c r="A4" s="540" t="inlineStr">
        <is>
          <t>Quantity</t>
        </is>
      </c>
      <c r="B4" s="69">
        <f>IF('Final Calculation Sheet'!$A$4="","",'Final Calculation Sheet'!$A$4)</f>
        <v/>
      </c>
      <c r="C4" s="541">
        <f>IF('Final Calculation Sheet'!$A$5="","",'Final Calculation Sheet'!$A$5)</f>
        <v/>
      </c>
      <c r="D4" s="69">
        <f>IF('Final Calculation Sheet'!$A$6="","",'Final Calculation Sheet'!$A$6)</f>
        <v/>
      </c>
      <c r="E4" s="541">
        <f>IF('Final Calculation Sheet'!$A$7="","",'Final Calculation Sheet'!$A$7)</f>
        <v/>
      </c>
      <c r="F4" s="69">
        <f>IF('Final Calculation Sheet'!$A$8="","",'Final Calculation Sheet'!$A$8)</f>
        <v/>
      </c>
      <c r="G4" s="541">
        <f>IF('Final Calculation Sheet'!$A$9="","",'Final Calculation Sheet'!$A$9)</f>
        <v/>
      </c>
      <c r="H4" s="69">
        <f>IF('Final Calculation Sheet'!$A$10="","",'Final Calculation Sheet'!$A$10)</f>
        <v/>
      </c>
      <c r="I4" s="541">
        <f>IF('Final Calculation Sheet'!$A$11="","",'Final Calculation Sheet'!$A$11)</f>
        <v/>
      </c>
      <c r="J4" s="69">
        <f>IF('Final Calculation Sheet'!$A$12="","",'Final Calculation Sheet'!$A$12)</f>
        <v/>
      </c>
      <c r="K4" s="541">
        <f>IF('Final Calculation Sheet'!$A$13="","",'Final Calculation Sheet'!$A$13)</f>
        <v/>
      </c>
      <c r="L4" s="69">
        <f>IF('Final Calculation Sheet'!$A$14="","",'Final Calculation Sheet'!$A$14)</f>
        <v/>
      </c>
      <c r="M4" s="541">
        <f>IF('Final Calculation Sheet'!$A$15="","",'Final Calculation Sheet'!$A$15)</f>
        <v/>
      </c>
      <c r="N4" s="69">
        <f>IF('Final Calculation Sheet'!$A$16="","",'Final Calculation Sheet'!$A$16)</f>
        <v/>
      </c>
      <c r="O4" s="541">
        <f>IF('Final Calculation Sheet'!$A$17="","",'Final Calculation Sheet'!$A$17)</f>
        <v/>
      </c>
      <c r="P4" s="69">
        <f>IF('Final Calculation Sheet'!$A$18="","",'Final Calculation Sheet'!$A$18)</f>
        <v/>
      </c>
      <c r="Q4" s="541">
        <f>IF('Final Calculation Sheet'!$A$19="","",'Final Calculation Sheet'!$A$19)</f>
        <v/>
      </c>
      <c r="R4" s="69">
        <f>IF('Final Calculation Sheet'!$A$20="","",'Final Calculation Sheet'!$A$20)</f>
        <v/>
      </c>
      <c r="S4" s="541">
        <f>IF('Final Calculation Sheet'!$A$21="","",'Final Calculation Sheet'!$A$21)</f>
        <v/>
      </c>
      <c r="T4" s="69">
        <f>IF('Final Calculation Sheet'!$A$22="","",'Final Calculation Sheet'!$A$22)</f>
        <v/>
      </c>
      <c r="U4" s="541">
        <f>IF('Final Calculation Sheet'!$A$23="","",'Final Calculation Sheet'!$A$23)</f>
        <v/>
      </c>
      <c r="V4" s="69">
        <f>IF('Final Calculation Sheet'!$A$24="","",'Final Calculation Sheet'!$A$24)</f>
        <v/>
      </c>
      <c r="W4" s="541">
        <f>IF('Final Calculation Sheet'!$A$25="","",'Final Calculation Sheet'!$A$25)</f>
        <v/>
      </c>
      <c r="X4" s="69">
        <f>IF('Final Calculation Sheet'!$A$26="","",'Final Calculation Sheet'!$A$26)</f>
        <v/>
      </c>
      <c r="Y4" s="541">
        <f>IF('Final Calculation Sheet'!$A$27="","",'Final Calculation Sheet'!$A$27)</f>
        <v/>
      </c>
      <c r="Z4" s="69">
        <f>IF('Final Calculation Sheet'!$A$28="","",'Final Calculation Sheet'!$A$28)</f>
        <v/>
      </c>
      <c r="AA4" s="541">
        <f>IF('Final Calculation Sheet'!$A$29="","",'Final Calculation Sheet'!$A$29)</f>
        <v/>
      </c>
      <c r="AB4" s="69">
        <f>IF('Final Calculation Sheet'!$A$30="","",'Final Calculation Sheet'!$A$30)</f>
        <v/>
      </c>
      <c r="AC4" s="541">
        <f>IF('Final Calculation Sheet'!$A$31="","",'Final Calculation Sheet'!$A$31)</f>
        <v/>
      </c>
      <c r="AD4" s="69">
        <f>IF('Final Calculation Sheet'!$A$32="","",'Final Calculation Sheet'!$A$32)</f>
        <v/>
      </c>
      <c r="AE4" s="541">
        <f>IF('Final Calculation Sheet'!$A$33="","",'Final Calculation Sheet'!$A$33)</f>
        <v/>
      </c>
      <c r="AF4" s="69">
        <f>IF('Final Calculation Sheet'!$A$34="","",'Final Calculation Sheet'!$A$34)</f>
        <v/>
      </c>
      <c r="AG4" s="541">
        <f>IF('Final Calculation Sheet'!$A$35="","",'Final Calculation Sheet'!$A$35)</f>
        <v/>
      </c>
      <c r="AH4" s="69">
        <f>IF('Final Calculation Sheet'!$A$36="","",'Final Calculation Sheet'!$A$36)</f>
        <v/>
      </c>
      <c r="AI4" s="541">
        <f>IF('Final Calculation Sheet'!$A$37="","",'Final Calculation Sheet'!$A$37)</f>
        <v/>
      </c>
      <c r="AJ4" s="69">
        <f>IF('Final Calculation Sheet'!$A$38="","",'Final Calculation Sheet'!$A$38)</f>
        <v/>
      </c>
      <c r="AK4" s="541">
        <f>IF('Final Calculation Sheet'!$A$39="","",'Final Calculation Sheet'!$A$39)</f>
        <v/>
      </c>
      <c r="AL4" s="69">
        <f>IF('Final Calculation Sheet'!$A$40="","",'Final Calculation Sheet'!$A$40)</f>
        <v/>
      </c>
      <c r="AM4" s="542">
        <f>IF('Final Calculation Sheet'!$A$41="","",'Final Calculation Sheet'!$A$41)</f>
        <v/>
      </c>
    </row>
    <row r="5" ht="15" customHeight="1">
      <c r="A5" s="543" t="inlineStr">
        <is>
          <t>Lot Name</t>
        </is>
      </c>
      <c r="B5" s="69">
        <f>IF('Final Calculation Sheet'!$B$4="","",'Final Calculation Sheet'!$B$4)</f>
        <v/>
      </c>
      <c r="C5" s="541">
        <f>IF('Final Calculation Sheet'!$B$5="","",'Final Calculation Sheet'!$B$5)</f>
        <v/>
      </c>
      <c r="D5" s="69">
        <f>IF('Final Calculation Sheet'!$B$6="","",'Final Calculation Sheet'!$B$6)</f>
        <v/>
      </c>
      <c r="E5" s="541">
        <f>IF('Final Calculation Sheet'!$B$7="","",'Final Calculation Sheet'!$B$7)</f>
        <v/>
      </c>
      <c r="F5" s="69">
        <f>IF('Final Calculation Sheet'!$B$8="","",'Final Calculation Sheet'!$B$8)</f>
        <v/>
      </c>
      <c r="G5" s="541">
        <f>IF('Final Calculation Sheet'!$B$9="","",'Final Calculation Sheet'!$B$9)</f>
        <v/>
      </c>
      <c r="H5" s="69">
        <f>IF('Final Calculation Sheet'!$B$10="","",'Final Calculation Sheet'!$B$10)</f>
        <v/>
      </c>
      <c r="I5" s="541">
        <f>IF('Final Calculation Sheet'!$B$11="","",'Final Calculation Sheet'!$B$11)</f>
        <v/>
      </c>
      <c r="J5" s="69">
        <f>IF('Final Calculation Sheet'!$B$12="","",'Final Calculation Sheet'!$B$12)</f>
        <v/>
      </c>
      <c r="K5" s="541">
        <f>IF('Final Calculation Sheet'!$B$13="","",'Final Calculation Sheet'!$B$13)</f>
        <v/>
      </c>
      <c r="L5" s="69">
        <f>IF('Final Calculation Sheet'!$B$14="","",'Final Calculation Sheet'!$B$14)</f>
        <v/>
      </c>
      <c r="M5" s="541">
        <f>IF('Final Calculation Sheet'!$B$15="","",'Final Calculation Sheet'!$B$15)</f>
        <v/>
      </c>
      <c r="N5" s="69">
        <f>IF('Final Calculation Sheet'!$B$16="","",'Final Calculation Sheet'!$B$16)</f>
        <v/>
      </c>
      <c r="O5" s="541">
        <f>IF('Final Calculation Sheet'!$B$17="","",'Final Calculation Sheet'!$B$17)</f>
        <v/>
      </c>
      <c r="P5" s="69">
        <f>IF('Final Calculation Sheet'!$B$18="","",'Final Calculation Sheet'!$B$18)</f>
        <v/>
      </c>
      <c r="Q5" s="541">
        <f>IF('Final Calculation Sheet'!$B$19="","",'Final Calculation Sheet'!$B$19)</f>
        <v/>
      </c>
      <c r="R5" s="69">
        <f>IF('Final Calculation Sheet'!$B$20="","",'Final Calculation Sheet'!$B$20)</f>
        <v/>
      </c>
      <c r="S5" s="541">
        <f>IF('Final Calculation Sheet'!$B$21="","",'Final Calculation Sheet'!$B$21)</f>
        <v/>
      </c>
      <c r="T5" s="69">
        <f>IF('Final Calculation Sheet'!$B$22="","",'Final Calculation Sheet'!$B$22)</f>
        <v/>
      </c>
      <c r="U5" s="541">
        <f>IF('Final Calculation Sheet'!$B$23="","",'Final Calculation Sheet'!$B$23)</f>
        <v/>
      </c>
      <c r="V5" s="69">
        <f>IF('Final Calculation Sheet'!$B$24="","",'Final Calculation Sheet'!$B$24)</f>
        <v/>
      </c>
      <c r="W5" s="541">
        <f>IF('Final Calculation Sheet'!$B$25="","",'Final Calculation Sheet'!$B$25)</f>
        <v/>
      </c>
      <c r="X5" s="69">
        <f>IF('Final Calculation Sheet'!$B$26="","",'Final Calculation Sheet'!$B$26)</f>
        <v/>
      </c>
      <c r="Y5" s="541">
        <f>IF('Final Calculation Sheet'!$B$27="","",'Final Calculation Sheet'!$B$27)</f>
        <v/>
      </c>
      <c r="Z5" s="69">
        <f>IF('Final Calculation Sheet'!$B$28="","",'Final Calculation Sheet'!$B$28)</f>
        <v/>
      </c>
      <c r="AA5" s="541">
        <f>IF('Final Calculation Sheet'!$B$29="","",'Final Calculation Sheet'!$B$29)</f>
        <v/>
      </c>
      <c r="AB5" s="69">
        <f>IF('Final Calculation Sheet'!$B$30="","",'Final Calculation Sheet'!$B$30)</f>
        <v/>
      </c>
      <c r="AC5" s="541">
        <f>IF('Final Calculation Sheet'!$B$31="","",'Final Calculation Sheet'!$B$31)</f>
        <v/>
      </c>
      <c r="AD5" s="69">
        <f>IF('Final Calculation Sheet'!$B$32="","",'Final Calculation Sheet'!$B$32)</f>
        <v/>
      </c>
      <c r="AE5" s="541">
        <f>IF('Final Calculation Sheet'!$B$33="","",'Final Calculation Sheet'!$B$33)</f>
        <v/>
      </c>
      <c r="AF5" s="69">
        <f>IF('Final Calculation Sheet'!$B$34="","",'Final Calculation Sheet'!$B$34)</f>
        <v/>
      </c>
      <c r="AG5" s="541">
        <f>IF('Final Calculation Sheet'!$B$35="","",'Final Calculation Sheet'!$B$35)</f>
        <v/>
      </c>
      <c r="AH5" s="69">
        <f>IF('Final Calculation Sheet'!$B$36="","",'Final Calculation Sheet'!$B$36)</f>
        <v/>
      </c>
      <c r="AI5" s="541">
        <f>IF('Final Calculation Sheet'!$B$37="","",'Final Calculation Sheet'!$B$37)</f>
        <v/>
      </c>
      <c r="AJ5" s="69">
        <f>IF('Final Calculation Sheet'!$B$38="","",'Final Calculation Sheet'!$B$38)</f>
        <v/>
      </c>
      <c r="AK5" s="541">
        <f>IF('Final Calculation Sheet'!$B$39="","",'Final Calculation Sheet'!$B$39)</f>
        <v/>
      </c>
      <c r="AL5" s="69">
        <f>IF('Final Calculation Sheet'!$B$40="","",'Final Calculation Sheet'!$B$40)</f>
        <v/>
      </c>
      <c r="AM5" s="542">
        <f>IF('Final Calculation Sheet'!$B$41="","",'Final Calculation Sheet'!$B$41)</f>
        <v/>
      </c>
    </row>
    <row r="6" ht="15" customHeight="1">
      <c r="A6" s="540" t="inlineStr">
        <is>
          <t>Rate</t>
        </is>
      </c>
      <c r="B6" s="544">
        <f>IF('Final Calculation Sheet'!$C$4="","",'Final Calculation Sheet'!$C$4)</f>
        <v/>
      </c>
      <c r="C6" s="545">
        <f>IF('Final Calculation Sheet'!$C$5="","",'Final Calculation Sheet'!$C$5)</f>
        <v/>
      </c>
      <c r="D6" s="544">
        <f>IF('Final Calculation Sheet'!$C$6="","",'Final Calculation Sheet'!$C$6)</f>
        <v/>
      </c>
      <c r="E6" s="545">
        <f>IF('Final Calculation Sheet'!$C$7="","",'Final Calculation Sheet'!$C$7)</f>
        <v/>
      </c>
      <c r="F6" s="544">
        <f>IF('Final Calculation Sheet'!$C$8="","",'Final Calculation Sheet'!$C$8)</f>
        <v/>
      </c>
      <c r="G6" s="545">
        <f>IF('Final Calculation Sheet'!$C$9="","",'Final Calculation Sheet'!$C$9)</f>
        <v/>
      </c>
      <c r="H6" s="544">
        <f>IF('Final Calculation Sheet'!$C$10="","",'Final Calculation Sheet'!$C$10)</f>
        <v/>
      </c>
      <c r="I6" s="545">
        <f>IF('Final Calculation Sheet'!$C$11="","",'Final Calculation Sheet'!$C$11)</f>
        <v/>
      </c>
      <c r="J6" s="544">
        <f>IF('Final Calculation Sheet'!$C$12="","",'Final Calculation Sheet'!$C$12)</f>
        <v/>
      </c>
      <c r="K6" s="545">
        <f>IF('Final Calculation Sheet'!$C$13="","",'Final Calculation Sheet'!$C$13)</f>
        <v/>
      </c>
      <c r="L6" s="544">
        <f>IF('Final Calculation Sheet'!$C$14="","",'Final Calculation Sheet'!$C$14)</f>
        <v/>
      </c>
      <c r="M6" s="545">
        <f>IF('Final Calculation Sheet'!$C$15="","",'Final Calculation Sheet'!$C$15)</f>
        <v/>
      </c>
      <c r="N6" s="544">
        <f>IF('Final Calculation Sheet'!$C$16="","",'Final Calculation Sheet'!$C$16)</f>
        <v/>
      </c>
      <c r="O6" s="545">
        <f>IF('Final Calculation Sheet'!$C$17="","",'Final Calculation Sheet'!$C$17)</f>
        <v/>
      </c>
      <c r="P6" s="544">
        <f>IF('Final Calculation Sheet'!$C$18="","",'Final Calculation Sheet'!$C$18)</f>
        <v/>
      </c>
      <c r="Q6" s="545">
        <f>IF('Final Calculation Sheet'!$C$19="","",'Final Calculation Sheet'!$C$19)</f>
        <v/>
      </c>
      <c r="R6" s="544">
        <f>IF('Final Calculation Sheet'!$C$20="","",'Final Calculation Sheet'!$C$20)</f>
        <v/>
      </c>
      <c r="S6" s="545">
        <f>IF('Final Calculation Sheet'!$C$21="","",'Final Calculation Sheet'!$C$21)</f>
        <v/>
      </c>
      <c r="T6" s="544">
        <f>IF('Final Calculation Sheet'!$C$22="","",'Final Calculation Sheet'!$C$22)</f>
        <v/>
      </c>
      <c r="U6" s="545">
        <f>IF('Final Calculation Sheet'!$C$23="","",'Final Calculation Sheet'!$C$23)</f>
        <v/>
      </c>
      <c r="V6" s="544">
        <f>IF('Final Calculation Sheet'!$C$24="","",'Final Calculation Sheet'!$C$24)</f>
        <v/>
      </c>
      <c r="W6" s="545">
        <f>IF('Final Calculation Sheet'!$C$25="","",'Final Calculation Sheet'!$C$25)</f>
        <v/>
      </c>
      <c r="X6" s="544">
        <f>IF('Final Calculation Sheet'!$C$26="","",'Final Calculation Sheet'!$C$26)</f>
        <v/>
      </c>
      <c r="Y6" s="545">
        <f>IF('Final Calculation Sheet'!$C$27="","",'Final Calculation Sheet'!$C$27)</f>
        <v/>
      </c>
      <c r="Z6" s="544">
        <f>IF('Final Calculation Sheet'!$C$28="","",'Final Calculation Sheet'!$C$28)</f>
        <v/>
      </c>
      <c r="AA6" s="545">
        <f>IF('Final Calculation Sheet'!$C$29="","",'Final Calculation Sheet'!$C$29)</f>
        <v/>
      </c>
      <c r="AB6" s="544">
        <f>IF('Final Calculation Sheet'!$C$30="","",'Final Calculation Sheet'!$C$30)</f>
        <v/>
      </c>
      <c r="AC6" s="545">
        <f>IF('Final Calculation Sheet'!$C$31="","",'Final Calculation Sheet'!$C$31)</f>
        <v/>
      </c>
      <c r="AD6" s="544">
        <f>IF('Final Calculation Sheet'!$C$32="","",'Final Calculation Sheet'!$C$32)</f>
        <v/>
      </c>
      <c r="AE6" s="545">
        <f>IF('Final Calculation Sheet'!$C$33="","",'Final Calculation Sheet'!$C$33)</f>
        <v/>
      </c>
      <c r="AF6" s="544">
        <f>IF('Final Calculation Sheet'!$C$34="","",'Final Calculation Sheet'!$C$34)</f>
        <v/>
      </c>
      <c r="AG6" s="545">
        <f>IF('Final Calculation Sheet'!$C$35="","",'Final Calculation Sheet'!$C$35)</f>
        <v/>
      </c>
      <c r="AH6" s="544">
        <f>IF('Final Calculation Sheet'!$C$36="","",'Final Calculation Sheet'!$C$36)</f>
        <v/>
      </c>
      <c r="AI6" s="545">
        <f>IF('Final Calculation Sheet'!$C$37="","",'Final Calculation Sheet'!$C$37)</f>
        <v/>
      </c>
      <c r="AJ6" s="544">
        <f>IF('Final Calculation Sheet'!$C$38="","",'Final Calculation Sheet'!$C$38)</f>
        <v/>
      </c>
      <c r="AK6" s="545">
        <f>IF('Final Calculation Sheet'!$C$39="","",'Final Calculation Sheet'!$C$39)</f>
        <v/>
      </c>
      <c r="AL6" s="544">
        <f>IF('Final Calculation Sheet'!$C$40="","",'Final Calculation Sheet'!$C$40)</f>
        <v/>
      </c>
      <c r="AM6" s="546">
        <f>IF('Final Calculation Sheet'!$C$41="","",'Final Calculation Sheet'!$C$41)</f>
        <v/>
      </c>
    </row>
    <row r="7" ht="15" customHeight="1">
      <c r="A7" s="543" t="inlineStr">
        <is>
          <t>Bid Sheet</t>
        </is>
      </c>
      <c r="B7" s="69">
        <f>IF('Final Calculation Sheet'!$D$4="","",'Final Calculation Sheet'!$D$4)</f>
        <v/>
      </c>
      <c r="C7" s="541">
        <f>IF('Final Calculation Sheet'!$D$5="","",'Final Calculation Sheet'!$D$5)</f>
        <v/>
      </c>
      <c r="D7" s="69">
        <f>IF('Final Calculation Sheet'!$D$6="","",'Final Calculation Sheet'!$D$6)</f>
        <v/>
      </c>
      <c r="E7" s="541">
        <f>IF('Final Calculation Sheet'!$D$7="","",'Final Calculation Sheet'!$D$7)</f>
        <v/>
      </c>
      <c r="F7" s="69">
        <f>IF('Final Calculation Sheet'!$D$8="","",'Final Calculation Sheet'!$D$8)</f>
        <v/>
      </c>
      <c r="G7" s="541">
        <f>IF('Final Calculation Sheet'!$D$9="","",'Final Calculation Sheet'!$D$9)</f>
        <v/>
      </c>
      <c r="H7" s="69">
        <f>IF('Final Calculation Sheet'!$D$10="","",'Final Calculation Sheet'!$D$10)</f>
        <v/>
      </c>
      <c r="I7" s="541">
        <f>IF('Final Calculation Sheet'!$D$11="","",'Final Calculation Sheet'!$D$11)</f>
        <v/>
      </c>
      <c r="J7" s="69">
        <f>IF('Final Calculation Sheet'!$D$12="","",'Final Calculation Sheet'!$D$12)</f>
        <v/>
      </c>
      <c r="K7" s="541">
        <f>IF('Final Calculation Sheet'!$D$13="","",'Final Calculation Sheet'!$D$13)</f>
        <v/>
      </c>
      <c r="L7" s="69">
        <f>IF('Final Calculation Sheet'!$D$14="","",'Final Calculation Sheet'!$D$14)</f>
        <v/>
      </c>
      <c r="M7" s="541">
        <f>IF('Final Calculation Sheet'!$D$15="","",'Final Calculation Sheet'!$D$15)</f>
        <v/>
      </c>
      <c r="N7" s="69">
        <f>IF('Final Calculation Sheet'!$D$16="","",'Final Calculation Sheet'!$D$16)</f>
        <v/>
      </c>
      <c r="O7" s="541">
        <f>IF('Final Calculation Sheet'!$D$17="","",'Final Calculation Sheet'!$D$17)</f>
        <v/>
      </c>
      <c r="P7" s="69">
        <f>IF('Final Calculation Sheet'!$D$18="","",'Final Calculation Sheet'!$D$18)</f>
        <v/>
      </c>
      <c r="Q7" s="541">
        <f>IF('Final Calculation Sheet'!$D$19="","",'Final Calculation Sheet'!$D$19)</f>
        <v/>
      </c>
      <c r="R7" s="69">
        <f>IF('Final Calculation Sheet'!$D$20="","",'Final Calculation Sheet'!$D$20)</f>
        <v/>
      </c>
      <c r="S7" s="541">
        <f>IF('Final Calculation Sheet'!$D$21="","",'Final Calculation Sheet'!$D$21)</f>
        <v/>
      </c>
      <c r="T7" s="69">
        <f>IF('Final Calculation Sheet'!$D$22="","",'Final Calculation Sheet'!$D$22)</f>
        <v/>
      </c>
      <c r="U7" s="541">
        <f>IF('Final Calculation Sheet'!$D$23="","",'Final Calculation Sheet'!$D$23)</f>
        <v/>
      </c>
      <c r="V7" s="69">
        <f>IF('Final Calculation Sheet'!$D$24="","",'Final Calculation Sheet'!$D$24)</f>
        <v/>
      </c>
      <c r="W7" s="541">
        <f>IF('Final Calculation Sheet'!$D$25="","",'Final Calculation Sheet'!$D$25)</f>
        <v/>
      </c>
      <c r="X7" s="69">
        <f>IF('Final Calculation Sheet'!$D$26="","",'Final Calculation Sheet'!$D$26)</f>
        <v/>
      </c>
      <c r="Y7" s="541">
        <f>IF('Final Calculation Sheet'!$D$27="","",'Final Calculation Sheet'!$D$27)</f>
        <v/>
      </c>
      <c r="Z7" s="69">
        <f>IF('Final Calculation Sheet'!$D$28="","",'Final Calculation Sheet'!$D$28)</f>
        <v/>
      </c>
      <c r="AA7" s="541">
        <f>IF('Final Calculation Sheet'!$D$29="","",'Final Calculation Sheet'!$D$29)</f>
        <v/>
      </c>
      <c r="AB7" s="69">
        <f>IF('Final Calculation Sheet'!$D$30="","",'Final Calculation Sheet'!$D$30)</f>
        <v/>
      </c>
      <c r="AC7" s="541">
        <f>IF('Final Calculation Sheet'!$D$31="","",'Final Calculation Sheet'!$D$31)</f>
        <v/>
      </c>
      <c r="AD7" s="69">
        <f>IF('Final Calculation Sheet'!$D$32="","",'Final Calculation Sheet'!$D$32)</f>
        <v/>
      </c>
      <c r="AE7" s="541">
        <f>IF('Final Calculation Sheet'!$D$33="","",'Final Calculation Sheet'!$D$33)</f>
        <v/>
      </c>
      <c r="AF7" s="69">
        <f>IF('Final Calculation Sheet'!$D$34="","",'Final Calculation Sheet'!$D$34)</f>
        <v/>
      </c>
      <c r="AG7" s="541">
        <f>IF('Final Calculation Sheet'!$D$35="","",'Final Calculation Sheet'!$D$35)</f>
        <v/>
      </c>
      <c r="AH7" s="69">
        <f>IF('Final Calculation Sheet'!$D$36="","",'Final Calculation Sheet'!$D$36)</f>
        <v/>
      </c>
      <c r="AI7" s="541">
        <f>IF('Final Calculation Sheet'!$D$37="","",'Final Calculation Sheet'!$D$37)</f>
        <v/>
      </c>
      <c r="AJ7" s="69">
        <f>IF('Final Calculation Sheet'!$D$38="","",'Final Calculation Sheet'!$D$38)</f>
        <v/>
      </c>
      <c r="AK7" s="541">
        <f>IF('Final Calculation Sheet'!$D$39="","",'Final Calculation Sheet'!$D$39)</f>
        <v/>
      </c>
      <c r="AL7" s="69">
        <f>IF('Final Calculation Sheet'!$D$40="","",'Final Calculation Sheet'!$D$40)</f>
        <v/>
      </c>
      <c r="AM7" s="542">
        <f>IF('Final Calculation Sheet'!$D$41="","",'Final Calculation Sheet'!$D$41)</f>
        <v/>
      </c>
    </row>
    <row r="8" ht="15" customHeight="1">
      <c r="A8" s="540" t="inlineStr">
        <is>
          <t>Unit</t>
        </is>
      </c>
      <c r="B8" s="69">
        <f>IF('Final Calculation Sheet'!$E$4="","",'Final Calculation Sheet'!$E$4)</f>
        <v/>
      </c>
      <c r="C8" s="541">
        <f>IF('Final Calculation Sheet'!$E$5="","",'Final Calculation Sheet'!$E$5)</f>
        <v/>
      </c>
      <c r="D8" s="69">
        <f>IF('Final Calculation Sheet'!$E$6="","",'Final Calculation Sheet'!$E$6)</f>
        <v/>
      </c>
      <c r="E8" s="541">
        <f>IF('Final Calculation Sheet'!$E$7="","",'Final Calculation Sheet'!$E$7)</f>
        <v/>
      </c>
      <c r="F8" s="69">
        <f>IF('Final Calculation Sheet'!$E$8="","",'Final Calculation Sheet'!$E$8)</f>
        <v/>
      </c>
      <c r="G8" s="541">
        <f>IF('Final Calculation Sheet'!$E$9="","",'Final Calculation Sheet'!$E$9)</f>
        <v/>
      </c>
      <c r="H8" s="69">
        <f>IF('Final Calculation Sheet'!$E$10="","",'Final Calculation Sheet'!$E$10)</f>
        <v/>
      </c>
      <c r="I8" s="541">
        <f>IF('Final Calculation Sheet'!$E$11="","",'Final Calculation Sheet'!$E$11)</f>
        <v/>
      </c>
      <c r="J8" s="69">
        <f>IF('Final Calculation Sheet'!$E$12="","",'Final Calculation Sheet'!$E$12)</f>
        <v/>
      </c>
      <c r="K8" s="541">
        <f>IF('Final Calculation Sheet'!$E$13="","",'Final Calculation Sheet'!$E$13)</f>
        <v/>
      </c>
      <c r="L8" s="69">
        <f>IF('Final Calculation Sheet'!$E$14="","",'Final Calculation Sheet'!$E$14)</f>
        <v/>
      </c>
      <c r="M8" s="541">
        <f>IF('Final Calculation Sheet'!$E$15="","",'Final Calculation Sheet'!$E$15)</f>
        <v/>
      </c>
      <c r="N8" s="69">
        <f>IF('Final Calculation Sheet'!$E$16="","",'Final Calculation Sheet'!$E$16)</f>
        <v/>
      </c>
      <c r="O8" s="541">
        <f>IF('Final Calculation Sheet'!$E$17="","",'Final Calculation Sheet'!$E$17)</f>
        <v/>
      </c>
      <c r="P8" s="69">
        <f>IF('Final Calculation Sheet'!$E$18="","",'Final Calculation Sheet'!$E$18)</f>
        <v/>
      </c>
      <c r="Q8" s="541">
        <f>IF('Final Calculation Sheet'!$E$19="","",'Final Calculation Sheet'!$E$19)</f>
        <v/>
      </c>
      <c r="R8" s="69">
        <f>IF('Final Calculation Sheet'!$E$20="","",'Final Calculation Sheet'!$E$20)</f>
        <v/>
      </c>
      <c r="S8" s="541">
        <f>IF('Final Calculation Sheet'!$E$21="","",'Final Calculation Sheet'!$E$21)</f>
        <v/>
      </c>
      <c r="T8" s="69">
        <f>IF('Final Calculation Sheet'!$E$22="","",'Final Calculation Sheet'!$E$22)</f>
        <v/>
      </c>
      <c r="U8" s="541">
        <f>IF('Final Calculation Sheet'!$E$23="","",'Final Calculation Sheet'!$E$23)</f>
        <v/>
      </c>
      <c r="V8" s="69">
        <f>IF('Final Calculation Sheet'!$E$24="","",'Final Calculation Sheet'!$E$24)</f>
        <v/>
      </c>
      <c r="W8" s="541">
        <f>IF('Final Calculation Sheet'!$E$25="","",'Final Calculation Sheet'!$E$25)</f>
        <v/>
      </c>
      <c r="X8" s="69">
        <f>IF('Final Calculation Sheet'!$E$26="","",'Final Calculation Sheet'!$E$26)</f>
        <v/>
      </c>
      <c r="Y8" s="541">
        <f>IF('Final Calculation Sheet'!$E$27="","",'Final Calculation Sheet'!$E$27)</f>
        <v/>
      </c>
      <c r="Z8" s="69">
        <f>IF('Final Calculation Sheet'!$E$28="","",'Final Calculation Sheet'!$E$28)</f>
        <v/>
      </c>
      <c r="AA8" s="541">
        <f>IF('Final Calculation Sheet'!$E$29="","",'Final Calculation Sheet'!$E$29)</f>
        <v/>
      </c>
      <c r="AB8" s="69">
        <f>IF('Final Calculation Sheet'!$E$30="","",'Final Calculation Sheet'!$E$30)</f>
        <v/>
      </c>
      <c r="AC8" s="541">
        <f>IF('Final Calculation Sheet'!$E$31="","",'Final Calculation Sheet'!$E$31)</f>
        <v/>
      </c>
      <c r="AD8" s="69">
        <f>IF('Final Calculation Sheet'!$E$32="","",'Final Calculation Sheet'!$E$32)</f>
        <v/>
      </c>
      <c r="AE8" s="541">
        <f>IF('Final Calculation Sheet'!$E$33="","",'Final Calculation Sheet'!$E$33)</f>
        <v/>
      </c>
      <c r="AF8" s="69">
        <f>IF('Final Calculation Sheet'!$E$34="","",'Final Calculation Sheet'!$E$34)</f>
        <v/>
      </c>
      <c r="AG8" s="541">
        <f>IF('Final Calculation Sheet'!$E$35="","",'Final Calculation Sheet'!$E$35)</f>
        <v/>
      </c>
      <c r="AH8" s="69">
        <f>IF('Final Calculation Sheet'!$E$36="","",'Final Calculation Sheet'!$E$36)</f>
        <v/>
      </c>
      <c r="AI8" s="541">
        <f>IF('Final Calculation Sheet'!$E$37="","",'Final Calculation Sheet'!$E$37)</f>
        <v/>
      </c>
      <c r="AJ8" s="69">
        <f>IF('Final Calculation Sheet'!$E$38="","",'Final Calculation Sheet'!$E$38)</f>
        <v/>
      </c>
      <c r="AK8" s="541">
        <f>IF('Final Calculation Sheet'!$E$39="","",'Final Calculation Sheet'!$E$39)</f>
        <v/>
      </c>
      <c r="AL8" s="69">
        <f>IF('Final Calculation Sheet'!$E$40="","",'Final Calculation Sheet'!$E$40)</f>
        <v/>
      </c>
      <c r="AM8" s="542">
        <f>IF('Final Calculation Sheet'!$E$41="","",'Final Calculation Sheet'!$E$41)</f>
        <v/>
      </c>
    </row>
    <row r="9" ht="15" customHeight="1">
      <c r="A9" s="543" t="inlineStr">
        <is>
          <t>Lot No.</t>
        </is>
      </c>
      <c r="B9" s="69">
        <f>IF('Final Calculation Sheet'!$F$4="","",'Final Calculation Sheet'!$F$4)</f>
        <v/>
      </c>
      <c r="C9" s="541">
        <f>IF('Final Calculation Sheet'!$F$5="","",'Final Calculation Sheet'!$F$5)</f>
        <v/>
      </c>
      <c r="D9" s="69">
        <f>IF('Final Calculation Sheet'!$F$6="","",'Final Calculation Sheet'!$F$6)</f>
        <v/>
      </c>
      <c r="E9" s="541">
        <f>IF('Final Calculation Sheet'!$F$7="","",'Final Calculation Sheet'!$F$7)</f>
        <v/>
      </c>
      <c r="F9" s="69">
        <f>IF('Final Calculation Sheet'!$F$8="","",'Final Calculation Sheet'!$F$8)</f>
        <v/>
      </c>
      <c r="G9" s="541">
        <f>IF('Final Calculation Sheet'!$F$9="","",'Final Calculation Sheet'!$F$9)</f>
        <v/>
      </c>
      <c r="H9" s="69">
        <f>IF('Final Calculation Sheet'!$F$10="","",'Final Calculation Sheet'!$F$10)</f>
        <v/>
      </c>
      <c r="I9" s="541">
        <f>IF('Final Calculation Sheet'!$F$11="","",'Final Calculation Sheet'!$F$11)</f>
        <v/>
      </c>
      <c r="J9" s="69">
        <f>IF('Final Calculation Sheet'!$F$12="","",'Final Calculation Sheet'!$F$12)</f>
        <v/>
      </c>
      <c r="K9" s="541">
        <f>IF('Final Calculation Sheet'!$F$13="","",'Final Calculation Sheet'!$F$13)</f>
        <v/>
      </c>
      <c r="L9" s="69">
        <f>IF('Final Calculation Sheet'!$F$14="","",'Final Calculation Sheet'!$F$14)</f>
        <v/>
      </c>
      <c r="M9" s="541">
        <f>IF('Final Calculation Sheet'!$F$15="","",'Final Calculation Sheet'!$F$15)</f>
        <v/>
      </c>
      <c r="N9" s="69">
        <f>IF('Final Calculation Sheet'!$F$16="","",'Final Calculation Sheet'!$F$16)</f>
        <v/>
      </c>
      <c r="O9" s="541">
        <f>IF('Final Calculation Sheet'!$F$17="","",'Final Calculation Sheet'!$F$17)</f>
        <v/>
      </c>
      <c r="P9" s="69">
        <f>IF('Final Calculation Sheet'!$F$18="","",'Final Calculation Sheet'!$F$18)</f>
        <v/>
      </c>
      <c r="Q9" s="541">
        <f>IF('Final Calculation Sheet'!$F$19="","",'Final Calculation Sheet'!$F$19)</f>
        <v/>
      </c>
      <c r="R9" s="69">
        <f>IF('Final Calculation Sheet'!$F$20="","",'Final Calculation Sheet'!$F$20)</f>
        <v/>
      </c>
      <c r="S9" s="541">
        <f>IF('Final Calculation Sheet'!$F$21="","",'Final Calculation Sheet'!$F$21)</f>
        <v/>
      </c>
      <c r="T9" s="69">
        <f>IF('Final Calculation Sheet'!$F$22="","",'Final Calculation Sheet'!$F$22)</f>
        <v/>
      </c>
      <c r="U9" s="541">
        <f>IF('Final Calculation Sheet'!$F$23="","",'Final Calculation Sheet'!$F$23)</f>
        <v/>
      </c>
      <c r="V9" s="69">
        <f>IF('Final Calculation Sheet'!$F$24="","",'Final Calculation Sheet'!$F$24)</f>
        <v/>
      </c>
      <c r="W9" s="541">
        <f>IF('Final Calculation Sheet'!$F$25="","",'Final Calculation Sheet'!$F$25)</f>
        <v/>
      </c>
      <c r="X9" s="69">
        <f>IF('Final Calculation Sheet'!$F$26="","",'Final Calculation Sheet'!$F$26)</f>
        <v/>
      </c>
      <c r="Y9" s="541">
        <f>IF('Final Calculation Sheet'!$F$27="","",'Final Calculation Sheet'!$F$27)</f>
        <v/>
      </c>
      <c r="Z9" s="69">
        <f>IF('Final Calculation Sheet'!$F$28="","",'Final Calculation Sheet'!$F$28)</f>
        <v/>
      </c>
      <c r="AA9" s="541">
        <f>IF('Final Calculation Sheet'!$F$29="","",'Final Calculation Sheet'!$F$29)</f>
        <v/>
      </c>
      <c r="AB9" s="69">
        <f>IF('Final Calculation Sheet'!$F$30="","",'Final Calculation Sheet'!$F$30)</f>
        <v/>
      </c>
      <c r="AC9" s="541">
        <f>IF('Final Calculation Sheet'!$F$31="","",'Final Calculation Sheet'!$F$31)</f>
        <v/>
      </c>
      <c r="AD9" s="69">
        <f>IF('Final Calculation Sheet'!$F$32="","",'Final Calculation Sheet'!$F$32)</f>
        <v/>
      </c>
      <c r="AE9" s="541">
        <f>IF('Final Calculation Sheet'!$F$33="","",'Final Calculation Sheet'!$F$33)</f>
        <v/>
      </c>
      <c r="AF9" s="69">
        <f>IF('Final Calculation Sheet'!$F$34="","",'Final Calculation Sheet'!$F$34)</f>
        <v/>
      </c>
      <c r="AG9" s="541">
        <f>IF('Final Calculation Sheet'!$F$35="","",'Final Calculation Sheet'!$F$35)</f>
        <v/>
      </c>
      <c r="AH9" s="69">
        <f>IF('Final Calculation Sheet'!$F$36="","",'Final Calculation Sheet'!$F$36)</f>
        <v/>
      </c>
      <c r="AI9" s="541">
        <f>IF('Final Calculation Sheet'!$F$37="","",'Final Calculation Sheet'!$F$37)</f>
        <v/>
      </c>
      <c r="AJ9" s="69">
        <f>IF('Final Calculation Sheet'!$F$38="","",'Final Calculation Sheet'!$F$38)</f>
        <v/>
      </c>
      <c r="AK9" s="541">
        <f>IF('Final Calculation Sheet'!$F$39="","",'Final Calculation Sheet'!$F$39)</f>
        <v/>
      </c>
      <c r="AL9" s="69">
        <f>IF('Final Calculation Sheet'!$F$40="","",'Final Calculation Sheet'!$F$40)</f>
        <v/>
      </c>
      <c r="AM9" s="542">
        <f>IF('Final Calculation Sheet'!$F$41="","",'Final Calculation Sheet'!$F$41)</f>
        <v/>
      </c>
    </row>
    <row r="10" ht="15" customHeight="1">
      <c r="A10" s="540" t="inlineStr">
        <is>
          <t>Buyer</t>
        </is>
      </c>
      <c r="B10" s="69">
        <f>IF('Final Calculation Sheet'!$G$4="","",'Final Calculation Sheet'!$G$4)</f>
        <v/>
      </c>
      <c r="C10" s="541">
        <f>IF('Final Calculation Sheet'!$G$5="","",'Final Calculation Sheet'!$G$5)</f>
        <v/>
      </c>
      <c r="D10" s="69">
        <f>IF('Final Calculation Sheet'!$G$6="","",'Final Calculation Sheet'!$G$6)</f>
        <v/>
      </c>
      <c r="E10" s="541">
        <f>IF('Final Calculation Sheet'!$G$7="","",'Final Calculation Sheet'!$G$7)</f>
        <v/>
      </c>
      <c r="F10" s="69">
        <f>IF('Final Calculation Sheet'!$G$8="","",'Final Calculation Sheet'!$G$8)</f>
        <v/>
      </c>
      <c r="G10" s="541">
        <f>IF('Final Calculation Sheet'!$G$9="","",'Final Calculation Sheet'!$G$9)</f>
        <v/>
      </c>
      <c r="H10" s="69">
        <f>IF('Final Calculation Sheet'!$G$10="","",'Final Calculation Sheet'!$G$10)</f>
        <v/>
      </c>
      <c r="I10" s="541">
        <f>IF('Final Calculation Sheet'!$G$11="","",'Final Calculation Sheet'!$G$11)</f>
        <v/>
      </c>
      <c r="J10" s="69">
        <f>IF('Final Calculation Sheet'!$G$12="","",'Final Calculation Sheet'!$G$12)</f>
        <v/>
      </c>
      <c r="K10" s="541">
        <f>IF('Final Calculation Sheet'!$G$13="","",'Final Calculation Sheet'!$G$13)</f>
        <v/>
      </c>
      <c r="L10" s="69">
        <f>IF('Final Calculation Sheet'!$G$14="","",'Final Calculation Sheet'!$G$14)</f>
        <v/>
      </c>
      <c r="M10" s="541">
        <f>IF('Final Calculation Sheet'!$G$15="","",'Final Calculation Sheet'!$G$15)</f>
        <v/>
      </c>
      <c r="N10" s="69">
        <f>IF('Final Calculation Sheet'!$G$16="","",'Final Calculation Sheet'!$G$16)</f>
        <v/>
      </c>
      <c r="O10" s="541">
        <f>IF('Final Calculation Sheet'!$G$17="","",'Final Calculation Sheet'!$G$17)</f>
        <v/>
      </c>
      <c r="P10" s="69">
        <f>IF('Final Calculation Sheet'!$G$18="","",'Final Calculation Sheet'!$G$18)</f>
        <v/>
      </c>
      <c r="Q10" s="541">
        <f>IF('Final Calculation Sheet'!$G$19="","",'Final Calculation Sheet'!$G$19)</f>
        <v/>
      </c>
      <c r="R10" s="69">
        <f>IF('Final Calculation Sheet'!$G$20="","",'Final Calculation Sheet'!$G$20)</f>
        <v/>
      </c>
      <c r="S10" s="541">
        <f>IF('Final Calculation Sheet'!$G$21="","",'Final Calculation Sheet'!$G$21)</f>
        <v/>
      </c>
      <c r="T10" s="69">
        <f>IF('Final Calculation Sheet'!$G$22="","",'Final Calculation Sheet'!$G$22)</f>
        <v/>
      </c>
      <c r="U10" s="541">
        <f>IF('Final Calculation Sheet'!$G$23="","",'Final Calculation Sheet'!$G$23)</f>
        <v/>
      </c>
      <c r="V10" s="69">
        <f>IF('Final Calculation Sheet'!$G$24="","",'Final Calculation Sheet'!$G$24)</f>
        <v/>
      </c>
      <c r="W10" s="541">
        <f>IF('Final Calculation Sheet'!$G$25="","",'Final Calculation Sheet'!$G$25)</f>
        <v/>
      </c>
      <c r="X10" s="69">
        <f>IF('Final Calculation Sheet'!$G$26="","",'Final Calculation Sheet'!$G$26)</f>
        <v/>
      </c>
      <c r="Y10" s="541">
        <f>IF('Final Calculation Sheet'!$G$27="","",'Final Calculation Sheet'!$G$27)</f>
        <v/>
      </c>
      <c r="Z10" s="69">
        <f>IF('Final Calculation Sheet'!$G$28="","",'Final Calculation Sheet'!$G$28)</f>
        <v/>
      </c>
      <c r="AA10" s="541">
        <f>IF('Final Calculation Sheet'!$G$29="","",'Final Calculation Sheet'!$G$29)</f>
        <v/>
      </c>
      <c r="AB10" s="69">
        <f>IF('Final Calculation Sheet'!$G$30="","",'Final Calculation Sheet'!$G$30)</f>
        <v/>
      </c>
      <c r="AC10" s="541">
        <f>IF('Final Calculation Sheet'!$G$31="","",'Final Calculation Sheet'!$G$31)</f>
        <v/>
      </c>
      <c r="AD10" s="69">
        <f>IF('Final Calculation Sheet'!$G$32="","",'Final Calculation Sheet'!$G$32)</f>
        <v/>
      </c>
      <c r="AE10" s="541">
        <f>IF('Final Calculation Sheet'!$G$33="","",'Final Calculation Sheet'!$G$33)</f>
        <v/>
      </c>
      <c r="AF10" s="69">
        <f>IF('Final Calculation Sheet'!$G$34="","",'Final Calculation Sheet'!$G$34)</f>
        <v/>
      </c>
      <c r="AG10" s="541">
        <f>IF('Final Calculation Sheet'!$G$35="","",'Final Calculation Sheet'!$G$35)</f>
        <v/>
      </c>
      <c r="AH10" s="69">
        <f>IF('Final Calculation Sheet'!$G$36="","",'Final Calculation Sheet'!$G$36)</f>
        <v/>
      </c>
      <c r="AI10" s="541">
        <f>IF('Final Calculation Sheet'!$G$37="","",'Final Calculation Sheet'!$G$37)</f>
        <v/>
      </c>
      <c r="AJ10" s="69">
        <f>IF('Final Calculation Sheet'!$G$38="","",'Final Calculation Sheet'!$G$38)</f>
        <v/>
      </c>
      <c r="AK10" s="541">
        <f>IF('Final Calculation Sheet'!$G$39="","",'Final Calculation Sheet'!$G$39)</f>
        <v/>
      </c>
      <c r="AL10" s="69">
        <f>IF('Final Calculation Sheet'!$G$40="","",'Final Calculation Sheet'!$G$40)</f>
        <v/>
      </c>
      <c r="AM10" s="542">
        <f>IF('Final Calculation Sheet'!$G$41="","",'Final Calculation Sheet'!$G$41)</f>
        <v/>
      </c>
    </row>
    <row r="11" ht="15" customHeight="1">
      <c r="A11" s="543" t="inlineStr">
        <is>
          <t>Mat. Value</t>
        </is>
      </c>
      <c r="B11" s="544">
        <f>IF('Final Calculation Sheet'!$H$4="","",'Final Calculation Sheet'!$H$4)</f>
        <v/>
      </c>
      <c r="C11" s="545">
        <f>IF('Final Calculation Sheet'!$H$5="","",'Final Calculation Sheet'!$H$5)</f>
        <v/>
      </c>
      <c r="D11" s="544">
        <f>IF('Final Calculation Sheet'!$H$6="","",'Final Calculation Sheet'!$H$6)</f>
        <v/>
      </c>
      <c r="E11" s="545">
        <f>IF('Final Calculation Sheet'!$H$7="","",'Final Calculation Sheet'!$H$7)</f>
        <v/>
      </c>
      <c r="F11" s="544">
        <f>IF('Final Calculation Sheet'!$H$8="","",'Final Calculation Sheet'!$H$8)</f>
        <v/>
      </c>
      <c r="G11" s="545">
        <f>IF('Final Calculation Sheet'!$H$9="","",'Final Calculation Sheet'!$H$9)</f>
        <v/>
      </c>
      <c r="H11" s="544">
        <f>IF('Final Calculation Sheet'!$H$10="","",'Final Calculation Sheet'!$H$10)</f>
        <v/>
      </c>
      <c r="I11" s="545">
        <f>IF('Final Calculation Sheet'!$H$11="","",'Final Calculation Sheet'!$H$11)</f>
        <v/>
      </c>
      <c r="J11" s="544">
        <f>IF('Final Calculation Sheet'!$H$12="","",'Final Calculation Sheet'!$H$12)</f>
        <v/>
      </c>
      <c r="K11" s="545">
        <f>IF('Final Calculation Sheet'!$H$13="","",'Final Calculation Sheet'!$H$13)</f>
        <v/>
      </c>
      <c r="L11" s="544">
        <f>IF('Final Calculation Sheet'!$H$14="","",'Final Calculation Sheet'!$H$14)</f>
        <v/>
      </c>
      <c r="M11" s="545">
        <f>IF('Final Calculation Sheet'!$H$15="","",'Final Calculation Sheet'!$H$15)</f>
        <v/>
      </c>
      <c r="N11" s="544">
        <f>IF('Final Calculation Sheet'!$H$16="","",'Final Calculation Sheet'!$H$16)</f>
        <v/>
      </c>
      <c r="O11" s="545">
        <f>IF('Final Calculation Sheet'!$H$17="","",'Final Calculation Sheet'!$H$17)</f>
        <v/>
      </c>
      <c r="P11" s="544">
        <f>IF('Final Calculation Sheet'!$H$18="","",'Final Calculation Sheet'!$H$18)</f>
        <v/>
      </c>
      <c r="Q11" s="545">
        <f>IF('Final Calculation Sheet'!$H$19="","",'Final Calculation Sheet'!$H$19)</f>
        <v/>
      </c>
      <c r="R11" s="544">
        <f>IF('Final Calculation Sheet'!$H$20="","",'Final Calculation Sheet'!$H$20)</f>
        <v/>
      </c>
      <c r="S11" s="545">
        <f>IF('Final Calculation Sheet'!$H$21="","",'Final Calculation Sheet'!$H$21)</f>
        <v/>
      </c>
      <c r="T11" s="544">
        <f>IF('Final Calculation Sheet'!$H$22="","",'Final Calculation Sheet'!$H$22)</f>
        <v/>
      </c>
      <c r="U11" s="545">
        <f>IF('Final Calculation Sheet'!$H$23="","",'Final Calculation Sheet'!$H$23)</f>
        <v/>
      </c>
      <c r="V11" s="544">
        <f>IF('Final Calculation Sheet'!$H$24="","",'Final Calculation Sheet'!$H$24)</f>
        <v/>
      </c>
      <c r="W11" s="545">
        <f>IF('Final Calculation Sheet'!$H$25="","",'Final Calculation Sheet'!$H$25)</f>
        <v/>
      </c>
      <c r="X11" s="544">
        <f>IF('Final Calculation Sheet'!$H$26="","",'Final Calculation Sheet'!$H$26)</f>
        <v/>
      </c>
      <c r="Y11" s="545">
        <f>IF('Final Calculation Sheet'!$H$27="","",'Final Calculation Sheet'!$H$27)</f>
        <v/>
      </c>
      <c r="Z11" s="544">
        <f>IF('Final Calculation Sheet'!$H$28="","",'Final Calculation Sheet'!$H$28)</f>
        <v/>
      </c>
      <c r="AA11" s="545">
        <f>IF('Final Calculation Sheet'!$H$29="","",'Final Calculation Sheet'!$H$29)</f>
        <v/>
      </c>
      <c r="AB11" s="544">
        <f>IF('Final Calculation Sheet'!$H$30="","",'Final Calculation Sheet'!$H$30)</f>
        <v/>
      </c>
      <c r="AC11" s="545">
        <f>IF('Final Calculation Sheet'!$H$31="","",'Final Calculation Sheet'!$H$31)</f>
        <v/>
      </c>
      <c r="AD11" s="544">
        <f>IF('Final Calculation Sheet'!$H$32="","",'Final Calculation Sheet'!$H$32)</f>
        <v/>
      </c>
      <c r="AE11" s="545">
        <f>IF('Final Calculation Sheet'!$H$33="","",'Final Calculation Sheet'!$H$33)</f>
        <v/>
      </c>
      <c r="AF11" s="544">
        <f>IF('Final Calculation Sheet'!$H$34="","",'Final Calculation Sheet'!$H$34)</f>
        <v/>
      </c>
      <c r="AG11" s="545">
        <f>IF('Final Calculation Sheet'!$H$35="","",'Final Calculation Sheet'!$H$35)</f>
        <v/>
      </c>
      <c r="AH11" s="544">
        <f>IF('Final Calculation Sheet'!$H$36="","",'Final Calculation Sheet'!$H$36)</f>
        <v/>
      </c>
      <c r="AI11" s="545">
        <f>IF('Final Calculation Sheet'!$H$37="","",'Final Calculation Sheet'!$H$37)</f>
        <v/>
      </c>
      <c r="AJ11" s="544">
        <f>IF('Final Calculation Sheet'!$H$38="","",'Final Calculation Sheet'!$H$38)</f>
        <v/>
      </c>
      <c r="AK11" s="545">
        <f>IF('Final Calculation Sheet'!$H$39="","",'Final Calculation Sheet'!$H$39)</f>
        <v/>
      </c>
      <c r="AL11" s="544">
        <f>IF('Final Calculation Sheet'!$H$40="","",'Final Calculation Sheet'!$H$40)</f>
        <v/>
      </c>
      <c r="AM11" s="546">
        <f>IF('Final Calculation Sheet'!$H$41="","",'Final Calculation Sheet'!$H$41)</f>
        <v/>
      </c>
    </row>
    <row r="12" ht="15" customHeight="1">
      <c r="A12" s="540" t="inlineStr">
        <is>
          <t>GST</t>
        </is>
      </c>
      <c r="B12" s="544">
        <f>IF('Final Calculation Sheet'!$I$4="","",'Final Calculation Sheet'!$I$4)</f>
        <v/>
      </c>
      <c r="C12" s="545">
        <f>IF('Final Calculation Sheet'!$I$5="","",'Final Calculation Sheet'!$I$5)</f>
        <v/>
      </c>
      <c r="D12" s="544">
        <f>IF('Final Calculation Sheet'!$I$6="","",'Final Calculation Sheet'!$I$6)</f>
        <v/>
      </c>
      <c r="E12" s="545">
        <f>IF('Final Calculation Sheet'!$I$7="","",'Final Calculation Sheet'!$I$7)</f>
        <v/>
      </c>
      <c r="F12" s="544">
        <f>IF('Final Calculation Sheet'!$I$8="","",'Final Calculation Sheet'!$I$8)</f>
        <v/>
      </c>
      <c r="G12" s="545">
        <f>IF('Final Calculation Sheet'!$I$9="","",'Final Calculation Sheet'!$I$9)</f>
        <v/>
      </c>
      <c r="H12" s="544">
        <f>IF('Final Calculation Sheet'!$I$10="","",'Final Calculation Sheet'!$I$10)</f>
        <v/>
      </c>
      <c r="I12" s="545">
        <f>IF('Final Calculation Sheet'!$I$11="","",'Final Calculation Sheet'!$I$11)</f>
        <v/>
      </c>
      <c r="J12" s="544">
        <f>IF('Final Calculation Sheet'!$I$12="","",'Final Calculation Sheet'!$I$12)</f>
        <v/>
      </c>
      <c r="K12" s="545">
        <f>IF('Final Calculation Sheet'!$I$13="","",'Final Calculation Sheet'!$I$13)</f>
        <v/>
      </c>
      <c r="L12" s="544">
        <f>IF('Final Calculation Sheet'!$I$14="","",'Final Calculation Sheet'!$I$14)</f>
        <v/>
      </c>
      <c r="M12" s="545">
        <f>IF('Final Calculation Sheet'!$I$15="","",'Final Calculation Sheet'!$I$15)</f>
        <v/>
      </c>
      <c r="N12" s="544">
        <f>IF('Final Calculation Sheet'!$I$16="","",'Final Calculation Sheet'!$I$16)</f>
        <v/>
      </c>
      <c r="O12" s="545">
        <f>IF('Final Calculation Sheet'!$I$17="","",'Final Calculation Sheet'!$I$17)</f>
        <v/>
      </c>
      <c r="P12" s="544">
        <f>IF('Final Calculation Sheet'!$I$18="","",'Final Calculation Sheet'!$I$18)</f>
        <v/>
      </c>
      <c r="Q12" s="545">
        <f>IF('Final Calculation Sheet'!$I$19="","",'Final Calculation Sheet'!$I$19)</f>
        <v/>
      </c>
      <c r="R12" s="544">
        <f>IF('Final Calculation Sheet'!$I$20="","",'Final Calculation Sheet'!$I$20)</f>
        <v/>
      </c>
      <c r="S12" s="545">
        <f>IF('Final Calculation Sheet'!$I$21="","",'Final Calculation Sheet'!$I$21)</f>
        <v/>
      </c>
      <c r="T12" s="544">
        <f>IF('Final Calculation Sheet'!$I$22="","",'Final Calculation Sheet'!$I$22)</f>
        <v/>
      </c>
      <c r="U12" s="545">
        <f>IF('Final Calculation Sheet'!$I$23="","",'Final Calculation Sheet'!$I$23)</f>
        <v/>
      </c>
      <c r="V12" s="544">
        <f>IF('Final Calculation Sheet'!$I$24="","",'Final Calculation Sheet'!$I$24)</f>
        <v/>
      </c>
      <c r="W12" s="545">
        <f>IF('Final Calculation Sheet'!$I$25="","",'Final Calculation Sheet'!$I$25)</f>
        <v/>
      </c>
      <c r="X12" s="544">
        <f>IF('Final Calculation Sheet'!$I$26="","",'Final Calculation Sheet'!$I$26)</f>
        <v/>
      </c>
      <c r="Y12" s="545">
        <f>IF('Final Calculation Sheet'!$I$27="","",'Final Calculation Sheet'!$I$27)</f>
        <v/>
      </c>
      <c r="Z12" s="544">
        <f>IF('Final Calculation Sheet'!$I$28="","",'Final Calculation Sheet'!$I$28)</f>
        <v/>
      </c>
      <c r="AA12" s="545">
        <f>IF('Final Calculation Sheet'!$I$29="","",'Final Calculation Sheet'!$I$29)</f>
        <v/>
      </c>
      <c r="AB12" s="544">
        <f>IF('Final Calculation Sheet'!$I$30="","",'Final Calculation Sheet'!$I$30)</f>
        <v/>
      </c>
      <c r="AC12" s="545">
        <f>IF('Final Calculation Sheet'!$I$31="","",'Final Calculation Sheet'!$I$31)</f>
        <v/>
      </c>
      <c r="AD12" s="544">
        <f>IF('Final Calculation Sheet'!$I$32="","",'Final Calculation Sheet'!$I$32)</f>
        <v/>
      </c>
      <c r="AE12" s="545">
        <f>IF('Final Calculation Sheet'!$I$33="","",'Final Calculation Sheet'!$I$33)</f>
        <v/>
      </c>
      <c r="AF12" s="544">
        <f>IF('Final Calculation Sheet'!$I$34="","",'Final Calculation Sheet'!$I$34)</f>
        <v/>
      </c>
      <c r="AG12" s="545">
        <f>IF('Final Calculation Sheet'!$I$35="","",'Final Calculation Sheet'!$I$35)</f>
        <v/>
      </c>
      <c r="AH12" s="544">
        <f>IF('Final Calculation Sheet'!$I$36="","",'Final Calculation Sheet'!$I$36)</f>
        <v/>
      </c>
      <c r="AI12" s="545">
        <f>IF('Final Calculation Sheet'!$I$37="","",'Final Calculation Sheet'!$I$37)</f>
        <v/>
      </c>
      <c r="AJ12" s="544">
        <f>IF('Final Calculation Sheet'!$I$38="","",'Final Calculation Sheet'!$I$38)</f>
        <v/>
      </c>
      <c r="AK12" s="545">
        <f>IF('Final Calculation Sheet'!$I$39="","",'Final Calculation Sheet'!$I$39)</f>
        <v/>
      </c>
      <c r="AL12" s="544">
        <f>IF('Final Calculation Sheet'!$I$40="","",'Final Calculation Sheet'!$I$40)</f>
        <v/>
      </c>
      <c r="AM12" s="546">
        <f>IF('Final Calculation Sheet'!$I$41="","",'Final Calculation Sheet'!$I$41)</f>
        <v/>
      </c>
    </row>
    <row r="13" ht="15" customHeight="1">
      <c r="A13" s="543" t="inlineStr">
        <is>
          <t>Mat. Value + GST</t>
        </is>
      </c>
      <c r="B13" s="544">
        <f>IF('Final Calculation Sheet'!$J$4="","",'Final Calculation Sheet'!$J$4)</f>
        <v/>
      </c>
      <c r="C13" s="545">
        <f>IF('Final Calculation Sheet'!$J$5="","",'Final Calculation Sheet'!$J$5)</f>
        <v/>
      </c>
      <c r="D13" s="544">
        <f>IF('Final Calculation Sheet'!$J$6="","",'Final Calculation Sheet'!$J$6)</f>
        <v/>
      </c>
      <c r="E13" s="545">
        <f>IF('Final Calculation Sheet'!$J$7="","",'Final Calculation Sheet'!$J$7)</f>
        <v/>
      </c>
      <c r="F13" s="544">
        <f>IF('Final Calculation Sheet'!$J$8="","",'Final Calculation Sheet'!$J$8)</f>
        <v/>
      </c>
      <c r="G13" s="545">
        <f>IF('Final Calculation Sheet'!$J$9="","",'Final Calculation Sheet'!$J$9)</f>
        <v/>
      </c>
      <c r="H13" s="544">
        <f>IF('Final Calculation Sheet'!$J$10="","",'Final Calculation Sheet'!$J$10)</f>
        <v/>
      </c>
      <c r="I13" s="545">
        <f>IF('Final Calculation Sheet'!$J$11="","",'Final Calculation Sheet'!$J$11)</f>
        <v/>
      </c>
      <c r="J13" s="544">
        <f>IF('Final Calculation Sheet'!$J$12="","",'Final Calculation Sheet'!$J$12)</f>
        <v/>
      </c>
      <c r="K13" s="545">
        <f>IF('Final Calculation Sheet'!$J$13="","",'Final Calculation Sheet'!$J$13)</f>
        <v/>
      </c>
      <c r="L13" s="544">
        <f>IF('Final Calculation Sheet'!$J$14="","",'Final Calculation Sheet'!$J$14)</f>
        <v/>
      </c>
      <c r="M13" s="545">
        <f>IF('Final Calculation Sheet'!$J$15="","",'Final Calculation Sheet'!$J$15)</f>
        <v/>
      </c>
      <c r="N13" s="544">
        <f>IF('Final Calculation Sheet'!$J$16="","",'Final Calculation Sheet'!$J$16)</f>
        <v/>
      </c>
      <c r="O13" s="545">
        <f>IF('Final Calculation Sheet'!$J$17="","",'Final Calculation Sheet'!$J$17)</f>
        <v/>
      </c>
      <c r="P13" s="544">
        <f>IF('Final Calculation Sheet'!$J$18="","",'Final Calculation Sheet'!$J$18)</f>
        <v/>
      </c>
      <c r="Q13" s="545">
        <f>IF('Final Calculation Sheet'!$J$19="","",'Final Calculation Sheet'!$J$19)</f>
        <v/>
      </c>
      <c r="R13" s="544">
        <f>IF('Final Calculation Sheet'!$J$20="","",'Final Calculation Sheet'!$J$20)</f>
        <v/>
      </c>
      <c r="S13" s="545">
        <f>IF('Final Calculation Sheet'!$J$21="","",'Final Calculation Sheet'!$J$21)</f>
        <v/>
      </c>
      <c r="T13" s="544">
        <f>IF('Final Calculation Sheet'!$J$22="","",'Final Calculation Sheet'!$J$22)</f>
        <v/>
      </c>
      <c r="U13" s="545">
        <f>IF('Final Calculation Sheet'!$J$23="","",'Final Calculation Sheet'!$J$23)</f>
        <v/>
      </c>
      <c r="V13" s="544">
        <f>IF('Final Calculation Sheet'!$J$24="","",'Final Calculation Sheet'!$J$24)</f>
        <v/>
      </c>
      <c r="W13" s="545">
        <f>IF('Final Calculation Sheet'!$J$25="","",'Final Calculation Sheet'!$J$25)</f>
        <v/>
      </c>
      <c r="X13" s="544">
        <f>IF('Final Calculation Sheet'!$J$26="","",'Final Calculation Sheet'!$J$26)</f>
        <v/>
      </c>
      <c r="Y13" s="545">
        <f>IF('Final Calculation Sheet'!$J$27="","",'Final Calculation Sheet'!$J$27)</f>
        <v/>
      </c>
      <c r="Z13" s="544">
        <f>IF('Final Calculation Sheet'!$J$28="","",'Final Calculation Sheet'!$J$28)</f>
        <v/>
      </c>
      <c r="AA13" s="545">
        <f>IF('Final Calculation Sheet'!$J$29="","",'Final Calculation Sheet'!$J$29)</f>
        <v/>
      </c>
      <c r="AB13" s="544">
        <f>IF('Final Calculation Sheet'!$J$30="","",'Final Calculation Sheet'!$J$30)</f>
        <v/>
      </c>
      <c r="AC13" s="545">
        <f>IF('Final Calculation Sheet'!$J$31="","",'Final Calculation Sheet'!$J$31)</f>
        <v/>
      </c>
      <c r="AD13" s="544">
        <f>IF('Final Calculation Sheet'!$J$32="","",'Final Calculation Sheet'!$J$32)</f>
        <v/>
      </c>
      <c r="AE13" s="545">
        <f>IF('Final Calculation Sheet'!$J$33="","",'Final Calculation Sheet'!$J$33)</f>
        <v/>
      </c>
      <c r="AF13" s="544">
        <f>IF('Final Calculation Sheet'!$J$34="","",'Final Calculation Sheet'!$J$34)</f>
        <v/>
      </c>
      <c r="AG13" s="545">
        <f>IF('Final Calculation Sheet'!$J$35="","",'Final Calculation Sheet'!$J$35)</f>
        <v/>
      </c>
      <c r="AH13" s="544">
        <f>IF('Final Calculation Sheet'!$J$36="","",'Final Calculation Sheet'!$J$36)</f>
        <v/>
      </c>
      <c r="AI13" s="545">
        <f>IF('Final Calculation Sheet'!$J$37="","",'Final Calculation Sheet'!$J$37)</f>
        <v/>
      </c>
      <c r="AJ13" s="544">
        <f>IF('Final Calculation Sheet'!$J$38="","",'Final Calculation Sheet'!$J$38)</f>
        <v/>
      </c>
      <c r="AK13" s="545">
        <f>IF('Final Calculation Sheet'!$J$39="","",'Final Calculation Sheet'!$J$39)</f>
        <v/>
      </c>
      <c r="AL13" s="544">
        <f>IF('Final Calculation Sheet'!$J$40="","",'Final Calculation Sheet'!$J$40)</f>
        <v/>
      </c>
      <c r="AM13" s="546">
        <f>IF('Final Calculation Sheet'!$J$41="","",'Final Calculation Sheet'!$J$41)</f>
        <v/>
      </c>
    </row>
    <row r="14" ht="15" customHeight="1">
      <c r="A14" s="540" t="inlineStr">
        <is>
          <t>TCS</t>
        </is>
      </c>
      <c r="B14" s="544">
        <f>IF('Final Calculation Sheet'!$K$4="","",'Final Calculation Sheet'!$K$4)</f>
        <v/>
      </c>
      <c r="C14" s="545">
        <f>IF('Final Calculation Sheet'!$K$5="","",'Final Calculation Sheet'!$K$5)</f>
        <v/>
      </c>
      <c r="D14" s="544">
        <f>IF('Final Calculation Sheet'!$K$6="","",'Final Calculation Sheet'!$K$6)</f>
        <v/>
      </c>
      <c r="E14" s="545">
        <f>IF('Final Calculation Sheet'!$K$7="","",'Final Calculation Sheet'!$K$7)</f>
        <v/>
      </c>
      <c r="F14" s="544">
        <f>IF('Final Calculation Sheet'!$K$8="","",'Final Calculation Sheet'!$K$8)</f>
        <v/>
      </c>
      <c r="G14" s="545">
        <f>IF('Final Calculation Sheet'!$K$9="","",'Final Calculation Sheet'!$K$9)</f>
        <v/>
      </c>
      <c r="H14" s="544">
        <f>IF('Final Calculation Sheet'!$K$10="","",'Final Calculation Sheet'!$K$10)</f>
        <v/>
      </c>
      <c r="I14" s="545">
        <f>IF('Final Calculation Sheet'!$K$11="","",'Final Calculation Sheet'!$K$11)</f>
        <v/>
      </c>
      <c r="J14" s="544">
        <f>IF('Final Calculation Sheet'!$K$12="","",'Final Calculation Sheet'!$K$12)</f>
        <v/>
      </c>
      <c r="K14" s="545">
        <f>IF('Final Calculation Sheet'!$K$13="","",'Final Calculation Sheet'!$K$13)</f>
        <v/>
      </c>
      <c r="L14" s="544">
        <f>IF('Final Calculation Sheet'!$K$14="","",'Final Calculation Sheet'!$K$14)</f>
        <v/>
      </c>
      <c r="M14" s="545">
        <f>IF('Final Calculation Sheet'!$K$15="","",'Final Calculation Sheet'!$K$15)</f>
        <v/>
      </c>
      <c r="N14" s="544">
        <f>IF('Final Calculation Sheet'!$K$16="","",'Final Calculation Sheet'!$K$16)</f>
        <v/>
      </c>
      <c r="O14" s="545">
        <f>IF('Final Calculation Sheet'!$K$17="","",'Final Calculation Sheet'!$K$17)</f>
        <v/>
      </c>
      <c r="P14" s="544">
        <f>IF('Final Calculation Sheet'!$K$18="","",'Final Calculation Sheet'!$K$18)</f>
        <v/>
      </c>
      <c r="Q14" s="545">
        <f>IF('Final Calculation Sheet'!$K$19="","",'Final Calculation Sheet'!$K$19)</f>
        <v/>
      </c>
      <c r="R14" s="544">
        <f>IF('Final Calculation Sheet'!$K$20="","",'Final Calculation Sheet'!$K$20)</f>
        <v/>
      </c>
      <c r="S14" s="545">
        <f>IF('Final Calculation Sheet'!$K$21="","",'Final Calculation Sheet'!$K$21)</f>
        <v/>
      </c>
      <c r="T14" s="544">
        <f>IF('Final Calculation Sheet'!$K$22="","",'Final Calculation Sheet'!$K$22)</f>
        <v/>
      </c>
      <c r="U14" s="545">
        <f>IF('Final Calculation Sheet'!$K$23="","",'Final Calculation Sheet'!$K$23)</f>
        <v/>
      </c>
      <c r="V14" s="544">
        <f>IF('Final Calculation Sheet'!$K$24="","",'Final Calculation Sheet'!$K$24)</f>
        <v/>
      </c>
      <c r="W14" s="545">
        <f>IF('Final Calculation Sheet'!$K$25="","",'Final Calculation Sheet'!$K$25)</f>
        <v/>
      </c>
      <c r="X14" s="544">
        <f>IF('Final Calculation Sheet'!$K$26="","",'Final Calculation Sheet'!$K$26)</f>
        <v/>
      </c>
      <c r="Y14" s="545">
        <f>IF('Final Calculation Sheet'!$K$27="","",'Final Calculation Sheet'!$K$27)</f>
        <v/>
      </c>
      <c r="Z14" s="544">
        <f>IF('Final Calculation Sheet'!$K$28="","",'Final Calculation Sheet'!$K$28)</f>
        <v/>
      </c>
      <c r="AA14" s="545">
        <f>IF('Final Calculation Sheet'!$K$29="","",'Final Calculation Sheet'!$K$29)</f>
        <v/>
      </c>
      <c r="AB14" s="544">
        <f>IF('Final Calculation Sheet'!$K$30="","",'Final Calculation Sheet'!$K$30)</f>
        <v/>
      </c>
      <c r="AC14" s="545">
        <f>IF('Final Calculation Sheet'!$K$31="","",'Final Calculation Sheet'!$K$31)</f>
        <v/>
      </c>
      <c r="AD14" s="544">
        <f>IF('Final Calculation Sheet'!$K$32="","",'Final Calculation Sheet'!$K$32)</f>
        <v/>
      </c>
      <c r="AE14" s="545">
        <f>IF('Final Calculation Sheet'!$K$33="","",'Final Calculation Sheet'!$K$33)</f>
        <v/>
      </c>
      <c r="AF14" s="544">
        <f>IF('Final Calculation Sheet'!$K$34="","",'Final Calculation Sheet'!$K$34)</f>
        <v/>
      </c>
      <c r="AG14" s="545">
        <f>IF('Final Calculation Sheet'!$K$35="","",'Final Calculation Sheet'!$K$35)</f>
        <v/>
      </c>
      <c r="AH14" s="544">
        <f>IF('Final Calculation Sheet'!$K$36="","",'Final Calculation Sheet'!$K$36)</f>
        <v/>
      </c>
      <c r="AI14" s="545">
        <f>IF('Final Calculation Sheet'!$K$37="","",'Final Calculation Sheet'!$K$37)</f>
        <v/>
      </c>
      <c r="AJ14" s="544">
        <f>IF('Final Calculation Sheet'!$K$38="","",'Final Calculation Sheet'!$K$38)</f>
        <v/>
      </c>
      <c r="AK14" s="545">
        <f>IF('Final Calculation Sheet'!$K$39="","",'Final Calculation Sheet'!$K$39)</f>
        <v/>
      </c>
      <c r="AL14" s="544">
        <f>IF('Final Calculation Sheet'!$K$40="","",'Final Calculation Sheet'!$K$40)</f>
        <v/>
      </c>
      <c r="AM14" s="546">
        <f>IF('Final Calculation Sheet'!$K$41="","",'Final Calculation Sheet'!$K$41)</f>
        <v/>
      </c>
    </row>
    <row r="15" ht="15" customHeight="1">
      <c r="A15" s="543" t="inlineStr">
        <is>
          <t>TDS u/s 194(O)</t>
        </is>
      </c>
      <c r="B15" s="544">
        <f>IF('Final Calculation Sheet'!$L$4="","",'Final Calculation Sheet'!$L$4)</f>
        <v/>
      </c>
      <c r="C15" s="545">
        <f>IF('Final Calculation Sheet'!$L$5="","",'Final Calculation Sheet'!$L$5)</f>
        <v/>
      </c>
      <c r="D15" s="544">
        <f>IF('Final Calculation Sheet'!$L$6="","",'Final Calculation Sheet'!$L$6)</f>
        <v/>
      </c>
      <c r="E15" s="545">
        <f>IF('Final Calculation Sheet'!$L$7="","",'Final Calculation Sheet'!$L$7)</f>
        <v/>
      </c>
      <c r="F15" s="544">
        <f>IF('Final Calculation Sheet'!$L$8="","",'Final Calculation Sheet'!$L$8)</f>
        <v/>
      </c>
      <c r="G15" s="545">
        <f>IF('Final Calculation Sheet'!$L$9="","",'Final Calculation Sheet'!$L$9)</f>
        <v/>
      </c>
      <c r="H15" s="544">
        <f>IF('Final Calculation Sheet'!$L$10="","",'Final Calculation Sheet'!$L$10)</f>
        <v/>
      </c>
      <c r="I15" s="545">
        <f>IF('Final Calculation Sheet'!$L$11="","",'Final Calculation Sheet'!$L$11)</f>
        <v/>
      </c>
      <c r="J15" s="544">
        <f>IF('Final Calculation Sheet'!$L$12="","",'Final Calculation Sheet'!$L$12)</f>
        <v/>
      </c>
      <c r="K15" s="545">
        <f>IF('Final Calculation Sheet'!$L$13="","",'Final Calculation Sheet'!$L$13)</f>
        <v/>
      </c>
      <c r="L15" s="544">
        <f>IF('Final Calculation Sheet'!$L$14="","",'Final Calculation Sheet'!$L$14)</f>
        <v/>
      </c>
      <c r="M15" s="545">
        <f>IF('Final Calculation Sheet'!$L$15="","",'Final Calculation Sheet'!$L$15)</f>
        <v/>
      </c>
      <c r="N15" s="544">
        <f>IF('Final Calculation Sheet'!$L$16="","",'Final Calculation Sheet'!$L$16)</f>
        <v/>
      </c>
      <c r="O15" s="545">
        <f>IF('Final Calculation Sheet'!$L$17="","",'Final Calculation Sheet'!$L$17)</f>
        <v/>
      </c>
      <c r="P15" s="544">
        <f>IF('Final Calculation Sheet'!$L$18="","",'Final Calculation Sheet'!$L$18)</f>
        <v/>
      </c>
      <c r="Q15" s="545">
        <f>IF('Final Calculation Sheet'!$L$19="","",'Final Calculation Sheet'!$L$19)</f>
        <v/>
      </c>
      <c r="R15" s="544">
        <f>IF('Final Calculation Sheet'!$L$20="","",'Final Calculation Sheet'!$L$20)</f>
        <v/>
      </c>
      <c r="S15" s="545">
        <f>IF('Final Calculation Sheet'!$L$21="","",'Final Calculation Sheet'!$L$21)</f>
        <v/>
      </c>
      <c r="T15" s="544">
        <f>IF('Final Calculation Sheet'!$L$22="","",'Final Calculation Sheet'!$L$22)</f>
        <v/>
      </c>
      <c r="U15" s="545">
        <f>IF('Final Calculation Sheet'!$L$23="","",'Final Calculation Sheet'!$L$23)</f>
        <v/>
      </c>
      <c r="V15" s="544">
        <f>IF('Final Calculation Sheet'!$L$24="","",'Final Calculation Sheet'!$L$24)</f>
        <v/>
      </c>
      <c r="W15" s="545">
        <f>IF('Final Calculation Sheet'!$L$25="","",'Final Calculation Sheet'!$L$25)</f>
        <v/>
      </c>
      <c r="X15" s="544">
        <f>IF('Final Calculation Sheet'!$L$26="","",'Final Calculation Sheet'!$L$26)</f>
        <v/>
      </c>
      <c r="Y15" s="545">
        <f>IF('Final Calculation Sheet'!$L$27="","",'Final Calculation Sheet'!$L$27)</f>
        <v/>
      </c>
      <c r="Z15" s="544">
        <f>IF('Final Calculation Sheet'!$L$28="","",'Final Calculation Sheet'!$L$28)</f>
        <v/>
      </c>
      <c r="AA15" s="545">
        <f>IF('Final Calculation Sheet'!$L$29="","",'Final Calculation Sheet'!$L$29)</f>
        <v/>
      </c>
      <c r="AB15" s="544">
        <f>IF('Final Calculation Sheet'!$L$30="","",'Final Calculation Sheet'!$L$30)</f>
        <v/>
      </c>
      <c r="AC15" s="545">
        <f>IF('Final Calculation Sheet'!$L$31="","",'Final Calculation Sheet'!$L$31)</f>
        <v/>
      </c>
      <c r="AD15" s="544">
        <f>IF('Final Calculation Sheet'!$L$32="","",'Final Calculation Sheet'!$L$32)</f>
        <v/>
      </c>
      <c r="AE15" s="545">
        <f>IF('Final Calculation Sheet'!$L$33="","",'Final Calculation Sheet'!$L$33)</f>
        <v/>
      </c>
      <c r="AF15" s="544">
        <f>IF('Final Calculation Sheet'!$L$34="","",'Final Calculation Sheet'!$L$34)</f>
        <v/>
      </c>
      <c r="AG15" s="545">
        <f>IF('Final Calculation Sheet'!$L$35="","",'Final Calculation Sheet'!$L$35)</f>
        <v/>
      </c>
      <c r="AH15" s="544">
        <f>IF('Final Calculation Sheet'!$L$36="","",'Final Calculation Sheet'!$L$36)</f>
        <v/>
      </c>
      <c r="AI15" s="545">
        <f>IF('Final Calculation Sheet'!$L$37="","",'Final Calculation Sheet'!$L$37)</f>
        <v/>
      </c>
      <c r="AJ15" s="544">
        <f>IF('Final Calculation Sheet'!$L$38="","",'Final Calculation Sheet'!$L$38)</f>
        <v/>
      </c>
      <c r="AK15" s="545">
        <f>IF('Final Calculation Sheet'!$L$39="","",'Final Calculation Sheet'!$L$39)</f>
        <v/>
      </c>
      <c r="AL15" s="544">
        <f>IF('Final Calculation Sheet'!$L$40="","",'Final Calculation Sheet'!$L$40)</f>
        <v/>
      </c>
      <c r="AM15" s="546">
        <f>IF('Final Calculation Sheet'!$L$41="","",'Final Calculation Sheet'!$L$41)</f>
        <v/>
      </c>
    </row>
    <row r="16" ht="15" customHeight="1">
      <c r="A16" s="540" t="inlineStr">
        <is>
          <t>Service Charge to MSTC</t>
        </is>
      </c>
      <c r="B16" s="544">
        <f>IF('Final Calculation Sheet'!$M$4="","",'Final Calculation Sheet'!$M$4)</f>
        <v/>
      </c>
      <c r="C16" s="545">
        <f>IF('Final Calculation Sheet'!$M$5="","",'Final Calculation Sheet'!$M$5)</f>
        <v/>
      </c>
      <c r="D16" s="544">
        <f>IF('Final Calculation Sheet'!$M$6="","",'Final Calculation Sheet'!$M$6)</f>
        <v/>
      </c>
      <c r="E16" s="545">
        <f>IF('Final Calculation Sheet'!$M$7="","",'Final Calculation Sheet'!$M$7)</f>
        <v/>
      </c>
      <c r="F16" s="544">
        <f>IF('Final Calculation Sheet'!$M$8="","",'Final Calculation Sheet'!$M$8)</f>
        <v/>
      </c>
      <c r="G16" s="545">
        <f>IF('Final Calculation Sheet'!$M$9="","",'Final Calculation Sheet'!$M$9)</f>
        <v/>
      </c>
      <c r="H16" s="544">
        <f>IF('Final Calculation Sheet'!$M$10="","",'Final Calculation Sheet'!$M$10)</f>
        <v/>
      </c>
      <c r="I16" s="545">
        <f>IF('Final Calculation Sheet'!$M$11="","",'Final Calculation Sheet'!$M$11)</f>
        <v/>
      </c>
      <c r="J16" s="544">
        <f>IF('Final Calculation Sheet'!$M$12="","",'Final Calculation Sheet'!$M$12)</f>
        <v/>
      </c>
      <c r="K16" s="545">
        <f>IF('Final Calculation Sheet'!$M$13="","",'Final Calculation Sheet'!$M$13)</f>
        <v/>
      </c>
      <c r="L16" s="544">
        <f>IF('Final Calculation Sheet'!$M$14="","",'Final Calculation Sheet'!$M$14)</f>
        <v/>
      </c>
      <c r="M16" s="545">
        <f>IF('Final Calculation Sheet'!$M$15="","",'Final Calculation Sheet'!$M$15)</f>
        <v/>
      </c>
      <c r="N16" s="544">
        <f>IF('Final Calculation Sheet'!$M$16="","",'Final Calculation Sheet'!$M$16)</f>
        <v/>
      </c>
      <c r="O16" s="545">
        <f>IF('Final Calculation Sheet'!$M$17="","",'Final Calculation Sheet'!$M$17)</f>
        <v/>
      </c>
      <c r="P16" s="544">
        <f>IF('Final Calculation Sheet'!$M$18="","",'Final Calculation Sheet'!$M$18)</f>
        <v/>
      </c>
      <c r="Q16" s="545">
        <f>IF('Final Calculation Sheet'!$M$19="","",'Final Calculation Sheet'!$M$19)</f>
        <v/>
      </c>
      <c r="R16" s="544">
        <f>IF('Final Calculation Sheet'!$M$20="","",'Final Calculation Sheet'!$M$20)</f>
        <v/>
      </c>
      <c r="S16" s="545">
        <f>IF('Final Calculation Sheet'!$M$21="","",'Final Calculation Sheet'!$M$21)</f>
        <v/>
      </c>
      <c r="T16" s="544">
        <f>IF('Final Calculation Sheet'!$M$22="","",'Final Calculation Sheet'!$M$22)</f>
        <v/>
      </c>
      <c r="U16" s="545">
        <f>IF('Final Calculation Sheet'!$M$23="","",'Final Calculation Sheet'!$M$23)</f>
        <v/>
      </c>
      <c r="V16" s="544">
        <f>IF('Final Calculation Sheet'!$M$24="","",'Final Calculation Sheet'!$M$24)</f>
        <v/>
      </c>
      <c r="W16" s="545">
        <f>IF('Final Calculation Sheet'!$M$25="","",'Final Calculation Sheet'!$M$25)</f>
        <v/>
      </c>
      <c r="X16" s="544">
        <f>IF('Final Calculation Sheet'!$M$26="","",'Final Calculation Sheet'!$M$26)</f>
        <v/>
      </c>
      <c r="Y16" s="545">
        <f>IF('Final Calculation Sheet'!$M$27="","",'Final Calculation Sheet'!$M$27)</f>
        <v/>
      </c>
      <c r="Z16" s="544">
        <f>IF('Final Calculation Sheet'!$M$28="","",'Final Calculation Sheet'!$M$28)</f>
        <v/>
      </c>
      <c r="AA16" s="545">
        <f>IF('Final Calculation Sheet'!$M$29="","",'Final Calculation Sheet'!$M$29)</f>
        <v/>
      </c>
      <c r="AB16" s="544">
        <f>IF('Final Calculation Sheet'!$M$30="","",'Final Calculation Sheet'!$M$30)</f>
        <v/>
      </c>
      <c r="AC16" s="545">
        <f>IF('Final Calculation Sheet'!$M$31="","",'Final Calculation Sheet'!$M$31)</f>
        <v/>
      </c>
      <c r="AD16" s="544">
        <f>IF('Final Calculation Sheet'!$M$32="","",'Final Calculation Sheet'!$M$32)</f>
        <v/>
      </c>
      <c r="AE16" s="545">
        <f>IF('Final Calculation Sheet'!$M$33="","",'Final Calculation Sheet'!$M$33)</f>
        <v/>
      </c>
      <c r="AF16" s="544">
        <f>IF('Final Calculation Sheet'!$M$34="","",'Final Calculation Sheet'!$M$34)</f>
        <v/>
      </c>
      <c r="AG16" s="545">
        <f>IF('Final Calculation Sheet'!$M$35="","",'Final Calculation Sheet'!$M$35)</f>
        <v/>
      </c>
      <c r="AH16" s="544">
        <f>IF('Final Calculation Sheet'!$M$36="","",'Final Calculation Sheet'!$M$36)</f>
        <v/>
      </c>
      <c r="AI16" s="545">
        <f>IF('Final Calculation Sheet'!$M$37="","",'Final Calculation Sheet'!$M$37)</f>
        <v/>
      </c>
      <c r="AJ16" s="544">
        <f>IF('Final Calculation Sheet'!$M$38="","",'Final Calculation Sheet'!$M$38)</f>
        <v/>
      </c>
      <c r="AK16" s="545">
        <f>IF('Final Calculation Sheet'!$M$39="","",'Final Calculation Sheet'!$M$39)</f>
        <v/>
      </c>
      <c r="AL16" s="544">
        <f>IF('Final Calculation Sheet'!$M$40="","",'Final Calculation Sheet'!$M$40)</f>
        <v/>
      </c>
      <c r="AM16" s="546">
        <f>IF('Final Calculation Sheet'!$M$41="","",'Final Calculation Sheet'!$M$41)</f>
        <v/>
      </c>
    </row>
    <row r="17" ht="15" customHeight="1">
      <c r="A17" s="543" t="inlineStr">
        <is>
          <t>TDS u/s 194(H)</t>
        </is>
      </c>
      <c r="B17" s="547">
        <f>IF('Final Calculation Sheet'!$N$4="","",'Final Calculation Sheet'!$N$4)</f>
        <v/>
      </c>
      <c r="C17" s="548">
        <f>IF('Final Calculation Sheet'!$N$5="","",'Final Calculation Sheet'!$N$5)</f>
        <v/>
      </c>
      <c r="D17" s="547">
        <f>IF('Final Calculation Sheet'!$N$6="","",'Final Calculation Sheet'!$N$6)</f>
        <v/>
      </c>
      <c r="E17" s="548">
        <f>IF('Final Calculation Sheet'!$N$7="","",'Final Calculation Sheet'!$N$7)</f>
        <v/>
      </c>
      <c r="F17" s="547">
        <f>IF('Final Calculation Sheet'!$N$8="","",'Final Calculation Sheet'!$N$8)</f>
        <v/>
      </c>
      <c r="G17" s="548">
        <f>IF('Final Calculation Sheet'!$N$9="","",'Final Calculation Sheet'!$N$9)</f>
        <v/>
      </c>
      <c r="H17" s="547">
        <f>IF('Final Calculation Sheet'!$N$10="","",'Final Calculation Sheet'!$N$10)</f>
        <v/>
      </c>
      <c r="I17" s="548">
        <f>IF('Final Calculation Sheet'!$N$11="","",'Final Calculation Sheet'!$N$11)</f>
        <v/>
      </c>
      <c r="J17" s="547">
        <f>IF('Final Calculation Sheet'!$N$12="","",'Final Calculation Sheet'!$N$12)</f>
        <v/>
      </c>
      <c r="K17" s="548">
        <f>IF('Final Calculation Sheet'!$N$13="","",'Final Calculation Sheet'!$N$13)</f>
        <v/>
      </c>
      <c r="L17" s="547">
        <f>IF('Final Calculation Sheet'!$N$14="","",'Final Calculation Sheet'!$N$14)</f>
        <v/>
      </c>
      <c r="M17" s="548">
        <f>IF('Final Calculation Sheet'!$N$15="","",'Final Calculation Sheet'!$N$15)</f>
        <v/>
      </c>
      <c r="N17" s="547">
        <f>IF('Final Calculation Sheet'!$N$16="","",'Final Calculation Sheet'!$N$16)</f>
        <v/>
      </c>
      <c r="O17" s="548">
        <f>IF('Final Calculation Sheet'!$N$17="","",'Final Calculation Sheet'!$N$17)</f>
        <v/>
      </c>
      <c r="P17" s="547">
        <f>IF('Final Calculation Sheet'!$N$18="","",'Final Calculation Sheet'!$N$18)</f>
        <v/>
      </c>
      <c r="Q17" s="548">
        <f>IF('Final Calculation Sheet'!$N$19="","",'Final Calculation Sheet'!$N$19)</f>
        <v/>
      </c>
      <c r="R17" s="547">
        <f>IF('Final Calculation Sheet'!$N$20="","",'Final Calculation Sheet'!$N$20)</f>
        <v/>
      </c>
      <c r="S17" s="548">
        <f>IF('Final Calculation Sheet'!$N$21="","",'Final Calculation Sheet'!$N$21)</f>
        <v/>
      </c>
      <c r="T17" s="547">
        <f>IF('Final Calculation Sheet'!$N$22="","",'Final Calculation Sheet'!$N$22)</f>
        <v/>
      </c>
      <c r="U17" s="548">
        <f>IF('Final Calculation Sheet'!$N$23="","",'Final Calculation Sheet'!$N$23)</f>
        <v/>
      </c>
      <c r="V17" s="547">
        <f>IF('Final Calculation Sheet'!$N$24="","",'Final Calculation Sheet'!$N$24)</f>
        <v/>
      </c>
      <c r="W17" s="548">
        <f>IF('Final Calculation Sheet'!$N$25="","",'Final Calculation Sheet'!$N$25)</f>
        <v/>
      </c>
      <c r="X17" s="547">
        <f>IF('Final Calculation Sheet'!$N$26="","",'Final Calculation Sheet'!$N$26)</f>
        <v/>
      </c>
      <c r="Y17" s="548">
        <f>IF('Final Calculation Sheet'!$N$27="","",'Final Calculation Sheet'!$N$27)</f>
        <v/>
      </c>
      <c r="Z17" s="547">
        <f>IF('Final Calculation Sheet'!$N$28="","",'Final Calculation Sheet'!$N$28)</f>
        <v/>
      </c>
      <c r="AA17" s="548">
        <f>IF('Final Calculation Sheet'!$N$29="","",'Final Calculation Sheet'!$N$29)</f>
        <v/>
      </c>
      <c r="AB17" s="547">
        <f>IF('Final Calculation Sheet'!$N$30="","",'Final Calculation Sheet'!$N$30)</f>
        <v/>
      </c>
      <c r="AC17" s="548">
        <f>IF('Final Calculation Sheet'!$N$31="","",'Final Calculation Sheet'!$N$31)</f>
        <v/>
      </c>
      <c r="AD17" s="547">
        <f>IF('Final Calculation Sheet'!$N$32="","",'Final Calculation Sheet'!$N$32)</f>
        <v/>
      </c>
      <c r="AE17" s="548">
        <f>IF('Final Calculation Sheet'!$N$33="","",'Final Calculation Sheet'!$N$33)</f>
        <v/>
      </c>
      <c r="AF17" s="547">
        <f>IF('Final Calculation Sheet'!$N$34="","",'Final Calculation Sheet'!$N$34)</f>
        <v/>
      </c>
      <c r="AG17" s="548">
        <f>IF('Final Calculation Sheet'!$N$35="","",'Final Calculation Sheet'!$N$35)</f>
        <v/>
      </c>
      <c r="AH17" s="547">
        <f>IF('Final Calculation Sheet'!$N$36="","",'Final Calculation Sheet'!$N$36)</f>
        <v/>
      </c>
      <c r="AI17" s="548">
        <f>IF('Final Calculation Sheet'!$N$37="","",'Final Calculation Sheet'!$N$37)</f>
        <v/>
      </c>
      <c r="AJ17" s="547">
        <f>IF('Final Calculation Sheet'!$N$38="","",'Final Calculation Sheet'!$N$38)</f>
        <v/>
      </c>
      <c r="AK17" s="548">
        <f>IF('Final Calculation Sheet'!$N$39="","",'Final Calculation Sheet'!$N$39)</f>
        <v/>
      </c>
      <c r="AL17" s="547">
        <f>IF('Final Calculation Sheet'!$N$40="","",'Final Calculation Sheet'!$N$40)</f>
        <v/>
      </c>
      <c r="AM17" s="414">
        <f>IF('Final Calculation Sheet'!$N$41="","",'Final Calculation Sheet'!$N$41)</f>
        <v/>
      </c>
    </row>
    <row r="18" ht="15" customHeight="1">
      <c r="A18" s="540" t="inlineStr">
        <is>
          <t>Net Service Charge (post TDS 194H)</t>
        </is>
      </c>
      <c r="B18" s="544">
        <f>IF('Final Calculation Sheet'!$O$4="","",'Final Calculation Sheet'!$O$4)</f>
        <v/>
      </c>
      <c r="C18" s="545">
        <f>IF('Final Calculation Sheet'!$O$5="","",'Final Calculation Sheet'!$O$5)</f>
        <v/>
      </c>
      <c r="D18" s="544">
        <f>IF('Final Calculation Sheet'!$O$6="","",'Final Calculation Sheet'!$O$6)</f>
        <v/>
      </c>
      <c r="E18" s="545">
        <f>IF('Final Calculation Sheet'!$O$7="","",'Final Calculation Sheet'!$O$7)</f>
        <v/>
      </c>
      <c r="F18" s="544">
        <f>IF('Final Calculation Sheet'!$O$8="","",'Final Calculation Sheet'!$O$8)</f>
        <v/>
      </c>
      <c r="G18" s="545">
        <f>IF('Final Calculation Sheet'!$O$9="","",'Final Calculation Sheet'!$O$9)</f>
        <v/>
      </c>
      <c r="H18" s="544">
        <f>IF('Final Calculation Sheet'!$O$10="","",'Final Calculation Sheet'!$O$10)</f>
        <v/>
      </c>
      <c r="I18" s="545">
        <f>IF('Final Calculation Sheet'!$O$11="","",'Final Calculation Sheet'!$O$11)</f>
        <v/>
      </c>
      <c r="J18" s="544">
        <f>IF('Final Calculation Sheet'!$O$12="","",'Final Calculation Sheet'!$O$12)</f>
        <v/>
      </c>
      <c r="K18" s="545">
        <f>IF('Final Calculation Sheet'!$O$13="","",'Final Calculation Sheet'!$O$13)</f>
        <v/>
      </c>
      <c r="L18" s="544">
        <f>IF('Final Calculation Sheet'!$O$14="","",'Final Calculation Sheet'!$O$14)</f>
        <v/>
      </c>
      <c r="M18" s="545">
        <f>IF('Final Calculation Sheet'!$O$15="","",'Final Calculation Sheet'!$O$15)</f>
        <v/>
      </c>
      <c r="N18" s="544">
        <f>IF('Final Calculation Sheet'!$O$16="","",'Final Calculation Sheet'!$O$16)</f>
        <v/>
      </c>
      <c r="O18" s="545">
        <f>IF('Final Calculation Sheet'!$O$17="","",'Final Calculation Sheet'!$O$17)</f>
        <v/>
      </c>
      <c r="P18" s="544">
        <f>IF('Final Calculation Sheet'!$O$18="","",'Final Calculation Sheet'!$O$18)</f>
        <v/>
      </c>
      <c r="Q18" s="545">
        <f>IF('Final Calculation Sheet'!$O$19="","",'Final Calculation Sheet'!$O$19)</f>
        <v/>
      </c>
      <c r="R18" s="544">
        <f>IF('Final Calculation Sheet'!$O$20="","",'Final Calculation Sheet'!$O$20)</f>
        <v/>
      </c>
      <c r="S18" s="545">
        <f>IF('Final Calculation Sheet'!$O$21="","",'Final Calculation Sheet'!$O$21)</f>
        <v/>
      </c>
      <c r="T18" s="544">
        <f>IF('Final Calculation Sheet'!$O$22="","",'Final Calculation Sheet'!$O$22)</f>
        <v/>
      </c>
      <c r="U18" s="545">
        <f>IF('Final Calculation Sheet'!$O$23="","",'Final Calculation Sheet'!$O$23)</f>
        <v/>
      </c>
      <c r="V18" s="544">
        <f>IF('Final Calculation Sheet'!$O$24="","",'Final Calculation Sheet'!$O$24)</f>
        <v/>
      </c>
      <c r="W18" s="545">
        <f>IF('Final Calculation Sheet'!$O$25="","",'Final Calculation Sheet'!$O$25)</f>
        <v/>
      </c>
      <c r="X18" s="544">
        <f>IF('Final Calculation Sheet'!$O$26="","",'Final Calculation Sheet'!$O$26)</f>
        <v/>
      </c>
      <c r="Y18" s="545">
        <f>IF('Final Calculation Sheet'!$O$27="","",'Final Calculation Sheet'!$O$27)</f>
        <v/>
      </c>
      <c r="Z18" s="544">
        <f>IF('Final Calculation Sheet'!$O$28="","",'Final Calculation Sheet'!$O$28)</f>
        <v/>
      </c>
      <c r="AA18" s="545">
        <f>IF('Final Calculation Sheet'!$O$29="","",'Final Calculation Sheet'!$O$29)</f>
        <v/>
      </c>
      <c r="AB18" s="544">
        <f>IF('Final Calculation Sheet'!$O$30="","",'Final Calculation Sheet'!$O$30)</f>
        <v/>
      </c>
      <c r="AC18" s="545">
        <f>IF('Final Calculation Sheet'!$O$31="","",'Final Calculation Sheet'!$O$31)</f>
        <v/>
      </c>
      <c r="AD18" s="544">
        <f>IF('Final Calculation Sheet'!$O$32="","",'Final Calculation Sheet'!$O$32)</f>
        <v/>
      </c>
      <c r="AE18" s="545">
        <f>IF('Final Calculation Sheet'!$O$33="","",'Final Calculation Sheet'!$O$33)</f>
        <v/>
      </c>
      <c r="AF18" s="544">
        <f>IF('Final Calculation Sheet'!$O$34="","",'Final Calculation Sheet'!$O$34)</f>
        <v/>
      </c>
      <c r="AG18" s="545">
        <f>IF('Final Calculation Sheet'!$O$35="","",'Final Calculation Sheet'!$O$35)</f>
        <v/>
      </c>
      <c r="AH18" s="544">
        <f>IF('Final Calculation Sheet'!$O$36="","",'Final Calculation Sheet'!$O$36)</f>
        <v/>
      </c>
      <c r="AI18" s="545">
        <f>IF('Final Calculation Sheet'!$O$37="","",'Final Calculation Sheet'!$O$37)</f>
        <v/>
      </c>
      <c r="AJ18" s="544">
        <f>IF('Final Calculation Sheet'!$O$38="","",'Final Calculation Sheet'!$O$38)</f>
        <v/>
      </c>
      <c r="AK18" s="545">
        <f>IF('Final Calculation Sheet'!$O$39="","",'Final Calculation Sheet'!$O$39)</f>
        <v/>
      </c>
      <c r="AL18" s="544">
        <f>IF('Final Calculation Sheet'!$O$40="","",'Final Calculation Sheet'!$O$40)</f>
        <v/>
      </c>
      <c r="AM18" s="546">
        <f>IF('Final Calculation Sheet'!$O$41="","",'Final Calculation Sheet'!$O$41)</f>
        <v/>
      </c>
    </row>
    <row r="19" ht="15" customHeight="1">
      <c r="A19" s="543" t="inlineStr">
        <is>
          <t>Service charge to MSTC</t>
        </is>
      </c>
      <c r="B19" s="544">
        <f>IF('Final Calculation Sheet'!$P$4="","",'Final Calculation Sheet'!$P$4)</f>
        <v/>
      </c>
      <c r="C19" s="545">
        <f>IF('Final Calculation Sheet'!$P$5="","",'Final Calculation Sheet'!$P$5)</f>
        <v/>
      </c>
      <c r="D19" s="544">
        <f>IF('Final Calculation Sheet'!$P$6="","",'Final Calculation Sheet'!$P$6)</f>
        <v/>
      </c>
      <c r="E19" s="545">
        <f>IF('Final Calculation Sheet'!$P$7="","",'Final Calculation Sheet'!$P$7)</f>
        <v/>
      </c>
      <c r="F19" s="544">
        <f>IF('Final Calculation Sheet'!$P$8="","",'Final Calculation Sheet'!$P$8)</f>
        <v/>
      </c>
      <c r="G19" s="545">
        <f>IF('Final Calculation Sheet'!$P$9="","",'Final Calculation Sheet'!$P$9)</f>
        <v/>
      </c>
      <c r="H19" s="544">
        <f>IF('Final Calculation Sheet'!$P$10="","",'Final Calculation Sheet'!$P$10)</f>
        <v/>
      </c>
      <c r="I19" s="545">
        <f>IF('Final Calculation Sheet'!$P$11="","",'Final Calculation Sheet'!$P$11)</f>
        <v/>
      </c>
      <c r="J19" s="544">
        <f>IF('Final Calculation Sheet'!$P$12="","",'Final Calculation Sheet'!$P$12)</f>
        <v/>
      </c>
      <c r="K19" s="545">
        <f>IF('Final Calculation Sheet'!$P$13="","",'Final Calculation Sheet'!$P$13)</f>
        <v/>
      </c>
      <c r="L19" s="544">
        <f>IF('Final Calculation Sheet'!$P$14="","",'Final Calculation Sheet'!$P$14)</f>
        <v/>
      </c>
      <c r="M19" s="545">
        <f>IF('Final Calculation Sheet'!$P$15="","",'Final Calculation Sheet'!$P$15)</f>
        <v/>
      </c>
      <c r="N19" s="544">
        <f>IF('Final Calculation Sheet'!$P$16="","",'Final Calculation Sheet'!$P$16)</f>
        <v/>
      </c>
      <c r="O19" s="545">
        <f>IF('Final Calculation Sheet'!$P$17="","",'Final Calculation Sheet'!$P$17)</f>
        <v/>
      </c>
      <c r="P19" s="544">
        <f>IF('Final Calculation Sheet'!$P$18="","",'Final Calculation Sheet'!$P$18)</f>
        <v/>
      </c>
      <c r="Q19" s="545">
        <f>IF('Final Calculation Sheet'!$P$19="","",'Final Calculation Sheet'!$P$19)</f>
        <v/>
      </c>
      <c r="R19" s="544">
        <f>IF('Final Calculation Sheet'!$P$20="","",'Final Calculation Sheet'!$P$20)</f>
        <v/>
      </c>
      <c r="S19" s="545">
        <f>IF('Final Calculation Sheet'!$P$21="","",'Final Calculation Sheet'!$P$21)</f>
        <v/>
      </c>
      <c r="T19" s="544">
        <f>IF('Final Calculation Sheet'!$P$22="","",'Final Calculation Sheet'!$P$22)</f>
        <v/>
      </c>
      <c r="U19" s="545">
        <f>IF('Final Calculation Sheet'!$P$23="","",'Final Calculation Sheet'!$P$23)</f>
        <v/>
      </c>
      <c r="V19" s="544">
        <f>IF('Final Calculation Sheet'!$P$24="","",'Final Calculation Sheet'!$P$24)</f>
        <v/>
      </c>
      <c r="W19" s="545">
        <f>IF('Final Calculation Sheet'!$P$25="","",'Final Calculation Sheet'!$P$25)</f>
        <v/>
      </c>
      <c r="X19" s="544">
        <f>IF('Final Calculation Sheet'!$P$26="","",'Final Calculation Sheet'!$P$26)</f>
        <v/>
      </c>
      <c r="Y19" s="545">
        <f>IF('Final Calculation Sheet'!$P$27="","",'Final Calculation Sheet'!$P$27)</f>
        <v/>
      </c>
      <c r="Z19" s="544">
        <f>IF('Final Calculation Sheet'!$P$28="","",'Final Calculation Sheet'!$P$28)</f>
        <v/>
      </c>
      <c r="AA19" s="545">
        <f>IF('Final Calculation Sheet'!$P$29="","",'Final Calculation Sheet'!$P$29)</f>
        <v/>
      </c>
      <c r="AB19" s="544">
        <f>IF('Final Calculation Sheet'!$P$30="","",'Final Calculation Sheet'!$P$30)</f>
        <v/>
      </c>
      <c r="AC19" s="545">
        <f>IF('Final Calculation Sheet'!$P$31="","",'Final Calculation Sheet'!$P$31)</f>
        <v/>
      </c>
      <c r="AD19" s="544">
        <f>IF('Final Calculation Sheet'!$P$32="","",'Final Calculation Sheet'!$P$32)</f>
        <v/>
      </c>
      <c r="AE19" s="545">
        <f>IF('Final Calculation Sheet'!$P$33="","",'Final Calculation Sheet'!$P$33)</f>
        <v/>
      </c>
      <c r="AF19" s="544">
        <f>IF('Final Calculation Sheet'!$P$34="","",'Final Calculation Sheet'!$P$34)</f>
        <v/>
      </c>
      <c r="AG19" s="545">
        <f>IF('Final Calculation Sheet'!$P$35="","",'Final Calculation Sheet'!$P$35)</f>
        <v/>
      </c>
      <c r="AH19" s="544">
        <f>IF('Final Calculation Sheet'!$P$36="","",'Final Calculation Sheet'!$P$36)</f>
        <v/>
      </c>
      <c r="AI19" s="545">
        <f>IF('Final Calculation Sheet'!$P$37="","",'Final Calculation Sheet'!$P$37)</f>
        <v/>
      </c>
      <c r="AJ19" s="544">
        <f>IF('Final Calculation Sheet'!$P$38="","",'Final Calculation Sheet'!$P$38)</f>
        <v/>
      </c>
      <c r="AK19" s="545">
        <f>IF('Final Calculation Sheet'!$P$39="","",'Final Calculation Sheet'!$P$39)</f>
        <v/>
      </c>
      <c r="AL19" s="544">
        <f>IF('Final Calculation Sheet'!$P$40="","",'Final Calculation Sheet'!$P$40)</f>
        <v/>
      </c>
      <c r="AM19" s="546">
        <f>IF('Final Calculation Sheet'!$P$41="","",'Final Calculation Sheet'!$P$41)</f>
        <v/>
      </c>
    </row>
    <row r="20" ht="15" customHeight="1">
      <c r="A20" s="540" t="inlineStr">
        <is>
          <t>GST TDS Rate</t>
        </is>
      </c>
      <c r="B20" s="549">
        <f>IF('Final Calculation Sheet'!$Q$4="","",'Final Calculation Sheet'!$Q$4)</f>
        <v/>
      </c>
      <c r="C20" s="550">
        <f>IF('Final Calculation Sheet'!$Q$5="","",'Final Calculation Sheet'!$Q$5)</f>
        <v/>
      </c>
      <c r="D20" s="549">
        <f>IF('Final Calculation Sheet'!$Q$6="","",'Final Calculation Sheet'!$Q$6)</f>
        <v/>
      </c>
      <c r="E20" s="550">
        <f>IF('Final Calculation Sheet'!$Q$7="","",'Final Calculation Sheet'!$Q$7)</f>
        <v/>
      </c>
      <c r="F20" s="549">
        <f>IF('Final Calculation Sheet'!$Q$8="","",'Final Calculation Sheet'!$Q$8)</f>
        <v/>
      </c>
      <c r="G20" s="550">
        <f>IF('Final Calculation Sheet'!$Q$9="","",'Final Calculation Sheet'!$Q$9)</f>
        <v/>
      </c>
      <c r="H20" s="549">
        <f>IF('Final Calculation Sheet'!$Q$10="","",'Final Calculation Sheet'!$Q$10)</f>
        <v/>
      </c>
      <c r="I20" s="550">
        <f>IF('Final Calculation Sheet'!$Q$11="","",'Final Calculation Sheet'!$Q$11)</f>
        <v/>
      </c>
      <c r="J20" s="549">
        <f>IF('Final Calculation Sheet'!$Q$12="","",'Final Calculation Sheet'!$Q$12)</f>
        <v/>
      </c>
      <c r="K20" s="550">
        <f>IF('Final Calculation Sheet'!$Q$13="","",'Final Calculation Sheet'!$Q$13)</f>
        <v/>
      </c>
      <c r="L20" s="549">
        <f>IF('Final Calculation Sheet'!$Q$14="","",'Final Calculation Sheet'!$Q$14)</f>
        <v/>
      </c>
      <c r="M20" s="550">
        <f>IF('Final Calculation Sheet'!$Q$15="","",'Final Calculation Sheet'!$Q$15)</f>
        <v/>
      </c>
      <c r="N20" s="549">
        <f>IF('Final Calculation Sheet'!$Q$16="","",'Final Calculation Sheet'!$Q$16)</f>
        <v/>
      </c>
      <c r="O20" s="550">
        <f>IF('Final Calculation Sheet'!$Q$17="","",'Final Calculation Sheet'!$Q$17)</f>
        <v/>
      </c>
      <c r="P20" s="549">
        <f>IF('Final Calculation Sheet'!$Q$18="","",'Final Calculation Sheet'!$Q$18)</f>
        <v/>
      </c>
      <c r="Q20" s="550">
        <f>IF('Final Calculation Sheet'!$Q$19="","",'Final Calculation Sheet'!$Q$19)</f>
        <v/>
      </c>
      <c r="R20" s="549">
        <f>IF('Final Calculation Sheet'!$Q$20="","",'Final Calculation Sheet'!$Q$20)</f>
        <v/>
      </c>
      <c r="S20" s="550">
        <f>IF('Final Calculation Sheet'!$Q$21="","",'Final Calculation Sheet'!$Q$21)</f>
        <v/>
      </c>
      <c r="T20" s="549">
        <f>IF('Final Calculation Sheet'!$Q$22="","",'Final Calculation Sheet'!$Q$22)</f>
        <v/>
      </c>
      <c r="U20" s="550">
        <f>IF('Final Calculation Sheet'!$Q$23="","",'Final Calculation Sheet'!$Q$23)</f>
        <v/>
      </c>
      <c r="V20" s="549">
        <f>IF('Final Calculation Sheet'!$Q$24="","",'Final Calculation Sheet'!$Q$24)</f>
        <v/>
      </c>
      <c r="W20" s="550">
        <f>IF('Final Calculation Sheet'!$Q$25="","",'Final Calculation Sheet'!$Q$25)</f>
        <v/>
      </c>
      <c r="X20" s="549">
        <f>IF('Final Calculation Sheet'!$Q$26="","",'Final Calculation Sheet'!$Q$26)</f>
        <v/>
      </c>
      <c r="Y20" s="550">
        <f>IF('Final Calculation Sheet'!$Q$27="","",'Final Calculation Sheet'!$Q$27)</f>
        <v/>
      </c>
      <c r="Z20" s="549">
        <f>IF('Final Calculation Sheet'!$Q$28="","",'Final Calculation Sheet'!$Q$28)</f>
        <v/>
      </c>
      <c r="AA20" s="550">
        <f>IF('Final Calculation Sheet'!$Q$29="","",'Final Calculation Sheet'!$Q$29)</f>
        <v/>
      </c>
      <c r="AB20" s="549">
        <f>IF('Final Calculation Sheet'!$Q$30="","",'Final Calculation Sheet'!$Q$30)</f>
        <v/>
      </c>
      <c r="AC20" s="550">
        <f>IF('Final Calculation Sheet'!$Q$31="","",'Final Calculation Sheet'!$Q$31)</f>
        <v/>
      </c>
      <c r="AD20" s="549">
        <f>IF('Final Calculation Sheet'!$Q$32="","",'Final Calculation Sheet'!$Q$32)</f>
        <v/>
      </c>
      <c r="AE20" s="550">
        <f>IF('Final Calculation Sheet'!$Q$33="","",'Final Calculation Sheet'!$Q$33)</f>
        <v/>
      </c>
      <c r="AF20" s="549">
        <f>IF('Final Calculation Sheet'!$Q$34="","",'Final Calculation Sheet'!$Q$34)</f>
        <v/>
      </c>
      <c r="AG20" s="550">
        <f>IF('Final Calculation Sheet'!$Q$35="","",'Final Calculation Sheet'!$Q$35)</f>
        <v/>
      </c>
      <c r="AH20" s="549">
        <f>IF('Final Calculation Sheet'!$Q$36="","",'Final Calculation Sheet'!$Q$36)</f>
        <v/>
      </c>
      <c r="AI20" s="550">
        <f>IF('Final Calculation Sheet'!$Q$37="","",'Final Calculation Sheet'!$Q$37)</f>
        <v/>
      </c>
      <c r="AJ20" s="549">
        <f>IF('Final Calculation Sheet'!$Q$38="","",'Final Calculation Sheet'!$Q$38)</f>
        <v/>
      </c>
      <c r="AK20" s="550">
        <f>IF('Final Calculation Sheet'!$Q$39="","",'Final Calculation Sheet'!$Q$39)</f>
        <v/>
      </c>
      <c r="AL20" s="549">
        <f>IF('Final Calculation Sheet'!$Q$40="","",'Final Calculation Sheet'!$Q$40)</f>
        <v/>
      </c>
      <c r="AM20" s="551">
        <f>IF('Final Calculation Sheet'!$Q$41="","",'Final Calculation Sheet'!$Q$41)</f>
        <v/>
      </c>
    </row>
    <row r="21" ht="15" customHeight="1">
      <c r="A21" s="543" t="inlineStr">
        <is>
          <t>GST TDS</t>
        </is>
      </c>
      <c r="B21" s="544">
        <f>IF('Final Calculation Sheet'!$R$4="","",'Final Calculation Sheet'!$R$4)</f>
        <v/>
      </c>
      <c r="C21" s="545">
        <f>IF('Final Calculation Sheet'!$R$5="","",'Final Calculation Sheet'!$R$5)</f>
        <v/>
      </c>
      <c r="D21" s="544">
        <f>IF('Final Calculation Sheet'!$R$6="","",'Final Calculation Sheet'!$R$6)</f>
        <v/>
      </c>
      <c r="E21" s="545">
        <f>IF('Final Calculation Sheet'!$R$7="","",'Final Calculation Sheet'!$R$7)</f>
        <v/>
      </c>
      <c r="F21" s="544">
        <f>IF('Final Calculation Sheet'!$R$8="","",'Final Calculation Sheet'!$R$8)</f>
        <v/>
      </c>
      <c r="G21" s="545">
        <f>IF('Final Calculation Sheet'!$R$9="","",'Final Calculation Sheet'!$R$9)</f>
        <v/>
      </c>
      <c r="H21" s="544">
        <f>IF('Final Calculation Sheet'!$R$10="","",'Final Calculation Sheet'!$R$10)</f>
        <v/>
      </c>
      <c r="I21" s="545">
        <f>IF('Final Calculation Sheet'!$R$11="","",'Final Calculation Sheet'!$R$11)</f>
        <v/>
      </c>
      <c r="J21" s="544">
        <f>IF('Final Calculation Sheet'!$R$12="","",'Final Calculation Sheet'!$R$12)</f>
        <v/>
      </c>
      <c r="K21" s="545">
        <f>IF('Final Calculation Sheet'!$R$13="","",'Final Calculation Sheet'!$R$13)</f>
        <v/>
      </c>
      <c r="L21" s="544">
        <f>IF('Final Calculation Sheet'!$R$14="","",'Final Calculation Sheet'!$R$14)</f>
        <v/>
      </c>
      <c r="M21" s="545">
        <f>IF('Final Calculation Sheet'!$R$15="","",'Final Calculation Sheet'!$R$15)</f>
        <v/>
      </c>
      <c r="N21" s="544">
        <f>IF('Final Calculation Sheet'!$R$16="","",'Final Calculation Sheet'!$R$16)</f>
        <v/>
      </c>
      <c r="O21" s="545">
        <f>IF('Final Calculation Sheet'!$R$17="","",'Final Calculation Sheet'!$R$17)</f>
        <v/>
      </c>
      <c r="P21" s="544">
        <f>IF('Final Calculation Sheet'!$R$18="","",'Final Calculation Sheet'!$R$18)</f>
        <v/>
      </c>
      <c r="Q21" s="545">
        <f>IF('Final Calculation Sheet'!$R$19="","",'Final Calculation Sheet'!$R$19)</f>
        <v/>
      </c>
      <c r="R21" s="544">
        <f>IF('Final Calculation Sheet'!$R$20="","",'Final Calculation Sheet'!$R$20)</f>
        <v/>
      </c>
      <c r="S21" s="545">
        <f>IF('Final Calculation Sheet'!$R$21="","",'Final Calculation Sheet'!$R$21)</f>
        <v/>
      </c>
      <c r="T21" s="544">
        <f>IF('Final Calculation Sheet'!$R$22="","",'Final Calculation Sheet'!$R$22)</f>
        <v/>
      </c>
      <c r="U21" s="545">
        <f>IF('Final Calculation Sheet'!$R$23="","",'Final Calculation Sheet'!$R$23)</f>
        <v/>
      </c>
      <c r="V21" s="544">
        <f>IF('Final Calculation Sheet'!$R$24="","",'Final Calculation Sheet'!$R$24)</f>
        <v/>
      </c>
      <c r="W21" s="545">
        <f>IF('Final Calculation Sheet'!$R$25="","",'Final Calculation Sheet'!$R$25)</f>
        <v/>
      </c>
      <c r="X21" s="544">
        <f>IF('Final Calculation Sheet'!$R$26="","",'Final Calculation Sheet'!$R$26)</f>
        <v/>
      </c>
      <c r="Y21" s="545">
        <f>IF('Final Calculation Sheet'!$R$27="","",'Final Calculation Sheet'!$R$27)</f>
        <v/>
      </c>
      <c r="Z21" s="544">
        <f>IF('Final Calculation Sheet'!$R$28="","",'Final Calculation Sheet'!$R$28)</f>
        <v/>
      </c>
      <c r="AA21" s="545">
        <f>IF('Final Calculation Sheet'!$R$29="","",'Final Calculation Sheet'!$R$29)</f>
        <v/>
      </c>
      <c r="AB21" s="544">
        <f>IF('Final Calculation Sheet'!$R$30="","",'Final Calculation Sheet'!$R$30)</f>
        <v/>
      </c>
      <c r="AC21" s="545">
        <f>IF('Final Calculation Sheet'!$R$31="","",'Final Calculation Sheet'!$R$31)</f>
        <v/>
      </c>
      <c r="AD21" s="544">
        <f>IF('Final Calculation Sheet'!$R$32="","",'Final Calculation Sheet'!$R$32)</f>
        <v/>
      </c>
      <c r="AE21" s="545">
        <f>IF('Final Calculation Sheet'!$R$33="","",'Final Calculation Sheet'!$R$33)</f>
        <v/>
      </c>
      <c r="AF21" s="544">
        <f>IF('Final Calculation Sheet'!$R$34="","",'Final Calculation Sheet'!$R$34)</f>
        <v/>
      </c>
      <c r="AG21" s="545">
        <f>IF('Final Calculation Sheet'!$R$35="","",'Final Calculation Sheet'!$R$35)</f>
        <v/>
      </c>
      <c r="AH21" s="544">
        <f>IF('Final Calculation Sheet'!$R$36="","",'Final Calculation Sheet'!$R$36)</f>
        <v/>
      </c>
      <c r="AI21" s="545">
        <f>IF('Final Calculation Sheet'!$R$37="","",'Final Calculation Sheet'!$R$37)</f>
        <v/>
      </c>
      <c r="AJ21" s="544">
        <f>IF('Final Calculation Sheet'!$R$38="","",'Final Calculation Sheet'!$R$38)</f>
        <v/>
      </c>
      <c r="AK21" s="545">
        <f>IF('Final Calculation Sheet'!$R$39="","",'Final Calculation Sheet'!$R$39)</f>
        <v/>
      </c>
      <c r="AL21" s="544">
        <f>IF('Final Calculation Sheet'!$R$40="","",'Final Calculation Sheet'!$R$40)</f>
        <v/>
      </c>
      <c r="AM21" s="546">
        <f>IF('Final Calculation Sheet'!$R$41="","",'Final Calculation Sheet'!$R$41)</f>
        <v/>
      </c>
    </row>
    <row r="22" ht="15" customHeight="1">
      <c r="A22" s="540" t="inlineStr">
        <is>
          <t>Total Receivables in Cash</t>
        </is>
      </c>
      <c r="B22" s="544">
        <f>IF('Final Calculation Sheet'!$S$4="","",'Final Calculation Sheet'!$S$4)</f>
        <v/>
      </c>
      <c r="C22" s="545">
        <f>IF('Final Calculation Sheet'!$S$5="","",'Final Calculation Sheet'!$S$5)</f>
        <v/>
      </c>
      <c r="D22" s="544">
        <f>IF('Final Calculation Sheet'!$S$6="","",'Final Calculation Sheet'!$S$6)</f>
        <v/>
      </c>
      <c r="E22" s="545">
        <f>IF('Final Calculation Sheet'!$S$7="","",'Final Calculation Sheet'!$S$7)</f>
        <v/>
      </c>
      <c r="F22" s="544">
        <f>IF('Final Calculation Sheet'!$S$8="","",'Final Calculation Sheet'!$S$8)</f>
        <v/>
      </c>
      <c r="G22" s="545">
        <f>IF('Final Calculation Sheet'!$S$9="","",'Final Calculation Sheet'!$S$9)</f>
        <v/>
      </c>
      <c r="H22" s="544">
        <f>IF('Final Calculation Sheet'!$S$10="","",'Final Calculation Sheet'!$S$10)</f>
        <v/>
      </c>
      <c r="I22" s="545">
        <f>IF('Final Calculation Sheet'!$S$11="","",'Final Calculation Sheet'!$S$11)</f>
        <v/>
      </c>
      <c r="J22" s="544">
        <f>IF('Final Calculation Sheet'!$S$12="","",'Final Calculation Sheet'!$S$12)</f>
        <v/>
      </c>
      <c r="K22" s="545">
        <f>IF('Final Calculation Sheet'!$S$13="","",'Final Calculation Sheet'!$S$13)</f>
        <v/>
      </c>
      <c r="L22" s="544">
        <f>IF('Final Calculation Sheet'!$S$14="","",'Final Calculation Sheet'!$S$14)</f>
        <v/>
      </c>
      <c r="M22" s="545">
        <f>IF('Final Calculation Sheet'!$S$15="","",'Final Calculation Sheet'!$S$15)</f>
        <v/>
      </c>
      <c r="N22" s="544">
        <f>IF('Final Calculation Sheet'!$S$16="","",'Final Calculation Sheet'!$S$16)</f>
        <v/>
      </c>
      <c r="O22" s="545">
        <f>IF('Final Calculation Sheet'!$S$17="","",'Final Calculation Sheet'!$S$17)</f>
        <v/>
      </c>
      <c r="P22" s="544">
        <f>IF('Final Calculation Sheet'!$S$18="","",'Final Calculation Sheet'!$S$18)</f>
        <v/>
      </c>
      <c r="Q22" s="545">
        <f>IF('Final Calculation Sheet'!$S$19="","",'Final Calculation Sheet'!$S$19)</f>
        <v/>
      </c>
      <c r="R22" s="544">
        <f>IF('Final Calculation Sheet'!$S$20="","",'Final Calculation Sheet'!$S$20)</f>
        <v/>
      </c>
      <c r="S22" s="545">
        <f>IF('Final Calculation Sheet'!$S$21="","",'Final Calculation Sheet'!$S$21)</f>
        <v/>
      </c>
      <c r="T22" s="544">
        <f>IF('Final Calculation Sheet'!$S$22="","",'Final Calculation Sheet'!$S$22)</f>
        <v/>
      </c>
      <c r="U22" s="545">
        <f>IF('Final Calculation Sheet'!$S$23="","",'Final Calculation Sheet'!$S$23)</f>
        <v/>
      </c>
      <c r="V22" s="544">
        <f>IF('Final Calculation Sheet'!$S$24="","",'Final Calculation Sheet'!$S$24)</f>
        <v/>
      </c>
      <c r="W22" s="545">
        <f>IF('Final Calculation Sheet'!$S$25="","",'Final Calculation Sheet'!$S$25)</f>
        <v/>
      </c>
      <c r="X22" s="544">
        <f>IF('Final Calculation Sheet'!$S$26="","",'Final Calculation Sheet'!$S$26)</f>
        <v/>
      </c>
      <c r="Y22" s="545">
        <f>IF('Final Calculation Sheet'!$S$27="","",'Final Calculation Sheet'!$S$27)</f>
        <v/>
      </c>
      <c r="Z22" s="544">
        <f>IF('Final Calculation Sheet'!$S$28="","",'Final Calculation Sheet'!$S$28)</f>
        <v/>
      </c>
      <c r="AA22" s="545">
        <f>IF('Final Calculation Sheet'!$S$29="","",'Final Calculation Sheet'!$S$29)</f>
        <v/>
      </c>
      <c r="AB22" s="544">
        <f>IF('Final Calculation Sheet'!$S$30="","",'Final Calculation Sheet'!$S$30)</f>
        <v/>
      </c>
      <c r="AC22" s="545">
        <f>IF('Final Calculation Sheet'!$S$31="","",'Final Calculation Sheet'!$S$31)</f>
        <v/>
      </c>
      <c r="AD22" s="544">
        <f>IF('Final Calculation Sheet'!$S$32="","",'Final Calculation Sheet'!$S$32)</f>
        <v/>
      </c>
      <c r="AE22" s="545">
        <f>IF('Final Calculation Sheet'!$S$33="","",'Final Calculation Sheet'!$S$33)</f>
        <v/>
      </c>
      <c r="AF22" s="544">
        <f>IF('Final Calculation Sheet'!$S$34="","",'Final Calculation Sheet'!$S$34)</f>
        <v/>
      </c>
      <c r="AG22" s="545">
        <f>IF('Final Calculation Sheet'!$S$35="","",'Final Calculation Sheet'!$S$35)</f>
        <v/>
      </c>
      <c r="AH22" s="544">
        <f>IF('Final Calculation Sheet'!$S$36="","",'Final Calculation Sheet'!$S$36)</f>
        <v/>
      </c>
      <c r="AI22" s="545">
        <f>IF('Final Calculation Sheet'!$S$37="","",'Final Calculation Sheet'!$S$37)</f>
        <v/>
      </c>
      <c r="AJ22" s="544">
        <f>IF('Final Calculation Sheet'!$S$38="","",'Final Calculation Sheet'!$S$38)</f>
        <v/>
      </c>
      <c r="AK22" s="545">
        <f>IF('Final Calculation Sheet'!$S$39="","",'Final Calculation Sheet'!$S$39)</f>
        <v/>
      </c>
      <c r="AL22" s="544">
        <f>IF('Final Calculation Sheet'!$S$40="","",'Final Calculation Sheet'!$S$40)</f>
        <v/>
      </c>
      <c r="AM22" s="546">
        <f>IF('Final Calculation Sheet'!$S$41="","",'Final Calculation Sheet'!$S$41)</f>
        <v/>
      </c>
    </row>
    <row r="23" ht="15" customHeight="1">
      <c r="A23" s="543" t="inlineStr">
        <is>
          <t>Security Deposit (Expected)</t>
        </is>
      </c>
      <c r="B23" s="544">
        <f>IF('Final Calculation Sheet'!$T$4="","",'Final Calculation Sheet'!$T$4)</f>
        <v/>
      </c>
      <c r="C23" s="545">
        <f>IF('Final Calculation Sheet'!$T$5="","",'Final Calculation Sheet'!$T$5)</f>
        <v/>
      </c>
      <c r="D23" s="544">
        <f>IF('Final Calculation Sheet'!$T$6="","",'Final Calculation Sheet'!$T$6)</f>
        <v/>
      </c>
      <c r="E23" s="545">
        <f>IF('Final Calculation Sheet'!$T$7="","",'Final Calculation Sheet'!$T$7)</f>
        <v/>
      </c>
      <c r="F23" s="544">
        <f>IF('Final Calculation Sheet'!$T$8="","",'Final Calculation Sheet'!$T$8)</f>
        <v/>
      </c>
      <c r="G23" s="545">
        <f>IF('Final Calculation Sheet'!$T$9="","",'Final Calculation Sheet'!$T$9)</f>
        <v/>
      </c>
      <c r="H23" s="544">
        <f>IF('Final Calculation Sheet'!$T$10="","",'Final Calculation Sheet'!$T$10)</f>
        <v/>
      </c>
      <c r="I23" s="545">
        <f>IF('Final Calculation Sheet'!$T$11="","",'Final Calculation Sheet'!$T$11)</f>
        <v/>
      </c>
      <c r="J23" s="544">
        <f>IF('Final Calculation Sheet'!$T$12="","",'Final Calculation Sheet'!$T$12)</f>
        <v/>
      </c>
      <c r="K23" s="545">
        <f>IF('Final Calculation Sheet'!$T$13="","",'Final Calculation Sheet'!$T$13)</f>
        <v/>
      </c>
      <c r="L23" s="544">
        <f>IF('Final Calculation Sheet'!$T$14="","",'Final Calculation Sheet'!$T$14)</f>
        <v/>
      </c>
      <c r="M23" s="545">
        <f>IF('Final Calculation Sheet'!$T$15="","",'Final Calculation Sheet'!$T$15)</f>
        <v/>
      </c>
      <c r="N23" s="544">
        <f>IF('Final Calculation Sheet'!$T$16="","",'Final Calculation Sheet'!$T$16)</f>
        <v/>
      </c>
      <c r="O23" s="545">
        <f>IF('Final Calculation Sheet'!$T$17="","",'Final Calculation Sheet'!$T$17)</f>
        <v/>
      </c>
      <c r="P23" s="544">
        <f>IF('Final Calculation Sheet'!$T$18="","",'Final Calculation Sheet'!$T$18)</f>
        <v/>
      </c>
      <c r="Q23" s="545">
        <f>IF('Final Calculation Sheet'!$T$19="","",'Final Calculation Sheet'!$T$19)</f>
        <v/>
      </c>
      <c r="R23" s="544">
        <f>IF('Final Calculation Sheet'!$T$20="","",'Final Calculation Sheet'!$T$20)</f>
        <v/>
      </c>
      <c r="S23" s="545">
        <f>IF('Final Calculation Sheet'!$T$21="","",'Final Calculation Sheet'!$T$21)</f>
        <v/>
      </c>
      <c r="T23" s="544">
        <f>IF('Final Calculation Sheet'!$T$22="","",'Final Calculation Sheet'!$T$22)</f>
        <v/>
      </c>
      <c r="U23" s="545">
        <f>IF('Final Calculation Sheet'!$T$23="","",'Final Calculation Sheet'!$T$23)</f>
        <v/>
      </c>
      <c r="V23" s="544">
        <f>IF('Final Calculation Sheet'!$T$24="","",'Final Calculation Sheet'!$T$24)</f>
        <v/>
      </c>
      <c r="W23" s="545">
        <f>IF('Final Calculation Sheet'!$T$25="","",'Final Calculation Sheet'!$T$25)</f>
        <v/>
      </c>
      <c r="X23" s="544">
        <f>IF('Final Calculation Sheet'!$T$26="","",'Final Calculation Sheet'!$T$26)</f>
        <v/>
      </c>
      <c r="Y23" s="545">
        <f>IF('Final Calculation Sheet'!$T$27="","",'Final Calculation Sheet'!$T$27)</f>
        <v/>
      </c>
      <c r="Z23" s="544">
        <f>IF('Final Calculation Sheet'!$T$28="","",'Final Calculation Sheet'!$T$28)</f>
        <v/>
      </c>
      <c r="AA23" s="545">
        <f>IF('Final Calculation Sheet'!$T$29="","",'Final Calculation Sheet'!$T$29)</f>
        <v/>
      </c>
      <c r="AB23" s="544">
        <f>IF('Final Calculation Sheet'!$T$30="","",'Final Calculation Sheet'!$T$30)</f>
        <v/>
      </c>
      <c r="AC23" s="545">
        <f>IF('Final Calculation Sheet'!$T$31="","",'Final Calculation Sheet'!$T$31)</f>
        <v/>
      </c>
      <c r="AD23" s="544">
        <f>IF('Final Calculation Sheet'!$T$32="","",'Final Calculation Sheet'!$T$32)</f>
        <v/>
      </c>
      <c r="AE23" s="545">
        <f>IF('Final Calculation Sheet'!$T$33="","",'Final Calculation Sheet'!$T$33)</f>
        <v/>
      </c>
      <c r="AF23" s="544">
        <f>IF('Final Calculation Sheet'!$T$34="","",'Final Calculation Sheet'!$T$34)</f>
        <v/>
      </c>
      <c r="AG23" s="545">
        <f>IF('Final Calculation Sheet'!$T$35="","",'Final Calculation Sheet'!$T$35)</f>
        <v/>
      </c>
      <c r="AH23" s="544">
        <f>IF('Final Calculation Sheet'!$T$36="","",'Final Calculation Sheet'!$T$36)</f>
        <v/>
      </c>
      <c r="AI23" s="545">
        <f>IF('Final Calculation Sheet'!$T$37="","",'Final Calculation Sheet'!$T$37)</f>
        <v/>
      </c>
      <c r="AJ23" s="544">
        <f>IF('Final Calculation Sheet'!$T$38="","",'Final Calculation Sheet'!$T$38)</f>
        <v/>
      </c>
      <c r="AK23" s="545">
        <f>IF('Final Calculation Sheet'!$T$39="","",'Final Calculation Sheet'!$T$39)</f>
        <v/>
      </c>
      <c r="AL23" s="544">
        <f>IF('Final Calculation Sheet'!$T$40="","",'Final Calculation Sheet'!$T$40)</f>
        <v/>
      </c>
      <c r="AM23" s="546">
        <f>IF('Final Calculation Sheet'!$T$41="","",'Final Calculation Sheet'!$T$41)</f>
        <v/>
      </c>
    </row>
    <row r="24" ht="15" customHeight="1">
      <c r="A24" s="540" t="inlineStr">
        <is>
          <t>Security Deposit (Received)</t>
        </is>
      </c>
      <c r="B24" s="552">
        <f>IF('Final Calculation Sheet'!$U$4="","",'Final Calculation Sheet'!$U$4)</f>
        <v/>
      </c>
      <c r="C24" s="553">
        <f>IF('Final Calculation Sheet'!$U$5="","",'Final Calculation Sheet'!$U$5)</f>
        <v/>
      </c>
      <c r="D24" s="552">
        <f>IF('Final Calculation Sheet'!$U$6="","",'Final Calculation Sheet'!$U$6)</f>
        <v/>
      </c>
      <c r="E24" s="553">
        <f>IF('Final Calculation Sheet'!$U$7="","",'Final Calculation Sheet'!$U$7)</f>
        <v/>
      </c>
      <c r="F24" s="552">
        <f>IF('Final Calculation Sheet'!$U$8="","",'Final Calculation Sheet'!$U$8)</f>
        <v/>
      </c>
      <c r="G24" s="553">
        <f>IF('Final Calculation Sheet'!$U$9="","",'Final Calculation Sheet'!$U$9)</f>
        <v/>
      </c>
      <c r="H24" s="552">
        <f>IF('Final Calculation Sheet'!$U$10="","",'Final Calculation Sheet'!$U$10)</f>
        <v/>
      </c>
      <c r="I24" s="553">
        <f>IF('Final Calculation Sheet'!$U$11="","",'Final Calculation Sheet'!$U$11)</f>
        <v/>
      </c>
      <c r="J24" s="552">
        <f>IF('Final Calculation Sheet'!$U$12="","",'Final Calculation Sheet'!$U$12)</f>
        <v/>
      </c>
      <c r="K24" s="553">
        <f>IF('Final Calculation Sheet'!$U$13="","",'Final Calculation Sheet'!$U$13)</f>
        <v/>
      </c>
      <c r="L24" s="552">
        <f>IF('Final Calculation Sheet'!$U$14="","",'Final Calculation Sheet'!$U$14)</f>
        <v/>
      </c>
      <c r="M24" s="553">
        <f>IF('Final Calculation Sheet'!$U$15="","",'Final Calculation Sheet'!$U$15)</f>
        <v/>
      </c>
      <c r="N24" s="552">
        <f>IF('Final Calculation Sheet'!$U$16="","",'Final Calculation Sheet'!$U$16)</f>
        <v/>
      </c>
      <c r="O24" s="553">
        <f>IF('Final Calculation Sheet'!$U$17="","",'Final Calculation Sheet'!$U$17)</f>
        <v/>
      </c>
      <c r="P24" s="552">
        <f>IF('Final Calculation Sheet'!$U$18="","",'Final Calculation Sheet'!$U$18)</f>
        <v/>
      </c>
      <c r="Q24" s="553">
        <f>IF('Final Calculation Sheet'!$U$19="","",'Final Calculation Sheet'!$U$19)</f>
        <v/>
      </c>
      <c r="R24" s="552">
        <f>IF('Final Calculation Sheet'!$U$20="","",'Final Calculation Sheet'!$U$20)</f>
        <v/>
      </c>
      <c r="S24" s="553">
        <f>IF('Final Calculation Sheet'!$U$21="","",'Final Calculation Sheet'!$U$21)</f>
        <v/>
      </c>
      <c r="T24" s="552">
        <f>IF('Final Calculation Sheet'!$U$22="","",'Final Calculation Sheet'!$U$22)</f>
        <v/>
      </c>
      <c r="U24" s="553">
        <f>IF('Final Calculation Sheet'!$U$23="","",'Final Calculation Sheet'!$U$23)</f>
        <v/>
      </c>
      <c r="V24" s="552">
        <f>IF('Final Calculation Sheet'!$U$24="","",'Final Calculation Sheet'!$U$24)</f>
        <v/>
      </c>
      <c r="W24" s="553">
        <f>IF('Final Calculation Sheet'!$U$25="","",'Final Calculation Sheet'!$U$25)</f>
        <v/>
      </c>
      <c r="X24" s="552">
        <f>IF('Final Calculation Sheet'!$U$26="","",'Final Calculation Sheet'!$U$26)</f>
        <v/>
      </c>
      <c r="Y24" s="553">
        <f>IF('Final Calculation Sheet'!$U$27="","",'Final Calculation Sheet'!$U$27)</f>
        <v/>
      </c>
      <c r="Z24" s="552">
        <f>IF('Final Calculation Sheet'!$U$28="","",'Final Calculation Sheet'!$U$28)</f>
        <v/>
      </c>
      <c r="AA24" s="553">
        <f>IF('Final Calculation Sheet'!$U$29="","",'Final Calculation Sheet'!$U$29)</f>
        <v/>
      </c>
      <c r="AB24" s="552">
        <f>IF('Final Calculation Sheet'!$U$30="","",'Final Calculation Sheet'!$U$30)</f>
        <v/>
      </c>
      <c r="AC24" s="553">
        <f>IF('Final Calculation Sheet'!$U$31="","",'Final Calculation Sheet'!$U$31)</f>
        <v/>
      </c>
      <c r="AD24" s="552">
        <f>IF('Final Calculation Sheet'!$U$32="","",'Final Calculation Sheet'!$U$32)</f>
        <v/>
      </c>
      <c r="AE24" s="553">
        <f>IF('Final Calculation Sheet'!$U$33="","",'Final Calculation Sheet'!$U$33)</f>
        <v/>
      </c>
      <c r="AF24" s="552">
        <f>IF('Final Calculation Sheet'!$U$34="","",'Final Calculation Sheet'!$U$34)</f>
        <v/>
      </c>
      <c r="AG24" s="553">
        <f>IF('Final Calculation Sheet'!$U$35="","",'Final Calculation Sheet'!$U$35)</f>
        <v/>
      </c>
      <c r="AH24" s="552">
        <f>IF('Final Calculation Sheet'!$U$36="","",'Final Calculation Sheet'!$U$36)</f>
        <v/>
      </c>
      <c r="AI24" s="553">
        <f>IF('Final Calculation Sheet'!$U$37="","",'Final Calculation Sheet'!$U$37)</f>
        <v/>
      </c>
      <c r="AJ24" s="552">
        <f>IF('Final Calculation Sheet'!$U$38="","",'Final Calculation Sheet'!$U$38)</f>
        <v/>
      </c>
      <c r="AK24" s="553">
        <f>IF('Final Calculation Sheet'!$U$39="","",'Final Calculation Sheet'!$U$39)</f>
        <v/>
      </c>
      <c r="AL24" s="552">
        <f>IF('Final Calculation Sheet'!$U$40="","",'Final Calculation Sheet'!$U$40)</f>
        <v/>
      </c>
      <c r="AM24" s="554">
        <f>IF('Final Calculation Sheet'!$U$41="","",'Final Calculation Sheet'!$U$41)</f>
        <v/>
      </c>
    </row>
    <row r="25" ht="15" customHeight="1">
      <c r="A25" s="543" t="inlineStr">
        <is>
          <t>Date of Receipt (col V)</t>
        </is>
      </c>
      <c r="B25" s="544">
        <f>IF('Final Calculation Sheet'!$V$4="","",'Final Calculation Sheet'!$V$4)</f>
        <v/>
      </c>
      <c r="C25" s="545">
        <f>IF('Final Calculation Sheet'!$V$5="","",'Final Calculation Sheet'!$V$5)</f>
        <v/>
      </c>
      <c r="D25" s="544">
        <f>IF('Final Calculation Sheet'!$V$6="","",'Final Calculation Sheet'!$V$6)</f>
        <v/>
      </c>
      <c r="E25" s="545">
        <f>IF('Final Calculation Sheet'!$V$7="","",'Final Calculation Sheet'!$V$7)</f>
        <v/>
      </c>
      <c r="F25" s="544">
        <f>IF('Final Calculation Sheet'!$V$8="","",'Final Calculation Sheet'!$V$8)</f>
        <v/>
      </c>
      <c r="G25" s="545">
        <f>IF('Final Calculation Sheet'!$V$9="","",'Final Calculation Sheet'!$V$9)</f>
        <v/>
      </c>
      <c r="H25" s="544">
        <f>IF('Final Calculation Sheet'!$V$10="","",'Final Calculation Sheet'!$V$10)</f>
        <v/>
      </c>
      <c r="I25" s="545">
        <f>IF('Final Calculation Sheet'!$V$11="","",'Final Calculation Sheet'!$V$11)</f>
        <v/>
      </c>
      <c r="J25" s="544">
        <f>IF('Final Calculation Sheet'!$V$12="","",'Final Calculation Sheet'!$V$12)</f>
        <v/>
      </c>
      <c r="K25" s="545">
        <f>IF('Final Calculation Sheet'!$V$13="","",'Final Calculation Sheet'!$V$13)</f>
        <v/>
      </c>
      <c r="L25" s="544">
        <f>IF('Final Calculation Sheet'!$V$14="","",'Final Calculation Sheet'!$V$14)</f>
        <v/>
      </c>
      <c r="M25" s="545">
        <f>IF('Final Calculation Sheet'!$V$15="","",'Final Calculation Sheet'!$V$15)</f>
        <v/>
      </c>
      <c r="N25" s="544">
        <f>IF('Final Calculation Sheet'!$V$16="","",'Final Calculation Sheet'!$V$16)</f>
        <v/>
      </c>
      <c r="O25" s="545">
        <f>IF('Final Calculation Sheet'!$V$17="","",'Final Calculation Sheet'!$V$17)</f>
        <v/>
      </c>
      <c r="P25" s="544">
        <f>IF('Final Calculation Sheet'!$V$18="","",'Final Calculation Sheet'!$V$18)</f>
        <v/>
      </c>
      <c r="Q25" s="545">
        <f>IF('Final Calculation Sheet'!$V$19="","",'Final Calculation Sheet'!$V$19)</f>
        <v/>
      </c>
      <c r="R25" s="544">
        <f>IF('Final Calculation Sheet'!$V$20="","",'Final Calculation Sheet'!$V$20)</f>
        <v/>
      </c>
      <c r="S25" s="545">
        <f>IF('Final Calculation Sheet'!$V$21="","",'Final Calculation Sheet'!$V$21)</f>
        <v/>
      </c>
      <c r="T25" s="544">
        <f>IF('Final Calculation Sheet'!$V$22="","",'Final Calculation Sheet'!$V$22)</f>
        <v/>
      </c>
      <c r="U25" s="545">
        <f>IF('Final Calculation Sheet'!$V$23="","",'Final Calculation Sheet'!$V$23)</f>
        <v/>
      </c>
      <c r="V25" s="544">
        <f>IF('Final Calculation Sheet'!$V$24="","",'Final Calculation Sheet'!$V$24)</f>
        <v/>
      </c>
      <c r="W25" s="545">
        <f>IF('Final Calculation Sheet'!$V$25="","",'Final Calculation Sheet'!$V$25)</f>
        <v/>
      </c>
      <c r="X25" s="544">
        <f>IF('Final Calculation Sheet'!$V$26="","",'Final Calculation Sheet'!$V$26)</f>
        <v/>
      </c>
      <c r="Y25" s="545">
        <f>IF('Final Calculation Sheet'!$V$27="","",'Final Calculation Sheet'!$V$27)</f>
        <v/>
      </c>
      <c r="Z25" s="544">
        <f>IF('Final Calculation Sheet'!$V$28="","",'Final Calculation Sheet'!$V$28)</f>
        <v/>
      </c>
      <c r="AA25" s="545">
        <f>IF('Final Calculation Sheet'!$V$29="","",'Final Calculation Sheet'!$V$29)</f>
        <v/>
      </c>
      <c r="AB25" s="544">
        <f>IF('Final Calculation Sheet'!$V$30="","",'Final Calculation Sheet'!$V$30)</f>
        <v/>
      </c>
      <c r="AC25" s="545">
        <f>IF('Final Calculation Sheet'!$V$31="","",'Final Calculation Sheet'!$V$31)</f>
        <v/>
      </c>
      <c r="AD25" s="544">
        <f>IF('Final Calculation Sheet'!$V$32="","",'Final Calculation Sheet'!$V$32)</f>
        <v/>
      </c>
      <c r="AE25" s="545">
        <f>IF('Final Calculation Sheet'!$V$33="","",'Final Calculation Sheet'!$V$33)</f>
        <v/>
      </c>
      <c r="AF25" s="544">
        <f>IF('Final Calculation Sheet'!$V$34="","",'Final Calculation Sheet'!$V$34)</f>
        <v/>
      </c>
      <c r="AG25" s="545">
        <f>IF('Final Calculation Sheet'!$V$35="","",'Final Calculation Sheet'!$V$35)</f>
        <v/>
      </c>
      <c r="AH25" s="544">
        <f>IF('Final Calculation Sheet'!$V$36="","",'Final Calculation Sheet'!$V$36)</f>
        <v/>
      </c>
      <c r="AI25" s="545">
        <f>IF('Final Calculation Sheet'!$V$37="","",'Final Calculation Sheet'!$V$37)</f>
        <v/>
      </c>
      <c r="AJ25" s="544">
        <f>IF('Final Calculation Sheet'!$V$38="","",'Final Calculation Sheet'!$V$38)</f>
        <v/>
      </c>
      <c r="AK25" s="545">
        <f>IF('Final Calculation Sheet'!$V$39="","",'Final Calculation Sheet'!$V$39)</f>
        <v/>
      </c>
      <c r="AL25" s="544">
        <f>IF('Final Calculation Sheet'!$V$40="","",'Final Calculation Sheet'!$V$40)</f>
        <v/>
      </c>
      <c r="AM25" s="546">
        <f>IF('Final Calculation Sheet'!$V$41="","",'Final Calculation Sheet'!$V$41)</f>
        <v/>
      </c>
    </row>
    <row r="26" ht="15" customHeight="1">
      <c r="A26" s="540" t="inlineStr">
        <is>
          <t>Final Payment (Expected)</t>
        </is>
      </c>
      <c r="B26" s="544">
        <f>IF('Final Calculation Sheet'!$W$4="","",'Final Calculation Sheet'!$W$4)</f>
        <v/>
      </c>
      <c r="C26" s="545">
        <f>IF('Final Calculation Sheet'!$W$5="","",'Final Calculation Sheet'!$W$5)</f>
        <v/>
      </c>
      <c r="D26" s="544">
        <f>IF('Final Calculation Sheet'!$W$6="","",'Final Calculation Sheet'!$W$6)</f>
        <v/>
      </c>
      <c r="E26" s="545">
        <f>IF('Final Calculation Sheet'!$W$7="","",'Final Calculation Sheet'!$W$7)</f>
        <v/>
      </c>
      <c r="F26" s="544">
        <f>IF('Final Calculation Sheet'!$W$8="","",'Final Calculation Sheet'!$W$8)</f>
        <v/>
      </c>
      <c r="G26" s="545">
        <f>IF('Final Calculation Sheet'!$W$9="","",'Final Calculation Sheet'!$W$9)</f>
        <v/>
      </c>
      <c r="H26" s="544">
        <f>IF('Final Calculation Sheet'!$W$10="","",'Final Calculation Sheet'!$W$10)</f>
        <v/>
      </c>
      <c r="I26" s="545">
        <f>IF('Final Calculation Sheet'!$W$11="","",'Final Calculation Sheet'!$W$11)</f>
        <v/>
      </c>
      <c r="J26" s="544">
        <f>IF('Final Calculation Sheet'!$W$12="","",'Final Calculation Sheet'!$W$12)</f>
        <v/>
      </c>
      <c r="K26" s="545">
        <f>IF('Final Calculation Sheet'!$W$13="","",'Final Calculation Sheet'!$W$13)</f>
        <v/>
      </c>
      <c r="L26" s="544">
        <f>IF('Final Calculation Sheet'!$W$14="","",'Final Calculation Sheet'!$W$14)</f>
        <v/>
      </c>
      <c r="M26" s="545">
        <f>IF('Final Calculation Sheet'!$W$15="","",'Final Calculation Sheet'!$W$15)</f>
        <v/>
      </c>
      <c r="N26" s="544">
        <f>IF('Final Calculation Sheet'!$W$16="","",'Final Calculation Sheet'!$W$16)</f>
        <v/>
      </c>
      <c r="O26" s="545">
        <f>IF('Final Calculation Sheet'!$W$17="","",'Final Calculation Sheet'!$W$17)</f>
        <v/>
      </c>
      <c r="P26" s="544">
        <f>IF('Final Calculation Sheet'!$W$18="","",'Final Calculation Sheet'!$W$18)</f>
        <v/>
      </c>
      <c r="Q26" s="545">
        <f>IF('Final Calculation Sheet'!$W$19="","",'Final Calculation Sheet'!$W$19)</f>
        <v/>
      </c>
      <c r="R26" s="544">
        <f>IF('Final Calculation Sheet'!$W$20="","",'Final Calculation Sheet'!$W$20)</f>
        <v/>
      </c>
      <c r="S26" s="545">
        <f>IF('Final Calculation Sheet'!$W$21="","",'Final Calculation Sheet'!$W$21)</f>
        <v/>
      </c>
      <c r="T26" s="544">
        <f>IF('Final Calculation Sheet'!$W$22="","",'Final Calculation Sheet'!$W$22)</f>
        <v/>
      </c>
      <c r="U26" s="545">
        <f>IF('Final Calculation Sheet'!$W$23="","",'Final Calculation Sheet'!$W$23)</f>
        <v/>
      </c>
      <c r="V26" s="544">
        <f>IF('Final Calculation Sheet'!$W$24="","",'Final Calculation Sheet'!$W$24)</f>
        <v/>
      </c>
      <c r="W26" s="545">
        <f>IF('Final Calculation Sheet'!$W$25="","",'Final Calculation Sheet'!$W$25)</f>
        <v/>
      </c>
      <c r="X26" s="544">
        <f>IF('Final Calculation Sheet'!$W$26="","",'Final Calculation Sheet'!$W$26)</f>
        <v/>
      </c>
      <c r="Y26" s="545">
        <f>IF('Final Calculation Sheet'!$W$27="","",'Final Calculation Sheet'!$W$27)</f>
        <v/>
      </c>
      <c r="Z26" s="544">
        <f>IF('Final Calculation Sheet'!$W$28="","",'Final Calculation Sheet'!$W$28)</f>
        <v/>
      </c>
      <c r="AA26" s="545">
        <f>IF('Final Calculation Sheet'!$W$29="","",'Final Calculation Sheet'!$W$29)</f>
        <v/>
      </c>
      <c r="AB26" s="544">
        <f>IF('Final Calculation Sheet'!$W$30="","",'Final Calculation Sheet'!$W$30)</f>
        <v/>
      </c>
      <c r="AC26" s="545">
        <f>IF('Final Calculation Sheet'!$W$31="","",'Final Calculation Sheet'!$W$31)</f>
        <v/>
      </c>
      <c r="AD26" s="544">
        <f>IF('Final Calculation Sheet'!$W$32="","",'Final Calculation Sheet'!$W$32)</f>
        <v/>
      </c>
      <c r="AE26" s="545">
        <f>IF('Final Calculation Sheet'!$W$33="","",'Final Calculation Sheet'!$W$33)</f>
        <v/>
      </c>
      <c r="AF26" s="544">
        <f>IF('Final Calculation Sheet'!$W$34="","",'Final Calculation Sheet'!$W$34)</f>
        <v/>
      </c>
      <c r="AG26" s="545">
        <f>IF('Final Calculation Sheet'!$W$35="","",'Final Calculation Sheet'!$W$35)</f>
        <v/>
      </c>
      <c r="AH26" s="544">
        <f>IF('Final Calculation Sheet'!$W$36="","",'Final Calculation Sheet'!$W$36)</f>
        <v/>
      </c>
      <c r="AI26" s="545">
        <f>IF('Final Calculation Sheet'!$W$37="","",'Final Calculation Sheet'!$W$37)</f>
        <v/>
      </c>
      <c r="AJ26" s="544">
        <f>IF('Final Calculation Sheet'!$W$38="","",'Final Calculation Sheet'!$W$38)</f>
        <v/>
      </c>
      <c r="AK26" s="545">
        <f>IF('Final Calculation Sheet'!$W$39="","",'Final Calculation Sheet'!$W$39)</f>
        <v/>
      </c>
      <c r="AL26" s="544">
        <f>IF('Final Calculation Sheet'!$W$40="","",'Final Calculation Sheet'!$W$40)</f>
        <v/>
      </c>
      <c r="AM26" s="546">
        <f>IF('Final Calculation Sheet'!$W$41="","",'Final Calculation Sheet'!$W$41)</f>
        <v/>
      </c>
    </row>
    <row r="27" ht="15" customHeight="1">
      <c r="A27" s="543" t="inlineStr">
        <is>
          <t>Final Payment (Received)</t>
        </is>
      </c>
      <c r="B27" s="544">
        <f>IF('Final Calculation Sheet'!$X$4="","",'Final Calculation Sheet'!$X$4)</f>
        <v/>
      </c>
      <c r="C27" s="545">
        <f>IF('Final Calculation Sheet'!$X$5="","",'Final Calculation Sheet'!$X$5)</f>
        <v/>
      </c>
      <c r="D27" s="544">
        <f>IF('Final Calculation Sheet'!$X$6="","",'Final Calculation Sheet'!$X$6)</f>
        <v/>
      </c>
      <c r="E27" s="545">
        <f>IF('Final Calculation Sheet'!$X$7="","",'Final Calculation Sheet'!$X$7)</f>
        <v/>
      </c>
      <c r="F27" s="544">
        <f>IF('Final Calculation Sheet'!$X$8="","",'Final Calculation Sheet'!$X$8)</f>
        <v/>
      </c>
      <c r="G27" s="545">
        <f>IF('Final Calculation Sheet'!$X$9="","",'Final Calculation Sheet'!$X$9)</f>
        <v/>
      </c>
      <c r="H27" s="544">
        <f>IF('Final Calculation Sheet'!$X$10="","",'Final Calculation Sheet'!$X$10)</f>
        <v/>
      </c>
      <c r="I27" s="545">
        <f>IF('Final Calculation Sheet'!$X$11="","",'Final Calculation Sheet'!$X$11)</f>
        <v/>
      </c>
      <c r="J27" s="544">
        <f>IF('Final Calculation Sheet'!$X$12="","",'Final Calculation Sheet'!$X$12)</f>
        <v/>
      </c>
      <c r="K27" s="545">
        <f>IF('Final Calculation Sheet'!$X$13="","",'Final Calculation Sheet'!$X$13)</f>
        <v/>
      </c>
      <c r="L27" s="544">
        <f>IF('Final Calculation Sheet'!$X$14="","",'Final Calculation Sheet'!$X$14)</f>
        <v/>
      </c>
      <c r="M27" s="545">
        <f>IF('Final Calculation Sheet'!$X$15="","",'Final Calculation Sheet'!$X$15)</f>
        <v/>
      </c>
      <c r="N27" s="544">
        <f>IF('Final Calculation Sheet'!$X$16="","",'Final Calculation Sheet'!$X$16)</f>
        <v/>
      </c>
      <c r="O27" s="545">
        <f>IF('Final Calculation Sheet'!$X$17="","",'Final Calculation Sheet'!$X$17)</f>
        <v/>
      </c>
      <c r="P27" s="544">
        <f>IF('Final Calculation Sheet'!$X$18="","",'Final Calculation Sheet'!$X$18)</f>
        <v/>
      </c>
      <c r="Q27" s="545">
        <f>IF('Final Calculation Sheet'!$X$19="","",'Final Calculation Sheet'!$X$19)</f>
        <v/>
      </c>
      <c r="R27" s="544">
        <f>IF('Final Calculation Sheet'!$X$20="","",'Final Calculation Sheet'!$X$20)</f>
        <v/>
      </c>
      <c r="S27" s="545">
        <f>IF('Final Calculation Sheet'!$X$21="","",'Final Calculation Sheet'!$X$21)</f>
        <v/>
      </c>
      <c r="T27" s="544">
        <f>IF('Final Calculation Sheet'!$X$22="","",'Final Calculation Sheet'!$X$22)</f>
        <v/>
      </c>
      <c r="U27" s="545">
        <f>IF('Final Calculation Sheet'!$X$23="","",'Final Calculation Sheet'!$X$23)</f>
        <v/>
      </c>
      <c r="V27" s="544">
        <f>IF('Final Calculation Sheet'!$X$24="","",'Final Calculation Sheet'!$X$24)</f>
        <v/>
      </c>
      <c r="W27" s="545">
        <f>IF('Final Calculation Sheet'!$X$25="","",'Final Calculation Sheet'!$X$25)</f>
        <v/>
      </c>
      <c r="X27" s="544">
        <f>IF('Final Calculation Sheet'!$X$26="","",'Final Calculation Sheet'!$X$26)</f>
        <v/>
      </c>
      <c r="Y27" s="545">
        <f>IF('Final Calculation Sheet'!$X$27="","",'Final Calculation Sheet'!$X$27)</f>
        <v/>
      </c>
      <c r="Z27" s="544">
        <f>IF('Final Calculation Sheet'!$X$28="","",'Final Calculation Sheet'!$X$28)</f>
        <v/>
      </c>
      <c r="AA27" s="545">
        <f>IF('Final Calculation Sheet'!$X$29="","",'Final Calculation Sheet'!$X$29)</f>
        <v/>
      </c>
      <c r="AB27" s="544">
        <f>IF('Final Calculation Sheet'!$X$30="","",'Final Calculation Sheet'!$X$30)</f>
        <v/>
      </c>
      <c r="AC27" s="545">
        <f>IF('Final Calculation Sheet'!$X$31="","",'Final Calculation Sheet'!$X$31)</f>
        <v/>
      </c>
      <c r="AD27" s="544">
        <f>IF('Final Calculation Sheet'!$X$32="","",'Final Calculation Sheet'!$X$32)</f>
        <v/>
      </c>
      <c r="AE27" s="545">
        <f>IF('Final Calculation Sheet'!$X$33="","",'Final Calculation Sheet'!$X$33)</f>
        <v/>
      </c>
      <c r="AF27" s="544">
        <f>IF('Final Calculation Sheet'!$X$34="","",'Final Calculation Sheet'!$X$34)</f>
        <v/>
      </c>
      <c r="AG27" s="545">
        <f>IF('Final Calculation Sheet'!$X$35="","",'Final Calculation Sheet'!$X$35)</f>
        <v/>
      </c>
      <c r="AH27" s="544">
        <f>IF('Final Calculation Sheet'!$X$36="","",'Final Calculation Sheet'!$X$36)</f>
        <v/>
      </c>
      <c r="AI27" s="545">
        <f>IF('Final Calculation Sheet'!$X$37="","",'Final Calculation Sheet'!$X$37)</f>
        <v/>
      </c>
      <c r="AJ27" s="544">
        <f>IF('Final Calculation Sheet'!$X$38="","",'Final Calculation Sheet'!$X$38)</f>
        <v/>
      </c>
      <c r="AK27" s="545">
        <f>IF('Final Calculation Sheet'!$X$39="","",'Final Calculation Sheet'!$X$39)</f>
        <v/>
      </c>
      <c r="AL27" s="544">
        <f>IF('Final Calculation Sheet'!$X$40="","",'Final Calculation Sheet'!$X$40)</f>
        <v/>
      </c>
      <c r="AM27" s="546">
        <f>IF('Final Calculation Sheet'!$X$41="","",'Final Calculation Sheet'!$X$41)</f>
        <v/>
      </c>
    </row>
    <row r="28" ht="15" customHeight="1">
      <c r="A28" s="540" t="inlineStr">
        <is>
          <t>Date of Receipt (col Y)</t>
        </is>
      </c>
      <c r="B28" s="544">
        <f>IF('Final Calculation Sheet'!$Y$4="","",'Final Calculation Sheet'!$Y$4)</f>
        <v/>
      </c>
      <c r="C28" s="545">
        <f>IF('Final Calculation Sheet'!$Y$5="","",'Final Calculation Sheet'!$Y$5)</f>
        <v/>
      </c>
      <c r="D28" s="544">
        <f>IF('Final Calculation Sheet'!$Y$6="","",'Final Calculation Sheet'!$Y$6)</f>
        <v/>
      </c>
      <c r="E28" s="545">
        <f>IF('Final Calculation Sheet'!$Y$7="","",'Final Calculation Sheet'!$Y$7)</f>
        <v/>
      </c>
      <c r="F28" s="544">
        <f>IF('Final Calculation Sheet'!$Y$8="","",'Final Calculation Sheet'!$Y$8)</f>
        <v/>
      </c>
      <c r="G28" s="545">
        <f>IF('Final Calculation Sheet'!$Y$9="","",'Final Calculation Sheet'!$Y$9)</f>
        <v/>
      </c>
      <c r="H28" s="544">
        <f>IF('Final Calculation Sheet'!$Y$10="","",'Final Calculation Sheet'!$Y$10)</f>
        <v/>
      </c>
      <c r="I28" s="545">
        <f>IF('Final Calculation Sheet'!$Y$11="","",'Final Calculation Sheet'!$Y$11)</f>
        <v/>
      </c>
      <c r="J28" s="544">
        <f>IF('Final Calculation Sheet'!$Y$12="","",'Final Calculation Sheet'!$Y$12)</f>
        <v/>
      </c>
      <c r="K28" s="545">
        <f>IF('Final Calculation Sheet'!$Y$13="","",'Final Calculation Sheet'!$Y$13)</f>
        <v/>
      </c>
      <c r="L28" s="544">
        <f>IF('Final Calculation Sheet'!$Y$14="","",'Final Calculation Sheet'!$Y$14)</f>
        <v/>
      </c>
      <c r="M28" s="545">
        <f>IF('Final Calculation Sheet'!$Y$15="","",'Final Calculation Sheet'!$Y$15)</f>
        <v/>
      </c>
      <c r="N28" s="544">
        <f>IF('Final Calculation Sheet'!$Y$16="","",'Final Calculation Sheet'!$Y$16)</f>
        <v/>
      </c>
      <c r="O28" s="545">
        <f>IF('Final Calculation Sheet'!$Y$17="","",'Final Calculation Sheet'!$Y$17)</f>
        <v/>
      </c>
      <c r="P28" s="544">
        <f>IF('Final Calculation Sheet'!$Y$18="","",'Final Calculation Sheet'!$Y$18)</f>
        <v/>
      </c>
      <c r="Q28" s="545">
        <f>IF('Final Calculation Sheet'!$Y$19="","",'Final Calculation Sheet'!$Y$19)</f>
        <v/>
      </c>
      <c r="R28" s="544">
        <f>IF('Final Calculation Sheet'!$Y$20="","",'Final Calculation Sheet'!$Y$20)</f>
        <v/>
      </c>
      <c r="S28" s="545">
        <f>IF('Final Calculation Sheet'!$Y$21="","",'Final Calculation Sheet'!$Y$21)</f>
        <v/>
      </c>
      <c r="T28" s="544">
        <f>IF('Final Calculation Sheet'!$Y$22="","",'Final Calculation Sheet'!$Y$22)</f>
        <v/>
      </c>
      <c r="U28" s="545">
        <f>IF('Final Calculation Sheet'!$Y$23="","",'Final Calculation Sheet'!$Y$23)</f>
        <v/>
      </c>
      <c r="V28" s="544">
        <f>IF('Final Calculation Sheet'!$Y$24="","",'Final Calculation Sheet'!$Y$24)</f>
        <v/>
      </c>
      <c r="W28" s="545">
        <f>IF('Final Calculation Sheet'!$Y$25="","",'Final Calculation Sheet'!$Y$25)</f>
        <v/>
      </c>
      <c r="X28" s="544">
        <f>IF('Final Calculation Sheet'!$Y$26="","",'Final Calculation Sheet'!$Y$26)</f>
        <v/>
      </c>
      <c r="Y28" s="545">
        <f>IF('Final Calculation Sheet'!$Y$27="","",'Final Calculation Sheet'!$Y$27)</f>
        <v/>
      </c>
      <c r="Z28" s="544">
        <f>IF('Final Calculation Sheet'!$Y$28="","",'Final Calculation Sheet'!$Y$28)</f>
        <v/>
      </c>
      <c r="AA28" s="545">
        <f>IF('Final Calculation Sheet'!$Y$29="","",'Final Calculation Sheet'!$Y$29)</f>
        <v/>
      </c>
      <c r="AB28" s="544">
        <f>IF('Final Calculation Sheet'!$Y$30="","",'Final Calculation Sheet'!$Y$30)</f>
        <v/>
      </c>
      <c r="AC28" s="545">
        <f>IF('Final Calculation Sheet'!$Y$31="","",'Final Calculation Sheet'!$Y$31)</f>
        <v/>
      </c>
      <c r="AD28" s="544">
        <f>IF('Final Calculation Sheet'!$Y$32="","",'Final Calculation Sheet'!$Y$32)</f>
        <v/>
      </c>
      <c r="AE28" s="545">
        <f>IF('Final Calculation Sheet'!$Y$33="","",'Final Calculation Sheet'!$Y$33)</f>
        <v/>
      </c>
      <c r="AF28" s="544">
        <f>IF('Final Calculation Sheet'!$Y$34="","",'Final Calculation Sheet'!$Y$34)</f>
        <v/>
      </c>
      <c r="AG28" s="545">
        <f>IF('Final Calculation Sheet'!$Y$35="","",'Final Calculation Sheet'!$Y$35)</f>
        <v/>
      </c>
      <c r="AH28" s="544">
        <f>IF('Final Calculation Sheet'!$Y$36="","",'Final Calculation Sheet'!$Y$36)</f>
        <v/>
      </c>
      <c r="AI28" s="545">
        <f>IF('Final Calculation Sheet'!$Y$37="","",'Final Calculation Sheet'!$Y$37)</f>
        <v/>
      </c>
      <c r="AJ28" s="544">
        <f>IF('Final Calculation Sheet'!$Y$38="","",'Final Calculation Sheet'!$Y$38)</f>
        <v/>
      </c>
      <c r="AK28" s="545">
        <f>IF('Final Calculation Sheet'!$Y$39="","",'Final Calculation Sheet'!$Y$39)</f>
        <v/>
      </c>
      <c r="AL28" s="544">
        <f>IF('Final Calculation Sheet'!$Y$40="","",'Final Calculation Sheet'!$Y$40)</f>
        <v/>
      </c>
      <c r="AM28" s="546">
        <f>IF('Final Calculation Sheet'!$Y$41="","",'Final Calculation Sheet'!$Y$41)</f>
        <v/>
      </c>
    </row>
    <row r="29" ht="15" customHeight="1">
      <c r="A29" s="543" t="inlineStr">
        <is>
          <t>LPP Expected</t>
        </is>
      </c>
      <c r="B29" s="544">
        <f>IF('Final Calculation Sheet'!$Z$4="","",'Final Calculation Sheet'!$Z$4)</f>
        <v/>
      </c>
      <c r="C29" s="545">
        <f>IF('Final Calculation Sheet'!$Z$5="","",'Final Calculation Sheet'!$Z$5)</f>
        <v/>
      </c>
      <c r="D29" s="544">
        <f>IF('Final Calculation Sheet'!$Z$6="","",'Final Calculation Sheet'!$Z$6)</f>
        <v/>
      </c>
      <c r="E29" s="545">
        <f>IF('Final Calculation Sheet'!$Z$7="","",'Final Calculation Sheet'!$Z$7)</f>
        <v/>
      </c>
      <c r="F29" s="544">
        <f>IF('Final Calculation Sheet'!$Z$8="","",'Final Calculation Sheet'!$Z$8)</f>
        <v/>
      </c>
      <c r="G29" s="545">
        <f>IF('Final Calculation Sheet'!$Z$9="","",'Final Calculation Sheet'!$Z$9)</f>
        <v/>
      </c>
      <c r="H29" s="544">
        <f>IF('Final Calculation Sheet'!$Z$10="","",'Final Calculation Sheet'!$Z$10)</f>
        <v/>
      </c>
      <c r="I29" s="545">
        <f>IF('Final Calculation Sheet'!$Z$11="","",'Final Calculation Sheet'!$Z$11)</f>
        <v/>
      </c>
      <c r="J29" s="544">
        <f>IF('Final Calculation Sheet'!$Z$12="","",'Final Calculation Sheet'!$Z$12)</f>
        <v/>
      </c>
      <c r="K29" s="545">
        <f>IF('Final Calculation Sheet'!$Z$13="","",'Final Calculation Sheet'!$Z$13)</f>
        <v/>
      </c>
      <c r="L29" s="544">
        <f>IF('Final Calculation Sheet'!$Z$14="","",'Final Calculation Sheet'!$Z$14)</f>
        <v/>
      </c>
      <c r="M29" s="545">
        <f>IF('Final Calculation Sheet'!$Z$15="","",'Final Calculation Sheet'!$Z$15)</f>
        <v/>
      </c>
      <c r="N29" s="544">
        <f>IF('Final Calculation Sheet'!$Z$16="","",'Final Calculation Sheet'!$Z$16)</f>
        <v/>
      </c>
      <c r="O29" s="545">
        <f>IF('Final Calculation Sheet'!$Z$17="","",'Final Calculation Sheet'!$Z$17)</f>
        <v/>
      </c>
      <c r="P29" s="544">
        <f>IF('Final Calculation Sheet'!$Z$18="","",'Final Calculation Sheet'!$Z$18)</f>
        <v/>
      </c>
      <c r="Q29" s="545">
        <f>IF('Final Calculation Sheet'!$Z$19="","",'Final Calculation Sheet'!$Z$19)</f>
        <v/>
      </c>
      <c r="R29" s="544">
        <f>IF('Final Calculation Sheet'!$Z$20="","",'Final Calculation Sheet'!$Z$20)</f>
        <v/>
      </c>
      <c r="S29" s="545">
        <f>IF('Final Calculation Sheet'!$Z$21="","",'Final Calculation Sheet'!$Z$21)</f>
        <v/>
      </c>
      <c r="T29" s="544">
        <f>IF('Final Calculation Sheet'!$Z$22="","",'Final Calculation Sheet'!$Z$22)</f>
        <v/>
      </c>
      <c r="U29" s="545">
        <f>IF('Final Calculation Sheet'!$Z$23="","",'Final Calculation Sheet'!$Z$23)</f>
        <v/>
      </c>
      <c r="V29" s="544">
        <f>IF('Final Calculation Sheet'!$Z$24="","",'Final Calculation Sheet'!$Z$24)</f>
        <v/>
      </c>
      <c r="W29" s="545">
        <f>IF('Final Calculation Sheet'!$Z$25="","",'Final Calculation Sheet'!$Z$25)</f>
        <v/>
      </c>
      <c r="X29" s="544">
        <f>IF('Final Calculation Sheet'!$Z$26="","",'Final Calculation Sheet'!$Z$26)</f>
        <v/>
      </c>
      <c r="Y29" s="545">
        <f>IF('Final Calculation Sheet'!$Z$27="","",'Final Calculation Sheet'!$Z$27)</f>
        <v/>
      </c>
      <c r="Z29" s="544">
        <f>IF('Final Calculation Sheet'!$Z$28="","",'Final Calculation Sheet'!$Z$28)</f>
        <v/>
      </c>
      <c r="AA29" s="545">
        <f>IF('Final Calculation Sheet'!$Z$29="","",'Final Calculation Sheet'!$Z$29)</f>
        <v/>
      </c>
      <c r="AB29" s="544">
        <f>IF('Final Calculation Sheet'!$Z$30="","",'Final Calculation Sheet'!$Z$30)</f>
        <v/>
      </c>
      <c r="AC29" s="545">
        <f>IF('Final Calculation Sheet'!$Z$31="","",'Final Calculation Sheet'!$Z$31)</f>
        <v/>
      </c>
      <c r="AD29" s="544">
        <f>IF('Final Calculation Sheet'!$Z$32="","",'Final Calculation Sheet'!$Z$32)</f>
        <v/>
      </c>
      <c r="AE29" s="545">
        <f>IF('Final Calculation Sheet'!$Z$33="","",'Final Calculation Sheet'!$Z$33)</f>
        <v/>
      </c>
      <c r="AF29" s="544">
        <f>IF('Final Calculation Sheet'!$Z$34="","",'Final Calculation Sheet'!$Z$34)</f>
        <v/>
      </c>
      <c r="AG29" s="545">
        <f>IF('Final Calculation Sheet'!$Z$35="","",'Final Calculation Sheet'!$Z$35)</f>
        <v/>
      </c>
      <c r="AH29" s="544">
        <f>IF('Final Calculation Sheet'!$Z$36="","",'Final Calculation Sheet'!$Z$36)</f>
        <v/>
      </c>
      <c r="AI29" s="545">
        <f>IF('Final Calculation Sheet'!$Z$37="","",'Final Calculation Sheet'!$Z$37)</f>
        <v/>
      </c>
      <c r="AJ29" s="544">
        <f>IF('Final Calculation Sheet'!$Z$38="","",'Final Calculation Sheet'!$Z$38)</f>
        <v/>
      </c>
      <c r="AK29" s="545">
        <f>IF('Final Calculation Sheet'!$Z$39="","",'Final Calculation Sheet'!$Z$39)</f>
        <v/>
      </c>
      <c r="AL29" s="544">
        <f>IF('Final Calculation Sheet'!$Z$40="","",'Final Calculation Sheet'!$Z$40)</f>
        <v/>
      </c>
      <c r="AM29" s="546">
        <f>IF('Final Calculation Sheet'!$Z$41="","",'Final Calculation Sheet'!$Z$41)</f>
        <v/>
      </c>
    </row>
    <row r="30" ht="15" customHeight="1">
      <c r="A30" s="540" t="inlineStr">
        <is>
          <t>LPP Received</t>
        </is>
      </c>
      <c r="B30" s="544">
        <f>IF('Final Calculation Sheet'!$AA$4="","",'Final Calculation Sheet'!$AA$4)</f>
        <v/>
      </c>
      <c r="C30" s="545">
        <f>IF('Final Calculation Sheet'!$AA$5="","",'Final Calculation Sheet'!$AA$5)</f>
        <v/>
      </c>
      <c r="D30" s="544">
        <f>IF('Final Calculation Sheet'!$AA$6="","",'Final Calculation Sheet'!$AA$6)</f>
        <v/>
      </c>
      <c r="E30" s="545">
        <f>IF('Final Calculation Sheet'!$AA$7="","",'Final Calculation Sheet'!$AA$7)</f>
        <v/>
      </c>
      <c r="F30" s="544">
        <f>IF('Final Calculation Sheet'!$AA$8="","",'Final Calculation Sheet'!$AA$8)</f>
        <v/>
      </c>
      <c r="G30" s="545">
        <f>IF('Final Calculation Sheet'!$AA$9="","",'Final Calculation Sheet'!$AA$9)</f>
        <v/>
      </c>
      <c r="H30" s="544">
        <f>IF('Final Calculation Sheet'!$AA$10="","",'Final Calculation Sheet'!$AA$10)</f>
        <v/>
      </c>
      <c r="I30" s="545">
        <f>IF('Final Calculation Sheet'!$AA$11="","",'Final Calculation Sheet'!$AA$11)</f>
        <v/>
      </c>
      <c r="J30" s="544">
        <f>IF('Final Calculation Sheet'!$AA$12="","",'Final Calculation Sheet'!$AA$12)</f>
        <v/>
      </c>
      <c r="K30" s="545">
        <f>IF('Final Calculation Sheet'!$AA$13="","",'Final Calculation Sheet'!$AA$13)</f>
        <v/>
      </c>
      <c r="L30" s="544">
        <f>IF('Final Calculation Sheet'!$AA$14="","",'Final Calculation Sheet'!$AA$14)</f>
        <v/>
      </c>
      <c r="M30" s="545">
        <f>IF('Final Calculation Sheet'!$AA$15="","",'Final Calculation Sheet'!$AA$15)</f>
        <v/>
      </c>
      <c r="N30" s="544">
        <f>IF('Final Calculation Sheet'!$AA$16="","",'Final Calculation Sheet'!$AA$16)</f>
        <v/>
      </c>
      <c r="O30" s="545">
        <f>IF('Final Calculation Sheet'!$AA$17="","",'Final Calculation Sheet'!$AA$17)</f>
        <v/>
      </c>
      <c r="P30" s="544">
        <f>IF('Final Calculation Sheet'!$AA$18="","",'Final Calculation Sheet'!$AA$18)</f>
        <v/>
      </c>
      <c r="Q30" s="545">
        <f>IF('Final Calculation Sheet'!$AA$19="","",'Final Calculation Sheet'!$AA$19)</f>
        <v/>
      </c>
      <c r="R30" s="544">
        <f>IF('Final Calculation Sheet'!$AA$20="","",'Final Calculation Sheet'!$AA$20)</f>
        <v/>
      </c>
      <c r="S30" s="545">
        <f>IF('Final Calculation Sheet'!$AA$21="","",'Final Calculation Sheet'!$AA$21)</f>
        <v/>
      </c>
      <c r="T30" s="544">
        <f>IF('Final Calculation Sheet'!$AA$22="","",'Final Calculation Sheet'!$AA$22)</f>
        <v/>
      </c>
      <c r="U30" s="545">
        <f>IF('Final Calculation Sheet'!$AA$23="","",'Final Calculation Sheet'!$AA$23)</f>
        <v/>
      </c>
      <c r="V30" s="544">
        <f>IF('Final Calculation Sheet'!$AA$24="","",'Final Calculation Sheet'!$AA$24)</f>
        <v/>
      </c>
      <c r="W30" s="545">
        <f>IF('Final Calculation Sheet'!$AA$25="","",'Final Calculation Sheet'!$AA$25)</f>
        <v/>
      </c>
      <c r="X30" s="544">
        <f>IF('Final Calculation Sheet'!$AA$26="","",'Final Calculation Sheet'!$AA$26)</f>
        <v/>
      </c>
      <c r="Y30" s="545">
        <f>IF('Final Calculation Sheet'!$AA$27="","",'Final Calculation Sheet'!$AA$27)</f>
        <v/>
      </c>
      <c r="Z30" s="544">
        <f>IF('Final Calculation Sheet'!$AA$28="","",'Final Calculation Sheet'!$AA$28)</f>
        <v/>
      </c>
      <c r="AA30" s="545">
        <f>IF('Final Calculation Sheet'!$AA$29="","",'Final Calculation Sheet'!$AA$29)</f>
        <v/>
      </c>
      <c r="AB30" s="544">
        <f>IF('Final Calculation Sheet'!$AA$30="","",'Final Calculation Sheet'!$AA$30)</f>
        <v/>
      </c>
      <c r="AC30" s="545">
        <f>IF('Final Calculation Sheet'!$AA$31="","",'Final Calculation Sheet'!$AA$31)</f>
        <v/>
      </c>
      <c r="AD30" s="544">
        <f>IF('Final Calculation Sheet'!$AA$32="","",'Final Calculation Sheet'!$AA$32)</f>
        <v/>
      </c>
      <c r="AE30" s="545">
        <f>IF('Final Calculation Sheet'!$AA$33="","",'Final Calculation Sheet'!$AA$33)</f>
        <v/>
      </c>
      <c r="AF30" s="544">
        <f>IF('Final Calculation Sheet'!$AA$34="","",'Final Calculation Sheet'!$AA$34)</f>
        <v/>
      </c>
      <c r="AG30" s="545">
        <f>IF('Final Calculation Sheet'!$AA$35="","",'Final Calculation Sheet'!$AA$35)</f>
        <v/>
      </c>
      <c r="AH30" s="544">
        <f>IF('Final Calculation Sheet'!$AA$36="","",'Final Calculation Sheet'!$AA$36)</f>
        <v/>
      </c>
      <c r="AI30" s="545">
        <f>IF('Final Calculation Sheet'!$AA$37="","",'Final Calculation Sheet'!$AA$37)</f>
        <v/>
      </c>
      <c r="AJ30" s="544">
        <f>IF('Final Calculation Sheet'!$AA$38="","",'Final Calculation Sheet'!$AA$38)</f>
        <v/>
      </c>
      <c r="AK30" s="545">
        <f>IF('Final Calculation Sheet'!$AA$39="","",'Final Calculation Sheet'!$AA$39)</f>
        <v/>
      </c>
      <c r="AL30" s="544">
        <f>IF('Final Calculation Sheet'!$AA$40="","",'Final Calculation Sheet'!$AA$40)</f>
        <v/>
      </c>
      <c r="AM30" s="546">
        <f>IF('Final Calculation Sheet'!$AA$41="","",'Final Calculation Sheet'!$AA$41)</f>
        <v/>
      </c>
    </row>
    <row r="31" ht="15" customHeight="1">
      <c r="A31" s="543" t="inlineStr">
        <is>
          <t>Date of Recepit of LPP</t>
        </is>
      </c>
      <c r="B31" s="544">
        <f>IF('Final Calculation Sheet'!$AB$4="","",'Final Calculation Sheet'!$AB$4)</f>
        <v/>
      </c>
      <c r="C31" s="545">
        <f>IF('Final Calculation Sheet'!$AB$5="","",'Final Calculation Sheet'!$AB$5)</f>
        <v/>
      </c>
      <c r="D31" s="544">
        <f>IF('Final Calculation Sheet'!$AB$6="","",'Final Calculation Sheet'!$AB$6)</f>
        <v/>
      </c>
      <c r="E31" s="545">
        <f>IF('Final Calculation Sheet'!$AB$7="","",'Final Calculation Sheet'!$AB$7)</f>
        <v/>
      </c>
      <c r="F31" s="544">
        <f>IF('Final Calculation Sheet'!$AB$8="","",'Final Calculation Sheet'!$AB$8)</f>
        <v/>
      </c>
      <c r="G31" s="545">
        <f>IF('Final Calculation Sheet'!$AB$9="","",'Final Calculation Sheet'!$AB$9)</f>
        <v/>
      </c>
      <c r="H31" s="544">
        <f>IF('Final Calculation Sheet'!$AB$10="","",'Final Calculation Sheet'!$AB$10)</f>
        <v/>
      </c>
      <c r="I31" s="545">
        <f>IF('Final Calculation Sheet'!$AB$11="","",'Final Calculation Sheet'!$AB$11)</f>
        <v/>
      </c>
      <c r="J31" s="544">
        <f>IF('Final Calculation Sheet'!$AB$12="","",'Final Calculation Sheet'!$AB$12)</f>
        <v/>
      </c>
      <c r="K31" s="545">
        <f>IF('Final Calculation Sheet'!$AB$13="","",'Final Calculation Sheet'!$AB$13)</f>
        <v/>
      </c>
      <c r="L31" s="544">
        <f>IF('Final Calculation Sheet'!$AB$14="","",'Final Calculation Sheet'!$AB$14)</f>
        <v/>
      </c>
      <c r="M31" s="545">
        <f>IF('Final Calculation Sheet'!$AB$15="","",'Final Calculation Sheet'!$AB$15)</f>
        <v/>
      </c>
      <c r="N31" s="544">
        <f>IF('Final Calculation Sheet'!$AB$16="","",'Final Calculation Sheet'!$AB$16)</f>
        <v/>
      </c>
      <c r="O31" s="545">
        <f>IF('Final Calculation Sheet'!$AB$17="","",'Final Calculation Sheet'!$AB$17)</f>
        <v/>
      </c>
      <c r="P31" s="544">
        <f>IF('Final Calculation Sheet'!$AB$18="","",'Final Calculation Sheet'!$AB$18)</f>
        <v/>
      </c>
      <c r="Q31" s="545">
        <f>IF('Final Calculation Sheet'!$AB$19="","",'Final Calculation Sheet'!$AB$19)</f>
        <v/>
      </c>
      <c r="R31" s="544">
        <f>IF('Final Calculation Sheet'!$AB$20="","",'Final Calculation Sheet'!$AB$20)</f>
        <v/>
      </c>
      <c r="S31" s="545">
        <f>IF('Final Calculation Sheet'!$AB$21="","",'Final Calculation Sheet'!$AB$21)</f>
        <v/>
      </c>
      <c r="T31" s="544">
        <f>IF('Final Calculation Sheet'!$AB$22="","",'Final Calculation Sheet'!$AB$22)</f>
        <v/>
      </c>
      <c r="U31" s="545">
        <f>IF('Final Calculation Sheet'!$AB$23="","",'Final Calculation Sheet'!$AB$23)</f>
        <v/>
      </c>
      <c r="V31" s="544">
        <f>IF('Final Calculation Sheet'!$AB$24="","",'Final Calculation Sheet'!$AB$24)</f>
        <v/>
      </c>
      <c r="W31" s="545">
        <f>IF('Final Calculation Sheet'!$AB$25="","",'Final Calculation Sheet'!$AB$25)</f>
        <v/>
      </c>
      <c r="X31" s="544">
        <f>IF('Final Calculation Sheet'!$AB$26="","",'Final Calculation Sheet'!$AB$26)</f>
        <v/>
      </c>
      <c r="Y31" s="545">
        <f>IF('Final Calculation Sheet'!$AB$27="","",'Final Calculation Sheet'!$AB$27)</f>
        <v/>
      </c>
      <c r="Z31" s="544">
        <f>IF('Final Calculation Sheet'!$AB$28="","",'Final Calculation Sheet'!$AB$28)</f>
        <v/>
      </c>
      <c r="AA31" s="545">
        <f>IF('Final Calculation Sheet'!$AB$29="","",'Final Calculation Sheet'!$AB$29)</f>
        <v/>
      </c>
      <c r="AB31" s="544">
        <f>IF('Final Calculation Sheet'!$AB$30="","",'Final Calculation Sheet'!$AB$30)</f>
        <v/>
      </c>
      <c r="AC31" s="545">
        <f>IF('Final Calculation Sheet'!$AB$31="","",'Final Calculation Sheet'!$AB$31)</f>
        <v/>
      </c>
      <c r="AD31" s="544">
        <f>IF('Final Calculation Sheet'!$AB$32="","",'Final Calculation Sheet'!$AB$32)</f>
        <v/>
      </c>
      <c r="AE31" s="545">
        <f>IF('Final Calculation Sheet'!$AB$33="","",'Final Calculation Sheet'!$AB$33)</f>
        <v/>
      </c>
      <c r="AF31" s="544">
        <f>IF('Final Calculation Sheet'!$AB$34="","",'Final Calculation Sheet'!$AB$34)</f>
        <v/>
      </c>
      <c r="AG31" s="545">
        <f>IF('Final Calculation Sheet'!$AB$35="","",'Final Calculation Sheet'!$AB$35)</f>
        <v/>
      </c>
      <c r="AH31" s="544">
        <f>IF('Final Calculation Sheet'!$AB$36="","",'Final Calculation Sheet'!$AB$36)</f>
        <v/>
      </c>
      <c r="AI31" s="545">
        <f>IF('Final Calculation Sheet'!$AB$37="","",'Final Calculation Sheet'!$AB$37)</f>
        <v/>
      </c>
      <c r="AJ31" s="544">
        <f>IF('Final Calculation Sheet'!$AB$38="","",'Final Calculation Sheet'!$AB$38)</f>
        <v/>
      </c>
      <c r="AK31" s="545">
        <f>IF('Final Calculation Sheet'!$AB$39="","",'Final Calculation Sheet'!$AB$39)</f>
        <v/>
      </c>
      <c r="AL31" s="544">
        <f>IF('Final Calculation Sheet'!$AB$40="","",'Final Calculation Sheet'!$AB$40)</f>
        <v/>
      </c>
      <c r="AM31" s="546">
        <f>IF('Final Calculation Sheet'!$AB$41="","",'Final Calculation Sheet'!$AB$41)</f>
        <v/>
      </c>
    </row>
    <row r="32" ht="15" customHeight="1">
      <c r="A32" s="540" t="inlineStr">
        <is>
          <t>Total Received</t>
        </is>
      </c>
      <c r="B32" s="544">
        <f>IF('Final Calculation Sheet'!$AC$4="","",'Final Calculation Sheet'!$AC$4)</f>
        <v/>
      </c>
      <c r="C32" s="545">
        <f>IF('Final Calculation Sheet'!$AC$5="","",'Final Calculation Sheet'!$AC$5)</f>
        <v/>
      </c>
      <c r="D32" s="544">
        <f>IF('Final Calculation Sheet'!$AC$6="","",'Final Calculation Sheet'!$AC$6)</f>
        <v/>
      </c>
      <c r="E32" s="545">
        <f>IF('Final Calculation Sheet'!$AC$7="","",'Final Calculation Sheet'!$AC$7)</f>
        <v/>
      </c>
      <c r="F32" s="544">
        <f>IF('Final Calculation Sheet'!$AC$8="","",'Final Calculation Sheet'!$AC$8)</f>
        <v/>
      </c>
      <c r="G32" s="545">
        <f>IF('Final Calculation Sheet'!$AC$9="","",'Final Calculation Sheet'!$AC$9)</f>
        <v/>
      </c>
      <c r="H32" s="544">
        <f>IF('Final Calculation Sheet'!$AC$10="","",'Final Calculation Sheet'!$AC$10)</f>
        <v/>
      </c>
      <c r="I32" s="545">
        <f>IF('Final Calculation Sheet'!$AC$11="","",'Final Calculation Sheet'!$AC$11)</f>
        <v/>
      </c>
      <c r="J32" s="544">
        <f>IF('Final Calculation Sheet'!$AC$12="","",'Final Calculation Sheet'!$AC$12)</f>
        <v/>
      </c>
      <c r="K32" s="545">
        <f>IF('Final Calculation Sheet'!$AC$13="","",'Final Calculation Sheet'!$AC$13)</f>
        <v/>
      </c>
      <c r="L32" s="544">
        <f>IF('Final Calculation Sheet'!$AC$14="","",'Final Calculation Sheet'!$AC$14)</f>
        <v/>
      </c>
      <c r="M32" s="545">
        <f>IF('Final Calculation Sheet'!$AC$15="","",'Final Calculation Sheet'!$AC$15)</f>
        <v/>
      </c>
      <c r="N32" s="544">
        <f>IF('Final Calculation Sheet'!$AC$16="","",'Final Calculation Sheet'!$AC$16)</f>
        <v/>
      </c>
      <c r="O32" s="545">
        <f>IF('Final Calculation Sheet'!$AC$17="","",'Final Calculation Sheet'!$AC$17)</f>
        <v/>
      </c>
      <c r="P32" s="544">
        <f>IF('Final Calculation Sheet'!$AC$18="","",'Final Calculation Sheet'!$AC$18)</f>
        <v/>
      </c>
      <c r="Q32" s="545">
        <f>IF('Final Calculation Sheet'!$AC$19="","",'Final Calculation Sheet'!$AC$19)</f>
        <v/>
      </c>
      <c r="R32" s="544">
        <f>IF('Final Calculation Sheet'!$AC$20="","",'Final Calculation Sheet'!$AC$20)</f>
        <v/>
      </c>
      <c r="S32" s="545">
        <f>IF('Final Calculation Sheet'!$AC$21="","",'Final Calculation Sheet'!$AC$21)</f>
        <v/>
      </c>
      <c r="T32" s="544">
        <f>IF('Final Calculation Sheet'!$AC$22="","",'Final Calculation Sheet'!$AC$22)</f>
        <v/>
      </c>
      <c r="U32" s="545">
        <f>IF('Final Calculation Sheet'!$AC$23="","",'Final Calculation Sheet'!$AC$23)</f>
        <v/>
      </c>
      <c r="V32" s="544">
        <f>IF('Final Calculation Sheet'!$AC$24="","",'Final Calculation Sheet'!$AC$24)</f>
        <v/>
      </c>
      <c r="W32" s="545">
        <f>IF('Final Calculation Sheet'!$AC$25="","",'Final Calculation Sheet'!$AC$25)</f>
        <v/>
      </c>
      <c r="X32" s="544">
        <f>IF('Final Calculation Sheet'!$AC$26="","",'Final Calculation Sheet'!$AC$26)</f>
        <v/>
      </c>
      <c r="Y32" s="545">
        <f>IF('Final Calculation Sheet'!$AC$27="","",'Final Calculation Sheet'!$AC$27)</f>
        <v/>
      </c>
      <c r="Z32" s="544">
        <f>IF('Final Calculation Sheet'!$AC$28="","",'Final Calculation Sheet'!$AC$28)</f>
        <v/>
      </c>
      <c r="AA32" s="545">
        <f>IF('Final Calculation Sheet'!$AC$29="","",'Final Calculation Sheet'!$AC$29)</f>
        <v/>
      </c>
      <c r="AB32" s="544">
        <f>IF('Final Calculation Sheet'!$AC$30="","",'Final Calculation Sheet'!$AC$30)</f>
        <v/>
      </c>
      <c r="AC32" s="545">
        <f>IF('Final Calculation Sheet'!$AC$31="","",'Final Calculation Sheet'!$AC$31)</f>
        <v/>
      </c>
      <c r="AD32" s="544">
        <f>IF('Final Calculation Sheet'!$AC$32="","",'Final Calculation Sheet'!$AC$32)</f>
        <v/>
      </c>
      <c r="AE32" s="545">
        <f>IF('Final Calculation Sheet'!$AC$33="","",'Final Calculation Sheet'!$AC$33)</f>
        <v/>
      </c>
      <c r="AF32" s="544">
        <f>IF('Final Calculation Sheet'!$AC$34="","",'Final Calculation Sheet'!$AC$34)</f>
        <v/>
      </c>
      <c r="AG32" s="545">
        <f>IF('Final Calculation Sheet'!$AC$35="","",'Final Calculation Sheet'!$AC$35)</f>
        <v/>
      </c>
      <c r="AH32" s="544">
        <f>IF('Final Calculation Sheet'!$AC$36="","",'Final Calculation Sheet'!$AC$36)</f>
        <v/>
      </c>
      <c r="AI32" s="545">
        <f>IF('Final Calculation Sheet'!$AC$37="","",'Final Calculation Sheet'!$AC$37)</f>
        <v/>
      </c>
      <c r="AJ32" s="544">
        <f>IF('Final Calculation Sheet'!$AC$38="","",'Final Calculation Sheet'!$AC$38)</f>
        <v/>
      </c>
      <c r="AK32" s="545">
        <f>IF('Final Calculation Sheet'!$AC$39="","",'Final Calculation Sheet'!$AC$39)</f>
        <v/>
      </c>
      <c r="AL32" s="544">
        <f>IF('Final Calculation Sheet'!$AC$40="","",'Final Calculation Sheet'!$AC$40)</f>
        <v/>
      </c>
      <c r="AM32" s="546">
        <f>IF('Final Calculation Sheet'!$AC$41="","",'Final Calculation Sheet'!$AC$41)</f>
        <v/>
      </c>
    </row>
    <row r="33" ht="15" customHeight="1">
      <c r="A33" s="543" t="inlineStr">
        <is>
          <t>Outstanding</t>
        </is>
      </c>
      <c r="B33" s="544">
        <f>IF('Final Calculation Sheet'!$AD$4="","",'Final Calculation Sheet'!$AD$4)</f>
        <v/>
      </c>
      <c r="C33" s="545">
        <f>IF('Final Calculation Sheet'!$AD$5="","",'Final Calculation Sheet'!$AD$5)</f>
        <v/>
      </c>
      <c r="D33" s="544">
        <f>IF('Final Calculation Sheet'!$AD$6="","",'Final Calculation Sheet'!$AD$6)</f>
        <v/>
      </c>
      <c r="E33" s="545">
        <f>IF('Final Calculation Sheet'!$AD$7="","",'Final Calculation Sheet'!$AD$7)</f>
        <v/>
      </c>
      <c r="F33" s="544">
        <f>IF('Final Calculation Sheet'!$AD$8="","",'Final Calculation Sheet'!$AD$8)</f>
        <v/>
      </c>
      <c r="G33" s="545">
        <f>IF('Final Calculation Sheet'!$AD$9="","",'Final Calculation Sheet'!$AD$9)</f>
        <v/>
      </c>
      <c r="H33" s="544">
        <f>IF('Final Calculation Sheet'!$AD$10="","",'Final Calculation Sheet'!$AD$10)</f>
        <v/>
      </c>
      <c r="I33" s="545">
        <f>IF('Final Calculation Sheet'!$AD$11="","",'Final Calculation Sheet'!$AD$11)</f>
        <v/>
      </c>
      <c r="J33" s="544">
        <f>IF('Final Calculation Sheet'!$AD$12="","",'Final Calculation Sheet'!$AD$12)</f>
        <v/>
      </c>
      <c r="K33" s="545">
        <f>IF('Final Calculation Sheet'!$AD$13="","",'Final Calculation Sheet'!$AD$13)</f>
        <v/>
      </c>
      <c r="L33" s="544">
        <f>IF('Final Calculation Sheet'!$AD$14="","",'Final Calculation Sheet'!$AD$14)</f>
        <v/>
      </c>
      <c r="M33" s="545">
        <f>IF('Final Calculation Sheet'!$AD$15="","",'Final Calculation Sheet'!$AD$15)</f>
        <v/>
      </c>
      <c r="N33" s="544">
        <f>IF('Final Calculation Sheet'!$AD$16="","",'Final Calculation Sheet'!$AD$16)</f>
        <v/>
      </c>
      <c r="O33" s="545">
        <f>IF('Final Calculation Sheet'!$AD$17="","",'Final Calculation Sheet'!$AD$17)</f>
        <v/>
      </c>
      <c r="P33" s="544">
        <f>IF('Final Calculation Sheet'!$AD$18="","",'Final Calculation Sheet'!$AD$18)</f>
        <v/>
      </c>
      <c r="Q33" s="545">
        <f>IF('Final Calculation Sheet'!$AD$19="","",'Final Calculation Sheet'!$AD$19)</f>
        <v/>
      </c>
      <c r="R33" s="544">
        <f>IF('Final Calculation Sheet'!$AD$20="","",'Final Calculation Sheet'!$AD$20)</f>
        <v/>
      </c>
      <c r="S33" s="545">
        <f>IF('Final Calculation Sheet'!$AD$21="","",'Final Calculation Sheet'!$AD$21)</f>
        <v/>
      </c>
      <c r="T33" s="544">
        <f>IF('Final Calculation Sheet'!$AD$22="","",'Final Calculation Sheet'!$AD$22)</f>
        <v/>
      </c>
      <c r="U33" s="545">
        <f>IF('Final Calculation Sheet'!$AD$23="","",'Final Calculation Sheet'!$AD$23)</f>
        <v/>
      </c>
      <c r="V33" s="544">
        <f>IF('Final Calculation Sheet'!$AD$24="","",'Final Calculation Sheet'!$AD$24)</f>
        <v/>
      </c>
      <c r="W33" s="545">
        <f>IF('Final Calculation Sheet'!$AD$25="","",'Final Calculation Sheet'!$AD$25)</f>
        <v/>
      </c>
      <c r="X33" s="544">
        <f>IF('Final Calculation Sheet'!$AD$26="","",'Final Calculation Sheet'!$AD$26)</f>
        <v/>
      </c>
      <c r="Y33" s="545">
        <f>IF('Final Calculation Sheet'!$AD$27="","",'Final Calculation Sheet'!$AD$27)</f>
        <v/>
      </c>
      <c r="Z33" s="544">
        <f>IF('Final Calculation Sheet'!$AD$28="","",'Final Calculation Sheet'!$AD$28)</f>
        <v/>
      </c>
      <c r="AA33" s="545">
        <f>IF('Final Calculation Sheet'!$AD$29="","",'Final Calculation Sheet'!$AD$29)</f>
        <v/>
      </c>
      <c r="AB33" s="544">
        <f>IF('Final Calculation Sheet'!$AD$30="","",'Final Calculation Sheet'!$AD$30)</f>
        <v/>
      </c>
      <c r="AC33" s="545">
        <f>IF('Final Calculation Sheet'!$AD$31="","",'Final Calculation Sheet'!$AD$31)</f>
        <v/>
      </c>
      <c r="AD33" s="544">
        <f>IF('Final Calculation Sheet'!$AD$32="","",'Final Calculation Sheet'!$AD$32)</f>
        <v/>
      </c>
      <c r="AE33" s="545">
        <f>IF('Final Calculation Sheet'!$AD$33="","",'Final Calculation Sheet'!$AD$33)</f>
        <v/>
      </c>
      <c r="AF33" s="544">
        <f>IF('Final Calculation Sheet'!$AD$34="","",'Final Calculation Sheet'!$AD$34)</f>
        <v/>
      </c>
      <c r="AG33" s="545">
        <f>IF('Final Calculation Sheet'!$AD$35="","",'Final Calculation Sheet'!$AD$35)</f>
        <v/>
      </c>
      <c r="AH33" s="544">
        <f>IF('Final Calculation Sheet'!$AD$36="","",'Final Calculation Sheet'!$AD$36)</f>
        <v/>
      </c>
      <c r="AI33" s="545">
        <f>IF('Final Calculation Sheet'!$AD$37="","",'Final Calculation Sheet'!$AD$37)</f>
        <v/>
      </c>
      <c r="AJ33" s="544">
        <f>IF('Final Calculation Sheet'!$AD$38="","",'Final Calculation Sheet'!$AD$38)</f>
        <v/>
      </c>
      <c r="AK33" s="545">
        <f>IF('Final Calculation Sheet'!$AD$39="","",'Final Calculation Sheet'!$AD$39)</f>
        <v/>
      </c>
      <c r="AL33" s="544">
        <f>IF('Final Calculation Sheet'!$AD$40="","",'Final Calculation Sheet'!$AD$40)</f>
        <v/>
      </c>
      <c r="AM33" s="546">
        <f>IF('Final Calculation Sheet'!$AD$41="","",'Final Calculation Sheet'!$AD$41)</f>
        <v/>
      </c>
    </row>
    <row r="34" ht="15" customHeight="1">
      <c r="A34" s="540" t="inlineStr">
        <is>
          <t>Invoice No.</t>
        </is>
      </c>
      <c r="B34" s="544">
        <f>IF('Final Calculation Sheet'!$AE$4="","",'Final Calculation Sheet'!$AE$4)</f>
        <v/>
      </c>
      <c r="C34" s="545">
        <f>IF('Final Calculation Sheet'!$AE$5="","",'Final Calculation Sheet'!$AE$5)</f>
        <v/>
      </c>
      <c r="D34" s="544">
        <f>IF('Final Calculation Sheet'!$AE$6="","",'Final Calculation Sheet'!$AE$6)</f>
        <v/>
      </c>
      <c r="E34" s="545">
        <f>IF('Final Calculation Sheet'!$AE$7="","",'Final Calculation Sheet'!$AE$7)</f>
        <v/>
      </c>
      <c r="F34" s="544">
        <f>IF('Final Calculation Sheet'!$AE$8="","",'Final Calculation Sheet'!$AE$8)</f>
        <v/>
      </c>
      <c r="G34" s="545">
        <f>IF('Final Calculation Sheet'!$AE$9="","",'Final Calculation Sheet'!$AE$9)</f>
        <v/>
      </c>
      <c r="H34" s="544">
        <f>IF('Final Calculation Sheet'!$AE$10="","",'Final Calculation Sheet'!$AE$10)</f>
        <v/>
      </c>
      <c r="I34" s="545">
        <f>IF('Final Calculation Sheet'!$AE$11="","",'Final Calculation Sheet'!$AE$11)</f>
        <v/>
      </c>
      <c r="J34" s="544">
        <f>IF('Final Calculation Sheet'!$AE$12="","",'Final Calculation Sheet'!$AE$12)</f>
        <v/>
      </c>
      <c r="K34" s="545">
        <f>IF('Final Calculation Sheet'!$AE$13="","",'Final Calculation Sheet'!$AE$13)</f>
        <v/>
      </c>
      <c r="L34" s="544">
        <f>IF('Final Calculation Sheet'!$AE$14="","",'Final Calculation Sheet'!$AE$14)</f>
        <v/>
      </c>
      <c r="M34" s="545">
        <f>IF('Final Calculation Sheet'!$AE$15="","",'Final Calculation Sheet'!$AE$15)</f>
        <v/>
      </c>
      <c r="N34" s="544">
        <f>IF('Final Calculation Sheet'!$AE$16="","",'Final Calculation Sheet'!$AE$16)</f>
        <v/>
      </c>
      <c r="O34" s="545">
        <f>IF('Final Calculation Sheet'!$AE$17="","",'Final Calculation Sheet'!$AE$17)</f>
        <v/>
      </c>
      <c r="P34" s="544">
        <f>IF('Final Calculation Sheet'!$AE$18="","",'Final Calculation Sheet'!$AE$18)</f>
        <v/>
      </c>
      <c r="Q34" s="545">
        <f>IF('Final Calculation Sheet'!$AE$19="","",'Final Calculation Sheet'!$AE$19)</f>
        <v/>
      </c>
      <c r="R34" s="544">
        <f>IF('Final Calculation Sheet'!$AE$20="","",'Final Calculation Sheet'!$AE$20)</f>
        <v/>
      </c>
      <c r="S34" s="545">
        <f>IF('Final Calculation Sheet'!$AE$21="","",'Final Calculation Sheet'!$AE$21)</f>
        <v/>
      </c>
      <c r="T34" s="544">
        <f>IF('Final Calculation Sheet'!$AE$22="","",'Final Calculation Sheet'!$AE$22)</f>
        <v/>
      </c>
      <c r="U34" s="545">
        <f>IF('Final Calculation Sheet'!$AE$23="","",'Final Calculation Sheet'!$AE$23)</f>
        <v/>
      </c>
      <c r="V34" s="544">
        <f>IF('Final Calculation Sheet'!$AE$24="","",'Final Calculation Sheet'!$AE$24)</f>
        <v/>
      </c>
      <c r="W34" s="545">
        <f>IF('Final Calculation Sheet'!$AE$25="","",'Final Calculation Sheet'!$AE$25)</f>
        <v/>
      </c>
      <c r="X34" s="544">
        <f>IF('Final Calculation Sheet'!$AE$26="","",'Final Calculation Sheet'!$AE$26)</f>
        <v/>
      </c>
      <c r="Y34" s="545">
        <f>IF('Final Calculation Sheet'!$AE$27="","",'Final Calculation Sheet'!$AE$27)</f>
        <v/>
      </c>
      <c r="Z34" s="544">
        <f>IF('Final Calculation Sheet'!$AE$28="","",'Final Calculation Sheet'!$AE$28)</f>
        <v/>
      </c>
      <c r="AA34" s="545">
        <f>IF('Final Calculation Sheet'!$AE$29="","",'Final Calculation Sheet'!$AE$29)</f>
        <v/>
      </c>
      <c r="AB34" s="544">
        <f>IF('Final Calculation Sheet'!$AE$30="","",'Final Calculation Sheet'!$AE$30)</f>
        <v/>
      </c>
      <c r="AC34" s="545">
        <f>IF('Final Calculation Sheet'!$AE$31="","",'Final Calculation Sheet'!$AE$31)</f>
        <v/>
      </c>
      <c r="AD34" s="544">
        <f>IF('Final Calculation Sheet'!$AE$32="","",'Final Calculation Sheet'!$AE$32)</f>
        <v/>
      </c>
      <c r="AE34" s="545">
        <f>IF('Final Calculation Sheet'!$AE$33="","",'Final Calculation Sheet'!$AE$33)</f>
        <v/>
      </c>
      <c r="AF34" s="544">
        <f>IF('Final Calculation Sheet'!$AE$34="","",'Final Calculation Sheet'!$AE$34)</f>
        <v/>
      </c>
      <c r="AG34" s="545">
        <f>IF('Final Calculation Sheet'!$AE$35="","",'Final Calculation Sheet'!$AE$35)</f>
        <v/>
      </c>
      <c r="AH34" s="544">
        <f>IF('Final Calculation Sheet'!$AE$36="","",'Final Calculation Sheet'!$AE$36)</f>
        <v/>
      </c>
      <c r="AI34" s="545">
        <f>IF('Final Calculation Sheet'!$AE$37="","",'Final Calculation Sheet'!$AE$37)</f>
        <v/>
      </c>
      <c r="AJ34" s="544">
        <f>IF('Final Calculation Sheet'!$AE$38="","",'Final Calculation Sheet'!$AE$38)</f>
        <v/>
      </c>
      <c r="AK34" s="545">
        <f>IF('Final Calculation Sheet'!$AE$39="","",'Final Calculation Sheet'!$AE$39)</f>
        <v/>
      </c>
      <c r="AL34" s="544">
        <f>IF('Final Calculation Sheet'!$AE$40="","",'Final Calculation Sheet'!$AE$40)</f>
        <v/>
      </c>
      <c r="AM34" s="546">
        <f>IF('Final Calculation Sheet'!$AE$41="","",'Final Calculation Sheet'!$AE$41)</f>
        <v/>
      </c>
    </row>
    <row r="35" ht="15" customHeight="1">
      <c r="A35" s="543" t="inlineStr">
        <is>
          <t>SAP Document</t>
        </is>
      </c>
      <c r="B35" s="555">
        <f>IF('Final Calculation Sheet'!$AF$4="","",'Final Calculation Sheet'!$AF$4)</f>
        <v/>
      </c>
      <c r="C35" s="556">
        <f>IF('Final Calculation Sheet'!$AF$5="","",'Final Calculation Sheet'!$AF$5)</f>
        <v/>
      </c>
      <c r="D35" s="555">
        <f>IF('Final Calculation Sheet'!$AF$6="","",'Final Calculation Sheet'!$AF$6)</f>
        <v/>
      </c>
      <c r="E35" s="556">
        <f>IF('Final Calculation Sheet'!$AF$7="","",'Final Calculation Sheet'!$AF$7)</f>
        <v/>
      </c>
      <c r="F35" s="555">
        <f>IF('Final Calculation Sheet'!$AF$8="","",'Final Calculation Sheet'!$AF$8)</f>
        <v/>
      </c>
      <c r="G35" s="556">
        <f>IF('Final Calculation Sheet'!$AF$9="","",'Final Calculation Sheet'!$AF$9)</f>
        <v/>
      </c>
      <c r="H35" s="555">
        <f>IF('Final Calculation Sheet'!$AF$10="","",'Final Calculation Sheet'!$AF$10)</f>
        <v/>
      </c>
      <c r="I35" s="556">
        <f>IF('Final Calculation Sheet'!$AF$11="","",'Final Calculation Sheet'!$AF$11)</f>
        <v/>
      </c>
      <c r="J35" s="555">
        <f>IF('Final Calculation Sheet'!$AF$12="","",'Final Calculation Sheet'!$AF$12)</f>
        <v/>
      </c>
      <c r="K35" s="556">
        <f>IF('Final Calculation Sheet'!$AF$13="","",'Final Calculation Sheet'!$AF$13)</f>
        <v/>
      </c>
      <c r="L35" s="555">
        <f>IF('Final Calculation Sheet'!$AF$14="","",'Final Calculation Sheet'!$AF$14)</f>
        <v/>
      </c>
      <c r="M35" s="556">
        <f>IF('Final Calculation Sheet'!$AF$15="","",'Final Calculation Sheet'!$AF$15)</f>
        <v/>
      </c>
      <c r="N35" s="555">
        <f>IF('Final Calculation Sheet'!$AF$16="","",'Final Calculation Sheet'!$AF$16)</f>
        <v/>
      </c>
      <c r="O35" s="556">
        <f>IF('Final Calculation Sheet'!$AF$17="","",'Final Calculation Sheet'!$AF$17)</f>
        <v/>
      </c>
      <c r="P35" s="555">
        <f>IF('Final Calculation Sheet'!$AF$18="","",'Final Calculation Sheet'!$AF$18)</f>
        <v/>
      </c>
      <c r="Q35" s="556">
        <f>IF('Final Calculation Sheet'!$AF$19="","",'Final Calculation Sheet'!$AF$19)</f>
        <v/>
      </c>
      <c r="R35" s="555">
        <f>IF('Final Calculation Sheet'!$AF$20="","",'Final Calculation Sheet'!$AF$20)</f>
        <v/>
      </c>
      <c r="S35" s="556">
        <f>IF('Final Calculation Sheet'!$AF$21="","",'Final Calculation Sheet'!$AF$21)</f>
        <v/>
      </c>
      <c r="T35" s="555">
        <f>IF('Final Calculation Sheet'!$AF$22="","",'Final Calculation Sheet'!$AF$22)</f>
        <v/>
      </c>
      <c r="U35" s="556">
        <f>IF('Final Calculation Sheet'!$AF$23="","",'Final Calculation Sheet'!$AF$23)</f>
        <v/>
      </c>
      <c r="V35" s="555">
        <f>IF('Final Calculation Sheet'!$AF$24="","",'Final Calculation Sheet'!$AF$24)</f>
        <v/>
      </c>
      <c r="W35" s="556">
        <f>IF('Final Calculation Sheet'!$AF$25="","",'Final Calculation Sheet'!$AF$25)</f>
        <v/>
      </c>
      <c r="X35" s="555">
        <f>IF('Final Calculation Sheet'!$AF$26="","",'Final Calculation Sheet'!$AF$26)</f>
        <v/>
      </c>
      <c r="Y35" s="556">
        <f>IF('Final Calculation Sheet'!$AF$27="","",'Final Calculation Sheet'!$AF$27)</f>
        <v/>
      </c>
      <c r="Z35" s="555">
        <f>IF('Final Calculation Sheet'!$AF$28="","",'Final Calculation Sheet'!$AF$28)</f>
        <v/>
      </c>
      <c r="AA35" s="556">
        <f>IF('Final Calculation Sheet'!$AF$29="","",'Final Calculation Sheet'!$AF$29)</f>
        <v/>
      </c>
      <c r="AB35" s="555">
        <f>IF('Final Calculation Sheet'!$AF$30="","",'Final Calculation Sheet'!$AF$30)</f>
        <v/>
      </c>
      <c r="AC35" s="556">
        <f>IF('Final Calculation Sheet'!$AF$31="","",'Final Calculation Sheet'!$AF$31)</f>
        <v/>
      </c>
      <c r="AD35" s="555">
        <f>IF('Final Calculation Sheet'!$AF$32="","",'Final Calculation Sheet'!$AF$32)</f>
        <v/>
      </c>
      <c r="AE35" s="556">
        <f>IF('Final Calculation Sheet'!$AF$33="","",'Final Calculation Sheet'!$AF$33)</f>
        <v/>
      </c>
      <c r="AF35" s="555">
        <f>IF('Final Calculation Sheet'!$AF$34="","",'Final Calculation Sheet'!$AF$34)</f>
        <v/>
      </c>
      <c r="AG35" s="556">
        <f>IF('Final Calculation Sheet'!$AF$35="","",'Final Calculation Sheet'!$AF$35)</f>
        <v/>
      </c>
      <c r="AH35" s="555">
        <f>IF('Final Calculation Sheet'!$AF$36="","",'Final Calculation Sheet'!$AF$36)</f>
        <v/>
      </c>
      <c r="AI35" s="556">
        <f>IF('Final Calculation Sheet'!$AF$37="","",'Final Calculation Sheet'!$AF$37)</f>
        <v/>
      </c>
      <c r="AJ35" s="555">
        <f>IF('Final Calculation Sheet'!$AF$38="","",'Final Calculation Sheet'!$AF$38)</f>
        <v/>
      </c>
      <c r="AK35" s="556">
        <f>IF('Final Calculation Sheet'!$AF$39="","",'Final Calculation Sheet'!$AF$39)</f>
        <v/>
      </c>
      <c r="AL35" s="555">
        <f>IF('Final Calculation Sheet'!$AF$40="","",'Final Calculation Sheet'!$AF$40)</f>
        <v/>
      </c>
      <c r="AM35" s="499">
        <f>IF('Final Calculation Sheet'!$AF$41="","",'Final Calculation Sheet'!$AF$41)</f>
        <v/>
      </c>
    </row>
    <row r="36" ht="15" customHeight="1">
      <c r="A36" s="540" t="inlineStr">
        <is>
          <t>Doc./Invoice Date</t>
        </is>
      </c>
      <c r="B36" s="544">
        <f>IF('Final Calculation Sheet'!$AG$4="","",'Final Calculation Sheet'!$AG$4)</f>
        <v/>
      </c>
      <c r="C36" s="545">
        <f>IF('Final Calculation Sheet'!$AG$5="","",'Final Calculation Sheet'!$AG$5)</f>
        <v/>
      </c>
      <c r="D36" s="544">
        <f>IF('Final Calculation Sheet'!$AG$6="","",'Final Calculation Sheet'!$AG$6)</f>
        <v/>
      </c>
      <c r="E36" s="545">
        <f>IF('Final Calculation Sheet'!$AG$7="","",'Final Calculation Sheet'!$AG$7)</f>
        <v/>
      </c>
      <c r="F36" s="544">
        <f>IF('Final Calculation Sheet'!$AG$8="","",'Final Calculation Sheet'!$AG$8)</f>
        <v/>
      </c>
      <c r="G36" s="545">
        <f>IF('Final Calculation Sheet'!$AG$9="","",'Final Calculation Sheet'!$AG$9)</f>
        <v/>
      </c>
      <c r="H36" s="544">
        <f>IF('Final Calculation Sheet'!$AG$10="","",'Final Calculation Sheet'!$AG$10)</f>
        <v/>
      </c>
      <c r="I36" s="545">
        <f>IF('Final Calculation Sheet'!$AG$11="","",'Final Calculation Sheet'!$AG$11)</f>
        <v/>
      </c>
      <c r="J36" s="544">
        <f>IF('Final Calculation Sheet'!$AG$12="","",'Final Calculation Sheet'!$AG$12)</f>
        <v/>
      </c>
      <c r="K36" s="545">
        <f>IF('Final Calculation Sheet'!$AG$13="","",'Final Calculation Sheet'!$AG$13)</f>
        <v/>
      </c>
      <c r="L36" s="544">
        <f>IF('Final Calculation Sheet'!$AG$14="","",'Final Calculation Sheet'!$AG$14)</f>
        <v/>
      </c>
      <c r="M36" s="545">
        <f>IF('Final Calculation Sheet'!$AG$15="","",'Final Calculation Sheet'!$AG$15)</f>
        <v/>
      </c>
      <c r="N36" s="544">
        <f>IF('Final Calculation Sheet'!$AG$16="","",'Final Calculation Sheet'!$AG$16)</f>
        <v/>
      </c>
      <c r="O36" s="545">
        <f>IF('Final Calculation Sheet'!$AG$17="","",'Final Calculation Sheet'!$AG$17)</f>
        <v/>
      </c>
      <c r="P36" s="544">
        <f>IF('Final Calculation Sheet'!$AG$18="","",'Final Calculation Sheet'!$AG$18)</f>
        <v/>
      </c>
      <c r="Q36" s="545">
        <f>IF('Final Calculation Sheet'!$AG$19="","",'Final Calculation Sheet'!$AG$19)</f>
        <v/>
      </c>
      <c r="R36" s="544">
        <f>IF('Final Calculation Sheet'!$AG$20="","",'Final Calculation Sheet'!$AG$20)</f>
        <v/>
      </c>
      <c r="S36" s="545">
        <f>IF('Final Calculation Sheet'!$AG$21="","",'Final Calculation Sheet'!$AG$21)</f>
        <v/>
      </c>
      <c r="T36" s="544">
        <f>IF('Final Calculation Sheet'!$AG$22="","",'Final Calculation Sheet'!$AG$22)</f>
        <v/>
      </c>
      <c r="U36" s="545">
        <f>IF('Final Calculation Sheet'!$AG$23="","",'Final Calculation Sheet'!$AG$23)</f>
        <v/>
      </c>
      <c r="V36" s="544">
        <f>IF('Final Calculation Sheet'!$AG$24="","",'Final Calculation Sheet'!$AG$24)</f>
        <v/>
      </c>
      <c r="W36" s="545">
        <f>IF('Final Calculation Sheet'!$AG$25="","",'Final Calculation Sheet'!$AG$25)</f>
        <v/>
      </c>
      <c r="X36" s="544">
        <f>IF('Final Calculation Sheet'!$AG$26="","",'Final Calculation Sheet'!$AG$26)</f>
        <v/>
      </c>
      <c r="Y36" s="545">
        <f>IF('Final Calculation Sheet'!$AG$27="","",'Final Calculation Sheet'!$AG$27)</f>
        <v/>
      </c>
      <c r="Z36" s="544">
        <f>IF('Final Calculation Sheet'!$AG$28="","",'Final Calculation Sheet'!$AG$28)</f>
        <v/>
      </c>
      <c r="AA36" s="545">
        <f>IF('Final Calculation Sheet'!$AG$29="","",'Final Calculation Sheet'!$AG$29)</f>
        <v/>
      </c>
      <c r="AB36" s="544">
        <f>IF('Final Calculation Sheet'!$AG$30="","",'Final Calculation Sheet'!$AG$30)</f>
        <v/>
      </c>
      <c r="AC36" s="545">
        <f>IF('Final Calculation Sheet'!$AG$31="","",'Final Calculation Sheet'!$AG$31)</f>
        <v/>
      </c>
      <c r="AD36" s="544">
        <f>IF('Final Calculation Sheet'!$AG$32="","",'Final Calculation Sheet'!$AG$32)</f>
        <v/>
      </c>
      <c r="AE36" s="545">
        <f>IF('Final Calculation Sheet'!$AG$33="","",'Final Calculation Sheet'!$AG$33)</f>
        <v/>
      </c>
      <c r="AF36" s="544">
        <f>IF('Final Calculation Sheet'!$AG$34="","",'Final Calculation Sheet'!$AG$34)</f>
        <v/>
      </c>
      <c r="AG36" s="545">
        <f>IF('Final Calculation Sheet'!$AG$35="","",'Final Calculation Sheet'!$AG$35)</f>
        <v/>
      </c>
      <c r="AH36" s="544">
        <f>IF('Final Calculation Sheet'!$AG$36="","",'Final Calculation Sheet'!$AG$36)</f>
        <v/>
      </c>
      <c r="AI36" s="545">
        <f>IF('Final Calculation Sheet'!$AG$37="","",'Final Calculation Sheet'!$AG$37)</f>
        <v/>
      </c>
      <c r="AJ36" s="544">
        <f>IF('Final Calculation Sheet'!$AG$38="","",'Final Calculation Sheet'!$AG$38)</f>
        <v/>
      </c>
      <c r="AK36" s="545">
        <f>IF('Final Calculation Sheet'!$AG$39="","",'Final Calculation Sheet'!$AG$39)</f>
        <v/>
      </c>
      <c r="AL36" s="544">
        <f>IF('Final Calculation Sheet'!$AG$40="","",'Final Calculation Sheet'!$AG$40)</f>
        <v/>
      </c>
      <c r="AM36" s="546">
        <f>IF('Final Calculation Sheet'!$AG$41="","",'Final Calculation Sheet'!$AG$41)</f>
        <v/>
      </c>
    </row>
  </sheetData>
  <autoFilter ref="A3:A36"/>
  <mergeCells count="2">
    <mergeCell ref="A2:AM2"/>
    <mergeCell ref="A1:AM1"/>
  </mergeCells>
  <conditionalFormatting sqref="B33:AL33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4472C4"/>
    <outlinePr summaryBelow="0" summaryRight="1"/>
    <pageSetUpPr fitToPage="1"/>
  </sheetPr>
  <dimension ref="A1:B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2"/>
  <cols>
    <col width="34" customWidth="1" min="1" max="1"/>
    <col outlineLevel="2" width="14.5" customWidth="1" min="2" max="2"/>
    <col outlineLevel="2" width="14.5" customWidth="1" min="3" max="3"/>
    <col outlineLevel="1" width="2.6" customWidth="1" min="4" max="4"/>
    <col outlineLevel="2" width="14.5" customWidth="1" min="5" max="5"/>
    <col outlineLevel="1" width="2.6" customWidth="1" min="6" max="6"/>
    <col outlineLevel="2" width="14.5" customWidth="1" min="7" max="7"/>
    <col outlineLevel="2" width="14.5" customWidth="1" min="8" max="8"/>
    <col outlineLevel="2" width="14.5" customWidth="1" min="9" max="9"/>
    <col outlineLevel="2" width="14.5" customWidth="1" min="10" max="10"/>
    <col outlineLevel="1" width="2.6" customWidth="1" min="11" max="11"/>
    <col outlineLevel="2" width="14.5" customWidth="1" min="12" max="12"/>
    <col outlineLevel="2" width="14.5" customWidth="1" min="13" max="13"/>
    <col outlineLevel="1" width="2.6" customWidth="1" min="14" max="14"/>
    <col outlineLevel="2" width="14.5" customWidth="1" min="15" max="15"/>
    <col outlineLevel="2" width="14.5" customWidth="1" min="16" max="16"/>
    <col width="2.6" customWidth="1" min="17" max="17"/>
    <col outlineLevel="2" width="14.5" customWidth="1" min="18" max="18"/>
    <col outlineLevel="1" width="2.6" customWidth="1" min="19" max="19"/>
    <col outlineLevel="2" width="14.5" customWidth="1" min="20" max="20"/>
    <col outlineLevel="2" width="14.5" customWidth="1" min="21" max="21"/>
    <col outlineLevel="2" width="14.5" customWidth="1" min="22" max="22"/>
    <col outlineLevel="2" width="14.5" customWidth="1" min="23" max="23"/>
    <col outlineLevel="2" width="14.5" customWidth="1" min="24" max="24"/>
    <col outlineLevel="1" width="2.6" customWidth="1" min="25" max="25"/>
    <col outlineLevel="2" width="14.5" customWidth="1" min="26" max="26"/>
    <col outlineLevel="1" width="2.6" customWidth="1" min="27" max="27"/>
    <col outlineLevel="2" width="14.5" customWidth="1" min="28" max="28"/>
    <col outlineLevel="1" width="2.6" customWidth="1" min="29" max="29"/>
    <col outlineLevel="2" width="14.5" customWidth="1" min="30" max="30"/>
    <col outlineLevel="2" width="14.5" customWidth="1" min="31" max="31"/>
    <col outlineLevel="2" width="14.5" customWidth="1" min="32" max="32"/>
    <col outlineLevel="1" width="2.6" customWidth="1" min="33" max="33"/>
    <col outlineLevel="2" width="14.5" customWidth="1" min="34" max="34"/>
    <col outlineLevel="2" width="14.5" customWidth="1" min="35" max="35"/>
    <col width="2.6" customWidth="1" min="36" max="36"/>
    <col outlineLevel="2" width="14.5" customWidth="1" min="37" max="37"/>
    <col outlineLevel="2" width="14.5" customWidth="1" min="38" max="38"/>
    <col outlineLevel="2" width="14.5" customWidth="1" min="39" max="39"/>
    <col outlineLevel="1" width="2.6" customWidth="1" min="40" max="40"/>
    <col outlineLevel="2" width="14.5" customWidth="1" min="41" max="41"/>
    <col outlineLevel="1" width="2.6" customWidth="1" min="42" max="42"/>
    <col outlineLevel="2" width="14.5" customWidth="1" min="43" max="43"/>
    <col width="2.6" customWidth="1" min="44" max="44"/>
    <col outlineLevel="2" width="14.5" customWidth="1" min="45" max="45"/>
    <col outlineLevel="1" width="2.6" customWidth="1" min="46" max="46"/>
    <col outlineLevel="2" width="14.5" customWidth="1" min="47" max="47"/>
    <col outlineLevel="1" width="2.6" customWidth="1" min="48" max="48"/>
    <col outlineLevel="2" width="14.5" customWidth="1" min="49" max="49"/>
    <col outlineLevel="1" width="2.6" customWidth="1" min="50" max="50"/>
    <col outlineLevel="2" width="14.5" customWidth="1" min="51" max="51"/>
    <col outlineLevel="1" width="2.6" customWidth="1" min="52" max="52"/>
    <col outlineLevel="2" width="14.5" customWidth="1" min="53" max="53"/>
    <col outlineLevel="2" width="14.5" customWidth="1" min="54" max="54"/>
    <col outlineLevel="1" width="2.6" customWidth="1" min="55" max="55"/>
    <col outlineLevel="2" width="14.5" customWidth="1" min="56" max="56"/>
    <col outlineLevel="1" width="2.6" customWidth="1" min="57" max="57"/>
    <col outlineLevel="2" width="14.5" customWidth="1" min="58" max="58"/>
    <col width="14.5" customWidth="1" min="59" max="5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the lot columns are sorted by auction then buyer and grouped: the − above a thin divider folds that BUYER's lots away, the − above a wide divider folds a whole AUCTION.  The 1 / 2 buttons in the outline area collapse every buyer or every auction at once.  No filter arrows here - this sheet is for folding.</t>
        </is>
      </c>
    </row>
    <row r="3" ht="16" customHeight="1">
      <c r="A3" s="399" t="inlineStr">
        <is>
          <t>AUCTION  →</t>
        </is>
      </c>
      <c r="B3" s="233" t="inlineStr">
        <is>
          <t>AUCTION 21977</t>
        </is>
      </c>
      <c r="C3" s="384" t="n"/>
      <c r="D3" s="384" t="n"/>
      <c r="E3" s="384" t="n"/>
      <c r="F3" s="384" t="n"/>
      <c r="G3" s="384" t="n"/>
      <c r="H3" s="384" t="n"/>
      <c r="I3" s="384" t="n"/>
      <c r="J3" s="384" t="n"/>
      <c r="K3" s="384" t="n"/>
      <c r="L3" s="384" t="n"/>
      <c r="M3" s="384" t="n"/>
      <c r="N3" s="384" t="n"/>
      <c r="O3" s="384" t="n"/>
      <c r="P3" s="384" t="n"/>
      <c r="R3" s="234" t="inlineStr">
        <is>
          <t>AUCTION 21978</t>
        </is>
      </c>
      <c r="S3" s="385" t="n"/>
      <c r="T3" s="385" t="n"/>
      <c r="U3" s="385" t="n"/>
      <c r="V3" s="385" t="n"/>
      <c r="W3" s="385" t="n"/>
      <c r="X3" s="385" t="n"/>
      <c r="Y3" s="385" t="n"/>
      <c r="Z3" s="385" t="n"/>
      <c r="AA3" s="385" t="n"/>
      <c r="AB3" s="385" t="n"/>
      <c r="AC3" s="385" t="n"/>
      <c r="AD3" s="385" t="n"/>
      <c r="AE3" s="385" t="n"/>
      <c r="AF3" s="385" t="n"/>
      <c r="AG3" s="385" t="n"/>
      <c r="AH3" s="385" t="n"/>
      <c r="AI3" s="385" t="n"/>
      <c r="AK3" s="235" t="inlineStr">
        <is>
          <t>AUCTION 21979</t>
        </is>
      </c>
      <c r="AL3" s="386" t="n"/>
      <c r="AM3" s="386" t="n"/>
      <c r="AN3" s="386" t="n"/>
      <c r="AO3" s="386" t="n"/>
      <c r="AP3" s="386" t="n"/>
      <c r="AQ3" s="386" t="n"/>
      <c r="AS3" s="236" t="inlineStr">
        <is>
          <t>AUCTION 21980</t>
        </is>
      </c>
      <c r="AT3" s="387" t="n"/>
      <c r="AU3" s="387" t="n"/>
      <c r="AV3" s="387" t="n"/>
      <c r="AW3" s="387" t="n"/>
      <c r="AX3" s="387" t="n"/>
      <c r="AY3" s="387" t="n"/>
      <c r="AZ3" s="387" t="n"/>
      <c r="BA3" s="387" t="n"/>
      <c r="BB3" s="387" t="n"/>
      <c r="BC3" s="387" t="n"/>
      <c r="BD3" s="387" t="n"/>
      <c r="BE3" s="387" t="n"/>
      <c r="BF3" s="387" t="n"/>
    </row>
    <row r="4" ht="46" customHeight="1">
      <c r="A4" s="399" t="inlineStr">
        <is>
          <t>BUYER  →</t>
        </is>
      </c>
      <c r="B4" s="557" t="inlineStr">
        <is>
          <t>F R KHANS ENTERPRISES  (2)</t>
        </is>
      </c>
      <c r="C4" s="384" t="n"/>
      <c r="E4" s="558" t="inlineStr">
        <is>
          <t>HIND TRADERS</t>
        </is>
      </c>
      <c r="G4" s="559" t="inlineStr">
        <is>
          <t>NATIONAL ENTERPRISES  (4)</t>
        </is>
      </c>
      <c r="H4" s="386" t="n"/>
      <c r="I4" s="386" t="n"/>
      <c r="J4" s="386" t="n"/>
      <c r="L4" s="560" t="inlineStr">
        <is>
          <t>SHAR JAHAN TRADERS  (2)</t>
        </is>
      </c>
      <c r="M4" s="387" t="n"/>
      <c r="O4" s="561" t="inlineStr">
        <is>
          <t>STERLING ENTERPRISES  (2)</t>
        </is>
      </c>
      <c r="P4" s="389" t="n"/>
      <c r="R4" s="562" t="inlineStr">
        <is>
          <t>M I SCRAP TRADERS</t>
        </is>
      </c>
      <c r="T4" s="559" t="inlineStr">
        <is>
          <t>NATIONAL ENTERPRISES  (5)</t>
        </is>
      </c>
      <c r="U4" s="386" t="n"/>
      <c r="V4" s="386" t="n"/>
      <c r="W4" s="386" t="n"/>
      <c r="X4" s="386" t="n"/>
      <c r="Z4" s="563" t="inlineStr">
        <is>
          <t>NATIONAL SCRAP AND BUILDING MATERIAL SUPPLIER</t>
        </is>
      </c>
      <c r="AB4" s="564" t="inlineStr">
        <is>
          <t>OMKAR STEELS</t>
        </is>
      </c>
      <c r="AD4" s="561" t="inlineStr">
        <is>
          <t>STERLING ENTERPRISES  (3)</t>
        </is>
      </c>
      <c r="AE4" s="389" t="n"/>
      <c r="AF4" s="389" t="n"/>
      <c r="AH4" s="557" t="inlineStr">
        <is>
          <t>WATAN SCRAP TRADERS  (2)</t>
        </is>
      </c>
      <c r="AI4" s="384" t="n"/>
      <c r="AK4" s="559" t="inlineStr">
        <is>
          <t>NATIONAL ENTERPRISES  (3)</t>
        </is>
      </c>
      <c r="AL4" s="386" t="n"/>
      <c r="AM4" s="386" t="n"/>
      <c r="AO4" s="558" t="inlineStr">
        <is>
          <t>SAHARA ENTERPRISES</t>
        </is>
      </c>
      <c r="AQ4" s="561" t="inlineStr">
        <is>
          <t>STERLING ENTERPRISES</t>
        </is>
      </c>
      <c r="AS4" s="559" t="inlineStr">
        <is>
          <t>AL HAMD TRADE CORPORATION</t>
        </is>
      </c>
      <c r="AU4" s="560" t="inlineStr">
        <is>
          <t>KASHYAP TRADING CO</t>
        </is>
      </c>
      <c r="AW4" s="559" t="inlineStr">
        <is>
          <t>NATIONAL ENTERPRISES</t>
        </is>
      </c>
      <c r="AY4" s="564" t="inlineStr">
        <is>
          <t>OMKAR STEELS</t>
        </is>
      </c>
      <c r="BA4" s="561" t="inlineStr">
        <is>
          <t>S M ENTERPRISES  (2)</t>
        </is>
      </c>
      <c r="BB4" s="389" t="n"/>
      <c r="BD4" s="561" t="inlineStr">
        <is>
          <t>STERLING ENTERPRISES</t>
        </is>
      </c>
      <c r="BF4" s="557" t="inlineStr">
        <is>
          <t>WATAN SCRAP TRADERS</t>
        </is>
      </c>
    </row>
    <row r="5" ht="30" customHeight="1">
      <c r="A5" s="424" t="inlineStr">
        <is>
          <t>FIELD (row 3 of the source)  ▸  |  LOT →</t>
        </is>
      </c>
      <c r="B5" s="536">
        <f>IF('Final Calculation Sheet'!$F$6="","",'Final Calculation Sheet'!$F$6)</f>
        <v/>
      </c>
      <c r="C5" s="536">
        <f>IF('Final Calculation Sheet'!$F$7="","",'Final Calculation Sheet'!$F$7)</f>
        <v/>
      </c>
      <c r="D5" s="565" t="n"/>
      <c r="E5" s="536">
        <f>IF('Final Calculation Sheet'!$F$15="","",'Final Calculation Sheet'!$F$15)</f>
        <v/>
      </c>
      <c r="F5" s="565" t="n"/>
      <c r="G5" s="536">
        <f>IF('Final Calculation Sheet'!$F$5="","",'Final Calculation Sheet'!$F$5)</f>
        <v/>
      </c>
      <c r="H5" s="536">
        <f>IF('Final Calculation Sheet'!$F$10="","",'Final Calculation Sheet'!$F$10)</f>
        <v/>
      </c>
      <c r="I5" s="536">
        <f>IF('Final Calculation Sheet'!$F$11="","",'Final Calculation Sheet'!$F$11)</f>
        <v/>
      </c>
      <c r="J5" s="536">
        <f>IF('Final Calculation Sheet'!$F$12="","",'Final Calculation Sheet'!$F$12)</f>
        <v/>
      </c>
      <c r="K5" s="565" t="n"/>
      <c r="L5" s="536">
        <f>IF('Final Calculation Sheet'!$F$9="","",'Final Calculation Sheet'!$F$9)</f>
        <v/>
      </c>
      <c r="M5" s="536">
        <f>IF('Final Calculation Sheet'!$F$14="","",'Final Calculation Sheet'!$F$14)</f>
        <v/>
      </c>
      <c r="N5" s="565" t="n"/>
      <c r="O5" s="536">
        <f>IF('Final Calculation Sheet'!$F$13="","",'Final Calculation Sheet'!$F$13)</f>
        <v/>
      </c>
      <c r="P5" s="536">
        <f>IF('Final Calculation Sheet'!$F$16="","",'Final Calculation Sheet'!$F$16)</f>
        <v/>
      </c>
      <c r="Q5" s="565" t="n"/>
      <c r="R5" s="537">
        <f>IF('Final Calculation Sheet'!$F$27="","",'Final Calculation Sheet'!$F$27)</f>
        <v/>
      </c>
      <c r="S5" s="565" t="n"/>
      <c r="T5" s="537">
        <f>IF('Final Calculation Sheet'!$F$18="","",'Final Calculation Sheet'!$F$18)</f>
        <v/>
      </c>
      <c r="U5" s="537">
        <f>IF('Final Calculation Sheet'!$F$19="","",'Final Calculation Sheet'!$F$19)</f>
        <v/>
      </c>
      <c r="V5" s="537">
        <f>IF('Final Calculation Sheet'!$F$22="","",'Final Calculation Sheet'!$F$22)</f>
        <v/>
      </c>
      <c r="W5" s="537">
        <f>IF('Final Calculation Sheet'!$F$24="","",'Final Calculation Sheet'!$F$24)</f>
        <v/>
      </c>
      <c r="X5" s="537">
        <f>IF('Final Calculation Sheet'!$F$26="","",'Final Calculation Sheet'!$F$26)</f>
        <v/>
      </c>
      <c r="Y5" s="565" t="n"/>
      <c r="Z5" s="537">
        <f>IF('Final Calculation Sheet'!$F$21="","",'Final Calculation Sheet'!$F$21)</f>
        <v/>
      </c>
      <c r="AA5" s="565" t="n"/>
      <c r="AB5" s="537">
        <f>IF('Final Calculation Sheet'!$F$20="","",'Final Calculation Sheet'!$F$20)</f>
        <v/>
      </c>
      <c r="AC5" s="565" t="n"/>
      <c r="AD5" s="537">
        <f>IF('Final Calculation Sheet'!$F$17="","",'Final Calculation Sheet'!$F$17)</f>
        <v/>
      </c>
      <c r="AE5" s="537">
        <f>IF('Final Calculation Sheet'!$F$23="","",'Final Calculation Sheet'!$F$23)</f>
        <v/>
      </c>
      <c r="AF5" s="537">
        <f>IF('Final Calculation Sheet'!$F$29="","",'Final Calculation Sheet'!$F$29)</f>
        <v/>
      </c>
      <c r="AG5" s="565" t="n"/>
      <c r="AH5" s="537">
        <f>IF('Final Calculation Sheet'!$F$25="","",'Final Calculation Sheet'!$F$25)</f>
        <v/>
      </c>
      <c r="AI5" s="537">
        <f>IF('Final Calculation Sheet'!$F$28="","",'Final Calculation Sheet'!$F$28)</f>
        <v/>
      </c>
      <c r="AJ5" s="565" t="n"/>
      <c r="AK5" s="538">
        <f>IF('Final Calculation Sheet'!$F$30="","",'Final Calculation Sheet'!$F$30)</f>
        <v/>
      </c>
      <c r="AL5" s="538">
        <f>IF('Final Calculation Sheet'!$F$32="","",'Final Calculation Sheet'!$F$32)</f>
        <v/>
      </c>
      <c r="AM5" s="538">
        <f>IF('Final Calculation Sheet'!$F$33="","",'Final Calculation Sheet'!$F$33)</f>
        <v/>
      </c>
      <c r="AN5" s="565" t="n"/>
      <c r="AO5" s="538">
        <f>IF('Final Calculation Sheet'!$F$31="","",'Final Calculation Sheet'!$F$31)</f>
        <v/>
      </c>
      <c r="AP5" s="565" t="n"/>
      <c r="AQ5" s="538">
        <f>IF('Final Calculation Sheet'!$F$34="","",'Final Calculation Sheet'!$F$34)</f>
        <v/>
      </c>
      <c r="AR5" s="565" t="n"/>
      <c r="AS5" s="539">
        <f>IF('Final Calculation Sheet'!$F$4="","",'Final Calculation Sheet'!$F$4)</f>
        <v/>
      </c>
      <c r="AT5" s="565" t="n"/>
      <c r="AU5" s="539">
        <f>IF('Final Calculation Sheet'!$F$38="","",'Final Calculation Sheet'!$F$38)</f>
        <v/>
      </c>
      <c r="AV5" s="565" t="n"/>
      <c r="AW5" s="539">
        <f>IF('Final Calculation Sheet'!$F$37="","",'Final Calculation Sheet'!$F$37)</f>
        <v/>
      </c>
      <c r="AX5" s="565" t="n"/>
      <c r="AY5" s="539">
        <f>IF('Final Calculation Sheet'!$F$8="","",'Final Calculation Sheet'!$F$8)</f>
        <v/>
      </c>
      <c r="AZ5" s="565" t="n"/>
      <c r="BA5" s="539">
        <f>IF('Final Calculation Sheet'!$F$39="","",'Final Calculation Sheet'!$F$39)</f>
        <v/>
      </c>
      <c r="BB5" s="539">
        <f>IF('Final Calculation Sheet'!$F$40="","",'Final Calculation Sheet'!$F$40)</f>
        <v/>
      </c>
      <c r="BC5" s="565" t="n"/>
      <c r="BD5" s="539">
        <f>IF('Final Calculation Sheet'!$F$36="","",'Final Calculation Sheet'!$F$36)</f>
        <v/>
      </c>
      <c r="BE5" s="565" t="n"/>
      <c r="BF5" s="539">
        <f>IF('Final Calculation Sheet'!$F$35="","",'Final Calculation Sheet'!$F$35)</f>
        <v/>
      </c>
      <c r="BG5" s="490" t="inlineStr">
        <is>
          <t>TOTAL (src row 41)</t>
        </is>
      </c>
    </row>
    <row r="6" ht="15" customHeight="1">
      <c r="A6" s="540" t="inlineStr">
        <is>
          <t>Quantity</t>
        </is>
      </c>
      <c r="B6" s="429">
        <f>IF('Final Calculation Sheet'!$A$6="","",'Final Calculation Sheet'!$A$6)</f>
        <v/>
      </c>
      <c r="C6" s="541">
        <f>IF('Final Calculation Sheet'!$A$7="","",'Final Calculation Sheet'!$A$7)</f>
        <v/>
      </c>
      <c r="E6" s="436">
        <f>IF('Final Calculation Sheet'!$A$15="","",'Final Calculation Sheet'!$A$15)</f>
        <v/>
      </c>
      <c r="G6" s="541">
        <f>IF('Final Calculation Sheet'!$A$5="","",'Final Calculation Sheet'!$A$5)</f>
        <v/>
      </c>
      <c r="H6" s="444">
        <f>IF('Final Calculation Sheet'!$A$10="","",'Final Calculation Sheet'!$A$10)</f>
        <v/>
      </c>
      <c r="I6" s="541">
        <f>IF('Final Calculation Sheet'!$A$11="","",'Final Calculation Sheet'!$A$11)</f>
        <v/>
      </c>
      <c r="J6" s="444">
        <f>IF('Final Calculation Sheet'!$A$12="","",'Final Calculation Sheet'!$A$12)</f>
        <v/>
      </c>
      <c r="L6" s="541">
        <f>IF('Final Calculation Sheet'!$A$9="","",'Final Calculation Sheet'!$A$9)</f>
        <v/>
      </c>
      <c r="M6" s="451">
        <f>IF('Final Calculation Sheet'!$A$14="","",'Final Calculation Sheet'!$A$14)</f>
        <v/>
      </c>
      <c r="O6" s="541">
        <f>IF('Final Calculation Sheet'!$A$13="","",'Final Calculation Sheet'!$A$13)</f>
        <v/>
      </c>
      <c r="P6" s="459">
        <f>IF('Final Calculation Sheet'!$A$16="","",'Final Calculation Sheet'!$A$16)</f>
        <v/>
      </c>
      <c r="R6" s="541">
        <f>IF('Final Calculation Sheet'!$A$27="","",'Final Calculation Sheet'!$A$27)</f>
        <v/>
      </c>
      <c r="T6" s="444">
        <f>IF('Final Calculation Sheet'!$A$18="","",'Final Calculation Sheet'!$A$18)</f>
        <v/>
      </c>
      <c r="U6" s="541">
        <f>IF('Final Calculation Sheet'!$A$19="","",'Final Calculation Sheet'!$A$19)</f>
        <v/>
      </c>
      <c r="V6" s="444">
        <f>IF('Final Calculation Sheet'!$A$22="","",'Final Calculation Sheet'!$A$22)</f>
        <v/>
      </c>
      <c r="W6" s="541">
        <f>IF('Final Calculation Sheet'!$A$24="","",'Final Calculation Sheet'!$A$24)</f>
        <v/>
      </c>
      <c r="X6" s="444">
        <f>IF('Final Calculation Sheet'!$A$26="","",'Final Calculation Sheet'!$A$26)</f>
        <v/>
      </c>
      <c r="Z6" s="541">
        <f>IF('Final Calculation Sheet'!$A$21="","",'Final Calculation Sheet'!$A$21)</f>
        <v/>
      </c>
      <c r="AB6" s="481">
        <f>IF('Final Calculation Sheet'!$A$20="","",'Final Calculation Sheet'!$A$20)</f>
        <v/>
      </c>
      <c r="AD6" s="541">
        <f>IF('Final Calculation Sheet'!$A$17="","",'Final Calculation Sheet'!$A$17)</f>
        <v/>
      </c>
      <c r="AE6" s="459">
        <f>IF('Final Calculation Sheet'!$A$23="","",'Final Calculation Sheet'!$A$23)</f>
        <v/>
      </c>
      <c r="AF6" s="541">
        <f>IF('Final Calculation Sheet'!$A$29="","",'Final Calculation Sheet'!$A$29)</f>
        <v/>
      </c>
      <c r="AH6" s="429">
        <f>IF('Final Calculation Sheet'!$A$25="","",'Final Calculation Sheet'!$A$25)</f>
        <v/>
      </c>
      <c r="AI6" s="541">
        <f>IF('Final Calculation Sheet'!$A$28="","",'Final Calculation Sheet'!$A$28)</f>
        <v/>
      </c>
      <c r="AK6" s="444">
        <f>IF('Final Calculation Sheet'!$A$30="","",'Final Calculation Sheet'!$A$30)</f>
        <v/>
      </c>
      <c r="AL6" s="541">
        <f>IF('Final Calculation Sheet'!$A$32="","",'Final Calculation Sheet'!$A$32)</f>
        <v/>
      </c>
      <c r="AM6" s="444">
        <f>IF('Final Calculation Sheet'!$A$33="","",'Final Calculation Sheet'!$A$33)</f>
        <v/>
      </c>
      <c r="AO6" s="541">
        <f>IF('Final Calculation Sheet'!$A$31="","",'Final Calculation Sheet'!$A$31)</f>
        <v/>
      </c>
      <c r="AQ6" s="459">
        <f>IF('Final Calculation Sheet'!$A$34="","",'Final Calculation Sheet'!$A$34)</f>
        <v/>
      </c>
      <c r="AS6" s="541">
        <f>IF('Final Calculation Sheet'!$A$4="","",'Final Calculation Sheet'!$A$4)</f>
        <v/>
      </c>
      <c r="AU6" s="451">
        <f>IF('Final Calculation Sheet'!$A$38="","",'Final Calculation Sheet'!$A$38)</f>
        <v/>
      </c>
      <c r="AW6" s="541">
        <f>IF('Final Calculation Sheet'!$A$37="","",'Final Calculation Sheet'!$A$37)</f>
        <v/>
      </c>
      <c r="AY6" s="481">
        <f>IF('Final Calculation Sheet'!$A$8="","",'Final Calculation Sheet'!$A$8)</f>
        <v/>
      </c>
      <c r="BA6" s="541">
        <f>IF('Final Calculation Sheet'!$A$39="","",'Final Calculation Sheet'!$A$39)</f>
        <v/>
      </c>
      <c r="BB6" s="459">
        <f>IF('Final Calculation Sheet'!$A$40="","",'Final Calculation Sheet'!$A$40)</f>
        <v/>
      </c>
      <c r="BD6" s="541">
        <f>IF('Final Calculation Sheet'!$A$36="","",'Final Calculation Sheet'!$A$36)</f>
        <v/>
      </c>
      <c r="BF6" s="429">
        <f>IF('Final Calculation Sheet'!$A$35="","",'Final Calculation Sheet'!$A$35)</f>
        <v/>
      </c>
      <c r="BG6" s="542">
        <f>IF('Final Calculation Sheet'!$A$41="","",'Final Calculation Sheet'!$A$41)</f>
        <v/>
      </c>
    </row>
    <row r="7" ht="15" customHeight="1">
      <c r="A7" s="543" t="inlineStr">
        <is>
          <t>Lot Name</t>
        </is>
      </c>
      <c r="B7" s="429">
        <f>IF('Final Calculation Sheet'!$B$6="","",'Final Calculation Sheet'!$B$6)</f>
        <v/>
      </c>
      <c r="C7" s="541">
        <f>IF('Final Calculation Sheet'!$B$7="","",'Final Calculation Sheet'!$B$7)</f>
        <v/>
      </c>
      <c r="E7" s="436">
        <f>IF('Final Calculation Sheet'!$B$15="","",'Final Calculation Sheet'!$B$15)</f>
        <v/>
      </c>
      <c r="G7" s="541">
        <f>IF('Final Calculation Sheet'!$B$5="","",'Final Calculation Sheet'!$B$5)</f>
        <v/>
      </c>
      <c r="H7" s="444">
        <f>IF('Final Calculation Sheet'!$B$10="","",'Final Calculation Sheet'!$B$10)</f>
        <v/>
      </c>
      <c r="I7" s="541">
        <f>IF('Final Calculation Sheet'!$B$11="","",'Final Calculation Sheet'!$B$11)</f>
        <v/>
      </c>
      <c r="J7" s="444">
        <f>IF('Final Calculation Sheet'!$B$12="","",'Final Calculation Sheet'!$B$12)</f>
        <v/>
      </c>
      <c r="L7" s="541">
        <f>IF('Final Calculation Sheet'!$B$9="","",'Final Calculation Sheet'!$B$9)</f>
        <v/>
      </c>
      <c r="M7" s="451">
        <f>IF('Final Calculation Sheet'!$B$14="","",'Final Calculation Sheet'!$B$14)</f>
        <v/>
      </c>
      <c r="O7" s="541">
        <f>IF('Final Calculation Sheet'!$B$13="","",'Final Calculation Sheet'!$B$13)</f>
        <v/>
      </c>
      <c r="P7" s="459">
        <f>IF('Final Calculation Sheet'!$B$16="","",'Final Calculation Sheet'!$B$16)</f>
        <v/>
      </c>
      <c r="R7" s="541">
        <f>IF('Final Calculation Sheet'!$B$27="","",'Final Calculation Sheet'!$B$27)</f>
        <v/>
      </c>
      <c r="T7" s="444">
        <f>IF('Final Calculation Sheet'!$B$18="","",'Final Calculation Sheet'!$B$18)</f>
        <v/>
      </c>
      <c r="U7" s="541">
        <f>IF('Final Calculation Sheet'!$B$19="","",'Final Calculation Sheet'!$B$19)</f>
        <v/>
      </c>
      <c r="V7" s="444">
        <f>IF('Final Calculation Sheet'!$B$22="","",'Final Calculation Sheet'!$B$22)</f>
        <v/>
      </c>
      <c r="W7" s="541">
        <f>IF('Final Calculation Sheet'!$B$24="","",'Final Calculation Sheet'!$B$24)</f>
        <v/>
      </c>
      <c r="X7" s="444">
        <f>IF('Final Calculation Sheet'!$B$26="","",'Final Calculation Sheet'!$B$26)</f>
        <v/>
      </c>
      <c r="Z7" s="541">
        <f>IF('Final Calculation Sheet'!$B$21="","",'Final Calculation Sheet'!$B$21)</f>
        <v/>
      </c>
      <c r="AB7" s="481">
        <f>IF('Final Calculation Sheet'!$B$20="","",'Final Calculation Sheet'!$B$20)</f>
        <v/>
      </c>
      <c r="AD7" s="541">
        <f>IF('Final Calculation Sheet'!$B$17="","",'Final Calculation Sheet'!$B$17)</f>
        <v/>
      </c>
      <c r="AE7" s="459">
        <f>IF('Final Calculation Sheet'!$B$23="","",'Final Calculation Sheet'!$B$23)</f>
        <v/>
      </c>
      <c r="AF7" s="541">
        <f>IF('Final Calculation Sheet'!$B$29="","",'Final Calculation Sheet'!$B$29)</f>
        <v/>
      </c>
      <c r="AH7" s="429">
        <f>IF('Final Calculation Sheet'!$B$25="","",'Final Calculation Sheet'!$B$25)</f>
        <v/>
      </c>
      <c r="AI7" s="541">
        <f>IF('Final Calculation Sheet'!$B$28="","",'Final Calculation Sheet'!$B$28)</f>
        <v/>
      </c>
      <c r="AK7" s="444">
        <f>IF('Final Calculation Sheet'!$B$30="","",'Final Calculation Sheet'!$B$30)</f>
        <v/>
      </c>
      <c r="AL7" s="541">
        <f>IF('Final Calculation Sheet'!$B$32="","",'Final Calculation Sheet'!$B$32)</f>
        <v/>
      </c>
      <c r="AM7" s="444">
        <f>IF('Final Calculation Sheet'!$B$33="","",'Final Calculation Sheet'!$B$33)</f>
        <v/>
      </c>
      <c r="AO7" s="541">
        <f>IF('Final Calculation Sheet'!$B$31="","",'Final Calculation Sheet'!$B$31)</f>
        <v/>
      </c>
      <c r="AQ7" s="459">
        <f>IF('Final Calculation Sheet'!$B$34="","",'Final Calculation Sheet'!$B$34)</f>
        <v/>
      </c>
      <c r="AS7" s="541">
        <f>IF('Final Calculation Sheet'!$B$4="","",'Final Calculation Sheet'!$B$4)</f>
        <v/>
      </c>
      <c r="AU7" s="451">
        <f>IF('Final Calculation Sheet'!$B$38="","",'Final Calculation Sheet'!$B$38)</f>
        <v/>
      </c>
      <c r="AW7" s="541">
        <f>IF('Final Calculation Sheet'!$B$37="","",'Final Calculation Sheet'!$B$37)</f>
        <v/>
      </c>
      <c r="AY7" s="481">
        <f>IF('Final Calculation Sheet'!$B$8="","",'Final Calculation Sheet'!$B$8)</f>
        <v/>
      </c>
      <c r="BA7" s="541">
        <f>IF('Final Calculation Sheet'!$B$39="","",'Final Calculation Sheet'!$B$39)</f>
        <v/>
      </c>
      <c r="BB7" s="459">
        <f>IF('Final Calculation Sheet'!$B$40="","",'Final Calculation Sheet'!$B$40)</f>
        <v/>
      </c>
      <c r="BD7" s="541">
        <f>IF('Final Calculation Sheet'!$B$36="","",'Final Calculation Sheet'!$B$36)</f>
        <v/>
      </c>
      <c r="BF7" s="429">
        <f>IF('Final Calculation Sheet'!$B$35="","",'Final Calculation Sheet'!$B$35)</f>
        <v/>
      </c>
      <c r="BG7" s="542">
        <f>IF('Final Calculation Sheet'!$B$41="","",'Final Calculation Sheet'!$B$41)</f>
        <v/>
      </c>
    </row>
    <row r="8" ht="15" customHeight="1">
      <c r="A8" s="540" t="inlineStr">
        <is>
          <t>Rate</t>
        </is>
      </c>
      <c r="B8" s="566">
        <f>IF('Final Calculation Sheet'!$C$6="","",'Final Calculation Sheet'!$C$6)</f>
        <v/>
      </c>
      <c r="C8" s="545">
        <f>IF('Final Calculation Sheet'!$C$7="","",'Final Calculation Sheet'!$C$7)</f>
        <v/>
      </c>
      <c r="E8" s="567">
        <f>IF('Final Calculation Sheet'!$C$15="","",'Final Calculation Sheet'!$C$15)</f>
        <v/>
      </c>
      <c r="G8" s="545">
        <f>IF('Final Calculation Sheet'!$C$5="","",'Final Calculation Sheet'!$C$5)</f>
        <v/>
      </c>
      <c r="H8" s="568">
        <f>IF('Final Calculation Sheet'!$C$10="","",'Final Calculation Sheet'!$C$10)</f>
        <v/>
      </c>
      <c r="I8" s="545">
        <f>IF('Final Calculation Sheet'!$C$11="","",'Final Calculation Sheet'!$C$11)</f>
        <v/>
      </c>
      <c r="J8" s="568">
        <f>IF('Final Calculation Sheet'!$C$12="","",'Final Calculation Sheet'!$C$12)</f>
        <v/>
      </c>
      <c r="L8" s="545">
        <f>IF('Final Calculation Sheet'!$C$9="","",'Final Calculation Sheet'!$C$9)</f>
        <v/>
      </c>
      <c r="M8" s="569">
        <f>IF('Final Calculation Sheet'!$C$14="","",'Final Calculation Sheet'!$C$14)</f>
        <v/>
      </c>
      <c r="O8" s="545">
        <f>IF('Final Calculation Sheet'!$C$13="","",'Final Calculation Sheet'!$C$13)</f>
        <v/>
      </c>
      <c r="P8" s="570">
        <f>IF('Final Calculation Sheet'!$C$16="","",'Final Calculation Sheet'!$C$16)</f>
        <v/>
      </c>
      <c r="R8" s="545">
        <f>IF('Final Calculation Sheet'!$C$27="","",'Final Calculation Sheet'!$C$27)</f>
        <v/>
      </c>
      <c r="T8" s="568">
        <f>IF('Final Calculation Sheet'!$C$18="","",'Final Calculation Sheet'!$C$18)</f>
        <v/>
      </c>
      <c r="U8" s="545">
        <f>IF('Final Calculation Sheet'!$C$19="","",'Final Calculation Sheet'!$C$19)</f>
        <v/>
      </c>
      <c r="V8" s="568">
        <f>IF('Final Calculation Sheet'!$C$22="","",'Final Calculation Sheet'!$C$22)</f>
        <v/>
      </c>
      <c r="W8" s="545">
        <f>IF('Final Calculation Sheet'!$C$24="","",'Final Calculation Sheet'!$C$24)</f>
        <v/>
      </c>
      <c r="X8" s="568">
        <f>IF('Final Calculation Sheet'!$C$26="","",'Final Calculation Sheet'!$C$26)</f>
        <v/>
      </c>
      <c r="Z8" s="545">
        <f>IF('Final Calculation Sheet'!$C$21="","",'Final Calculation Sheet'!$C$21)</f>
        <v/>
      </c>
      <c r="AB8" s="571">
        <f>IF('Final Calculation Sheet'!$C$20="","",'Final Calculation Sheet'!$C$20)</f>
        <v/>
      </c>
      <c r="AD8" s="545">
        <f>IF('Final Calculation Sheet'!$C$17="","",'Final Calculation Sheet'!$C$17)</f>
        <v/>
      </c>
      <c r="AE8" s="570">
        <f>IF('Final Calculation Sheet'!$C$23="","",'Final Calculation Sheet'!$C$23)</f>
        <v/>
      </c>
      <c r="AF8" s="545">
        <f>IF('Final Calculation Sheet'!$C$29="","",'Final Calculation Sheet'!$C$29)</f>
        <v/>
      </c>
      <c r="AH8" s="566">
        <f>IF('Final Calculation Sheet'!$C$25="","",'Final Calculation Sheet'!$C$25)</f>
        <v/>
      </c>
      <c r="AI8" s="545">
        <f>IF('Final Calculation Sheet'!$C$28="","",'Final Calculation Sheet'!$C$28)</f>
        <v/>
      </c>
      <c r="AK8" s="568">
        <f>IF('Final Calculation Sheet'!$C$30="","",'Final Calculation Sheet'!$C$30)</f>
        <v/>
      </c>
      <c r="AL8" s="545">
        <f>IF('Final Calculation Sheet'!$C$32="","",'Final Calculation Sheet'!$C$32)</f>
        <v/>
      </c>
      <c r="AM8" s="568">
        <f>IF('Final Calculation Sheet'!$C$33="","",'Final Calculation Sheet'!$C$33)</f>
        <v/>
      </c>
      <c r="AO8" s="545">
        <f>IF('Final Calculation Sheet'!$C$31="","",'Final Calculation Sheet'!$C$31)</f>
        <v/>
      </c>
      <c r="AQ8" s="570">
        <f>IF('Final Calculation Sheet'!$C$34="","",'Final Calculation Sheet'!$C$34)</f>
        <v/>
      </c>
      <c r="AS8" s="545">
        <f>IF('Final Calculation Sheet'!$C$4="","",'Final Calculation Sheet'!$C$4)</f>
        <v/>
      </c>
      <c r="AU8" s="569">
        <f>IF('Final Calculation Sheet'!$C$38="","",'Final Calculation Sheet'!$C$38)</f>
        <v/>
      </c>
      <c r="AW8" s="545">
        <f>IF('Final Calculation Sheet'!$C$37="","",'Final Calculation Sheet'!$C$37)</f>
        <v/>
      </c>
      <c r="AY8" s="571">
        <f>IF('Final Calculation Sheet'!$C$8="","",'Final Calculation Sheet'!$C$8)</f>
        <v/>
      </c>
      <c r="BA8" s="545">
        <f>IF('Final Calculation Sheet'!$C$39="","",'Final Calculation Sheet'!$C$39)</f>
        <v/>
      </c>
      <c r="BB8" s="570">
        <f>IF('Final Calculation Sheet'!$C$40="","",'Final Calculation Sheet'!$C$40)</f>
        <v/>
      </c>
      <c r="BD8" s="545">
        <f>IF('Final Calculation Sheet'!$C$36="","",'Final Calculation Sheet'!$C$36)</f>
        <v/>
      </c>
      <c r="BF8" s="566">
        <f>IF('Final Calculation Sheet'!$C$35="","",'Final Calculation Sheet'!$C$35)</f>
        <v/>
      </c>
      <c r="BG8" s="546">
        <f>IF('Final Calculation Sheet'!$C$41="","",'Final Calculation Sheet'!$C$41)</f>
        <v/>
      </c>
    </row>
    <row r="9" ht="15" customHeight="1">
      <c r="A9" s="543" t="inlineStr">
        <is>
          <t>Bid Sheet</t>
        </is>
      </c>
      <c r="B9" s="429">
        <f>IF('Final Calculation Sheet'!$D$6="","",'Final Calculation Sheet'!$D$6)</f>
        <v/>
      </c>
      <c r="C9" s="541">
        <f>IF('Final Calculation Sheet'!$D$7="","",'Final Calculation Sheet'!$D$7)</f>
        <v/>
      </c>
      <c r="E9" s="436">
        <f>IF('Final Calculation Sheet'!$D$15="","",'Final Calculation Sheet'!$D$15)</f>
        <v/>
      </c>
      <c r="G9" s="541">
        <f>IF('Final Calculation Sheet'!$D$5="","",'Final Calculation Sheet'!$D$5)</f>
        <v/>
      </c>
      <c r="H9" s="444">
        <f>IF('Final Calculation Sheet'!$D$10="","",'Final Calculation Sheet'!$D$10)</f>
        <v/>
      </c>
      <c r="I9" s="541">
        <f>IF('Final Calculation Sheet'!$D$11="","",'Final Calculation Sheet'!$D$11)</f>
        <v/>
      </c>
      <c r="J9" s="444">
        <f>IF('Final Calculation Sheet'!$D$12="","",'Final Calculation Sheet'!$D$12)</f>
        <v/>
      </c>
      <c r="L9" s="541">
        <f>IF('Final Calculation Sheet'!$D$9="","",'Final Calculation Sheet'!$D$9)</f>
        <v/>
      </c>
      <c r="M9" s="451">
        <f>IF('Final Calculation Sheet'!$D$14="","",'Final Calculation Sheet'!$D$14)</f>
        <v/>
      </c>
      <c r="O9" s="541">
        <f>IF('Final Calculation Sheet'!$D$13="","",'Final Calculation Sheet'!$D$13)</f>
        <v/>
      </c>
      <c r="P9" s="459">
        <f>IF('Final Calculation Sheet'!$D$16="","",'Final Calculation Sheet'!$D$16)</f>
        <v/>
      </c>
      <c r="R9" s="541">
        <f>IF('Final Calculation Sheet'!$D$27="","",'Final Calculation Sheet'!$D$27)</f>
        <v/>
      </c>
      <c r="T9" s="444">
        <f>IF('Final Calculation Sheet'!$D$18="","",'Final Calculation Sheet'!$D$18)</f>
        <v/>
      </c>
      <c r="U9" s="541">
        <f>IF('Final Calculation Sheet'!$D$19="","",'Final Calculation Sheet'!$D$19)</f>
        <v/>
      </c>
      <c r="V9" s="444">
        <f>IF('Final Calculation Sheet'!$D$22="","",'Final Calculation Sheet'!$D$22)</f>
        <v/>
      </c>
      <c r="W9" s="541">
        <f>IF('Final Calculation Sheet'!$D$24="","",'Final Calculation Sheet'!$D$24)</f>
        <v/>
      </c>
      <c r="X9" s="444">
        <f>IF('Final Calculation Sheet'!$D$26="","",'Final Calculation Sheet'!$D$26)</f>
        <v/>
      </c>
      <c r="Z9" s="541">
        <f>IF('Final Calculation Sheet'!$D$21="","",'Final Calculation Sheet'!$D$21)</f>
        <v/>
      </c>
      <c r="AB9" s="481">
        <f>IF('Final Calculation Sheet'!$D$20="","",'Final Calculation Sheet'!$D$20)</f>
        <v/>
      </c>
      <c r="AD9" s="541">
        <f>IF('Final Calculation Sheet'!$D$17="","",'Final Calculation Sheet'!$D$17)</f>
        <v/>
      </c>
      <c r="AE9" s="459">
        <f>IF('Final Calculation Sheet'!$D$23="","",'Final Calculation Sheet'!$D$23)</f>
        <v/>
      </c>
      <c r="AF9" s="541">
        <f>IF('Final Calculation Sheet'!$D$29="","",'Final Calculation Sheet'!$D$29)</f>
        <v/>
      </c>
      <c r="AH9" s="429">
        <f>IF('Final Calculation Sheet'!$D$25="","",'Final Calculation Sheet'!$D$25)</f>
        <v/>
      </c>
      <c r="AI9" s="541">
        <f>IF('Final Calculation Sheet'!$D$28="","",'Final Calculation Sheet'!$D$28)</f>
        <v/>
      </c>
      <c r="AK9" s="444">
        <f>IF('Final Calculation Sheet'!$D$30="","",'Final Calculation Sheet'!$D$30)</f>
        <v/>
      </c>
      <c r="AL9" s="541">
        <f>IF('Final Calculation Sheet'!$D$32="","",'Final Calculation Sheet'!$D$32)</f>
        <v/>
      </c>
      <c r="AM9" s="444">
        <f>IF('Final Calculation Sheet'!$D$33="","",'Final Calculation Sheet'!$D$33)</f>
        <v/>
      </c>
      <c r="AO9" s="541">
        <f>IF('Final Calculation Sheet'!$D$31="","",'Final Calculation Sheet'!$D$31)</f>
        <v/>
      </c>
      <c r="AQ9" s="459">
        <f>IF('Final Calculation Sheet'!$D$34="","",'Final Calculation Sheet'!$D$34)</f>
        <v/>
      </c>
      <c r="AS9" s="541">
        <f>IF('Final Calculation Sheet'!$D$4="","",'Final Calculation Sheet'!$D$4)</f>
        <v/>
      </c>
      <c r="AU9" s="451">
        <f>IF('Final Calculation Sheet'!$D$38="","",'Final Calculation Sheet'!$D$38)</f>
        <v/>
      </c>
      <c r="AW9" s="541">
        <f>IF('Final Calculation Sheet'!$D$37="","",'Final Calculation Sheet'!$D$37)</f>
        <v/>
      </c>
      <c r="AY9" s="481">
        <f>IF('Final Calculation Sheet'!$D$8="","",'Final Calculation Sheet'!$D$8)</f>
        <v/>
      </c>
      <c r="BA9" s="541">
        <f>IF('Final Calculation Sheet'!$D$39="","",'Final Calculation Sheet'!$D$39)</f>
        <v/>
      </c>
      <c r="BB9" s="459">
        <f>IF('Final Calculation Sheet'!$D$40="","",'Final Calculation Sheet'!$D$40)</f>
        <v/>
      </c>
      <c r="BD9" s="541">
        <f>IF('Final Calculation Sheet'!$D$36="","",'Final Calculation Sheet'!$D$36)</f>
        <v/>
      </c>
      <c r="BF9" s="429">
        <f>IF('Final Calculation Sheet'!$D$35="","",'Final Calculation Sheet'!$D$35)</f>
        <v/>
      </c>
      <c r="BG9" s="542">
        <f>IF('Final Calculation Sheet'!$D$41="","",'Final Calculation Sheet'!$D$41)</f>
        <v/>
      </c>
    </row>
    <row r="10" ht="15" customHeight="1">
      <c r="A10" s="540" t="inlineStr">
        <is>
          <t>Unit</t>
        </is>
      </c>
      <c r="B10" s="429">
        <f>IF('Final Calculation Sheet'!$E$6="","",'Final Calculation Sheet'!$E$6)</f>
        <v/>
      </c>
      <c r="C10" s="541">
        <f>IF('Final Calculation Sheet'!$E$7="","",'Final Calculation Sheet'!$E$7)</f>
        <v/>
      </c>
      <c r="E10" s="436">
        <f>IF('Final Calculation Sheet'!$E$15="","",'Final Calculation Sheet'!$E$15)</f>
        <v/>
      </c>
      <c r="G10" s="541">
        <f>IF('Final Calculation Sheet'!$E$5="","",'Final Calculation Sheet'!$E$5)</f>
        <v/>
      </c>
      <c r="H10" s="444">
        <f>IF('Final Calculation Sheet'!$E$10="","",'Final Calculation Sheet'!$E$10)</f>
        <v/>
      </c>
      <c r="I10" s="541">
        <f>IF('Final Calculation Sheet'!$E$11="","",'Final Calculation Sheet'!$E$11)</f>
        <v/>
      </c>
      <c r="J10" s="444">
        <f>IF('Final Calculation Sheet'!$E$12="","",'Final Calculation Sheet'!$E$12)</f>
        <v/>
      </c>
      <c r="L10" s="541">
        <f>IF('Final Calculation Sheet'!$E$9="","",'Final Calculation Sheet'!$E$9)</f>
        <v/>
      </c>
      <c r="M10" s="451">
        <f>IF('Final Calculation Sheet'!$E$14="","",'Final Calculation Sheet'!$E$14)</f>
        <v/>
      </c>
      <c r="O10" s="541">
        <f>IF('Final Calculation Sheet'!$E$13="","",'Final Calculation Sheet'!$E$13)</f>
        <v/>
      </c>
      <c r="P10" s="459">
        <f>IF('Final Calculation Sheet'!$E$16="","",'Final Calculation Sheet'!$E$16)</f>
        <v/>
      </c>
      <c r="R10" s="541">
        <f>IF('Final Calculation Sheet'!$E$27="","",'Final Calculation Sheet'!$E$27)</f>
        <v/>
      </c>
      <c r="T10" s="444">
        <f>IF('Final Calculation Sheet'!$E$18="","",'Final Calculation Sheet'!$E$18)</f>
        <v/>
      </c>
      <c r="U10" s="541">
        <f>IF('Final Calculation Sheet'!$E$19="","",'Final Calculation Sheet'!$E$19)</f>
        <v/>
      </c>
      <c r="V10" s="444">
        <f>IF('Final Calculation Sheet'!$E$22="","",'Final Calculation Sheet'!$E$22)</f>
        <v/>
      </c>
      <c r="W10" s="541">
        <f>IF('Final Calculation Sheet'!$E$24="","",'Final Calculation Sheet'!$E$24)</f>
        <v/>
      </c>
      <c r="X10" s="444">
        <f>IF('Final Calculation Sheet'!$E$26="","",'Final Calculation Sheet'!$E$26)</f>
        <v/>
      </c>
      <c r="Z10" s="541">
        <f>IF('Final Calculation Sheet'!$E$21="","",'Final Calculation Sheet'!$E$21)</f>
        <v/>
      </c>
      <c r="AB10" s="481">
        <f>IF('Final Calculation Sheet'!$E$20="","",'Final Calculation Sheet'!$E$20)</f>
        <v/>
      </c>
      <c r="AD10" s="541">
        <f>IF('Final Calculation Sheet'!$E$17="","",'Final Calculation Sheet'!$E$17)</f>
        <v/>
      </c>
      <c r="AE10" s="459">
        <f>IF('Final Calculation Sheet'!$E$23="","",'Final Calculation Sheet'!$E$23)</f>
        <v/>
      </c>
      <c r="AF10" s="541">
        <f>IF('Final Calculation Sheet'!$E$29="","",'Final Calculation Sheet'!$E$29)</f>
        <v/>
      </c>
      <c r="AH10" s="429">
        <f>IF('Final Calculation Sheet'!$E$25="","",'Final Calculation Sheet'!$E$25)</f>
        <v/>
      </c>
      <c r="AI10" s="541">
        <f>IF('Final Calculation Sheet'!$E$28="","",'Final Calculation Sheet'!$E$28)</f>
        <v/>
      </c>
      <c r="AK10" s="444">
        <f>IF('Final Calculation Sheet'!$E$30="","",'Final Calculation Sheet'!$E$30)</f>
        <v/>
      </c>
      <c r="AL10" s="541">
        <f>IF('Final Calculation Sheet'!$E$32="","",'Final Calculation Sheet'!$E$32)</f>
        <v/>
      </c>
      <c r="AM10" s="444">
        <f>IF('Final Calculation Sheet'!$E$33="","",'Final Calculation Sheet'!$E$33)</f>
        <v/>
      </c>
      <c r="AO10" s="541">
        <f>IF('Final Calculation Sheet'!$E$31="","",'Final Calculation Sheet'!$E$31)</f>
        <v/>
      </c>
      <c r="AQ10" s="459">
        <f>IF('Final Calculation Sheet'!$E$34="","",'Final Calculation Sheet'!$E$34)</f>
        <v/>
      </c>
      <c r="AS10" s="541">
        <f>IF('Final Calculation Sheet'!$E$4="","",'Final Calculation Sheet'!$E$4)</f>
        <v/>
      </c>
      <c r="AU10" s="451">
        <f>IF('Final Calculation Sheet'!$E$38="","",'Final Calculation Sheet'!$E$38)</f>
        <v/>
      </c>
      <c r="AW10" s="541">
        <f>IF('Final Calculation Sheet'!$E$37="","",'Final Calculation Sheet'!$E$37)</f>
        <v/>
      </c>
      <c r="AY10" s="481">
        <f>IF('Final Calculation Sheet'!$E$8="","",'Final Calculation Sheet'!$E$8)</f>
        <v/>
      </c>
      <c r="BA10" s="541">
        <f>IF('Final Calculation Sheet'!$E$39="","",'Final Calculation Sheet'!$E$39)</f>
        <v/>
      </c>
      <c r="BB10" s="459">
        <f>IF('Final Calculation Sheet'!$E$40="","",'Final Calculation Sheet'!$E$40)</f>
        <v/>
      </c>
      <c r="BD10" s="541">
        <f>IF('Final Calculation Sheet'!$E$36="","",'Final Calculation Sheet'!$E$36)</f>
        <v/>
      </c>
      <c r="BF10" s="429">
        <f>IF('Final Calculation Sheet'!$E$35="","",'Final Calculation Sheet'!$E$35)</f>
        <v/>
      </c>
      <c r="BG10" s="542">
        <f>IF('Final Calculation Sheet'!$E$41="","",'Final Calculation Sheet'!$E$41)</f>
        <v/>
      </c>
    </row>
    <row r="11" ht="15" customHeight="1">
      <c r="A11" s="543" t="inlineStr">
        <is>
          <t>Lot No.</t>
        </is>
      </c>
      <c r="B11" s="429">
        <f>IF('Final Calculation Sheet'!$F$6="","",'Final Calculation Sheet'!$F$6)</f>
        <v/>
      </c>
      <c r="C11" s="541">
        <f>IF('Final Calculation Sheet'!$F$7="","",'Final Calculation Sheet'!$F$7)</f>
        <v/>
      </c>
      <c r="E11" s="436">
        <f>IF('Final Calculation Sheet'!$F$15="","",'Final Calculation Sheet'!$F$15)</f>
        <v/>
      </c>
      <c r="G11" s="541">
        <f>IF('Final Calculation Sheet'!$F$5="","",'Final Calculation Sheet'!$F$5)</f>
        <v/>
      </c>
      <c r="H11" s="444">
        <f>IF('Final Calculation Sheet'!$F$10="","",'Final Calculation Sheet'!$F$10)</f>
        <v/>
      </c>
      <c r="I11" s="541">
        <f>IF('Final Calculation Sheet'!$F$11="","",'Final Calculation Sheet'!$F$11)</f>
        <v/>
      </c>
      <c r="J11" s="444">
        <f>IF('Final Calculation Sheet'!$F$12="","",'Final Calculation Sheet'!$F$12)</f>
        <v/>
      </c>
      <c r="L11" s="541">
        <f>IF('Final Calculation Sheet'!$F$9="","",'Final Calculation Sheet'!$F$9)</f>
        <v/>
      </c>
      <c r="M11" s="451">
        <f>IF('Final Calculation Sheet'!$F$14="","",'Final Calculation Sheet'!$F$14)</f>
        <v/>
      </c>
      <c r="O11" s="541">
        <f>IF('Final Calculation Sheet'!$F$13="","",'Final Calculation Sheet'!$F$13)</f>
        <v/>
      </c>
      <c r="P11" s="459">
        <f>IF('Final Calculation Sheet'!$F$16="","",'Final Calculation Sheet'!$F$16)</f>
        <v/>
      </c>
      <c r="R11" s="541">
        <f>IF('Final Calculation Sheet'!$F$27="","",'Final Calculation Sheet'!$F$27)</f>
        <v/>
      </c>
      <c r="T11" s="444">
        <f>IF('Final Calculation Sheet'!$F$18="","",'Final Calculation Sheet'!$F$18)</f>
        <v/>
      </c>
      <c r="U11" s="541">
        <f>IF('Final Calculation Sheet'!$F$19="","",'Final Calculation Sheet'!$F$19)</f>
        <v/>
      </c>
      <c r="V11" s="444">
        <f>IF('Final Calculation Sheet'!$F$22="","",'Final Calculation Sheet'!$F$22)</f>
        <v/>
      </c>
      <c r="W11" s="541">
        <f>IF('Final Calculation Sheet'!$F$24="","",'Final Calculation Sheet'!$F$24)</f>
        <v/>
      </c>
      <c r="X11" s="444">
        <f>IF('Final Calculation Sheet'!$F$26="","",'Final Calculation Sheet'!$F$26)</f>
        <v/>
      </c>
      <c r="Z11" s="541">
        <f>IF('Final Calculation Sheet'!$F$21="","",'Final Calculation Sheet'!$F$21)</f>
        <v/>
      </c>
      <c r="AB11" s="481">
        <f>IF('Final Calculation Sheet'!$F$20="","",'Final Calculation Sheet'!$F$20)</f>
        <v/>
      </c>
      <c r="AD11" s="541">
        <f>IF('Final Calculation Sheet'!$F$17="","",'Final Calculation Sheet'!$F$17)</f>
        <v/>
      </c>
      <c r="AE11" s="459">
        <f>IF('Final Calculation Sheet'!$F$23="","",'Final Calculation Sheet'!$F$23)</f>
        <v/>
      </c>
      <c r="AF11" s="541">
        <f>IF('Final Calculation Sheet'!$F$29="","",'Final Calculation Sheet'!$F$29)</f>
        <v/>
      </c>
      <c r="AH11" s="429">
        <f>IF('Final Calculation Sheet'!$F$25="","",'Final Calculation Sheet'!$F$25)</f>
        <v/>
      </c>
      <c r="AI11" s="541">
        <f>IF('Final Calculation Sheet'!$F$28="","",'Final Calculation Sheet'!$F$28)</f>
        <v/>
      </c>
      <c r="AK11" s="444">
        <f>IF('Final Calculation Sheet'!$F$30="","",'Final Calculation Sheet'!$F$30)</f>
        <v/>
      </c>
      <c r="AL11" s="541">
        <f>IF('Final Calculation Sheet'!$F$32="","",'Final Calculation Sheet'!$F$32)</f>
        <v/>
      </c>
      <c r="AM11" s="444">
        <f>IF('Final Calculation Sheet'!$F$33="","",'Final Calculation Sheet'!$F$33)</f>
        <v/>
      </c>
      <c r="AO11" s="541">
        <f>IF('Final Calculation Sheet'!$F$31="","",'Final Calculation Sheet'!$F$31)</f>
        <v/>
      </c>
      <c r="AQ11" s="459">
        <f>IF('Final Calculation Sheet'!$F$34="","",'Final Calculation Sheet'!$F$34)</f>
        <v/>
      </c>
      <c r="AS11" s="541">
        <f>IF('Final Calculation Sheet'!$F$4="","",'Final Calculation Sheet'!$F$4)</f>
        <v/>
      </c>
      <c r="AU11" s="451">
        <f>IF('Final Calculation Sheet'!$F$38="","",'Final Calculation Sheet'!$F$38)</f>
        <v/>
      </c>
      <c r="AW11" s="541">
        <f>IF('Final Calculation Sheet'!$F$37="","",'Final Calculation Sheet'!$F$37)</f>
        <v/>
      </c>
      <c r="AY11" s="481">
        <f>IF('Final Calculation Sheet'!$F$8="","",'Final Calculation Sheet'!$F$8)</f>
        <v/>
      </c>
      <c r="BA11" s="541">
        <f>IF('Final Calculation Sheet'!$F$39="","",'Final Calculation Sheet'!$F$39)</f>
        <v/>
      </c>
      <c r="BB11" s="459">
        <f>IF('Final Calculation Sheet'!$F$40="","",'Final Calculation Sheet'!$F$40)</f>
        <v/>
      </c>
      <c r="BD11" s="541">
        <f>IF('Final Calculation Sheet'!$F$36="","",'Final Calculation Sheet'!$F$36)</f>
        <v/>
      </c>
      <c r="BF11" s="429">
        <f>IF('Final Calculation Sheet'!$F$35="","",'Final Calculation Sheet'!$F$35)</f>
        <v/>
      </c>
      <c r="BG11" s="542">
        <f>IF('Final Calculation Sheet'!$F$41="","",'Final Calculation Sheet'!$F$41)</f>
        <v/>
      </c>
    </row>
    <row r="12" ht="15" customHeight="1">
      <c r="A12" s="540" t="inlineStr">
        <is>
          <t>Buyer</t>
        </is>
      </c>
      <c r="B12" s="429">
        <f>IF('Final Calculation Sheet'!$G$6="","",'Final Calculation Sheet'!$G$6)</f>
        <v/>
      </c>
      <c r="C12" s="541">
        <f>IF('Final Calculation Sheet'!$G$7="","",'Final Calculation Sheet'!$G$7)</f>
        <v/>
      </c>
      <c r="E12" s="436">
        <f>IF('Final Calculation Sheet'!$G$15="","",'Final Calculation Sheet'!$G$15)</f>
        <v/>
      </c>
      <c r="G12" s="541">
        <f>IF('Final Calculation Sheet'!$G$5="","",'Final Calculation Sheet'!$G$5)</f>
        <v/>
      </c>
      <c r="H12" s="444">
        <f>IF('Final Calculation Sheet'!$G$10="","",'Final Calculation Sheet'!$G$10)</f>
        <v/>
      </c>
      <c r="I12" s="541">
        <f>IF('Final Calculation Sheet'!$G$11="","",'Final Calculation Sheet'!$G$11)</f>
        <v/>
      </c>
      <c r="J12" s="444">
        <f>IF('Final Calculation Sheet'!$G$12="","",'Final Calculation Sheet'!$G$12)</f>
        <v/>
      </c>
      <c r="L12" s="541">
        <f>IF('Final Calculation Sheet'!$G$9="","",'Final Calculation Sheet'!$G$9)</f>
        <v/>
      </c>
      <c r="M12" s="451">
        <f>IF('Final Calculation Sheet'!$G$14="","",'Final Calculation Sheet'!$G$14)</f>
        <v/>
      </c>
      <c r="O12" s="541">
        <f>IF('Final Calculation Sheet'!$G$13="","",'Final Calculation Sheet'!$G$13)</f>
        <v/>
      </c>
      <c r="P12" s="459">
        <f>IF('Final Calculation Sheet'!$G$16="","",'Final Calculation Sheet'!$G$16)</f>
        <v/>
      </c>
      <c r="R12" s="541">
        <f>IF('Final Calculation Sheet'!$G$27="","",'Final Calculation Sheet'!$G$27)</f>
        <v/>
      </c>
      <c r="T12" s="444">
        <f>IF('Final Calculation Sheet'!$G$18="","",'Final Calculation Sheet'!$G$18)</f>
        <v/>
      </c>
      <c r="U12" s="541">
        <f>IF('Final Calculation Sheet'!$G$19="","",'Final Calculation Sheet'!$G$19)</f>
        <v/>
      </c>
      <c r="V12" s="444">
        <f>IF('Final Calculation Sheet'!$G$22="","",'Final Calculation Sheet'!$G$22)</f>
        <v/>
      </c>
      <c r="W12" s="541">
        <f>IF('Final Calculation Sheet'!$G$24="","",'Final Calculation Sheet'!$G$24)</f>
        <v/>
      </c>
      <c r="X12" s="444">
        <f>IF('Final Calculation Sheet'!$G$26="","",'Final Calculation Sheet'!$G$26)</f>
        <v/>
      </c>
      <c r="Z12" s="541">
        <f>IF('Final Calculation Sheet'!$G$21="","",'Final Calculation Sheet'!$G$21)</f>
        <v/>
      </c>
      <c r="AB12" s="481">
        <f>IF('Final Calculation Sheet'!$G$20="","",'Final Calculation Sheet'!$G$20)</f>
        <v/>
      </c>
      <c r="AD12" s="541">
        <f>IF('Final Calculation Sheet'!$G$17="","",'Final Calculation Sheet'!$G$17)</f>
        <v/>
      </c>
      <c r="AE12" s="459">
        <f>IF('Final Calculation Sheet'!$G$23="","",'Final Calculation Sheet'!$G$23)</f>
        <v/>
      </c>
      <c r="AF12" s="541">
        <f>IF('Final Calculation Sheet'!$G$29="","",'Final Calculation Sheet'!$G$29)</f>
        <v/>
      </c>
      <c r="AH12" s="429">
        <f>IF('Final Calculation Sheet'!$G$25="","",'Final Calculation Sheet'!$G$25)</f>
        <v/>
      </c>
      <c r="AI12" s="541">
        <f>IF('Final Calculation Sheet'!$G$28="","",'Final Calculation Sheet'!$G$28)</f>
        <v/>
      </c>
      <c r="AK12" s="444">
        <f>IF('Final Calculation Sheet'!$G$30="","",'Final Calculation Sheet'!$G$30)</f>
        <v/>
      </c>
      <c r="AL12" s="541">
        <f>IF('Final Calculation Sheet'!$G$32="","",'Final Calculation Sheet'!$G$32)</f>
        <v/>
      </c>
      <c r="AM12" s="444">
        <f>IF('Final Calculation Sheet'!$G$33="","",'Final Calculation Sheet'!$G$33)</f>
        <v/>
      </c>
      <c r="AO12" s="541">
        <f>IF('Final Calculation Sheet'!$G$31="","",'Final Calculation Sheet'!$G$31)</f>
        <v/>
      </c>
      <c r="AQ12" s="459">
        <f>IF('Final Calculation Sheet'!$G$34="","",'Final Calculation Sheet'!$G$34)</f>
        <v/>
      </c>
      <c r="AS12" s="541">
        <f>IF('Final Calculation Sheet'!$G$4="","",'Final Calculation Sheet'!$G$4)</f>
        <v/>
      </c>
      <c r="AU12" s="451">
        <f>IF('Final Calculation Sheet'!$G$38="","",'Final Calculation Sheet'!$G$38)</f>
        <v/>
      </c>
      <c r="AW12" s="541">
        <f>IF('Final Calculation Sheet'!$G$37="","",'Final Calculation Sheet'!$G$37)</f>
        <v/>
      </c>
      <c r="AY12" s="481">
        <f>IF('Final Calculation Sheet'!$G$8="","",'Final Calculation Sheet'!$G$8)</f>
        <v/>
      </c>
      <c r="BA12" s="541">
        <f>IF('Final Calculation Sheet'!$G$39="","",'Final Calculation Sheet'!$G$39)</f>
        <v/>
      </c>
      <c r="BB12" s="459">
        <f>IF('Final Calculation Sheet'!$G$40="","",'Final Calculation Sheet'!$G$40)</f>
        <v/>
      </c>
      <c r="BD12" s="541">
        <f>IF('Final Calculation Sheet'!$G$36="","",'Final Calculation Sheet'!$G$36)</f>
        <v/>
      </c>
      <c r="BF12" s="429">
        <f>IF('Final Calculation Sheet'!$G$35="","",'Final Calculation Sheet'!$G$35)</f>
        <v/>
      </c>
      <c r="BG12" s="542">
        <f>IF('Final Calculation Sheet'!$G$41="","",'Final Calculation Sheet'!$G$41)</f>
        <v/>
      </c>
    </row>
    <row r="13" ht="15" customHeight="1">
      <c r="A13" s="543" t="inlineStr">
        <is>
          <t>Mat. Value</t>
        </is>
      </c>
      <c r="B13" s="566">
        <f>IF('Final Calculation Sheet'!$H$6="","",'Final Calculation Sheet'!$H$6)</f>
        <v/>
      </c>
      <c r="C13" s="545">
        <f>IF('Final Calculation Sheet'!$H$7="","",'Final Calculation Sheet'!$H$7)</f>
        <v/>
      </c>
      <c r="E13" s="567">
        <f>IF('Final Calculation Sheet'!$H$15="","",'Final Calculation Sheet'!$H$15)</f>
        <v/>
      </c>
      <c r="G13" s="545">
        <f>IF('Final Calculation Sheet'!$H$5="","",'Final Calculation Sheet'!$H$5)</f>
        <v/>
      </c>
      <c r="H13" s="568">
        <f>IF('Final Calculation Sheet'!$H$10="","",'Final Calculation Sheet'!$H$10)</f>
        <v/>
      </c>
      <c r="I13" s="545">
        <f>IF('Final Calculation Sheet'!$H$11="","",'Final Calculation Sheet'!$H$11)</f>
        <v/>
      </c>
      <c r="J13" s="568">
        <f>IF('Final Calculation Sheet'!$H$12="","",'Final Calculation Sheet'!$H$12)</f>
        <v/>
      </c>
      <c r="L13" s="545">
        <f>IF('Final Calculation Sheet'!$H$9="","",'Final Calculation Sheet'!$H$9)</f>
        <v/>
      </c>
      <c r="M13" s="569">
        <f>IF('Final Calculation Sheet'!$H$14="","",'Final Calculation Sheet'!$H$14)</f>
        <v/>
      </c>
      <c r="O13" s="545">
        <f>IF('Final Calculation Sheet'!$H$13="","",'Final Calculation Sheet'!$H$13)</f>
        <v/>
      </c>
      <c r="P13" s="570">
        <f>IF('Final Calculation Sheet'!$H$16="","",'Final Calculation Sheet'!$H$16)</f>
        <v/>
      </c>
      <c r="R13" s="545">
        <f>IF('Final Calculation Sheet'!$H$27="","",'Final Calculation Sheet'!$H$27)</f>
        <v/>
      </c>
      <c r="T13" s="568">
        <f>IF('Final Calculation Sheet'!$H$18="","",'Final Calculation Sheet'!$H$18)</f>
        <v/>
      </c>
      <c r="U13" s="545">
        <f>IF('Final Calculation Sheet'!$H$19="","",'Final Calculation Sheet'!$H$19)</f>
        <v/>
      </c>
      <c r="V13" s="568">
        <f>IF('Final Calculation Sheet'!$H$22="","",'Final Calculation Sheet'!$H$22)</f>
        <v/>
      </c>
      <c r="W13" s="545">
        <f>IF('Final Calculation Sheet'!$H$24="","",'Final Calculation Sheet'!$H$24)</f>
        <v/>
      </c>
      <c r="X13" s="568">
        <f>IF('Final Calculation Sheet'!$H$26="","",'Final Calculation Sheet'!$H$26)</f>
        <v/>
      </c>
      <c r="Z13" s="545">
        <f>IF('Final Calculation Sheet'!$H$21="","",'Final Calculation Sheet'!$H$21)</f>
        <v/>
      </c>
      <c r="AB13" s="571">
        <f>IF('Final Calculation Sheet'!$H$20="","",'Final Calculation Sheet'!$H$20)</f>
        <v/>
      </c>
      <c r="AD13" s="545">
        <f>IF('Final Calculation Sheet'!$H$17="","",'Final Calculation Sheet'!$H$17)</f>
        <v/>
      </c>
      <c r="AE13" s="570">
        <f>IF('Final Calculation Sheet'!$H$23="","",'Final Calculation Sheet'!$H$23)</f>
        <v/>
      </c>
      <c r="AF13" s="545">
        <f>IF('Final Calculation Sheet'!$H$29="","",'Final Calculation Sheet'!$H$29)</f>
        <v/>
      </c>
      <c r="AH13" s="566">
        <f>IF('Final Calculation Sheet'!$H$25="","",'Final Calculation Sheet'!$H$25)</f>
        <v/>
      </c>
      <c r="AI13" s="545">
        <f>IF('Final Calculation Sheet'!$H$28="","",'Final Calculation Sheet'!$H$28)</f>
        <v/>
      </c>
      <c r="AK13" s="568">
        <f>IF('Final Calculation Sheet'!$H$30="","",'Final Calculation Sheet'!$H$30)</f>
        <v/>
      </c>
      <c r="AL13" s="545">
        <f>IF('Final Calculation Sheet'!$H$32="","",'Final Calculation Sheet'!$H$32)</f>
        <v/>
      </c>
      <c r="AM13" s="568">
        <f>IF('Final Calculation Sheet'!$H$33="","",'Final Calculation Sheet'!$H$33)</f>
        <v/>
      </c>
      <c r="AO13" s="545">
        <f>IF('Final Calculation Sheet'!$H$31="","",'Final Calculation Sheet'!$H$31)</f>
        <v/>
      </c>
      <c r="AQ13" s="570">
        <f>IF('Final Calculation Sheet'!$H$34="","",'Final Calculation Sheet'!$H$34)</f>
        <v/>
      </c>
      <c r="AS13" s="545">
        <f>IF('Final Calculation Sheet'!$H$4="","",'Final Calculation Sheet'!$H$4)</f>
        <v/>
      </c>
      <c r="AU13" s="569">
        <f>IF('Final Calculation Sheet'!$H$38="","",'Final Calculation Sheet'!$H$38)</f>
        <v/>
      </c>
      <c r="AW13" s="545">
        <f>IF('Final Calculation Sheet'!$H$37="","",'Final Calculation Sheet'!$H$37)</f>
        <v/>
      </c>
      <c r="AY13" s="571">
        <f>IF('Final Calculation Sheet'!$H$8="","",'Final Calculation Sheet'!$H$8)</f>
        <v/>
      </c>
      <c r="BA13" s="545">
        <f>IF('Final Calculation Sheet'!$H$39="","",'Final Calculation Sheet'!$H$39)</f>
        <v/>
      </c>
      <c r="BB13" s="570">
        <f>IF('Final Calculation Sheet'!$H$40="","",'Final Calculation Sheet'!$H$40)</f>
        <v/>
      </c>
      <c r="BD13" s="545">
        <f>IF('Final Calculation Sheet'!$H$36="","",'Final Calculation Sheet'!$H$36)</f>
        <v/>
      </c>
      <c r="BF13" s="566">
        <f>IF('Final Calculation Sheet'!$H$35="","",'Final Calculation Sheet'!$H$35)</f>
        <v/>
      </c>
      <c r="BG13" s="546">
        <f>IF('Final Calculation Sheet'!$H$41="","",'Final Calculation Sheet'!$H$41)</f>
        <v/>
      </c>
    </row>
    <row r="14" ht="15" customHeight="1">
      <c r="A14" s="540" t="inlineStr">
        <is>
          <t>GST</t>
        </is>
      </c>
      <c r="B14" s="566">
        <f>IF('Final Calculation Sheet'!$I$6="","",'Final Calculation Sheet'!$I$6)</f>
        <v/>
      </c>
      <c r="C14" s="545">
        <f>IF('Final Calculation Sheet'!$I$7="","",'Final Calculation Sheet'!$I$7)</f>
        <v/>
      </c>
      <c r="E14" s="567">
        <f>IF('Final Calculation Sheet'!$I$15="","",'Final Calculation Sheet'!$I$15)</f>
        <v/>
      </c>
      <c r="G14" s="545">
        <f>IF('Final Calculation Sheet'!$I$5="","",'Final Calculation Sheet'!$I$5)</f>
        <v/>
      </c>
      <c r="H14" s="568">
        <f>IF('Final Calculation Sheet'!$I$10="","",'Final Calculation Sheet'!$I$10)</f>
        <v/>
      </c>
      <c r="I14" s="545">
        <f>IF('Final Calculation Sheet'!$I$11="","",'Final Calculation Sheet'!$I$11)</f>
        <v/>
      </c>
      <c r="J14" s="568">
        <f>IF('Final Calculation Sheet'!$I$12="","",'Final Calculation Sheet'!$I$12)</f>
        <v/>
      </c>
      <c r="L14" s="545">
        <f>IF('Final Calculation Sheet'!$I$9="","",'Final Calculation Sheet'!$I$9)</f>
        <v/>
      </c>
      <c r="M14" s="569">
        <f>IF('Final Calculation Sheet'!$I$14="","",'Final Calculation Sheet'!$I$14)</f>
        <v/>
      </c>
      <c r="O14" s="545">
        <f>IF('Final Calculation Sheet'!$I$13="","",'Final Calculation Sheet'!$I$13)</f>
        <v/>
      </c>
      <c r="P14" s="570">
        <f>IF('Final Calculation Sheet'!$I$16="","",'Final Calculation Sheet'!$I$16)</f>
        <v/>
      </c>
      <c r="R14" s="545">
        <f>IF('Final Calculation Sheet'!$I$27="","",'Final Calculation Sheet'!$I$27)</f>
        <v/>
      </c>
      <c r="T14" s="568">
        <f>IF('Final Calculation Sheet'!$I$18="","",'Final Calculation Sheet'!$I$18)</f>
        <v/>
      </c>
      <c r="U14" s="545">
        <f>IF('Final Calculation Sheet'!$I$19="","",'Final Calculation Sheet'!$I$19)</f>
        <v/>
      </c>
      <c r="V14" s="568">
        <f>IF('Final Calculation Sheet'!$I$22="","",'Final Calculation Sheet'!$I$22)</f>
        <v/>
      </c>
      <c r="W14" s="545">
        <f>IF('Final Calculation Sheet'!$I$24="","",'Final Calculation Sheet'!$I$24)</f>
        <v/>
      </c>
      <c r="X14" s="568">
        <f>IF('Final Calculation Sheet'!$I$26="","",'Final Calculation Sheet'!$I$26)</f>
        <v/>
      </c>
      <c r="Z14" s="545">
        <f>IF('Final Calculation Sheet'!$I$21="","",'Final Calculation Sheet'!$I$21)</f>
        <v/>
      </c>
      <c r="AB14" s="571">
        <f>IF('Final Calculation Sheet'!$I$20="","",'Final Calculation Sheet'!$I$20)</f>
        <v/>
      </c>
      <c r="AD14" s="545">
        <f>IF('Final Calculation Sheet'!$I$17="","",'Final Calculation Sheet'!$I$17)</f>
        <v/>
      </c>
      <c r="AE14" s="570">
        <f>IF('Final Calculation Sheet'!$I$23="","",'Final Calculation Sheet'!$I$23)</f>
        <v/>
      </c>
      <c r="AF14" s="545">
        <f>IF('Final Calculation Sheet'!$I$29="","",'Final Calculation Sheet'!$I$29)</f>
        <v/>
      </c>
      <c r="AH14" s="566">
        <f>IF('Final Calculation Sheet'!$I$25="","",'Final Calculation Sheet'!$I$25)</f>
        <v/>
      </c>
      <c r="AI14" s="545">
        <f>IF('Final Calculation Sheet'!$I$28="","",'Final Calculation Sheet'!$I$28)</f>
        <v/>
      </c>
      <c r="AK14" s="568">
        <f>IF('Final Calculation Sheet'!$I$30="","",'Final Calculation Sheet'!$I$30)</f>
        <v/>
      </c>
      <c r="AL14" s="545">
        <f>IF('Final Calculation Sheet'!$I$32="","",'Final Calculation Sheet'!$I$32)</f>
        <v/>
      </c>
      <c r="AM14" s="568">
        <f>IF('Final Calculation Sheet'!$I$33="","",'Final Calculation Sheet'!$I$33)</f>
        <v/>
      </c>
      <c r="AO14" s="545">
        <f>IF('Final Calculation Sheet'!$I$31="","",'Final Calculation Sheet'!$I$31)</f>
        <v/>
      </c>
      <c r="AQ14" s="570">
        <f>IF('Final Calculation Sheet'!$I$34="","",'Final Calculation Sheet'!$I$34)</f>
        <v/>
      </c>
      <c r="AS14" s="545">
        <f>IF('Final Calculation Sheet'!$I$4="","",'Final Calculation Sheet'!$I$4)</f>
        <v/>
      </c>
      <c r="AU14" s="569">
        <f>IF('Final Calculation Sheet'!$I$38="","",'Final Calculation Sheet'!$I$38)</f>
        <v/>
      </c>
      <c r="AW14" s="545">
        <f>IF('Final Calculation Sheet'!$I$37="","",'Final Calculation Sheet'!$I$37)</f>
        <v/>
      </c>
      <c r="AY14" s="571">
        <f>IF('Final Calculation Sheet'!$I$8="","",'Final Calculation Sheet'!$I$8)</f>
        <v/>
      </c>
      <c r="BA14" s="545">
        <f>IF('Final Calculation Sheet'!$I$39="","",'Final Calculation Sheet'!$I$39)</f>
        <v/>
      </c>
      <c r="BB14" s="570">
        <f>IF('Final Calculation Sheet'!$I$40="","",'Final Calculation Sheet'!$I$40)</f>
        <v/>
      </c>
      <c r="BD14" s="545">
        <f>IF('Final Calculation Sheet'!$I$36="","",'Final Calculation Sheet'!$I$36)</f>
        <v/>
      </c>
      <c r="BF14" s="566">
        <f>IF('Final Calculation Sheet'!$I$35="","",'Final Calculation Sheet'!$I$35)</f>
        <v/>
      </c>
      <c r="BG14" s="546">
        <f>IF('Final Calculation Sheet'!$I$41="","",'Final Calculation Sheet'!$I$41)</f>
        <v/>
      </c>
    </row>
    <row r="15" ht="15" customHeight="1">
      <c r="A15" s="543" t="inlineStr">
        <is>
          <t>Mat. Value + GST</t>
        </is>
      </c>
      <c r="B15" s="566">
        <f>IF('Final Calculation Sheet'!$J$6="","",'Final Calculation Sheet'!$J$6)</f>
        <v/>
      </c>
      <c r="C15" s="545">
        <f>IF('Final Calculation Sheet'!$J$7="","",'Final Calculation Sheet'!$J$7)</f>
        <v/>
      </c>
      <c r="E15" s="567">
        <f>IF('Final Calculation Sheet'!$J$15="","",'Final Calculation Sheet'!$J$15)</f>
        <v/>
      </c>
      <c r="G15" s="545">
        <f>IF('Final Calculation Sheet'!$J$5="","",'Final Calculation Sheet'!$J$5)</f>
        <v/>
      </c>
      <c r="H15" s="568">
        <f>IF('Final Calculation Sheet'!$J$10="","",'Final Calculation Sheet'!$J$10)</f>
        <v/>
      </c>
      <c r="I15" s="545">
        <f>IF('Final Calculation Sheet'!$J$11="","",'Final Calculation Sheet'!$J$11)</f>
        <v/>
      </c>
      <c r="J15" s="568">
        <f>IF('Final Calculation Sheet'!$J$12="","",'Final Calculation Sheet'!$J$12)</f>
        <v/>
      </c>
      <c r="L15" s="545">
        <f>IF('Final Calculation Sheet'!$J$9="","",'Final Calculation Sheet'!$J$9)</f>
        <v/>
      </c>
      <c r="M15" s="569">
        <f>IF('Final Calculation Sheet'!$J$14="","",'Final Calculation Sheet'!$J$14)</f>
        <v/>
      </c>
      <c r="O15" s="545">
        <f>IF('Final Calculation Sheet'!$J$13="","",'Final Calculation Sheet'!$J$13)</f>
        <v/>
      </c>
      <c r="P15" s="570">
        <f>IF('Final Calculation Sheet'!$J$16="","",'Final Calculation Sheet'!$J$16)</f>
        <v/>
      </c>
      <c r="R15" s="545">
        <f>IF('Final Calculation Sheet'!$J$27="","",'Final Calculation Sheet'!$J$27)</f>
        <v/>
      </c>
      <c r="T15" s="568">
        <f>IF('Final Calculation Sheet'!$J$18="","",'Final Calculation Sheet'!$J$18)</f>
        <v/>
      </c>
      <c r="U15" s="545">
        <f>IF('Final Calculation Sheet'!$J$19="","",'Final Calculation Sheet'!$J$19)</f>
        <v/>
      </c>
      <c r="V15" s="568">
        <f>IF('Final Calculation Sheet'!$J$22="","",'Final Calculation Sheet'!$J$22)</f>
        <v/>
      </c>
      <c r="W15" s="545">
        <f>IF('Final Calculation Sheet'!$J$24="","",'Final Calculation Sheet'!$J$24)</f>
        <v/>
      </c>
      <c r="X15" s="568">
        <f>IF('Final Calculation Sheet'!$J$26="","",'Final Calculation Sheet'!$J$26)</f>
        <v/>
      </c>
      <c r="Z15" s="545">
        <f>IF('Final Calculation Sheet'!$J$21="","",'Final Calculation Sheet'!$J$21)</f>
        <v/>
      </c>
      <c r="AB15" s="571">
        <f>IF('Final Calculation Sheet'!$J$20="","",'Final Calculation Sheet'!$J$20)</f>
        <v/>
      </c>
      <c r="AD15" s="545">
        <f>IF('Final Calculation Sheet'!$J$17="","",'Final Calculation Sheet'!$J$17)</f>
        <v/>
      </c>
      <c r="AE15" s="570">
        <f>IF('Final Calculation Sheet'!$J$23="","",'Final Calculation Sheet'!$J$23)</f>
        <v/>
      </c>
      <c r="AF15" s="545">
        <f>IF('Final Calculation Sheet'!$J$29="","",'Final Calculation Sheet'!$J$29)</f>
        <v/>
      </c>
      <c r="AH15" s="566">
        <f>IF('Final Calculation Sheet'!$J$25="","",'Final Calculation Sheet'!$J$25)</f>
        <v/>
      </c>
      <c r="AI15" s="545">
        <f>IF('Final Calculation Sheet'!$J$28="","",'Final Calculation Sheet'!$J$28)</f>
        <v/>
      </c>
      <c r="AK15" s="568">
        <f>IF('Final Calculation Sheet'!$J$30="","",'Final Calculation Sheet'!$J$30)</f>
        <v/>
      </c>
      <c r="AL15" s="545">
        <f>IF('Final Calculation Sheet'!$J$32="","",'Final Calculation Sheet'!$J$32)</f>
        <v/>
      </c>
      <c r="AM15" s="568">
        <f>IF('Final Calculation Sheet'!$J$33="","",'Final Calculation Sheet'!$J$33)</f>
        <v/>
      </c>
      <c r="AO15" s="545">
        <f>IF('Final Calculation Sheet'!$J$31="","",'Final Calculation Sheet'!$J$31)</f>
        <v/>
      </c>
      <c r="AQ15" s="570">
        <f>IF('Final Calculation Sheet'!$J$34="","",'Final Calculation Sheet'!$J$34)</f>
        <v/>
      </c>
      <c r="AS15" s="545">
        <f>IF('Final Calculation Sheet'!$J$4="","",'Final Calculation Sheet'!$J$4)</f>
        <v/>
      </c>
      <c r="AU15" s="569">
        <f>IF('Final Calculation Sheet'!$J$38="","",'Final Calculation Sheet'!$J$38)</f>
        <v/>
      </c>
      <c r="AW15" s="545">
        <f>IF('Final Calculation Sheet'!$J$37="","",'Final Calculation Sheet'!$J$37)</f>
        <v/>
      </c>
      <c r="AY15" s="571">
        <f>IF('Final Calculation Sheet'!$J$8="","",'Final Calculation Sheet'!$J$8)</f>
        <v/>
      </c>
      <c r="BA15" s="545">
        <f>IF('Final Calculation Sheet'!$J$39="","",'Final Calculation Sheet'!$J$39)</f>
        <v/>
      </c>
      <c r="BB15" s="570">
        <f>IF('Final Calculation Sheet'!$J$40="","",'Final Calculation Sheet'!$J$40)</f>
        <v/>
      </c>
      <c r="BD15" s="545">
        <f>IF('Final Calculation Sheet'!$J$36="","",'Final Calculation Sheet'!$J$36)</f>
        <v/>
      </c>
      <c r="BF15" s="566">
        <f>IF('Final Calculation Sheet'!$J$35="","",'Final Calculation Sheet'!$J$35)</f>
        <v/>
      </c>
      <c r="BG15" s="546">
        <f>IF('Final Calculation Sheet'!$J$41="","",'Final Calculation Sheet'!$J$41)</f>
        <v/>
      </c>
    </row>
    <row r="16" ht="15" customHeight="1">
      <c r="A16" s="540" t="inlineStr">
        <is>
          <t>TCS</t>
        </is>
      </c>
      <c r="B16" s="566">
        <f>IF('Final Calculation Sheet'!$K$6="","",'Final Calculation Sheet'!$K$6)</f>
        <v/>
      </c>
      <c r="C16" s="545">
        <f>IF('Final Calculation Sheet'!$K$7="","",'Final Calculation Sheet'!$K$7)</f>
        <v/>
      </c>
      <c r="E16" s="567">
        <f>IF('Final Calculation Sheet'!$K$15="","",'Final Calculation Sheet'!$K$15)</f>
        <v/>
      </c>
      <c r="G16" s="545">
        <f>IF('Final Calculation Sheet'!$K$5="","",'Final Calculation Sheet'!$K$5)</f>
        <v/>
      </c>
      <c r="H16" s="568">
        <f>IF('Final Calculation Sheet'!$K$10="","",'Final Calculation Sheet'!$K$10)</f>
        <v/>
      </c>
      <c r="I16" s="545">
        <f>IF('Final Calculation Sheet'!$K$11="","",'Final Calculation Sheet'!$K$11)</f>
        <v/>
      </c>
      <c r="J16" s="568">
        <f>IF('Final Calculation Sheet'!$K$12="","",'Final Calculation Sheet'!$K$12)</f>
        <v/>
      </c>
      <c r="L16" s="545">
        <f>IF('Final Calculation Sheet'!$K$9="","",'Final Calculation Sheet'!$K$9)</f>
        <v/>
      </c>
      <c r="M16" s="569">
        <f>IF('Final Calculation Sheet'!$K$14="","",'Final Calculation Sheet'!$K$14)</f>
        <v/>
      </c>
      <c r="O16" s="545">
        <f>IF('Final Calculation Sheet'!$K$13="","",'Final Calculation Sheet'!$K$13)</f>
        <v/>
      </c>
      <c r="P16" s="570">
        <f>IF('Final Calculation Sheet'!$K$16="","",'Final Calculation Sheet'!$K$16)</f>
        <v/>
      </c>
      <c r="R16" s="545">
        <f>IF('Final Calculation Sheet'!$K$27="","",'Final Calculation Sheet'!$K$27)</f>
        <v/>
      </c>
      <c r="T16" s="568">
        <f>IF('Final Calculation Sheet'!$K$18="","",'Final Calculation Sheet'!$K$18)</f>
        <v/>
      </c>
      <c r="U16" s="545">
        <f>IF('Final Calculation Sheet'!$K$19="","",'Final Calculation Sheet'!$K$19)</f>
        <v/>
      </c>
      <c r="V16" s="568">
        <f>IF('Final Calculation Sheet'!$K$22="","",'Final Calculation Sheet'!$K$22)</f>
        <v/>
      </c>
      <c r="W16" s="545">
        <f>IF('Final Calculation Sheet'!$K$24="","",'Final Calculation Sheet'!$K$24)</f>
        <v/>
      </c>
      <c r="X16" s="568">
        <f>IF('Final Calculation Sheet'!$K$26="","",'Final Calculation Sheet'!$K$26)</f>
        <v/>
      </c>
      <c r="Z16" s="545">
        <f>IF('Final Calculation Sheet'!$K$21="","",'Final Calculation Sheet'!$K$21)</f>
        <v/>
      </c>
      <c r="AB16" s="571">
        <f>IF('Final Calculation Sheet'!$K$20="","",'Final Calculation Sheet'!$K$20)</f>
        <v/>
      </c>
      <c r="AD16" s="545">
        <f>IF('Final Calculation Sheet'!$K$17="","",'Final Calculation Sheet'!$K$17)</f>
        <v/>
      </c>
      <c r="AE16" s="570">
        <f>IF('Final Calculation Sheet'!$K$23="","",'Final Calculation Sheet'!$K$23)</f>
        <v/>
      </c>
      <c r="AF16" s="545">
        <f>IF('Final Calculation Sheet'!$K$29="","",'Final Calculation Sheet'!$K$29)</f>
        <v/>
      </c>
      <c r="AH16" s="566">
        <f>IF('Final Calculation Sheet'!$K$25="","",'Final Calculation Sheet'!$K$25)</f>
        <v/>
      </c>
      <c r="AI16" s="545">
        <f>IF('Final Calculation Sheet'!$K$28="","",'Final Calculation Sheet'!$K$28)</f>
        <v/>
      </c>
      <c r="AK16" s="568">
        <f>IF('Final Calculation Sheet'!$K$30="","",'Final Calculation Sheet'!$K$30)</f>
        <v/>
      </c>
      <c r="AL16" s="545">
        <f>IF('Final Calculation Sheet'!$K$32="","",'Final Calculation Sheet'!$K$32)</f>
        <v/>
      </c>
      <c r="AM16" s="568">
        <f>IF('Final Calculation Sheet'!$K$33="","",'Final Calculation Sheet'!$K$33)</f>
        <v/>
      </c>
      <c r="AO16" s="545">
        <f>IF('Final Calculation Sheet'!$K$31="","",'Final Calculation Sheet'!$K$31)</f>
        <v/>
      </c>
      <c r="AQ16" s="570">
        <f>IF('Final Calculation Sheet'!$K$34="","",'Final Calculation Sheet'!$K$34)</f>
        <v/>
      </c>
      <c r="AS16" s="545">
        <f>IF('Final Calculation Sheet'!$K$4="","",'Final Calculation Sheet'!$K$4)</f>
        <v/>
      </c>
      <c r="AU16" s="569">
        <f>IF('Final Calculation Sheet'!$K$38="","",'Final Calculation Sheet'!$K$38)</f>
        <v/>
      </c>
      <c r="AW16" s="545">
        <f>IF('Final Calculation Sheet'!$K$37="","",'Final Calculation Sheet'!$K$37)</f>
        <v/>
      </c>
      <c r="AY16" s="571">
        <f>IF('Final Calculation Sheet'!$K$8="","",'Final Calculation Sheet'!$K$8)</f>
        <v/>
      </c>
      <c r="BA16" s="545">
        <f>IF('Final Calculation Sheet'!$K$39="","",'Final Calculation Sheet'!$K$39)</f>
        <v/>
      </c>
      <c r="BB16" s="570">
        <f>IF('Final Calculation Sheet'!$K$40="","",'Final Calculation Sheet'!$K$40)</f>
        <v/>
      </c>
      <c r="BD16" s="545">
        <f>IF('Final Calculation Sheet'!$K$36="","",'Final Calculation Sheet'!$K$36)</f>
        <v/>
      </c>
      <c r="BF16" s="566">
        <f>IF('Final Calculation Sheet'!$K$35="","",'Final Calculation Sheet'!$K$35)</f>
        <v/>
      </c>
      <c r="BG16" s="546">
        <f>IF('Final Calculation Sheet'!$K$41="","",'Final Calculation Sheet'!$K$41)</f>
        <v/>
      </c>
    </row>
    <row r="17" ht="15" customHeight="1">
      <c r="A17" s="543" t="inlineStr">
        <is>
          <t>TDS u/s 194(O)</t>
        </is>
      </c>
      <c r="B17" s="566">
        <f>IF('Final Calculation Sheet'!$L$6="","",'Final Calculation Sheet'!$L$6)</f>
        <v/>
      </c>
      <c r="C17" s="545">
        <f>IF('Final Calculation Sheet'!$L$7="","",'Final Calculation Sheet'!$L$7)</f>
        <v/>
      </c>
      <c r="E17" s="567">
        <f>IF('Final Calculation Sheet'!$L$15="","",'Final Calculation Sheet'!$L$15)</f>
        <v/>
      </c>
      <c r="G17" s="545">
        <f>IF('Final Calculation Sheet'!$L$5="","",'Final Calculation Sheet'!$L$5)</f>
        <v/>
      </c>
      <c r="H17" s="568">
        <f>IF('Final Calculation Sheet'!$L$10="","",'Final Calculation Sheet'!$L$10)</f>
        <v/>
      </c>
      <c r="I17" s="545">
        <f>IF('Final Calculation Sheet'!$L$11="","",'Final Calculation Sheet'!$L$11)</f>
        <v/>
      </c>
      <c r="J17" s="568">
        <f>IF('Final Calculation Sheet'!$L$12="","",'Final Calculation Sheet'!$L$12)</f>
        <v/>
      </c>
      <c r="L17" s="545">
        <f>IF('Final Calculation Sheet'!$L$9="","",'Final Calculation Sheet'!$L$9)</f>
        <v/>
      </c>
      <c r="M17" s="569">
        <f>IF('Final Calculation Sheet'!$L$14="","",'Final Calculation Sheet'!$L$14)</f>
        <v/>
      </c>
      <c r="O17" s="545">
        <f>IF('Final Calculation Sheet'!$L$13="","",'Final Calculation Sheet'!$L$13)</f>
        <v/>
      </c>
      <c r="P17" s="570">
        <f>IF('Final Calculation Sheet'!$L$16="","",'Final Calculation Sheet'!$L$16)</f>
        <v/>
      </c>
      <c r="R17" s="545">
        <f>IF('Final Calculation Sheet'!$L$27="","",'Final Calculation Sheet'!$L$27)</f>
        <v/>
      </c>
      <c r="T17" s="568">
        <f>IF('Final Calculation Sheet'!$L$18="","",'Final Calculation Sheet'!$L$18)</f>
        <v/>
      </c>
      <c r="U17" s="545">
        <f>IF('Final Calculation Sheet'!$L$19="","",'Final Calculation Sheet'!$L$19)</f>
        <v/>
      </c>
      <c r="V17" s="568">
        <f>IF('Final Calculation Sheet'!$L$22="","",'Final Calculation Sheet'!$L$22)</f>
        <v/>
      </c>
      <c r="W17" s="545">
        <f>IF('Final Calculation Sheet'!$L$24="","",'Final Calculation Sheet'!$L$24)</f>
        <v/>
      </c>
      <c r="X17" s="568">
        <f>IF('Final Calculation Sheet'!$L$26="","",'Final Calculation Sheet'!$L$26)</f>
        <v/>
      </c>
      <c r="Z17" s="545">
        <f>IF('Final Calculation Sheet'!$L$21="","",'Final Calculation Sheet'!$L$21)</f>
        <v/>
      </c>
      <c r="AB17" s="571">
        <f>IF('Final Calculation Sheet'!$L$20="","",'Final Calculation Sheet'!$L$20)</f>
        <v/>
      </c>
      <c r="AD17" s="545">
        <f>IF('Final Calculation Sheet'!$L$17="","",'Final Calculation Sheet'!$L$17)</f>
        <v/>
      </c>
      <c r="AE17" s="570">
        <f>IF('Final Calculation Sheet'!$L$23="","",'Final Calculation Sheet'!$L$23)</f>
        <v/>
      </c>
      <c r="AF17" s="545">
        <f>IF('Final Calculation Sheet'!$L$29="","",'Final Calculation Sheet'!$L$29)</f>
        <v/>
      </c>
      <c r="AH17" s="566">
        <f>IF('Final Calculation Sheet'!$L$25="","",'Final Calculation Sheet'!$L$25)</f>
        <v/>
      </c>
      <c r="AI17" s="545">
        <f>IF('Final Calculation Sheet'!$L$28="","",'Final Calculation Sheet'!$L$28)</f>
        <v/>
      </c>
      <c r="AK17" s="568">
        <f>IF('Final Calculation Sheet'!$L$30="","",'Final Calculation Sheet'!$L$30)</f>
        <v/>
      </c>
      <c r="AL17" s="545">
        <f>IF('Final Calculation Sheet'!$L$32="","",'Final Calculation Sheet'!$L$32)</f>
        <v/>
      </c>
      <c r="AM17" s="568">
        <f>IF('Final Calculation Sheet'!$L$33="","",'Final Calculation Sheet'!$L$33)</f>
        <v/>
      </c>
      <c r="AO17" s="545">
        <f>IF('Final Calculation Sheet'!$L$31="","",'Final Calculation Sheet'!$L$31)</f>
        <v/>
      </c>
      <c r="AQ17" s="570">
        <f>IF('Final Calculation Sheet'!$L$34="","",'Final Calculation Sheet'!$L$34)</f>
        <v/>
      </c>
      <c r="AS17" s="545">
        <f>IF('Final Calculation Sheet'!$L$4="","",'Final Calculation Sheet'!$L$4)</f>
        <v/>
      </c>
      <c r="AU17" s="569">
        <f>IF('Final Calculation Sheet'!$L$38="","",'Final Calculation Sheet'!$L$38)</f>
        <v/>
      </c>
      <c r="AW17" s="545">
        <f>IF('Final Calculation Sheet'!$L$37="","",'Final Calculation Sheet'!$L$37)</f>
        <v/>
      </c>
      <c r="AY17" s="571">
        <f>IF('Final Calculation Sheet'!$L$8="","",'Final Calculation Sheet'!$L$8)</f>
        <v/>
      </c>
      <c r="BA17" s="545">
        <f>IF('Final Calculation Sheet'!$L$39="","",'Final Calculation Sheet'!$L$39)</f>
        <v/>
      </c>
      <c r="BB17" s="570">
        <f>IF('Final Calculation Sheet'!$L$40="","",'Final Calculation Sheet'!$L$40)</f>
        <v/>
      </c>
      <c r="BD17" s="545">
        <f>IF('Final Calculation Sheet'!$L$36="","",'Final Calculation Sheet'!$L$36)</f>
        <v/>
      </c>
      <c r="BF17" s="566">
        <f>IF('Final Calculation Sheet'!$L$35="","",'Final Calculation Sheet'!$L$35)</f>
        <v/>
      </c>
      <c r="BG17" s="546">
        <f>IF('Final Calculation Sheet'!$L$41="","",'Final Calculation Sheet'!$L$41)</f>
        <v/>
      </c>
    </row>
    <row r="18" ht="15" customHeight="1">
      <c r="A18" s="540" t="inlineStr">
        <is>
          <t>Service Charge to MSTC</t>
        </is>
      </c>
      <c r="B18" s="566">
        <f>IF('Final Calculation Sheet'!$M$6="","",'Final Calculation Sheet'!$M$6)</f>
        <v/>
      </c>
      <c r="C18" s="545">
        <f>IF('Final Calculation Sheet'!$M$7="","",'Final Calculation Sheet'!$M$7)</f>
        <v/>
      </c>
      <c r="E18" s="567">
        <f>IF('Final Calculation Sheet'!$M$15="","",'Final Calculation Sheet'!$M$15)</f>
        <v/>
      </c>
      <c r="G18" s="545">
        <f>IF('Final Calculation Sheet'!$M$5="","",'Final Calculation Sheet'!$M$5)</f>
        <v/>
      </c>
      <c r="H18" s="568">
        <f>IF('Final Calculation Sheet'!$M$10="","",'Final Calculation Sheet'!$M$10)</f>
        <v/>
      </c>
      <c r="I18" s="545">
        <f>IF('Final Calculation Sheet'!$M$11="","",'Final Calculation Sheet'!$M$11)</f>
        <v/>
      </c>
      <c r="J18" s="568">
        <f>IF('Final Calculation Sheet'!$M$12="","",'Final Calculation Sheet'!$M$12)</f>
        <v/>
      </c>
      <c r="L18" s="545">
        <f>IF('Final Calculation Sheet'!$M$9="","",'Final Calculation Sheet'!$M$9)</f>
        <v/>
      </c>
      <c r="M18" s="569">
        <f>IF('Final Calculation Sheet'!$M$14="","",'Final Calculation Sheet'!$M$14)</f>
        <v/>
      </c>
      <c r="O18" s="545">
        <f>IF('Final Calculation Sheet'!$M$13="","",'Final Calculation Sheet'!$M$13)</f>
        <v/>
      </c>
      <c r="P18" s="570">
        <f>IF('Final Calculation Sheet'!$M$16="","",'Final Calculation Sheet'!$M$16)</f>
        <v/>
      </c>
      <c r="R18" s="545">
        <f>IF('Final Calculation Sheet'!$M$27="","",'Final Calculation Sheet'!$M$27)</f>
        <v/>
      </c>
      <c r="T18" s="568">
        <f>IF('Final Calculation Sheet'!$M$18="","",'Final Calculation Sheet'!$M$18)</f>
        <v/>
      </c>
      <c r="U18" s="545">
        <f>IF('Final Calculation Sheet'!$M$19="","",'Final Calculation Sheet'!$M$19)</f>
        <v/>
      </c>
      <c r="V18" s="568">
        <f>IF('Final Calculation Sheet'!$M$22="","",'Final Calculation Sheet'!$M$22)</f>
        <v/>
      </c>
      <c r="W18" s="545">
        <f>IF('Final Calculation Sheet'!$M$24="","",'Final Calculation Sheet'!$M$24)</f>
        <v/>
      </c>
      <c r="X18" s="568">
        <f>IF('Final Calculation Sheet'!$M$26="","",'Final Calculation Sheet'!$M$26)</f>
        <v/>
      </c>
      <c r="Z18" s="545">
        <f>IF('Final Calculation Sheet'!$M$21="","",'Final Calculation Sheet'!$M$21)</f>
        <v/>
      </c>
      <c r="AB18" s="571">
        <f>IF('Final Calculation Sheet'!$M$20="","",'Final Calculation Sheet'!$M$20)</f>
        <v/>
      </c>
      <c r="AD18" s="545">
        <f>IF('Final Calculation Sheet'!$M$17="","",'Final Calculation Sheet'!$M$17)</f>
        <v/>
      </c>
      <c r="AE18" s="570">
        <f>IF('Final Calculation Sheet'!$M$23="","",'Final Calculation Sheet'!$M$23)</f>
        <v/>
      </c>
      <c r="AF18" s="545">
        <f>IF('Final Calculation Sheet'!$M$29="","",'Final Calculation Sheet'!$M$29)</f>
        <v/>
      </c>
      <c r="AH18" s="566">
        <f>IF('Final Calculation Sheet'!$M$25="","",'Final Calculation Sheet'!$M$25)</f>
        <v/>
      </c>
      <c r="AI18" s="545">
        <f>IF('Final Calculation Sheet'!$M$28="","",'Final Calculation Sheet'!$M$28)</f>
        <v/>
      </c>
      <c r="AK18" s="568">
        <f>IF('Final Calculation Sheet'!$M$30="","",'Final Calculation Sheet'!$M$30)</f>
        <v/>
      </c>
      <c r="AL18" s="545">
        <f>IF('Final Calculation Sheet'!$M$32="","",'Final Calculation Sheet'!$M$32)</f>
        <v/>
      </c>
      <c r="AM18" s="568">
        <f>IF('Final Calculation Sheet'!$M$33="","",'Final Calculation Sheet'!$M$33)</f>
        <v/>
      </c>
      <c r="AO18" s="545">
        <f>IF('Final Calculation Sheet'!$M$31="","",'Final Calculation Sheet'!$M$31)</f>
        <v/>
      </c>
      <c r="AQ18" s="570">
        <f>IF('Final Calculation Sheet'!$M$34="","",'Final Calculation Sheet'!$M$34)</f>
        <v/>
      </c>
      <c r="AS18" s="545">
        <f>IF('Final Calculation Sheet'!$M$4="","",'Final Calculation Sheet'!$M$4)</f>
        <v/>
      </c>
      <c r="AU18" s="569">
        <f>IF('Final Calculation Sheet'!$M$38="","",'Final Calculation Sheet'!$M$38)</f>
        <v/>
      </c>
      <c r="AW18" s="545">
        <f>IF('Final Calculation Sheet'!$M$37="","",'Final Calculation Sheet'!$M$37)</f>
        <v/>
      </c>
      <c r="AY18" s="571">
        <f>IF('Final Calculation Sheet'!$M$8="","",'Final Calculation Sheet'!$M$8)</f>
        <v/>
      </c>
      <c r="BA18" s="545">
        <f>IF('Final Calculation Sheet'!$M$39="","",'Final Calculation Sheet'!$M$39)</f>
        <v/>
      </c>
      <c r="BB18" s="570">
        <f>IF('Final Calculation Sheet'!$M$40="","",'Final Calculation Sheet'!$M$40)</f>
        <v/>
      </c>
      <c r="BD18" s="545">
        <f>IF('Final Calculation Sheet'!$M$36="","",'Final Calculation Sheet'!$M$36)</f>
        <v/>
      </c>
      <c r="BF18" s="566">
        <f>IF('Final Calculation Sheet'!$M$35="","",'Final Calculation Sheet'!$M$35)</f>
        <v/>
      </c>
      <c r="BG18" s="546">
        <f>IF('Final Calculation Sheet'!$M$41="","",'Final Calculation Sheet'!$M$41)</f>
        <v/>
      </c>
    </row>
    <row r="19" ht="15" customHeight="1">
      <c r="A19" s="543" t="inlineStr">
        <is>
          <t>TDS u/s 194(H)</t>
        </is>
      </c>
      <c r="B19" s="572">
        <f>IF('Final Calculation Sheet'!$N$6="","",'Final Calculation Sheet'!$N$6)</f>
        <v/>
      </c>
      <c r="C19" s="548">
        <f>IF('Final Calculation Sheet'!$N$7="","",'Final Calculation Sheet'!$N$7)</f>
        <v/>
      </c>
      <c r="E19" s="573">
        <f>IF('Final Calculation Sheet'!$N$15="","",'Final Calculation Sheet'!$N$15)</f>
        <v/>
      </c>
      <c r="G19" s="548">
        <f>IF('Final Calculation Sheet'!$N$5="","",'Final Calculation Sheet'!$N$5)</f>
        <v/>
      </c>
      <c r="H19" s="574">
        <f>IF('Final Calculation Sheet'!$N$10="","",'Final Calculation Sheet'!$N$10)</f>
        <v/>
      </c>
      <c r="I19" s="548">
        <f>IF('Final Calculation Sheet'!$N$11="","",'Final Calculation Sheet'!$N$11)</f>
        <v/>
      </c>
      <c r="J19" s="574">
        <f>IF('Final Calculation Sheet'!$N$12="","",'Final Calculation Sheet'!$N$12)</f>
        <v/>
      </c>
      <c r="L19" s="548">
        <f>IF('Final Calculation Sheet'!$N$9="","",'Final Calculation Sheet'!$N$9)</f>
        <v/>
      </c>
      <c r="M19" s="575">
        <f>IF('Final Calculation Sheet'!$N$14="","",'Final Calculation Sheet'!$N$14)</f>
        <v/>
      </c>
      <c r="O19" s="548">
        <f>IF('Final Calculation Sheet'!$N$13="","",'Final Calculation Sheet'!$N$13)</f>
        <v/>
      </c>
      <c r="P19" s="576">
        <f>IF('Final Calculation Sheet'!$N$16="","",'Final Calculation Sheet'!$N$16)</f>
        <v/>
      </c>
      <c r="R19" s="548">
        <f>IF('Final Calculation Sheet'!$N$27="","",'Final Calculation Sheet'!$N$27)</f>
        <v/>
      </c>
      <c r="T19" s="574">
        <f>IF('Final Calculation Sheet'!$N$18="","",'Final Calculation Sheet'!$N$18)</f>
        <v/>
      </c>
      <c r="U19" s="548">
        <f>IF('Final Calculation Sheet'!$N$19="","",'Final Calculation Sheet'!$N$19)</f>
        <v/>
      </c>
      <c r="V19" s="574">
        <f>IF('Final Calculation Sheet'!$N$22="","",'Final Calculation Sheet'!$N$22)</f>
        <v/>
      </c>
      <c r="W19" s="548">
        <f>IF('Final Calculation Sheet'!$N$24="","",'Final Calculation Sheet'!$N$24)</f>
        <v/>
      </c>
      <c r="X19" s="574">
        <f>IF('Final Calculation Sheet'!$N$26="","",'Final Calculation Sheet'!$N$26)</f>
        <v/>
      </c>
      <c r="Z19" s="548">
        <f>IF('Final Calculation Sheet'!$N$21="","",'Final Calculation Sheet'!$N$21)</f>
        <v/>
      </c>
      <c r="AB19" s="577">
        <f>IF('Final Calculation Sheet'!$N$20="","",'Final Calculation Sheet'!$N$20)</f>
        <v/>
      </c>
      <c r="AD19" s="548">
        <f>IF('Final Calculation Sheet'!$N$17="","",'Final Calculation Sheet'!$N$17)</f>
        <v/>
      </c>
      <c r="AE19" s="576">
        <f>IF('Final Calculation Sheet'!$N$23="","",'Final Calculation Sheet'!$N$23)</f>
        <v/>
      </c>
      <c r="AF19" s="548">
        <f>IF('Final Calculation Sheet'!$N$29="","",'Final Calculation Sheet'!$N$29)</f>
        <v/>
      </c>
      <c r="AH19" s="572">
        <f>IF('Final Calculation Sheet'!$N$25="","",'Final Calculation Sheet'!$N$25)</f>
        <v/>
      </c>
      <c r="AI19" s="548">
        <f>IF('Final Calculation Sheet'!$N$28="","",'Final Calculation Sheet'!$N$28)</f>
        <v/>
      </c>
      <c r="AK19" s="574">
        <f>IF('Final Calculation Sheet'!$N$30="","",'Final Calculation Sheet'!$N$30)</f>
        <v/>
      </c>
      <c r="AL19" s="548">
        <f>IF('Final Calculation Sheet'!$N$32="","",'Final Calculation Sheet'!$N$32)</f>
        <v/>
      </c>
      <c r="AM19" s="574">
        <f>IF('Final Calculation Sheet'!$N$33="","",'Final Calculation Sheet'!$N$33)</f>
        <v/>
      </c>
      <c r="AO19" s="548">
        <f>IF('Final Calculation Sheet'!$N$31="","",'Final Calculation Sheet'!$N$31)</f>
        <v/>
      </c>
      <c r="AQ19" s="576">
        <f>IF('Final Calculation Sheet'!$N$34="","",'Final Calculation Sheet'!$N$34)</f>
        <v/>
      </c>
      <c r="AS19" s="548">
        <f>IF('Final Calculation Sheet'!$N$4="","",'Final Calculation Sheet'!$N$4)</f>
        <v/>
      </c>
      <c r="AU19" s="575">
        <f>IF('Final Calculation Sheet'!$N$38="","",'Final Calculation Sheet'!$N$38)</f>
        <v/>
      </c>
      <c r="AW19" s="548">
        <f>IF('Final Calculation Sheet'!$N$37="","",'Final Calculation Sheet'!$N$37)</f>
        <v/>
      </c>
      <c r="AY19" s="577">
        <f>IF('Final Calculation Sheet'!$N$8="","",'Final Calculation Sheet'!$N$8)</f>
        <v/>
      </c>
      <c r="BA19" s="548">
        <f>IF('Final Calculation Sheet'!$N$39="","",'Final Calculation Sheet'!$N$39)</f>
        <v/>
      </c>
      <c r="BB19" s="576">
        <f>IF('Final Calculation Sheet'!$N$40="","",'Final Calculation Sheet'!$N$40)</f>
        <v/>
      </c>
      <c r="BD19" s="548">
        <f>IF('Final Calculation Sheet'!$N$36="","",'Final Calculation Sheet'!$N$36)</f>
        <v/>
      </c>
      <c r="BF19" s="572">
        <f>IF('Final Calculation Sheet'!$N$35="","",'Final Calculation Sheet'!$N$35)</f>
        <v/>
      </c>
      <c r="BG19" s="414">
        <f>IF('Final Calculation Sheet'!$N$41="","",'Final Calculation Sheet'!$N$41)</f>
        <v/>
      </c>
    </row>
    <row r="20" ht="15" customHeight="1">
      <c r="A20" s="540" t="inlineStr">
        <is>
          <t>Net Service Charge (post TDS 194H)</t>
        </is>
      </c>
      <c r="B20" s="566">
        <f>IF('Final Calculation Sheet'!$O$6="","",'Final Calculation Sheet'!$O$6)</f>
        <v/>
      </c>
      <c r="C20" s="545">
        <f>IF('Final Calculation Sheet'!$O$7="","",'Final Calculation Sheet'!$O$7)</f>
        <v/>
      </c>
      <c r="E20" s="567">
        <f>IF('Final Calculation Sheet'!$O$15="","",'Final Calculation Sheet'!$O$15)</f>
        <v/>
      </c>
      <c r="G20" s="545">
        <f>IF('Final Calculation Sheet'!$O$5="","",'Final Calculation Sheet'!$O$5)</f>
        <v/>
      </c>
      <c r="H20" s="568">
        <f>IF('Final Calculation Sheet'!$O$10="","",'Final Calculation Sheet'!$O$10)</f>
        <v/>
      </c>
      <c r="I20" s="545">
        <f>IF('Final Calculation Sheet'!$O$11="","",'Final Calculation Sheet'!$O$11)</f>
        <v/>
      </c>
      <c r="J20" s="568">
        <f>IF('Final Calculation Sheet'!$O$12="","",'Final Calculation Sheet'!$O$12)</f>
        <v/>
      </c>
      <c r="L20" s="545">
        <f>IF('Final Calculation Sheet'!$O$9="","",'Final Calculation Sheet'!$O$9)</f>
        <v/>
      </c>
      <c r="M20" s="569">
        <f>IF('Final Calculation Sheet'!$O$14="","",'Final Calculation Sheet'!$O$14)</f>
        <v/>
      </c>
      <c r="O20" s="545">
        <f>IF('Final Calculation Sheet'!$O$13="","",'Final Calculation Sheet'!$O$13)</f>
        <v/>
      </c>
      <c r="P20" s="570">
        <f>IF('Final Calculation Sheet'!$O$16="","",'Final Calculation Sheet'!$O$16)</f>
        <v/>
      </c>
      <c r="R20" s="545">
        <f>IF('Final Calculation Sheet'!$O$27="","",'Final Calculation Sheet'!$O$27)</f>
        <v/>
      </c>
      <c r="T20" s="568">
        <f>IF('Final Calculation Sheet'!$O$18="","",'Final Calculation Sheet'!$O$18)</f>
        <v/>
      </c>
      <c r="U20" s="545">
        <f>IF('Final Calculation Sheet'!$O$19="","",'Final Calculation Sheet'!$O$19)</f>
        <v/>
      </c>
      <c r="V20" s="568">
        <f>IF('Final Calculation Sheet'!$O$22="","",'Final Calculation Sheet'!$O$22)</f>
        <v/>
      </c>
      <c r="W20" s="545">
        <f>IF('Final Calculation Sheet'!$O$24="","",'Final Calculation Sheet'!$O$24)</f>
        <v/>
      </c>
      <c r="X20" s="568">
        <f>IF('Final Calculation Sheet'!$O$26="","",'Final Calculation Sheet'!$O$26)</f>
        <v/>
      </c>
      <c r="Z20" s="545">
        <f>IF('Final Calculation Sheet'!$O$21="","",'Final Calculation Sheet'!$O$21)</f>
        <v/>
      </c>
      <c r="AB20" s="571">
        <f>IF('Final Calculation Sheet'!$O$20="","",'Final Calculation Sheet'!$O$20)</f>
        <v/>
      </c>
      <c r="AD20" s="545">
        <f>IF('Final Calculation Sheet'!$O$17="","",'Final Calculation Sheet'!$O$17)</f>
        <v/>
      </c>
      <c r="AE20" s="570">
        <f>IF('Final Calculation Sheet'!$O$23="","",'Final Calculation Sheet'!$O$23)</f>
        <v/>
      </c>
      <c r="AF20" s="545">
        <f>IF('Final Calculation Sheet'!$O$29="","",'Final Calculation Sheet'!$O$29)</f>
        <v/>
      </c>
      <c r="AH20" s="566">
        <f>IF('Final Calculation Sheet'!$O$25="","",'Final Calculation Sheet'!$O$25)</f>
        <v/>
      </c>
      <c r="AI20" s="545">
        <f>IF('Final Calculation Sheet'!$O$28="","",'Final Calculation Sheet'!$O$28)</f>
        <v/>
      </c>
      <c r="AK20" s="568">
        <f>IF('Final Calculation Sheet'!$O$30="","",'Final Calculation Sheet'!$O$30)</f>
        <v/>
      </c>
      <c r="AL20" s="545">
        <f>IF('Final Calculation Sheet'!$O$32="","",'Final Calculation Sheet'!$O$32)</f>
        <v/>
      </c>
      <c r="AM20" s="568">
        <f>IF('Final Calculation Sheet'!$O$33="","",'Final Calculation Sheet'!$O$33)</f>
        <v/>
      </c>
      <c r="AO20" s="545">
        <f>IF('Final Calculation Sheet'!$O$31="","",'Final Calculation Sheet'!$O$31)</f>
        <v/>
      </c>
      <c r="AQ20" s="570">
        <f>IF('Final Calculation Sheet'!$O$34="","",'Final Calculation Sheet'!$O$34)</f>
        <v/>
      </c>
      <c r="AS20" s="545">
        <f>IF('Final Calculation Sheet'!$O$4="","",'Final Calculation Sheet'!$O$4)</f>
        <v/>
      </c>
      <c r="AU20" s="569">
        <f>IF('Final Calculation Sheet'!$O$38="","",'Final Calculation Sheet'!$O$38)</f>
        <v/>
      </c>
      <c r="AW20" s="545">
        <f>IF('Final Calculation Sheet'!$O$37="","",'Final Calculation Sheet'!$O$37)</f>
        <v/>
      </c>
      <c r="AY20" s="571">
        <f>IF('Final Calculation Sheet'!$O$8="","",'Final Calculation Sheet'!$O$8)</f>
        <v/>
      </c>
      <c r="BA20" s="545">
        <f>IF('Final Calculation Sheet'!$O$39="","",'Final Calculation Sheet'!$O$39)</f>
        <v/>
      </c>
      <c r="BB20" s="570">
        <f>IF('Final Calculation Sheet'!$O$40="","",'Final Calculation Sheet'!$O$40)</f>
        <v/>
      </c>
      <c r="BD20" s="545">
        <f>IF('Final Calculation Sheet'!$O$36="","",'Final Calculation Sheet'!$O$36)</f>
        <v/>
      </c>
      <c r="BF20" s="566">
        <f>IF('Final Calculation Sheet'!$O$35="","",'Final Calculation Sheet'!$O$35)</f>
        <v/>
      </c>
      <c r="BG20" s="546">
        <f>IF('Final Calculation Sheet'!$O$41="","",'Final Calculation Sheet'!$O$41)</f>
        <v/>
      </c>
    </row>
    <row r="21" ht="15" customHeight="1">
      <c r="A21" s="543" t="inlineStr">
        <is>
          <t>Service charge to MSTC</t>
        </is>
      </c>
      <c r="B21" s="566">
        <f>IF('Final Calculation Sheet'!$P$6="","",'Final Calculation Sheet'!$P$6)</f>
        <v/>
      </c>
      <c r="C21" s="545">
        <f>IF('Final Calculation Sheet'!$P$7="","",'Final Calculation Sheet'!$P$7)</f>
        <v/>
      </c>
      <c r="E21" s="567">
        <f>IF('Final Calculation Sheet'!$P$15="","",'Final Calculation Sheet'!$P$15)</f>
        <v/>
      </c>
      <c r="G21" s="545">
        <f>IF('Final Calculation Sheet'!$P$5="","",'Final Calculation Sheet'!$P$5)</f>
        <v/>
      </c>
      <c r="H21" s="568">
        <f>IF('Final Calculation Sheet'!$P$10="","",'Final Calculation Sheet'!$P$10)</f>
        <v/>
      </c>
      <c r="I21" s="545">
        <f>IF('Final Calculation Sheet'!$P$11="","",'Final Calculation Sheet'!$P$11)</f>
        <v/>
      </c>
      <c r="J21" s="568">
        <f>IF('Final Calculation Sheet'!$P$12="","",'Final Calculation Sheet'!$P$12)</f>
        <v/>
      </c>
      <c r="L21" s="545">
        <f>IF('Final Calculation Sheet'!$P$9="","",'Final Calculation Sheet'!$P$9)</f>
        <v/>
      </c>
      <c r="M21" s="569">
        <f>IF('Final Calculation Sheet'!$P$14="","",'Final Calculation Sheet'!$P$14)</f>
        <v/>
      </c>
      <c r="O21" s="545">
        <f>IF('Final Calculation Sheet'!$P$13="","",'Final Calculation Sheet'!$P$13)</f>
        <v/>
      </c>
      <c r="P21" s="570">
        <f>IF('Final Calculation Sheet'!$P$16="","",'Final Calculation Sheet'!$P$16)</f>
        <v/>
      </c>
      <c r="R21" s="545">
        <f>IF('Final Calculation Sheet'!$P$27="","",'Final Calculation Sheet'!$P$27)</f>
        <v/>
      </c>
      <c r="T21" s="568">
        <f>IF('Final Calculation Sheet'!$P$18="","",'Final Calculation Sheet'!$P$18)</f>
        <v/>
      </c>
      <c r="U21" s="545">
        <f>IF('Final Calculation Sheet'!$P$19="","",'Final Calculation Sheet'!$P$19)</f>
        <v/>
      </c>
      <c r="V21" s="568">
        <f>IF('Final Calculation Sheet'!$P$22="","",'Final Calculation Sheet'!$P$22)</f>
        <v/>
      </c>
      <c r="W21" s="545">
        <f>IF('Final Calculation Sheet'!$P$24="","",'Final Calculation Sheet'!$P$24)</f>
        <v/>
      </c>
      <c r="X21" s="568">
        <f>IF('Final Calculation Sheet'!$P$26="","",'Final Calculation Sheet'!$P$26)</f>
        <v/>
      </c>
      <c r="Z21" s="545">
        <f>IF('Final Calculation Sheet'!$P$21="","",'Final Calculation Sheet'!$P$21)</f>
        <v/>
      </c>
      <c r="AB21" s="571">
        <f>IF('Final Calculation Sheet'!$P$20="","",'Final Calculation Sheet'!$P$20)</f>
        <v/>
      </c>
      <c r="AD21" s="545">
        <f>IF('Final Calculation Sheet'!$P$17="","",'Final Calculation Sheet'!$P$17)</f>
        <v/>
      </c>
      <c r="AE21" s="570">
        <f>IF('Final Calculation Sheet'!$P$23="","",'Final Calculation Sheet'!$P$23)</f>
        <v/>
      </c>
      <c r="AF21" s="545">
        <f>IF('Final Calculation Sheet'!$P$29="","",'Final Calculation Sheet'!$P$29)</f>
        <v/>
      </c>
      <c r="AH21" s="566">
        <f>IF('Final Calculation Sheet'!$P$25="","",'Final Calculation Sheet'!$P$25)</f>
        <v/>
      </c>
      <c r="AI21" s="545">
        <f>IF('Final Calculation Sheet'!$P$28="","",'Final Calculation Sheet'!$P$28)</f>
        <v/>
      </c>
      <c r="AK21" s="568">
        <f>IF('Final Calculation Sheet'!$P$30="","",'Final Calculation Sheet'!$P$30)</f>
        <v/>
      </c>
      <c r="AL21" s="545">
        <f>IF('Final Calculation Sheet'!$P$32="","",'Final Calculation Sheet'!$P$32)</f>
        <v/>
      </c>
      <c r="AM21" s="568">
        <f>IF('Final Calculation Sheet'!$P$33="","",'Final Calculation Sheet'!$P$33)</f>
        <v/>
      </c>
      <c r="AO21" s="545">
        <f>IF('Final Calculation Sheet'!$P$31="","",'Final Calculation Sheet'!$P$31)</f>
        <v/>
      </c>
      <c r="AQ21" s="570">
        <f>IF('Final Calculation Sheet'!$P$34="","",'Final Calculation Sheet'!$P$34)</f>
        <v/>
      </c>
      <c r="AS21" s="545">
        <f>IF('Final Calculation Sheet'!$P$4="","",'Final Calculation Sheet'!$P$4)</f>
        <v/>
      </c>
      <c r="AU21" s="569">
        <f>IF('Final Calculation Sheet'!$P$38="","",'Final Calculation Sheet'!$P$38)</f>
        <v/>
      </c>
      <c r="AW21" s="545">
        <f>IF('Final Calculation Sheet'!$P$37="","",'Final Calculation Sheet'!$P$37)</f>
        <v/>
      </c>
      <c r="AY21" s="571">
        <f>IF('Final Calculation Sheet'!$P$8="","",'Final Calculation Sheet'!$P$8)</f>
        <v/>
      </c>
      <c r="BA21" s="545">
        <f>IF('Final Calculation Sheet'!$P$39="","",'Final Calculation Sheet'!$P$39)</f>
        <v/>
      </c>
      <c r="BB21" s="570">
        <f>IF('Final Calculation Sheet'!$P$40="","",'Final Calculation Sheet'!$P$40)</f>
        <v/>
      </c>
      <c r="BD21" s="545">
        <f>IF('Final Calculation Sheet'!$P$36="","",'Final Calculation Sheet'!$P$36)</f>
        <v/>
      </c>
      <c r="BF21" s="566">
        <f>IF('Final Calculation Sheet'!$P$35="","",'Final Calculation Sheet'!$P$35)</f>
        <v/>
      </c>
      <c r="BG21" s="546">
        <f>IF('Final Calculation Sheet'!$P$41="","",'Final Calculation Sheet'!$P$41)</f>
        <v/>
      </c>
    </row>
    <row r="22" ht="15" customHeight="1">
      <c r="A22" s="540" t="inlineStr">
        <is>
          <t>GST TDS Rate</t>
        </is>
      </c>
      <c r="B22" s="578">
        <f>IF('Final Calculation Sheet'!$Q$6="","",'Final Calculation Sheet'!$Q$6)</f>
        <v/>
      </c>
      <c r="C22" s="550">
        <f>IF('Final Calculation Sheet'!$Q$7="","",'Final Calculation Sheet'!$Q$7)</f>
        <v/>
      </c>
      <c r="E22" s="579">
        <f>IF('Final Calculation Sheet'!$Q$15="","",'Final Calculation Sheet'!$Q$15)</f>
        <v/>
      </c>
      <c r="G22" s="550">
        <f>IF('Final Calculation Sheet'!$Q$5="","",'Final Calculation Sheet'!$Q$5)</f>
        <v/>
      </c>
      <c r="H22" s="580">
        <f>IF('Final Calculation Sheet'!$Q$10="","",'Final Calculation Sheet'!$Q$10)</f>
        <v/>
      </c>
      <c r="I22" s="550">
        <f>IF('Final Calculation Sheet'!$Q$11="","",'Final Calculation Sheet'!$Q$11)</f>
        <v/>
      </c>
      <c r="J22" s="580">
        <f>IF('Final Calculation Sheet'!$Q$12="","",'Final Calculation Sheet'!$Q$12)</f>
        <v/>
      </c>
      <c r="L22" s="550">
        <f>IF('Final Calculation Sheet'!$Q$9="","",'Final Calculation Sheet'!$Q$9)</f>
        <v/>
      </c>
      <c r="M22" s="581">
        <f>IF('Final Calculation Sheet'!$Q$14="","",'Final Calculation Sheet'!$Q$14)</f>
        <v/>
      </c>
      <c r="O22" s="550">
        <f>IF('Final Calculation Sheet'!$Q$13="","",'Final Calculation Sheet'!$Q$13)</f>
        <v/>
      </c>
      <c r="P22" s="582">
        <f>IF('Final Calculation Sheet'!$Q$16="","",'Final Calculation Sheet'!$Q$16)</f>
        <v/>
      </c>
      <c r="R22" s="550">
        <f>IF('Final Calculation Sheet'!$Q$27="","",'Final Calculation Sheet'!$Q$27)</f>
        <v/>
      </c>
      <c r="T22" s="580">
        <f>IF('Final Calculation Sheet'!$Q$18="","",'Final Calculation Sheet'!$Q$18)</f>
        <v/>
      </c>
      <c r="U22" s="550">
        <f>IF('Final Calculation Sheet'!$Q$19="","",'Final Calculation Sheet'!$Q$19)</f>
        <v/>
      </c>
      <c r="V22" s="580">
        <f>IF('Final Calculation Sheet'!$Q$22="","",'Final Calculation Sheet'!$Q$22)</f>
        <v/>
      </c>
      <c r="W22" s="550">
        <f>IF('Final Calculation Sheet'!$Q$24="","",'Final Calculation Sheet'!$Q$24)</f>
        <v/>
      </c>
      <c r="X22" s="580">
        <f>IF('Final Calculation Sheet'!$Q$26="","",'Final Calculation Sheet'!$Q$26)</f>
        <v/>
      </c>
      <c r="Z22" s="550">
        <f>IF('Final Calculation Sheet'!$Q$21="","",'Final Calculation Sheet'!$Q$21)</f>
        <v/>
      </c>
      <c r="AB22" s="583">
        <f>IF('Final Calculation Sheet'!$Q$20="","",'Final Calculation Sheet'!$Q$20)</f>
        <v/>
      </c>
      <c r="AD22" s="550">
        <f>IF('Final Calculation Sheet'!$Q$17="","",'Final Calculation Sheet'!$Q$17)</f>
        <v/>
      </c>
      <c r="AE22" s="582">
        <f>IF('Final Calculation Sheet'!$Q$23="","",'Final Calculation Sheet'!$Q$23)</f>
        <v/>
      </c>
      <c r="AF22" s="550">
        <f>IF('Final Calculation Sheet'!$Q$29="","",'Final Calculation Sheet'!$Q$29)</f>
        <v/>
      </c>
      <c r="AH22" s="578">
        <f>IF('Final Calculation Sheet'!$Q$25="","",'Final Calculation Sheet'!$Q$25)</f>
        <v/>
      </c>
      <c r="AI22" s="550">
        <f>IF('Final Calculation Sheet'!$Q$28="","",'Final Calculation Sheet'!$Q$28)</f>
        <v/>
      </c>
      <c r="AK22" s="580">
        <f>IF('Final Calculation Sheet'!$Q$30="","",'Final Calculation Sheet'!$Q$30)</f>
        <v/>
      </c>
      <c r="AL22" s="550">
        <f>IF('Final Calculation Sheet'!$Q$32="","",'Final Calculation Sheet'!$Q$32)</f>
        <v/>
      </c>
      <c r="AM22" s="580">
        <f>IF('Final Calculation Sheet'!$Q$33="","",'Final Calculation Sheet'!$Q$33)</f>
        <v/>
      </c>
      <c r="AO22" s="550">
        <f>IF('Final Calculation Sheet'!$Q$31="","",'Final Calculation Sheet'!$Q$31)</f>
        <v/>
      </c>
      <c r="AQ22" s="582">
        <f>IF('Final Calculation Sheet'!$Q$34="","",'Final Calculation Sheet'!$Q$34)</f>
        <v/>
      </c>
      <c r="AS22" s="550">
        <f>IF('Final Calculation Sheet'!$Q$4="","",'Final Calculation Sheet'!$Q$4)</f>
        <v/>
      </c>
      <c r="AU22" s="581">
        <f>IF('Final Calculation Sheet'!$Q$38="","",'Final Calculation Sheet'!$Q$38)</f>
        <v/>
      </c>
      <c r="AW22" s="550">
        <f>IF('Final Calculation Sheet'!$Q$37="","",'Final Calculation Sheet'!$Q$37)</f>
        <v/>
      </c>
      <c r="AY22" s="583">
        <f>IF('Final Calculation Sheet'!$Q$8="","",'Final Calculation Sheet'!$Q$8)</f>
        <v/>
      </c>
      <c r="BA22" s="550">
        <f>IF('Final Calculation Sheet'!$Q$39="","",'Final Calculation Sheet'!$Q$39)</f>
        <v/>
      </c>
      <c r="BB22" s="582">
        <f>IF('Final Calculation Sheet'!$Q$40="","",'Final Calculation Sheet'!$Q$40)</f>
        <v/>
      </c>
      <c r="BD22" s="550">
        <f>IF('Final Calculation Sheet'!$Q$36="","",'Final Calculation Sheet'!$Q$36)</f>
        <v/>
      </c>
      <c r="BF22" s="578">
        <f>IF('Final Calculation Sheet'!$Q$35="","",'Final Calculation Sheet'!$Q$35)</f>
        <v/>
      </c>
      <c r="BG22" s="551">
        <f>IF('Final Calculation Sheet'!$Q$41="","",'Final Calculation Sheet'!$Q$41)</f>
        <v/>
      </c>
    </row>
    <row r="23" ht="15" customHeight="1">
      <c r="A23" s="543" t="inlineStr">
        <is>
          <t>GST TDS</t>
        </is>
      </c>
      <c r="B23" s="566">
        <f>IF('Final Calculation Sheet'!$R$6="","",'Final Calculation Sheet'!$R$6)</f>
        <v/>
      </c>
      <c r="C23" s="545">
        <f>IF('Final Calculation Sheet'!$R$7="","",'Final Calculation Sheet'!$R$7)</f>
        <v/>
      </c>
      <c r="E23" s="567">
        <f>IF('Final Calculation Sheet'!$R$15="","",'Final Calculation Sheet'!$R$15)</f>
        <v/>
      </c>
      <c r="G23" s="545">
        <f>IF('Final Calculation Sheet'!$R$5="","",'Final Calculation Sheet'!$R$5)</f>
        <v/>
      </c>
      <c r="H23" s="568">
        <f>IF('Final Calculation Sheet'!$R$10="","",'Final Calculation Sheet'!$R$10)</f>
        <v/>
      </c>
      <c r="I23" s="545">
        <f>IF('Final Calculation Sheet'!$R$11="","",'Final Calculation Sheet'!$R$11)</f>
        <v/>
      </c>
      <c r="J23" s="568">
        <f>IF('Final Calculation Sheet'!$R$12="","",'Final Calculation Sheet'!$R$12)</f>
        <v/>
      </c>
      <c r="L23" s="545">
        <f>IF('Final Calculation Sheet'!$R$9="","",'Final Calculation Sheet'!$R$9)</f>
        <v/>
      </c>
      <c r="M23" s="569">
        <f>IF('Final Calculation Sheet'!$R$14="","",'Final Calculation Sheet'!$R$14)</f>
        <v/>
      </c>
      <c r="O23" s="545">
        <f>IF('Final Calculation Sheet'!$R$13="","",'Final Calculation Sheet'!$R$13)</f>
        <v/>
      </c>
      <c r="P23" s="570">
        <f>IF('Final Calculation Sheet'!$R$16="","",'Final Calculation Sheet'!$R$16)</f>
        <v/>
      </c>
      <c r="R23" s="545">
        <f>IF('Final Calculation Sheet'!$R$27="","",'Final Calculation Sheet'!$R$27)</f>
        <v/>
      </c>
      <c r="T23" s="568">
        <f>IF('Final Calculation Sheet'!$R$18="","",'Final Calculation Sheet'!$R$18)</f>
        <v/>
      </c>
      <c r="U23" s="545">
        <f>IF('Final Calculation Sheet'!$R$19="","",'Final Calculation Sheet'!$R$19)</f>
        <v/>
      </c>
      <c r="V23" s="568">
        <f>IF('Final Calculation Sheet'!$R$22="","",'Final Calculation Sheet'!$R$22)</f>
        <v/>
      </c>
      <c r="W23" s="545">
        <f>IF('Final Calculation Sheet'!$R$24="","",'Final Calculation Sheet'!$R$24)</f>
        <v/>
      </c>
      <c r="X23" s="568">
        <f>IF('Final Calculation Sheet'!$R$26="","",'Final Calculation Sheet'!$R$26)</f>
        <v/>
      </c>
      <c r="Z23" s="545">
        <f>IF('Final Calculation Sheet'!$R$21="","",'Final Calculation Sheet'!$R$21)</f>
        <v/>
      </c>
      <c r="AB23" s="571">
        <f>IF('Final Calculation Sheet'!$R$20="","",'Final Calculation Sheet'!$R$20)</f>
        <v/>
      </c>
      <c r="AD23" s="545">
        <f>IF('Final Calculation Sheet'!$R$17="","",'Final Calculation Sheet'!$R$17)</f>
        <v/>
      </c>
      <c r="AE23" s="570">
        <f>IF('Final Calculation Sheet'!$R$23="","",'Final Calculation Sheet'!$R$23)</f>
        <v/>
      </c>
      <c r="AF23" s="545">
        <f>IF('Final Calculation Sheet'!$R$29="","",'Final Calculation Sheet'!$R$29)</f>
        <v/>
      </c>
      <c r="AH23" s="566">
        <f>IF('Final Calculation Sheet'!$R$25="","",'Final Calculation Sheet'!$R$25)</f>
        <v/>
      </c>
      <c r="AI23" s="545">
        <f>IF('Final Calculation Sheet'!$R$28="","",'Final Calculation Sheet'!$R$28)</f>
        <v/>
      </c>
      <c r="AK23" s="568">
        <f>IF('Final Calculation Sheet'!$R$30="","",'Final Calculation Sheet'!$R$30)</f>
        <v/>
      </c>
      <c r="AL23" s="545">
        <f>IF('Final Calculation Sheet'!$R$32="","",'Final Calculation Sheet'!$R$32)</f>
        <v/>
      </c>
      <c r="AM23" s="568">
        <f>IF('Final Calculation Sheet'!$R$33="","",'Final Calculation Sheet'!$R$33)</f>
        <v/>
      </c>
      <c r="AO23" s="545">
        <f>IF('Final Calculation Sheet'!$R$31="","",'Final Calculation Sheet'!$R$31)</f>
        <v/>
      </c>
      <c r="AQ23" s="570">
        <f>IF('Final Calculation Sheet'!$R$34="","",'Final Calculation Sheet'!$R$34)</f>
        <v/>
      </c>
      <c r="AS23" s="545">
        <f>IF('Final Calculation Sheet'!$R$4="","",'Final Calculation Sheet'!$R$4)</f>
        <v/>
      </c>
      <c r="AU23" s="569">
        <f>IF('Final Calculation Sheet'!$R$38="","",'Final Calculation Sheet'!$R$38)</f>
        <v/>
      </c>
      <c r="AW23" s="545">
        <f>IF('Final Calculation Sheet'!$R$37="","",'Final Calculation Sheet'!$R$37)</f>
        <v/>
      </c>
      <c r="AY23" s="571">
        <f>IF('Final Calculation Sheet'!$R$8="","",'Final Calculation Sheet'!$R$8)</f>
        <v/>
      </c>
      <c r="BA23" s="545">
        <f>IF('Final Calculation Sheet'!$R$39="","",'Final Calculation Sheet'!$R$39)</f>
        <v/>
      </c>
      <c r="BB23" s="570">
        <f>IF('Final Calculation Sheet'!$R$40="","",'Final Calculation Sheet'!$R$40)</f>
        <v/>
      </c>
      <c r="BD23" s="545">
        <f>IF('Final Calculation Sheet'!$R$36="","",'Final Calculation Sheet'!$R$36)</f>
        <v/>
      </c>
      <c r="BF23" s="566">
        <f>IF('Final Calculation Sheet'!$R$35="","",'Final Calculation Sheet'!$R$35)</f>
        <v/>
      </c>
      <c r="BG23" s="546">
        <f>IF('Final Calculation Sheet'!$R$41="","",'Final Calculation Sheet'!$R$41)</f>
        <v/>
      </c>
    </row>
    <row r="24" ht="15" customHeight="1">
      <c r="A24" s="540" t="inlineStr">
        <is>
          <t>Total Receivables in Cash</t>
        </is>
      </c>
      <c r="B24" s="566">
        <f>IF('Final Calculation Sheet'!$S$6="","",'Final Calculation Sheet'!$S$6)</f>
        <v/>
      </c>
      <c r="C24" s="545">
        <f>IF('Final Calculation Sheet'!$S$7="","",'Final Calculation Sheet'!$S$7)</f>
        <v/>
      </c>
      <c r="E24" s="567">
        <f>IF('Final Calculation Sheet'!$S$15="","",'Final Calculation Sheet'!$S$15)</f>
        <v/>
      </c>
      <c r="G24" s="545">
        <f>IF('Final Calculation Sheet'!$S$5="","",'Final Calculation Sheet'!$S$5)</f>
        <v/>
      </c>
      <c r="H24" s="568">
        <f>IF('Final Calculation Sheet'!$S$10="","",'Final Calculation Sheet'!$S$10)</f>
        <v/>
      </c>
      <c r="I24" s="545">
        <f>IF('Final Calculation Sheet'!$S$11="","",'Final Calculation Sheet'!$S$11)</f>
        <v/>
      </c>
      <c r="J24" s="568">
        <f>IF('Final Calculation Sheet'!$S$12="","",'Final Calculation Sheet'!$S$12)</f>
        <v/>
      </c>
      <c r="L24" s="545">
        <f>IF('Final Calculation Sheet'!$S$9="","",'Final Calculation Sheet'!$S$9)</f>
        <v/>
      </c>
      <c r="M24" s="569">
        <f>IF('Final Calculation Sheet'!$S$14="","",'Final Calculation Sheet'!$S$14)</f>
        <v/>
      </c>
      <c r="O24" s="545">
        <f>IF('Final Calculation Sheet'!$S$13="","",'Final Calculation Sheet'!$S$13)</f>
        <v/>
      </c>
      <c r="P24" s="570">
        <f>IF('Final Calculation Sheet'!$S$16="","",'Final Calculation Sheet'!$S$16)</f>
        <v/>
      </c>
      <c r="R24" s="545">
        <f>IF('Final Calculation Sheet'!$S$27="","",'Final Calculation Sheet'!$S$27)</f>
        <v/>
      </c>
      <c r="T24" s="568">
        <f>IF('Final Calculation Sheet'!$S$18="","",'Final Calculation Sheet'!$S$18)</f>
        <v/>
      </c>
      <c r="U24" s="545">
        <f>IF('Final Calculation Sheet'!$S$19="","",'Final Calculation Sheet'!$S$19)</f>
        <v/>
      </c>
      <c r="V24" s="568">
        <f>IF('Final Calculation Sheet'!$S$22="","",'Final Calculation Sheet'!$S$22)</f>
        <v/>
      </c>
      <c r="W24" s="545">
        <f>IF('Final Calculation Sheet'!$S$24="","",'Final Calculation Sheet'!$S$24)</f>
        <v/>
      </c>
      <c r="X24" s="568">
        <f>IF('Final Calculation Sheet'!$S$26="","",'Final Calculation Sheet'!$S$26)</f>
        <v/>
      </c>
      <c r="Z24" s="545">
        <f>IF('Final Calculation Sheet'!$S$21="","",'Final Calculation Sheet'!$S$21)</f>
        <v/>
      </c>
      <c r="AB24" s="571">
        <f>IF('Final Calculation Sheet'!$S$20="","",'Final Calculation Sheet'!$S$20)</f>
        <v/>
      </c>
      <c r="AD24" s="545">
        <f>IF('Final Calculation Sheet'!$S$17="","",'Final Calculation Sheet'!$S$17)</f>
        <v/>
      </c>
      <c r="AE24" s="570">
        <f>IF('Final Calculation Sheet'!$S$23="","",'Final Calculation Sheet'!$S$23)</f>
        <v/>
      </c>
      <c r="AF24" s="545">
        <f>IF('Final Calculation Sheet'!$S$29="","",'Final Calculation Sheet'!$S$29)</f>
        <v/>
      </c>
      <c r="AH24" s="566">
        <f>IF('Final Calculation Sheet'!$S$25="","",'Final Calculation Sheet'!$S$25)</f>
        <v/>
      </c>
      <c r="AI24" s="545">
        <f>IF('Final Calculation Sheet'!$S$28="","",'Final Calculation Sheet'!$S$28)</f>
        <v/>
      </c>
      <c r="AK24" s="568">
        <f>IF('Final Calculation Sheet'!$S$30="","",'Final Calculation Sheet'!$S$30)</f>
        <v/>
      </c>
      <c r="AL24" s="545">
        <f>IF('Final Calculation Sheet'!$S$32="","",'Final Calculation Sheet'!$S$32)</f>
        <v/>
      </c>
      <c r="AM24" s="568">
        <f>IF('Final Calculation Sheet'!$S$33="","",'Final Calculation Sheet'!$S$33)</f>
        <v/>
      </c>
      <c r="AO24" s="545">
        <f>IF('Final Calculation Sheet'!$S$31="","",'Final Calculation Sheet'!$S$31)</f>
        <v/>
      </c>
      <c r="AQ24" s="570">
        <f>IF('Final Calculation Sheet'!$S$34="","",'Final Calculation Sheet'!$S$34)</f>
        <v/>
      </c>
      <c r="AS24" s="545">
        <f>IF('Final Calculation Sheet'!$S$4="","",'Final Calculation Sheet'!$S$4)</f>
        <v/>
      </c>
      <c r="AU24" s="569">
        <f>IF('Final Calculation Sheet'!$S$38="","",'Final Calculation Sheet'!$S$38)</f>
        <v/>
      </c>
      <c r="AW24" s="545">
        <f>IF('Final Calculation Sheet'!$S$37="","",'Final Calculation Sheet'!$S$37)</f>
        <v/>
      </c>
      <c r="AY24" s="571">
        <f>IF('Final Calculation Sheet'!$S$8="","",'Final Calculation Sheet'!$S$8)</f>
        <v/>
      </c>
      <c r="BA24" s="545">
        <f>IF('Final Calculation Sheet'!$S$39="","",'Final Calculation Sheet'!$S$39)</f>
        <v/>
      </c>
      <c r="BB24" s="570">
        <f>IF('Final Calculation Sheet'!$S$40="","",'Final Calculation Sheet'!$S$40)</f>
        <v/>
      </c>
      <c r="BD24" s="545">
        <f>IF('Final Calculation Sheet'!$S$36="","",'Final Calculation Sheet'!$S$36)</f>
        <v/>
      </c>
      <c r="BF24" s="566">
        <f>IF('Final Calculation Sheet'!$S$35="","",'Final Calculation Sheet'!$S$35)</f>
        <v/>
      </c>
      <c r="BG24" s="546">
        <f>IF('Final Calculation Sheet'!$S$41="","",'Final Calculation Sheet'!$S$41)</f>
        <v/>
      </c>
    </row>
    <row r="25" ht="15" customHeight="1">
      <c r="A25" s="543" t="inlineStr">
        <is>
          <t>Security Deposit (Expected)</t>
        </is>
      </c>
      <c r="B25" s="566">
        <f>IF('Final Calculation Sheet'!$T$6="","",'Final Calculation Sheet'!$T$6)</f>
        <v/>
      </c>
      <c r="C25" s="545">
        <f>IF('Final Calculation Sheet'!$T$7="","",'Final Calculation Sheet'!$T$7)</f>
        <v/>
      </c>
      <c r="E25" s="567">
        <f>IF('Final Calculation Sheet'!$T$15="","",'Final Calculation Sheet'!$T$15)</f>
        <v/>
      </c>
      <c r="G25" s="545">
        <f>IF('Final Calculation Sheet'!$T$5="","",'Final Calculation Sheet'!$T$5)</f>
        <v/>
      </c>
      <c r="H25" s="568">
        <f>IF('Final Calculation Sheet'!$T$10="","",'Final Calculation Sheet'!$T$10)</f>
        <v/>
      </c>
      <c r="I25" s="545">
        <f>IF('Final Calculation Sheet'!$T$11="","",'Final Calculation Sheet'!$T$11)</f>
        <v/>
      </c>
      <c r="J25" s="568">
        <f>IF('Final Calculation Sheet'!$T$12="","",'Final Calculation Sheet'!$T$12)</f>
        <v/>
      </c>
      <c r="L25" s="545">
        <f>IF('Final Calculation Sheet'!$T$9="","",'Final Calculation Sheet'!$T$9)</f>
        <v/>
      </c>
      <c r="M25" s="569">
        <f>IF('Final Calculation Sheet'!$T$14="","",'Final Calculation Sheet'!$T$14)</f>
        <v/>
      </c>
      <c r="O25" s="545">
        <f>IF('Final Calculation Sheet'!$T$13="","",'Final Calculation Sheet'!$T$13)</f>
        <v/>
      </c>
      <c r="P25" s="570">
        <f>IF('Final Calculation Sheet'!$T$16="","",'Final Calculation Sheet'!$T$16)</f>
        <v/>
      </c>
      <c r="R25" s="545">
        <f>IF('Final Calculation Sheet'!$T$27="","",'Final Calculation Sheet'!$T$27)</f>
        <v/>
      </c>
      <c r="T25" s="568">
        <f>IF('Final Calculation Sheet'!$T$18="","",'Final Calculation Sheet'!$T$18)</f>
        <v/>
      </c>
      <c r="U25" s="545">
        <f>IF('Final Calculation Sheet'!$T$19="","",'Final Calculation Sheet'!$T$19)</f>
        <v/>
      </c>
      <c r="V25" s="568">
        <f>IF('Final Calculation Sheet'!$T$22="","",'Final Calculation Sheet'!$T$22)</f>
        <v/>
      </c>
      <c r="W25" s="545">
        <f>IF('Final Calculation Sheet'!$T$24="","",'Final Calculation Sheet'!$T$24)</f>
        <v/>
      </c>
      <c r="X25" s="568">
        <f>IF('Final Calculation Sheet'!$T$26="","",'Final Calculation Sheet'!$T$26)</f>
        <v/>
      </c>
      <c r="Z25" s="545">
        <f>IF('Final Calculation Sheet'!$T$21="","",'Final Calculation Sheet'!$T$21)</f>
        <v/>
      </c>
      <c r="AB25" s="571">
        <f>IF('Final Calculation Sheet'!$T$20="","",'Final Calculation Sheet'!$T$20)</f>
        <v/>
      </c>
      <c r="AD25" s="545">
        <f>IF('Final Calculation Sheet'!$T$17="","",'Final Calculation Sheet'!$T$17)</f>
        <v/>
      </c>
      <c r="AE25" s="570">
        <f>IF('Final Calculation Sheet'!$T$23="","",'Final Calculation Sheet'!$T$23)</f>
        <v/>
      </c>
      <c r="AF25" s="545">
        <f>IF('Final Calculation Sheet'!$T$29="","",'Final Calculation Sheet'!$T$29)</f>
        <v/>
      </c>
      <c r="AH25" s="566">
        <f>IF('Final Calculation Sheet'!$T$25="","",'Final Calculation Sheet'!$T$25)</f>
        <v/>
      </c>
      <c r="AI25" s="545">
        <f>IF('Final Calculation Sheet'!$T$28="","",'Final Calculation Sheet'!$T$28)</f>
        <v/>
      </c>
      <c r="AK25" s="568">
        <f>IF('Final Calculation Sheet'!$T$30="","",'Final Calculation Sheet'!$T$30)</f>
        <v/>
      </c>
      <c r="AL25" s="545">
        <f>IF('Final Calculation Sheet'!$T$32="","",'Final Calculation Sheet'!$T$32)</f>
        <v/>
      </c>
      <c r="AM25" s="568">
        <f>IF('Final Calculation Sheet'!$T$33="","",'Final Calculation Sheet'!$T$33)</f>
        <v/>
      </c>
      <c r="AO25" s="545">
        <f>IF('Final Calculation Sheet'!$T$31="","",'Final Calculation Sheet'!$T$31)</f>
        <v/>
      </c>
      <c r="AQ25" s="570">
        <f>IF('Final Calculation Sheet'!$T$34="","",'Final Calculation Sheet'!$T$34)</f>
        <v/>
      </c>
      <c r="AS25" s="545">
        <f>IF('Final Calculation Sheet'!$T$4="","",'Final Calculation Sheet'!$T$4)</f>
        <v/>
      </c>
      <c r="AU25" s="569">
        <f>IF('Final Calculation Sheet'!$T$38="","",'Final Calculation Sheet'!$T$38)</f>
        <v/>
      </c>
      <c r="AW25" s="545">
        <f>IF('Final Calculation Sheet'!$T$37="","",'Final Calculation Sheet'!$T$37)</f>
        <v/>
      </c>
      <c r="AY25" s="571">
        <f>IF('Final Calculation Sheet'!$T$8="","",'Final Calculation Sheet'!$T$8)</f>
        <v/>
      </c>
      <c r="BA25" s="545">
        <f>IF('Final Calculation Sheet'!$T$39="","",'Final Calculation Sheet'!$T$39)</f>
        <v/>
      </c>
      <c r="BB25" s="570">
        <f>IF('Final Calculation Sheet'!$T$40="","",'Final Calculation Sheet'!$T$40)</f>
        <v/>
      </c>
      <c r="BD25" s="545">
        <f>IF('Final Calculation Sheet'!$T$36="","",'Final Calculation Sheet'!$T$36)</f>
        <v/>
      </c>
      <c r="BF25" s="566">
        <f>IF('Final Calculation Sheet'!$T$35="","",'Final Calculation Sheet'!$T$35)</f>
        <v/>
      </c>
      <c r="BG25" s="546">
        <f>IF('Final Calculation Sheet'!$T$41="","",'Final Calculation Sheet'!$T$41)</f>
        <v/>
      </c>
    </row>
    <row r="26" ht="15" customHeight="1">
      <c r="A26" s="540" t="inlineStr">
        <is>
          <t>Security Deposit (Received)</t>
        </is>
      </c>
      <c r="B26" s="584">
        <f>IF('Final Calculation Sheet'!$U$6="","",'Final Calculation Sheet'!$U$6)</f>
        <v/>
      </c>
      <c r="C26" s="553">
        <f>IF('Final Calculation Sheet'!$U$7="","",'Final Calculation Sheet'!$U$7)</f>
        <v/>
      </c>
      <c r="E26" s="585">
        <f>IF('Final Calculation Sheet'!$U$15="","",'Final Calculation Sheet'!$U$15)</f>
        <v/>
      </c>
      <c r="G26" s="553">
        <f>IF('Final Calculation Sheet'!$U$5="","",'Final Calculation Sheet'!$U$5)</f>
        <v/>
      </c>
      <c r="H26" s="586">
        <f>IF('Final Calculation Sheet'!$U$10="","",'Final Calculation Sheet'!$U$10)</f>
        <v/>
      </c>
      <c r="I26" s="553">
        <f>IF('Final Calculation Sheet'!$U$11="","",'Final Calculation Sheet'!$U$11)</f>
        <v/>
      </c>
      <c r="J26" s="586">
        <f>IF('Final Calculation Sheet'!$U$12="","",'Final Calculation Sheet'!$U$12)</f>
        <v/>
      </c>
      <c r="L26" s="553">
        <f>IF('Final Calculation Sheet'!$U$9="","",'Final Calculation Sheet'!$U$9)</f>
        <v/>
      </c>
      <c r="M26" s="587">
        <f>IF('Final Calculation Sheet'!$U$14="","",'Final Calculation Sheet'!$U$14)</f>
        <v/>
      </c>
      <c r="O26" s="553">
        <f>IF('Final Calculation Sheet'!$U$13="","",'Final Calculation Sheet'!$U$13)</f>
        <v/>
      </c>
      <c r="P26" s="588">
        <f>IF('Final Calculation Sheet'!$U$16="","",'Final Calculation Sheet'!$U$16)</f>
        <v/>
      </c>
      <c r="R26" s="553">
        <f>IF('Final Calculation Sheet'!$U$27="","",'Final Calculation Sheet'!$U$27)</f>
        <v/>
      </c>
      <c r="T26" s="586">
        <f>IF('Final Calculation Sheet'!$U$18="","",'Final Calculation Sheet'!$U$18)</f>
        <v/>
      </c>
      <c r="U26" s="553">
        <f>IF('Final Calculation Sheet'!$U$19="","",'Final Calculation Sheet'!$U$19)</f>
        <v/>
      </c>
      <c r="V26" s="586">
        <f>IF('Final Calculation Sheet'!$U$22="","",'Final Calculation Sheet'!$U$22)</f>
        <v/>
      </c>
      <c r="W26" s="553">
        <f>IF('Final Calculation Sheet'!$U$24="","",'Final Calculation Sheet'!$U$24)</f>
        <v/>
      </c>
      <c r="X26" s="586">
        <f>IF('Final Calculation Sheet'!$U$26="","",'Final Calculation Sheet'!$U$26)</f>
        <v/>
      </c>
      <c r="Z26" s="553">
        <f>IF('Final Calculation Sheet'!$U$21="","",'Final Calculation Sheet'!$U$21)</f>
        <v/>
      </c>
      <c r="AB26" s="589">
        <f>IF('Final Calculation Sheet'!$U$20="","",'Final Calculation Sheet'!$U$20)</f>
        <v/>
      </c>
      <c r="AD26" s="553">
        <f>IF('Final Calculation Sheet'!$U$17="","",'Final Calculation Sheet'!$U$17)</f>
        <v/>
      </c>
      <c r="AE26" s="588">
        <f>IF('Final Calculation Sheet'!$U$23="","",'Final Calculation Sheet'!$U$23)</f>
        <v/>
      </c>
      <c r="AF26" s="553">
        <f>IF('Final Calculation Sheet'!$U$29="","",'Final Calculation Sheet'!$U$29)</f>
        <v/>
      </c>
      <c r="AH26" s="584">
        <f>IF('Final Calculation Sheet'!$U$25="","",'Final Calculation Sheet'!$U$25)</f>
        <v/>
      </c>
      <c r="AI26" s="553">
        <f>IF('Final Calculation Sheet'!$U$28="","",'Final Calculation Sheet'!$U$28)</f>
        <v/>
      </c>
      <c r="AK26" s="586">
        <f>IF('Final Calculation Sheet'!$U$30="","",'Final Calculation Sheet'!$U$30)</f>
        <v/>
      </c>
      <c r="AL26" s="553">
        <f>IF('Final Calculation Sheet'!$U$32="","",'Final Calculation Sheet'!$U$32)</f>
        <v/>
      </c>
      <c r="AM26" s="586">
        <f>IF('Final Calculation Sheet'!$U$33="","",'Final Calculation Sheet'!$U$33)</f>
        <v/>
      </c>
      <c r="AO26" s="553">
        <f>IF('Final Calculation Sheet'!$U$31="","",'Final Calculation Sheet'!$U$31)</f>
        <v/>
      </c>
      <c r="AQ26" s="588">
        <f>IF('Final Calculation Sheet'!$U$34="","",'Final Calculation Sheet'!$U$34)</f>
        <v/>
      </c>
      <c r="AS26" s="553">
        <f>IF('Final Calculation Sheet'!$U$4="","",'Final Calculation Sheet'!$U$4)</f>
        <v/>
      </c>
      <c r="AU26" s="587">
        <f>IF('Final Calculation Sheet'!$U$38="","",'Final Calculation Sheet'!$U$38)</f>
        <v/>
      </c>
      <c r="AW26" s="553">
        <f>IF('Final Calculation Sheet'!$U$37="","",'Final Calculation Sheet'!$U$37)</f>
        <v/>
      </c>
      <c r="AY26" s="589">
        <f>IF('Final Calculation Sheet'!$U$8="","",'Final Calculation Sheet'!$U$8)</f>
        <v/>
      </c>
      <c r="BA26" s="553">
        <f>IF('Final Calculation Sheet'!$U$39="","",'Final Calculation Sheet'!$U$39)</f>
        <v/>
      </c>
      <c r="BB26" s="588">
        <f>IF('Final Calculation Sheet'!$U$40="","",'Final Calculation Sheet'!$U$40)</f>
        <v/>
      </c>
      <c r="BD26" s="553">
        <f>IF('Final Calculation Sheet'!$U$36="","",'Final Calculation Sheet'!$U$36)</f>
        <v/>
      </c>
      <c r="BF26" s="584">
        <f>IF('Final Calculation Sheet'!$U$35="","",'Final Calculation Sheet'!$U$35)</f>
        <v/>
      </c>
      <c r="BG26" s="554">
        <f>IF('Final Calculation Sheet'!$U$41="","",'Final Calculation Sheet'!$U$41)</f>
        <v/>
      </c>
    </row>
    <row r="27" ht="15" customHeight="1">
      <c r="A27" s="543" t="inlineStr">
        <is>
          <t>Date of Receipt (col V)</t>
        </is>
      </c>
      <c r="B27" s="566">
        <f>IF('Final Calculation Sheet'!$V$6="","",'Final Calculation Sheet'!$V$6)</f>
        <v/>
      </c>
      <c r="C27" s="545">
        <f>IF('Final Calculation Sheet'!$V$7="","",'Final Calculation Sheet'!$V$7)</f>
        <v/>
      </c>
      <c r="E27" s="567">
        <f>IF('Final Calculation Sheet'!$V$15="","",'Final Calculation Sheet'!$V$15)</f>
        <v/>
      </c>
      <c r="G27" s="545">
        <f>IF('Final Calculation Sheet'!$V$5="","",'Final Calculation Sheet'!$V$5)</f>
        <v/>
      </c>
      <c r="H27" s="568">
        <f>IF('Final Calculation Sheet'!$V$10="","",'Final Calculation Sheet'!$V$10)</f>
        <v/>
      </c>
      <c r="I27" s="545">
        <f>IF('Final Calculation Sheet'!$V$11="","",'Final Calculation Sheet'!$V$11)</f>
        <v/>
      </c>
      <c r="J27" s="568">
        <f>IF('Final Calculation Sheet'!$V$12="","",'Final Calculation Sheet'!$V$12)</f>
        <v/>
      </c>
      <c r="L27" s="545">
        <f>IF('Final Calculation Sheet'!$V$9="","",'Final Calculation Sheet'!$V$9)</f>
        <v/>
      </c>
      <c r="M27" s="569">
        <f>IF('Final Calculation Sheet'!$V$14="","",'Final Calculation Sheet'!$V$14)</f>
        <v/>
      </c>
      <c r="O27" s="545">
        <f>IF('Final Calculation Sheet'!$V$13="","",'Final Calculation Sheet'!$V$13)</f>
        <v/>
      </c>
      <c r="P27" s="570">
        <f>IF('Final Calculation Sheet'!$V$16="","",'Final Calculation Sheet'!$V$16)</f>
        <v/>
      </c>
      <c r="R27" s="545">
        <f>IF('Final Calculation Sheet'!$V$27="","",'Final Calculation Sheet'!$V$27)</f>
        <v/>
      </c>
      <c r="T27" s="568">
        <f>IF('Final Calculation Sheet'!$V$18="","",'Final Calculation Sheet'!$V$18)</f>
        <v/>
      </c>
      <c r="U27" s="545">
        <f>IF('Final Calculation Sheet'!$V$19="","",'Final Calculation Sheet'!$V$19)</f>
        <v/>
      </c>
      <c r="V27" s="568">
        <f>IF('Final Calculation Sheet'!$V$22="","",'Final Calculation Sheet'!$V$22)</f>
        <v/>
      </c>
      <c r="W27" s="545">
        <f>IF('Final Calculation Sheet'!$V$24="","",'Final Calculation Sheet'!$V$24)</f>
        <v/>
      </c>
      <c r="X27" s="568">
        <f>IF('Final Calculation Sheet'!$V$26="","",'Final Calculation Sheet'!$V$26)</f>
        <v/>
      </c>
      <c r="Z27" s="545">
        <f>IF('Final Calculation Sheet'!$V$21="","",'Final Calculation Sheet'!$V$21)</f>
        <v/>
      </c>
      <c r="AB27" s="571">
        <f>IF('Final Calculation Sheet'!$V$20="","",'Final Calculation Sheet'!$V$20)</f>
        <v/>
      </c>
      <c r="AD27" s="545">
        <f>IF('Final Calculation Sheet'!$V$17="","",'Final Calculation Sheet'!$V$17)</f>
        <v/>
      </c>
      <c r="AE27" s="570">
        <f>IF('Final Calculation Sheet'!$V$23="","",'Final Calculation Sheet'!$V$23)</f>
        <v/>
      </c>
      <c r="AF27" s="545">
        <f>IF('Final Calculation Sheet'!$V$29="","",'Final Calculation Sheet'!$V$29)</f>
        <v/>
      </c>
      <c r="AH27" s="566">
        <f>IF('Final Calculation Sheet'!$V$25="","",'Final Calculation Sheet'!$V$25)</f>
        <v/>
      </c>
      <c r="AI27" s="545">
        <f>IF('Final Calculation Sheet'!$V$28="","",'Final Calculation Sheet'!$V$28)</f>
        <v/>
      </c>
      <c r="AK27" s="568">
        <f>IF('Final Calculation Sheet'!$V$30="","",'Final Calculation Sheet'!$V$30)</f>
        <v/>
      </c>
      <c r="AL27" s="545">
        <f>IF('Final Calculation Sheet'!$V$32="","",'Final Calculation Sheet'!$V$32)</f>
        <v/>
      </c>
      <c r="AM27" s="568">
        <f>IF('Final Calculation Sheet'!$V$33="","",'Final Calculation Sheet'!$V$33)</f>
        <v/>
      </c>
      <c r="AO27" s="545">
        <f>IF('Final Calculation Sheet'!$V$31="","",'Final Calculation Sheet'!$V$31)</f>
        <v/>
      </c>
      <c r="AQ27" s="570">
        <f>IF('Final Calculation Sheet'!$V$34="","",'Final Calculation Sheet'!$V$34)</f>
        <v/>
      </c>
      <c r="AS27" s="545">
        <f>IF('Final Calculation Sheet'!$V$4="","",'Final Calculation Sheet'!$V$4)</f>
        <v/>
      </c>
      <c r="AU27" s="569">
        <f>IF('Final Calculation Sheet'!$V$38="","",'Final Calculation Sheet'!$V$38)</f>
        <v/>
      </c>
      <c r="AW27" s="545">
        <f>IF('Final Calculation Sheet'!$V$37="","",'Final Calculation Sheet'!$V$37)</f>
        <v/>
      </c>
      <c r="AY27" s="571">
        <f>IF('Final Calculation Sheet'!$V$8="","",'Final Calculation Sheet'!$V$8)</f>
        <v/>
      </c>
      <c r="BA27" s="545">
        <f>IF('Final Calculation Sheet'!$V$39="","",'Final Calculation Sheet'!$V$39)</f>
        <v/>
      </c>
      <c r="BB27" s="570">
        <f>IF('Final Calculation Sheet'!$V$40="","",'Final Calculation Sheet'!$V$40)</f>
        <v/>
      </c>
      <c r="BD27" s="545">
        <f>IF('Final Calculation Sheet'!$V$36="","",'Final Calculation Sheet'!$V$36)</f>
        <v/>
      </c>
      <c r="BF27" s="566">
        <f>IF('Final Calculation Sheet'!$V$35="","",'Final Calculation Sheet'!$V$35)</f>
        <v/>
      </c>
      <c r="BG27" s="546">
        <f>IF('Final Calculation Sheet'!$V$41="","",'Final Calculation Sheet'!$V$41)</f>
        <v/>
      </c>
    </row>
    <row r="28" ht="15" customHeight="1">
      <c r="A28" s="540" t="inlineStr">
        <is>
          <t>Final Payment (Expected)</t>
        </is>
      </c>
      <c r="B28" s="566">
        <f>IF('Final Calculation Sheet'!$W$6="","",'Final Calculation Sheet'!$W$6)</f>
        <v/>
      </c>
      <c r="C28" s="545">
        <f>IF('Final Calculation Sheet'!$W$7="","",'Final Calculation Sheet'!$W$7)</f>
        <v/>
      </c>
      <c r="E28" s="567">
        <f>IF('Final Calculation Sheet'!$W$15="","",'Final Calculation Sheet'!$W$15)</f>
        <v/>
      </c>
      <c r="G28" s="545">
        <f>IF('Final Calculation Sheet'!$W$5="","",'Final Calculation Sheet'!$W$5)</f>
        <v/>
      </c>
      <c r="H28" s="568">
        <f>IF('Final Calculation Sheet'!$W$10="","",'Final Calculation Sheet'!$W$10)</f>
        <v/>
      </c>
      <c r="I28" s="545">
        <f>IF('Final Calculation Sheet'!$W$11="","",'Final Calculation Sheet'!$W$11)</f>
        <v/>
      </c>
      <c r="J28" s="568">
        <f>IF('Final Calculation Sheet'!$W$12="","",'Final Calculation Sheet'!$W$12)</f>
        <v/>
      </c>
      <c r="L28" s="545">
        <f>IF('Final Calculation Sheet'!$W$9="","",'Final Calculation Sheet'!$W$9)</f>
        <v/>
      </c>
      <c r="M28" s="569">
        <f>IF('Final Calculation Sheet'!$W$14="","",'Final Calculation Sheet'!$W$14)</f>
        <v/>
      </c>
      <c r="O28" s="545">
        <f>IF('Final Calculation Sheet'!$W$13="","",'Final Calculation Sheet'!$W$13)</f>
        <v/>
      </c>
      <c r="P28" s="570">
        <f>IF('Final Calculation Sheet'!$W$16="","",'Final Calculation Sheet'!$W$16)</f>
        <v/>
      </c>
      <c r="R28" s="545">
        <f>IF('Final Calculation Sheet'!$W$27="","",'Final Calculation Sheet'!$W$27)</f>
        <v/>
      </c>
      <c r="T28" s="568">
        <f>IF('Final Calculation Sheet'!$W$18="","",'Final Calculation Sheet'!$W$18)</f>
        <v/>
      </c>
      <c r="U28" s="545">
        <f>IF('Final Calculation Sheet'!$W$19="","",'Final Calculation Sheet'!$W$19)</f>
        <v/>
      </c>
      <c r="V28" s="568">
        <f>IF('Final Calculation Sheet'!$W$22="","",'Final Calculation Sheet'!$W$22)</f>
        <v/>
      </c>
      <c r="W28" s="545">
        <f>IF('Final Calculation Sheet'!$W$24="","",'Final Calculation Sheet'!$W$24)</f>
        <v/>
      </c>
      <c r="X28" s="568">
        <f>IF('Final Calculation Sheet'!$W$26="","",'Final Calculation Sheet'!$W$26)</f>
        <v/>
      </c>
      <c r="Z28" s="545">
        <f>IF('Final Calculation Sheet'!$W$21="","",'Final Calculation Sheet'!$W$21)</f>
        <v/>
      </c>
      <c r="AB28" s="571">
        <f>IF('Final Calculation Sheet'!$W$20="","",'Final Calculation Sheet'!$W$20)</f>
        <v/>
      </c>
      <c r="AD28" s="545">
        <f>IF('Final Calculation Sheet'!$W$17="","",'Final Calculation Sheet'!$W$17)</f>
        <v/>
      </c>
      <c r="AE28" s="570">
        <f>IF('Final Calculation Sheet'!$W$23="","",'Final Calculation Sheet'!$W$23)</f>
        <v/>
      </c>
      <c r="AF28" s="545">
        <f>IF('Final Calculation Sheet'!$W$29="","",'Final Calculation Sheet'!$W$29)</f>
        <v/>
      </c>
      <c r="AH28" s="566">
        <f>IF('Final Calculation Sheet'!$W$25="","",'Final Calculation Sheet'!$W$25)</f>
        <v/>
      </c>
      <c r="AI28" s="545">
        <f>IF('Final Calculation Sheet'!$W$28="","",'Final Calculation Sheet'!$W$28)</f>
        <v/>
      </c>
      <c r="AK28" s="568">
        <f>IF('Final Calculation Sheet'!$W$30="","",'Final Calculation Sheet'!$W$30)</f>
        <v/>
      </c>
      <c r="AL28" s="545">
        <f>IF('Final Calculation Sheet'!$W$32="","",'Final Calculation Sheet'!$W$32)</f>
        <v/>
      </c>
      <c r="AM28" s="568">
        <f>IF('Final Calculation Sheet'!$W$33="","",'Final Calculation Sheet'!$W$33)</f>
        <v/>
      </c>
      <c r="AO28" s="545">
        <f>IF('Final Calculation Sheet'!$W$31="","",'Final Calculation Sheet'!$W$31)</f>
        <v/>
      </c>
      <c r="AQ28" s="570">
        <f>IF('Final Calculation Sheet'!$W$34="","",'Final Calculation Sheet'!$W$34)</f>
        <v/>
      </c>
      <c r="AS28" s="545">
        <f>IF('Final Calculation Sheet'!$W$4="","",'Final Calculation Sheet'!$W$4)</f>
        <v/>
      </c>
      <c r="AU28" s="569">
        <f>IF('Final Calculation Sheet'!$W$38="","",'Final Calculation Sheet'!$W$38)</f>
        <v/>
      </c>
      <c r="AW28" s="545">
        <f>IF('Final Calculation Sheet'!$W$37="","",'Final Calculation Sheet'!$W$37)</f>
        <v/>
      </c>
      <c r="AY28" s="571">
        <f>IF('Final Calculation Sheet'!$W$8="","",'Final Calculation Sheet'!$W$8)</f>
        <v/>
      </c>
      <c r="BA28" s="545">
        <f>IF('Final Calculation Sheet'!$W$39="","",'Final Calculation Sheet'!$W$39)</f>
        <v/>
      </c>
      <c r="BB28" s="570">
        <f>IF('Final Calculation Sheet'!$W$40="","",'Final Calculation Sheet'!$W$40)</f>
        <v/>
      </c>
      <c r="BD28" s="545">
        <f>IF('Final Calculation Sheet'!$W$36="","",'Final Calculation Sheet'!$W$36)</f>
        <v/>
      </c>
      <c r="BF28" s="566">
        <f>IF('Final Calculation Sheet'!$W$35="","",'Final Calculation Sheet'!$W$35)</f>
        <v/>
      </c>
      <c r="BG28" s="546">
        <f>IF('Final Calculation Sheet'!$W$41="","",'Final Calculation Sheet'!$W$41)</f>
        <v/>
      </c>
    </row>
    <row r="29" ht="15" customHeight="1">
      <c r="A29" s="543" t="inlineStr">
        <is>
          <t>Final Payment (Received)</t>
        </is>
      </c>
      <c r="B29" s="566">
        <f>IF('Final Calculation Sheet'!$X$6="","",'Final Calculation Sheet'!$X$6)</f>
        <v/>
      </c>
      <c r="C29" s="545">
        <f>IF('Final Calculation Sheet'!$X$7="","",'Final Calculation Sheet'!$X$7)</f>
        <v/>
      </c>
      <c r="E29" s="567">
        <f>IF('Final Calculation Sheet'!$X$15="","",'Final Calculation Sheet'!$X$15)</f>
        <v/>
      </c>
      <c r="G29" s="545">
        <f>IF('Final Calculation Sheet'!$X$5="","",'Final Calculation Sheet'!$X$5)</f>
        <v/>
      </c>
      <c r="H29" s="568">
        <f>IF('Final Calculation Sheet'!$X$10="","",'Final Calculation Sheet'!$X$10)</f>
        <v/>
      </c>
      <c r="I29" s="545">
        <f>IF('Final Calculation Sheet'!$X$11="","",'Final Calculation Sheet'!$X$11)</f>
        <v/>
      </c>
      <c r="J29" s="568">
        <f>IF('Final Calculation Sheet'!$X$12="","",'Final Calculation Sheet'!$X$12)</f>
        <v/>
      </c>
      <c r="L29" s="545">
        <f>IF('Final Calculation Sheet'!$X$9="","",'Final Calculation Sheet'!$X$9)</f>
        <v/>
      </c>
      <c r="M29" s="569">
        <f>IF('Final Calculation Sheet'!$X$14="","",'Final Calculation Sheet'!$X$14)</f>
        <v/>
      </c>
      <c r="O29" s="545">
        <f>IF('Final Calculation Sheet'!$X$13="","",'Final Calculation Sheet'!$X$13)</f>
        <v/>
      </c>
      <c r="P29" s="570">
        <f>IF('Final Calculation Sheet'!$X$16="","",'Final Calculation Sheet'!$X$16)</f>
        <v/>
      </c>
      <c r="R29" s="545">
        <f>IF('Final Calculation Sheet'!$X$27="","",'Final Calculation Sheet'!$X$27)</f>
        <v/>
      </c>
      <c r="T29" s="568">
        <f>IF('Final Calculation Sheet'!$X$18="","",'Final Calculation Sheet'!$X$18)</f>
        <v/>
      </c>
      <c r="U29" s="545">
        <f>IF('Final Calculation Sheet'!$X$19="","",'Final Calculation Sheet'!$X$19)</f>
        <v/>
      </c>
      <c r="V29" s="568">
        <f>IF('Final Calculation Sheet'!$X$22="","",'Final Calculation Sheet'!$X$22)</f>
        <v/>
      </c>
      <c r="W29" s="545">
        <f>IF('Final Calculation Sheet'!$X$24="","",'Final Calculation Sheet'!$X$24)</f>
        <v/>
      </c>
      <c r="X29" s="568">
        <f>IF('Final Calculation Sheet'!$X$26="","",'Final Calculation Sheet'!$X$26)</f>
        <v/>
      </c>
      <c r="Z29" s="545">
        <f>IF('Final Calculation Sheet'!$X$21="","",'Final Calculation Sheet'!$X$21)</f>
        <v/>
      </c>
      <c r="AB29" s="571">
        <f>IF('Final Calculation Sheet'!$X$20="","",'Final Calculation Sheet'!$X$20)</f>
        <v/>
      </c>
      <c r="AD29" s="545">
        <f>IF('Final Calculation Sheet'!$X$17="","",'Final Calculation Sheet'!$X$17)</f>
        <v/>
      </c>
      <c r="AE29" s="570">
        <f>IF('Final Calculation Sheet'!$X$23="","",'Final Calculation Sheet'!$X$23)</f>
        <v/>
      </c>
      <c r="AF29" s="545">
        <f>IF('Final Calculation Sheet'!$X$29="","",'Final Calculation Sheet'!$X$29)</f>
        <v/>
      </c>
      <c r="AH29" s="566">
        <f>IF('Final Calculation Sheet'!$X$25="","",'Final Calculation Sheet'!$X$25)</f>
        <v/>
      </c>
      <c r="AI29" s="545">
        <f>IF('Final Calculation Sheet'!$X$28="","",'Final Calculation Sheet'!$X$28)</f>
        <v/>
      </c>
      <c r="AK29" s="568">
        <f>IF('Final Calculation Sheet'!$X$30="","",'Final Calculation Sheet'!$X$30)</f>
        <v/>
      </c>
      <c r="AL29" s="545">
        <f>IF('Final Calculation Sheet'!$X$32="","",'Final Calculation Sheet'!$X$32)</f>
        <v/>
      </c>
      <c r="AM29" s="568">
        <f>IF('Final Calculation Sheet'!$X$33="","",'Final Calculation Sheet'!$X$33)</f>
        <v/>
      </c>
      <c r="AO29" s="545">
        <f>IF('Final Calculation Sheet'!$X$31="","",'Final Calculation Sheet'!$X$31)</f>
        <v/>
      </c>
      <c r="AQ29" s="570">
        <f>IF('Final Calculation Sheet'!$X$34="","",'Final Calculation Sheet'!$X$34)</f>
        <v/>
      </c>
      <c r="AS29" s="545">
        <f>IF('Final Calculation Sheet'!$X$4="","",'Final Calculation Sheet'!$X$4)</f>
        <v/>
      </c>
      <c r="AU29" s="569">
        <f>IF('Final Calculation Sheet'!$X$38="","",'Final Calculation Sheet'!$X$38)</f>
        <v/>
      </c>
      <c r="AW29" s="545">
        <f>IF('Final Calculation Sheet'!$X$37="","",'Final Calculation Sheet'!$X$37)</f>
        <v/>
      </c>
      <c r="AY29" s="571">
        <f>IF('Final Calculation Sheet'!$X$8="","",'Final Calculation Sheet'!$X$8)</f>
        <v/>
      </c>
      <c r="BA29" s="545">
        <f>IF('Final Calculation Sheet'!$X$39="","",'Final Calculation Sheet'!$X$39)</f>
        <v/>
      </c>
      <c r="BB29" s="570">
        <f>IF('Final Calculation Sheet'!$X$40="","",'Final Calculation Sheet'!$X$40)</f>
        <v/>
      </c>
      <c r="BD29" s="545">
        <f>IF('Final Calculation Sheet'!$X$36="","",'Final Calculation Sheet'!$X$36)</f>
        <v/>
      </c>
      <c r="BF29" s="566">
        <f>IF('Final Calculation Sheet'!$X$35="","",'Final Calculation Sheet'!$X$35)</f>
        <v/>
      </c>
      <c r="BG29" s="546">
        <f>IF('Final Calculation Sheet'!$X$41="","",'Final Calculation Sheet'!$X$41)</f>
        <v/>
      </c>
    </row>
    <row r="30" ht="15" customHeight="1">
      <c r="A30" s="540" t="inlineStr">
        <is>
          <t>Date of Receipt (col Y)</t>
        </is>
      </c>
      <c r="B30" s="566">
        <f>IF('Final Calculation Sheet'!$Y$6="","",'Final Calculation Sheet'!$Y$6)</f>
        <v/>
      </c>
      <c r="C30" s="545">
        <f>IF('Final Calculation Sheet'!$Y$7="","",'Final Calculation Sheet'!$Y$7)</f>
        <v/>
      </c>
      <c r="E30" s="567">
        <f>IF('Final Calculation Sheet'!$Y$15="","",'Final Calculation Sheet'!$Y$15)</f>
        <v/>
      </c>
      <c r="G30" s="545">
        <f>IF('Final Calculation Sheet'!$Y$5="","",'Final Calculation Sheet'!$Y$5)</f>
        <v/>
      </c>
      <c r="H30" s="568">
        <f>IF('Final Calculation Sheet'!$Y$10="","",'Final Calculation Sheet'!$Y$10)</f>
        <v/>
      </c>
      <c r="I30" s="545">
        <f>IF('Final Calculation Sheet'!$Y$11="","",'Final Calculation Sheet'!$Y$11)</f>
        <v/>
      </c>
      <c r="J30" s="568">
        <f>IF('Final Calculation Sheet'!$Y$12="","",'Final Calculation Sheet'!$Y$12)</f>
        <v/>
      </c>
      <c r="L30" s="545">
        <f>IF('Final Calculation Sheet'!$Y$9="","",'Final Calculation Sheet'!$Y$9)</f>
        <v/>
      </c>
      <c r="M30" s="569">
        <f>IF('Final Calculation Sheet'!$Y$14="","",'Final Calculation Sheet'!$Y$14)</f>
        <v/>
      </c>
      <c r="O30" s="545">
        <f>IF('Final Calculation Sheet'!$Y$13="","",'Final Calculation Sheet'!$Y$13)</f>
        <v/>
      </c>
      <c r="P30" s="570">
        <f>IF('Final Calculation Sheet'!$Y$16="","",'Final Calculation Sheet'!$Y$16)</f>
        <v/>
      </c>
      <c r="R30" s="545">
        <f>IF('Final Calculation Sheet'!$Y$27="","",'Final Calculation Sheet'!$Y$27)</f>
        <v/>
      </c>
      <c r="T30" s="568">
        <f>IF('Final Calculation Sheet'!$Y$18="","",'Final Calculation Sheet'!$Y$18)</f>
        <v/>
      </c>
      <c r="U30" s="545">
        <f>IF('Final Calculation Sheet'!$Y$19="","",'Final Calculation Sheet'!$Y$19)</f>
        <v/>
      </c>
      <c r="V30" s="568">
        <f>IF('Final Calculation Sheet'!$Y$22="","",'Final Calculation Sheet'!$Y$22)</f>
        <v/>
      </c>
      <c r="W30" s="545">
        <f>IF('Final Calculation Sheet'!$Y$24="","",'Final Calculation Sheet'!$Y$24)</f>
        <v/>
      </c>
      <c r="X30" s="568">
        <f>IF('Final Calculation Sheet'!$Y$26="","",'Final Calculation Sheet'!$Y$26)</f>
        <v/>
      </c>
      <c r="Z30" s="545">
        <f>IF('Final Calculation Sheet'!$Y$21="","",'Final Calculation Sheet'!$Y$21)</f>
        <v/>
      </c>
      <c r="AB30" s="571">
        <f>IF('Final Calculation Sheet'!$Y$20="","",'Final Calculation Sheet'!$Y$20)</f>
        <v/>
      </c>
      <c r="AD30" s="545">
        <f>IF('Final Calculation Sheet'!$Y$17="","",'Final Calculation Sheet'!$Y$17)</f>
        <v/>
      </c>
      <c r="AE30" s="570">
        <f>IF('Final Calculation Sheet'!$Y$23="","",'Final Calculation Sheet'!$Y$23)</f>
        <v/>
      </c>
      <c r="AF30" s="545">
        <f>IF('Final Calculation Sheet'!$Y$29="","",'Final Calculation Sheet'!$Y$29)</f>
        <v/>
      </c>
      <c r="AH30" s="566">
        <f>IF('Final Calculation Sheet'!$Y$25="","",'Final Calculation Sheet'!$Y$25)</f>
        <v/>
      </c>
      <c r="AI30" s="545">
        <f>IF('Final Calculation Sheet'!$Y$28="","",'Final Calculation Sheet'!$Y$28)</f>
        <v/>
      </c>
      <c r="AK30" s="568">
        <f>IF('Final Calculation Sheet'!$Y$30="","",'Final Calculation Sheet'!$Y$30)</f>
        <v/>
      </c>
      <c r="AL30" s="545">
        <f>IF('Final Calculation Sheet'!$Y$32="","",'Final Calculation Sheet'!$Y$32)</f>
        <v/>
      </c>
      <c r="AM30" s="568">
        <f>IF('Final Calculation Sheet'!$Y$33="","",'Final Calculation Sheet'!$Y$33)</f>
        <v/>
      </c>
      <c r="AO30" s="545">
        <f>IF('Final Calculation Sheet'!$Y$31="","",'Final Calculation Sheet'!$Y$31)</f>
        <v/>
      </c>
      <c r="AQ30" s="570">
        <f>IF('Final Calculation Sheet'!$Y$34="","",'Final Calculation Sheet'!$Y$34)</f>
        <v/>
      </c>
      <c r="AS30" s="545">
        <f>IF('Final Calculation Sheet'!$Y$4="","",'Final Calculation Sheet'!$Y$4)</f>
        <v/>
      </c>
      <c r="AU30" s="569">
        <f>IF('Final Calculation Sheet'!$Y$38="","",'Final Calculation Sheet'!$Y$38)</f>
        <v/>
      </c>
      <c r="AW30" s="545">
        <f>IF('Final Calculation Sheet'!$Y$37="","",'Final Calculation Sheet'!$Y$37)</f>
        <v/>
      </c>
      <c r="AY30" s="571">
        <f>IF('Final Calculation Sheet'!$Y$8="","",'Final Calculation Sheet'!$Y$8)</f>
        <v/>
      </c>
      <c r="BA30" s="545">
        <f>IF('Final Calculation Sheet'!$Y$39="","",'Final Calculation Sheet'!$Y$39)</f>
        <v/>
      </c>
      <c r="BB30" s="570">
        <f>IF('Final Calculation Sheet'!$Y$40="","",'Final Calculation Sheet'!$Y$40)</f>
        <v/>
      </c>
      <c r="BD30" s="545">
        <f>IF('Final Calculation Sheet'!$Y$36="","",'Final Calculation Sheet'!$Y$36)</f>
        <v/>
      </c>
      <c r="BF30" s="566">
        <f>IF('Final Calculation Sheet'!$Y$35="","",'Final Calculation Sheet'!$Y$35)</f>
        <v/>
      </c>
      <c r="BG30" s="546">
        <f>IF('Final Calculation Sheet'!$Y$41="","",'Final Calculation Sheet'!$Y$41)</f>
        <v/>
      </c>
    </row>
    <row r="31" ht="15" customHeight="1">
      <c r="A31" s="543" t="inlineStr">
        <is>
          <t>LPP Expected</t>
        </is>
      </c>
      <c r="B31" s="566">
        <f>IF('Final Calculation Sheet'!$Z$6="","",'Final Calculation Sheet'!$Z$6)</f>
        <v/>
      </c>
      <c r="C31" s="545">
        <f>IF('Final Calculation Sheet'!$Z$7="","",'Final Calculation Sheet'!$Z$7)</f>
        <v/>
      </c>
      <c r="E31" s="567">
        <f>IF('Final Calculation Sheet'!$Z$15="","",'Final Calculation Sheet'!$Z$15)</f>
        <v/>
      </c>
      <c r="G31" s="545">
        <f>IF('Final Calculation Sheet'!$Z$5="","",'Final Calculation Sheet'!$Z$5)</f>
        <v/>
      </c>
      <c r="H31" s="568">
        <f>IF('Final Calculation Sheet'!$Z$10="","",'Final Calculation Sheet'!$Z$10)</f>
        <v/>
      </c>
      <c r="I31" s="545">
        <f>IF('Final Calculation Sheet'!$Z$11="","",'Final Calculation Sheet'!$Z$11)</f>
        <v/>
      </c>
      <c r="J31" s="568">
        <f>IF('Final Calculation Sheet'!$Z$12="","",'Final Calculation Sheet'!$Z$12)</f>
        <v/>
      </c>
      <c r="L31" s="545">
        <f>IF('Final Calculation Sheet'!$Z$9="","",'Final Calculation Sheet'!$Z$9)</f>
        <v/>
      </c>
      <c r="M31" s="569">
        <f>IF('Final Calculation Sheet'!$Z$14="","",'Final Calculation Sheet'!$Z$14)</f>
        <v/>
      </c>
      <c r="O31" s="545">
        <f>IF('Final Calculation Sheet'!$Z$13="","",'Final Calculation Sheet'!$Z$13)</f>
        <v/>
      </c>
      <c r="P31" s="570">
        <f>IF('Final Calculation Sheet'!$Z$16="","",'Final Calculation Sheet'!$Z$16)</f>
        <v/>
      </c>
      <c r="R31" s="545">
        <f>IF('Final Calculation Sheet'!$Z$27="","",'Final Calculation Sheet'!$Z$27)</f>
        <v/>
      </c>
      <c r="T31" s="568">
        <f>IF('Final Calculation Sheet'!$Z$18="","",'Final Calculation Sheet'!$Z$18)</f>
        <v/>
      </c>
      <c r="U31" s="545">
        <f>IF('Final Calculation Sheet'!$Z$19="","",'Final Calculation Sheet'!$Z$19)</f>
        <v/>
      </c>
      <c r="V31" s="568">
        <f>IF('Final Calculation Sheet'!$Z$22="","",'Final Calculation Sheet'!$Z$22)</f>
        <v/>
      </c>
      <c r="W31" s="545">
        <f>IF('Final Calculation Sheet'!$Z$24="","",'Final Calculation Sheet'!$Z$24)</f>
        <v/>
      </c>
      <c r="X31" s="568">
        <f>IF('Final Calculation Sheet'!$Z$26="","",'Final Calculation Sheet'!$Z$26)</f>
        <v/>
      </c>
      <c r="Z31" s="545">
        <f>IF('Final Calculation Sheet'!$Z$21="","",'Final Calculation Sheet'!$Z$21)</f>
        <v/>
      </c>
      <c r="AB31" s="571">
        <f>IF('Final Calculation Sheet'!$Z$20="","",'Final Calculation Sheet'!$Z$20)</f>
        <v/>
      </c>
      <c r="AD31" s="545">
        <f>IF('Final Calculation Sheet'!$Z$17="","",'Final Calculation Sheet'!$Z$17)</f>
        <v/>
      </c>
      <c r="AE31" s="570">
        <f>IF('Final Calculation Sheet'!$Z$23="","",'Final Calculation Sheet'!$Z$23)</f>
        <v/>
      </c>
      <c r="AF31" s="545">
        <f>IF('Final Calculation Sheet'!$Z$29="","",'Final Calculation Sheet'!$Z$29)</f>
        <v/>
      </c>
      <c r="AH31" s="566">
        <f>IF('Final Calculation Sheet'!$Z$25="","",'Final Calculation Sheet'!$Z$25)</f>
        <v/>
      </c>
      <c r="AI31" s="545">
        <f>IF('Final Calculation Sheet'!$Z$28="","",'Final Calculation Sheet'!$Z$28)</f>
        <v/>
      </c>
      <c r="AK31" s="568">
        <f>IF('Final Calculation Sheet'!$Z$30="","",'Final Calculation Sheet'!$Z$30)</f>
        <v/>
      </c>
      <c r="AL31" s="545">
        <f>IF('Final Calculation Sheet'!$Z$32="","",'Final Calculation Sheet'!$Z$32)</f>
        <v/>
      </c>
      <c r="AM31" s="568">
        <f>IF('Final Calculation Sheet'!$Z$33="","",'Final Calculation Sheet'!$Z$33)</f>
        <v/>
      </c>
      <c r="AO31" s="545">
        <f>IF('Final Calculation Sheet'!$Z$31="","",'Final Calculation Sheet'!$Z$31)</f>
        <v/>
      </c>
      <c r="AQ31" s="570">
        <f>IF('Final Calculation Sheet'!$Z$34="","",'Final Calculation Sheet'!$Z$34)</f>
        <v/>
      </c>
      <c r="AS31" s="545">
        <f>IF('Final Calculation Sheet'!$Z$4="","",'Final Calculation Sheet'!$Z$4)</f>
        <v/>
      </c>
      <c r="AU31" s="569">
        <f>IF('Final Calculation Sheet'!$Z$38="","",'Final Calculation Sheet'!$Z$38)</f>
        <v/>
      </c>
      <c r="AW31" s="545">
        <f>IF('Final Calculation Sheet'!$Z$37="","",'Final Calculation Sheet'!$Z$37)</f>
        <v/>
      </c>
      <c r="AY31" s="571">
        <f>IF('Final Calculation Sheet'!$Z$8="","",'Final Calculation Sheet'!$Z$8)</f>
        <v/>
      </c>
      <c r="BA31" s="545">
        <f>IF('Final Calculation Sheet'!$Z$39="","",'Final Calculation Sheet'!$Z$39)</f>
        <v/>
      </c>
      <c r="BB31" s="570">
        <f>IF('Final Calculation Sheet'!$Z$40="","",'Final Calculation Sheet'!$Z$40)</f>
        <v/>
      </c>
      <c r="BD31" s="545">
        <f>IF('Final Calculation Sheet'!$Z$36="","",'Final Calculation Sheet'!$Z$36)</f>
        <v/>
      </c>
      <c r="BF31" s="566">
        <f>IF('Final Calculation Sheet'!$Z$35="","",'Final Calculation Sheet'!$Z$35)</f>
        <v/>
      </c>
      <c r="BG31" s="546">
        <f>IF('Final Calculation Sheet'!$Z$41="","",'Final Calculation Sheet'!$Z$41)</f>
        <v/>
      </c>
    </row>
    <row r="32" ht="15" customHeight="1">
      <c r="A32" s="540" t="inlineStr">
        <is>
          <t>LPP Received</t>
        </is>
      </c>
      <c r="B32" s="566">
        <f>IF('Final Calculation Sheet'!$AA$6="","",'Final Calculation Sheet'!$AA$6)</f>
        <v/>
      </c>
      <c r="C32" s="545">
        <f>IF('Final Calculation Sheet'!$AA$7="","",'Final Calculation Sheet'!$AA$7)</f>
        <v/>
      </c>
      <c r="E32" s="567">
        <f>IF('Final Calculation Sheet'!$AA$15="","",'Final Calculation Sheet'!$AA$15)</f>
        <v/>
      </c>
      <c r="G32" s="545">
        <f>IF('Final Calculation Sheet'!$AA$5="","",'Final Calculation Sheet'!$AA$5)</f>
        <v/>
      </c>
      <c r="H32" s="568">
        <f>IF('Final Calculation Sheet'!$AA$10="","",'Final Calculation Sheet'!$AA$10)</f>
        <v/>
      </c>
      <c r="I32" s="545">
        <f>IF('Final Calculation Sheet'!$AA$11="","",'Final Calculation Sheet'!$AA$11)</f>
        <v/>
      </c>
      <c r="J32" s="568">
        <f>IF('Final Calculation Sheet'!$AA$12="","",'Final Calculation Sheet'!$AA$12)</f>
        <v/>
      </c>
      <c r="L32" s="545">
        <f>IF('Final Calculation Sheet'!$AA$9="","",'Final Calculation Sheet'!$AA$9)</f>
        <v/>
      </c>
      <c r="M32" s="569">
        <f>IF('Final Calculation Sheet'!$AA$14="","",'Final Calculation Sheet'!$AA$14)</f>
        <v/>
      </c>
      <c r="O32" s="545">
        <f>IF('Final Calculation Sheet'!$AA$13="","",'Final Calculation Sheet'!$AA$13)</f>
        <v/>
      </c>
      <c r="P32" s="570">
        <f>IF('Final Calculation Sheet'!$AA$16="","",'Final Calculation Sheet'!$AA$16)</f>
        <v/>
      </c>
      <c r="R32" s="545">
        <f>IF('Final Calculation Sheet'!$AA$27="","",'Final Calculation Sheet'!$AA$27)</f>
        <v/>
      </c>
      <c r="T32" s="568">
        <f>IF('Final Calculation Sheet'!$AA$18="","",'Final Calculation Sheet'!$AA$18)</f>
        <v/>
      </c>
      <c r="U32" s="545">
        <f>IF('Final Calculation Sheet'!$AA$19="","",'Final Calculation Sheet'!$AA$19)</f>
        <v/>
      </c>
      <c r="V32" s="568">
        <f>IF('Final Calculation Sheet'!$AA$22="","",'Final Calculation Sheet'!$AA$22)</f>
        <v/>
      </c>
      <c r="W32" s="545">
        <f>IF('Final Calculation Sheet'!$AA$24="","",'Final Calculation Sheet'!$AA$24)</f>
        <v/>
      </c>
      <c r="X32" s="568">
        <f>IF('Final Calculation Sheet'!$AA$26="","",'Final Calculation Sheet'!$AA$26)</f>
        <v/>
      </c>
      <c r="Z32" s="545">
        <f>IF('Final Calculation Sheet'!$AA$21="","",'Final Calculation Sheet'!$AA$21)</f>
        <v/>
      </c>
      <c r="AB32" s="571">
        <f>IF('Final Calculation Sheet'!$AA$20="","",'Final Calculation Sheet'!$AA$20)</f>
        <v/>
      </c>
      <c r="AD32" s="545">
        <f>IF('Final Calculation Sheet'!$AA$17="","",'Final Calculation Sheet'!$AA$17)</f>
        <v/>
      </c>
      <c r="AE32" s="570">
        <f>IF('Final Calculation Sheet'!$AA$23="","",'Final Calculation Sheet'!$AA$23)</f>
        <v/>
      </c>
      <c r="AF32" s="545">
        <f>IF('Final Calculation Sheet'!$AA$29="","",'Final Calculation Sheet'!$AA$29)</f>
        <v/>
      </c>
      <c r="AH32" s="566">
        <f>IF('Final Calculation Sheet'!$AA$25="","",'Final Calculation Sheet'!$AA$25)</f>
        <v/>
      </c>
      <c r="AI32" s="545">
        <f>IF('Final Calculation Sheet'!$AA$28="","",'Final Calculation Sheet'!$AA$28)</f>
        <v/>
      </c>
      <c r="AK32" s="568">
        <f>IF('Final Calculation Sheet'!$AA$30="","",'Final Calculation Sheet'!$AA$30)</f>
        <v/>
      </c>
      <c r="AL32" s="545">
        <f>IF('Final Calculation Sheet'!$AA$32="","",'Final Calculation Sheet'!$AA$32)</f>
        <v/>
      </c>
      <c r="AM32" s="568">
        <f>IF('Final Calculation Sheet'!$AA$33="","",'Final Calculation Sheet'!$AA$33)</f>
        <v/>
      </c>
      <c r="AO32" s="545">
        <f>IF('Final Calculation Sheet'!$AA$31="","",'Final Calculation Sheet'!$AA$31)</f>
        <v/>
      </c>
      <c r="AQ32" s="570">
        <f>IF('Final Calculation Sheet'!$AA$34="","",'Final Calculation Sheet'!$AA$34)</f>
        <v/>
      </c>
      <c r="AS32" s="545">
        <f>IF('Final Calculation Sheet'!$AA$4="","",'Final Calculation Sheet'!$AA$4)</f>
        <v/>
      </c>
      <c r="AU32" s="569">
        <f>IF('Final Calculation Sheet'!$AA$38="","",'Final Calculation Sheet'!$AA$38)</f>
        <v/>
      </c>
      <c r="AW32" s="545">
        <f>IF('Final Calculation Sheet'!$AA$37="","",'Final Calculation Sheet'!$AA$37)</f>
        <v/>
      </c>
      <c r="AY32" s="571">
        <f>IF('Final Calculation Sheet'!$AA$8="","",'Final Calculation Sheet'!$AA$8)</f>
        <v/>
      </c>
      <c r="BA32" s="545">
        <f>IF('Final Calculation Sheet'!$AA$39="","",'Final Calculation Sheet'!$AA$39)</f>
        <v/>
      </c>
      <c r="BB32" s="570">
        <f>IF('Final Calculation Sheet'!$AA$40="","",'Final Calculation Sheet'!$AA$40)</f>
        <v/>
      </c>
      <c r="BD32" s="545">
        <f>IF('Final Calculation Sheet'!$AA$36="","",'Final Calculation Sheet'!$AA$36)</f>
        <v/>
      </c>
      <c r="BF32" s="566">
        <f>IF('Final Calculation Sheet'!$AA$35="","",'Final Calculation Sheet'!$AA$35)</f>
        <v/>
      </c>
      <c r="BG32" s="546">
        <f>IF('Final Calculation Sheet'!$AA$41="","",'Final Calculation Sheet'!$AA$41)</f>
        <v/>
      </c>
    </row>
    <row r="33" ht="15" customHeight="1">
      <c r="A33" s="543" t="inlineStr">
        <is>
          <t>Date of Recepit of LPP</t>
        </is>
      </c>
      <c r="B33" s="566">
        <f>IF('Final Calculation Sheet'!$AB$6="","",'Final Calculation Sheet'!$AB$6)</f>
        <v/>
      </c>
      <c r="C33" s="545">
        <f>IF('Final Calculation Sheet'!$AB$7="","",'Final Calculation Sheet'!$AB$7)</f>
        <v/>
      </c>
      <c r="E33" s="567">
        <f>IF('Final Calculation Sheet'!$AB$15="","",'Final Calculation Sheet'!$AB$15)</f>
        <v/>
      </c>
      <c r="G33" s="545">
        <f>IF('Final Calculation Sheet'!$AB$5="","",'Final Calculation Sheet'!$AB$5)</f>
        <v/>
      </c>
      <c r="H33" s="568">
        <f>IF('Final Calculation Sheet'!$AB$10="","",'Final Calculation Sheet'!$AB$10)</f>
        <v/>
      </c>
      <c r="I33" s="545">
        <f>IF('Final Calculation Sheet'!$AB$11="","",'Final Calculation Sheet'!$AB$11)</f>
        <v/>
      </c>
      <c r="J33" s="568">
        <f>IF('Final Calculation Sheet'!$AB$12="","",'Final Calculation Sheet'!$AB$12)</f>
        <v/>
      </c>
      <c r="L33" s="545">
        <f>IF('Final Calculation Sheet'!$AB$9="","",'Final Calculation Sheet'!$AB$9)</f>
        <v/>
      </c>
      <c r="M33" s="569">
        <f>IF('Final Calculation Sheet'!$AB$14="","",'Final Calculation Sheet'!$AB$14)</f>
        <v/>
      </c>
      <c r="O33" s="545">
        <f>IF('Final Calculation Sheet'!$AB$13="","",'Final Calculation Sheet'!$AB$13)</f>
        <v/>
      </c>
      <c r="P33" s="570">
        <f>IF('Final Calculation Sheet'!$AB$16="","",'Final Calculation Sheet'!$AB$16)</f>
        <v/>
      </c>
      <c r="R33" s="545">
        <f>IF('Final Calculation Sheet'!$AB$27="","",'Final Calculation Sheet'!$AB$27)</f>
        <v/>
      </c>
      <c r="T33" s="568">
        <f>IF('Final Calculation Sheet'!$AB$18="","",'Final Calculation Sheet'!$AB$18)</f>
        <v/>
      </c>
      <c r="U33" s="545">
        <f>IF('Final Calculation Sheet'!$AB$19="","",'Final Calculation Sheet'!$AB$19)</f>
        <v/>
      </c>
      <c r="V33" s="568">
        <f>IF('Final Calculation Sheet'!$AB$22="","",'Final Calculation Sheet'!$AB$22)</f>
        <v/>
      </c>
      <c r="W33" s="545">
        <f>IF('Final Calculation Sheet'!$AB$24="","",'Final Calculation Sheet'!$AB$24)</f>
        <v/>
      </c>
      <c r="X33" s="568">
        <f>IF('Final Calculation Sheet'!$AB$26="","",'Final Calculation Sheet'!$AB$26)</f>
        <v/>
      </c>
      <c r="Z33" s="545">
        <f>IF('Final Calculation Sheet'!$AB$21="","",'Final Calculation Sheet'!$AB$21)</f>
        <v/>
      </c>
      <c r="AB33" s="571">
        <f>IF('Final Calculation Sheet'!$AB$20="","",'Final Calculation Sheet'!$AB$20)</f>
        <v/>
      </c>
      <c r="AD33" s="545">
        <f>IF('Final Calculation Sheet'!$AB$17="","",'Final Calculation Sheet'!$AB$17)</f>
        <v/>
      </c>
      <c r="AE33" s="570">
        <f>IF('Final Calculation Sheet'!$AB$23="","",'Final Calculation Sheet'!$AB$23)</f>
        <v/>
      </c>
      <c r="AF33" s="545">
        <f>IF('Final Calculation Sheet'!$AB$29="","",'Final Calculation Sheet'!$AB$29)</f>
        <v/>
      </c>
      <c r="AH33" s="566">
        <f>IF('Final Calculation Sheet'!$AB$25="","",'Final Calculation Sheet'!$AB$25)</f>
        <v/>
      </c>
      <c r="AI33" s="545">
        <f>IF('Final Calculation Sheet'!$AB$28="","",'Final Calculation Sheet'!$AB$28)</f>
        <v/>
      </c>
      <c r="AK33" s="568">
        <f>IF('Final Calculation Sheet'!$AB$30="","",'Final Calculation Sheet'!$AB$30)</f>
        <v/>
      </c>
      <c r="AL33" s="545">
        <f>IF('Final Calculation Sheet'!$AB$32="","",'Final Calculation Sheet'!$AB$32)</f>
        <v/>
      </c>
      <c r="AM33" s="568">
        <f>IF('Final Calculation Sheet'!$AB$33="","",'Final Calculation Sheet'!$AB$33)</f>
        <v/>
      </c>
      <c r="AO33" s="545">
        <f>IF('Final Calculation Sheet'!$AB$31="","",'Final Calculation Sheet'!$AB$31)</f>
        <v/>
      </c>
      <c r="AQ33" s="570">
        <f>IF('Final Calculation Sheet'!$AB$34="","",'Final Calculation Sheet'!$AB$34)</f>
        <v/>
      </c>
      <c r="AS33" s="545">
        <f>IF('Final Calculation Sheet'!$AB$4="","",'Final Calculation Sheet'!$AB$4)</f>
        <v/>
      </c>
      <c r="AU33" s="569">
        <f>IF('Final Calculation Sheet'!$AB$38="","",'Final Calculation Sheet'!$AB$38)</f>
        <v/>
      </c>
      <c r="AW33" s="545">
        <f>IF('Final Calculation Sheet'!$AB$37="","",'Final Calculation Sheet'!$AB$37)</f>
        <v/>
      </c>
      <c r="AY33" s="571">
        <f>IF('Final Calculation Sheet'!$AB$8="","",'Final Calculation Sheet'!$AB$8)</f>
        <v/>
      </c>
      <c r="BA33" s="545">
        <f>IF('Final Calculation Sheet'!$AB$39="","",'Final Calculation Sheet'!$AB$39)</f>
        <v/>
      </c>
      <c r="BB33" s="570">
        <f>IF('Final Calculation Sheet'!$AB$40="","",'Final Calculation Sheet'!$AB$40)</f>
        <v/>
      </c>
      <c r="BD33" s="545">
        <f>IF('Final Calculation Sheet'!$AB$36="","",'Final Calculation Sheet'!$AB$36)</f>
        <v/>
      </c>
      <c r="BF33" s="566">
        <f>IF('Final Calculation Sheet'!$AB$35="","",'Final Calculation Sheet'!$AB$35)</f>
        <v/>
      </c>
      <c r="BG33" s="546">
        <f>IF('Final Calculation Sheet'!$AB$41="","",'Final Calculation Sheet'!$AB$41)</f>
        <v/>
      </c>
    </row>
    <row r="34" ht="15" customHeight="1">
      <c r="A34" s="540" t="inlineStr">
        <is>
          <t>Total Received</t>
        </is>
      </c>
      <c r="B34" s="566">
        <f>IF('Final Calculation Sheet'!$AC$6="","",'Final Calculation Sheet'!$AC$6)</f>
        <v/>
      </c>
      <c r="C34" s="545">
        <f>IF('Final Calculation Sheet'!$AC$7="","",'Final Calculation Sheet'!$AC$7)</f>
        <v/>
      </c>
      <c r="E34" s="567">
        <f>IF('Final Calculation Sheet'!$AC$15="","",'Final Calculation Sheet'!$AC$15)</f>
        <v/>
      </c>
      <c r="G34" s="545">
        <f>IF('Final Calculation Sheet'!$AC$5="","",'Final Calculation Sheet'!$AC$5)</f>
        <v/>
      </c>
      <c r="H34" s="568">
        <f>IF('Final Calculation Sheet'!$AC$10="","",'Final Calculation Sheet'!$AC$10)</f>
        <v/>
      </c>
      <c r="I34" s="545">
        <f>IF('Final Calculation Sheet'!$AC$11="","",'Final Calculation Sheet'!$AC$11)</f>
        <v/>
      </c>
      <c r="J34" s="568">
        <f>IF('Final Calculation Sheet'!$AC$12="","",'Final Calculation Sheet'!$AC$12)</f>
        <v/>
      </c>
      <c r="L34" s="545">
        <f>IF('Final Calculation Sheet'!$AC$9="","",'Final Calculation Sheet'!$AC$9)</f>
        <v/>
      </c>
      <c r="M34" s="569">
        <f>IF('Final Calculation Sheet'!$AC$14="","",'Final Calculation Sheet'!$AC$14)</f>
        <v/>
      </c>
      <c r="O34" s="545">
        <f>IF('Final Calculation Sheet'!$AC$13="","",'Final Calculation Sheet'!$AC$13)</f>
        <v/>
      </c>
      <c r="P34" s="570">
        <f>IF('Final Calculation Sheet'!$AC$16="","",'Final Calculation Sheet'!$AC$16)</f>
        <v/>
      </c>
      <c r="R34" s="545">
        <f>IF('Final Calculation Sheet'!$AC$27="","",'Final Calculation Sheet'!$AC$27)</f>
        <v/>
      </c>
      <c r="T34" s="568">
        <f>IF('Final Calculation Sheet'!$AC$18="","",'Final Calculation Sheet'!$AC$18)</f>
        <v/>
      </c>
      <c r="U34" s="545">
        <f>IF('Final Calculation Sheet'!$AC$19="","",'Final Calculation Sheet'!$AC$19)</f>
        <v/>
      </c>
      <c r="V34" s="568">
        <f>IF('Final Calculation Sheet'!$AC$22="","",'Final Calculation Sheet'!$AC$22)</f>
        <v/>
      </c>
      <c r="W34" s="545">
        <f>IF('Final Calculation Sheet'!$AC$24="","",'Final Calculation Sheet'!$AC$24)</f>
        <v/>
      </c>
      <c r="X34" s="568">
        <f>IF('Final Calculation Sheet'!$AC$26="","",'Final Calculation Sheet'!$AC$26)</f>
        <v/>
      </c>
      <c r="Z34" s="545">
        <f>IF('Final Calculation Sheet'!$AC$21="","",'Final Calculation Sheet'!$AC$21)</f>
        <v/>
      </c>
      <c r="AB34" s="571">
        <f>IF('Final Calculation Sheet'!$AC$20="","",'Final Calculation Sheet'!$AC$20)</f>
        <v/>
      </c>
      <c r="AD34" s="545">
        <f>IF('Final Calculation Sheet'!$AC$17="","",'Final Calculation Sheet'!$AC$17)</f>
        <v/>
      </c>
      <c r="AE34" s="570">
        <f>IF('Final Calculation Sheet'!$AC$23="","",'Final Calculation Sheet'!$AC$23)</f>
        <v/>
      </c>
      <c r="AF34" s="545">
        <f>IF('Final Calculation Sheet'!$AC$29="","",'Final Calculation Sheet'!$AC$29)</f>
        <v/>
      </c>
      <c r="AH34" s="566">
        <f>IF('Final Calculation Sheet'!$AC$25="","",'Final Calculation Sheet'!$AC$25)</f>
        <v/>
      </c>
      <c r="AI34" s="545">
        <f>IF('Final Calculation Sheet'!$AC$28="","",'Final Calculation Sheet'!$AC$28)</f>
        <v/>
      </c>
      <c r="AK34" s="568">
        <f>IF('Final Calculation Sheet'!$AC$30="","",'Final Calculation Sheet'!$AC$30)</f>
        <v/>
      </c>
      <c r="AL34" s="545">
        <f>IF('Final Calculation Sheet'!$AC$32="","",'Final Calculation Sheet'!$AC$32)</f>
        <v/>
      </c>
      <c r="AM34" s="568">
        <f>IF('Final Calculation Sheet'!$AC$33="","",'Final Calculation Sheet'!$AC$33)</f>
        <v/>
      </c>
      <c r="AO34" s="545">
        <f>IF('Final Calculation Sheet'!$AC$31="","",'Final Calculation Sheet'!$AC$31)</f>
        <v/>
      </c>
      <c r="AQ34" s="570">
        <f>IF('Final Calculation Sheet'!$AC$34="","",'Final Calculation Sheet'!$AC$34)</f>
        <v/>
      </c>
      <c r="AS34" s="545">
        <f>IF('Final Calculation Sheet'!$AC$4="","",'Final Calculation Sheet'!$AC$4)</f>
        <v/>
      </c>
      <c r="AU34" s="569">
        <f>IF('Final Calculation Sheet'!$AC$38="","",'Final Calculation Sheet'!$AC$38)</f>
        <v/>
      </c>
      <c r="AW34" s="545">
        <f>IF('Final Calculation Sheet'!$AC$37="","",'Final Calculation Sheet'!$AC$37)</f>
        <v/>
      </c>
      <c r="AY34" s="571">
        <f>IF('Final Calculation Sheet'!$AC$8="","",'Final Calculation Sheet'!$AC$8)</f>
        <v/>
      </c>
      <c r="BA34" s="545">
        <f>IF('Final Calculation Sheet'!$AC$39="","",'Final Calculation Sheet'!$AC$39)</f>
        <v/>
      </c>
      <c r="BB34" s="570">
        <f>IF('Final Calculation Sheet'!$AC$40="","",'Final Calculation Sheet'!$AC$40)</f>
        <v/>
      </c>
      <c r="BD34" s="545">
        <f>IF('Final Calculation Sheet'!$AC$36="","",'Final Calculation Sheet'!$AC$36)</f>
        <v/>
      </c>
      <c r="BF34" s="566">
        <f>IF('Final Calculation Sheet'!$AC$35="","",'Final Calculation Sheet'!$AC$35)</f>
        <v/>
      </c>
      <c r="BG34" s="546">
        <f>IF('Final Calculation Sheet'!$AC$41="","",'Final Calculation Sheet'!$AC$41)</f>
        <v/>
      </c>
    </row>
    <row r="35" ht="15" customHeight="1">
      <c r="A35" s="543" t="inlineStr">
        <is>
          <t>Outstanding</t>
        </is>
      </c>
      <c r="B35" s="566">
        <f>IF('Final Calculation Sheet'!$AD$6="","",'Final Calculation Sheet'!$AD$6)</f>
        <v/>
      </c>
      <c r="C35" s="545">
        <f>IF('Final Calculation Sheet'!$AD$7="","",'Final Calculation Sheet'!$AD$7)</f>
        <v/>
      </c>
      <c r="E35" s="567">
        <f>IF('Final Calculation Sheet'!$AD$15="","",'Final Calculation Sheet'!$AD$15)</f>
        <v/>
      </c>
      <c r="G35" s="545">
        <f>IF('Final Calculation Sheet'!$AD$5="","",'Final Calculation Sheet'!$AD$5)</f>
        <v/>
      </c>
      <c r="H35" s="568">
        <f>IF('Final Calculation Sheet'!$AD$10="","",'Final Calculation Sheet'!$AD$10)</f>
        <v/>
      </c>
      <c r="I35" s="545">
        <f>IF('Final Calculation Sheet'!$AD$11="","",'Final Calculation Sheet'!$AD$11)</f>
        <v/>
      </c>
      <c r="J35" s="568">
        <f>IF('Final Calculation Sheet'!$AD$12="","",'Final Calculation Sheet'!$AD$12)</f>
        <v/>
      </c>
      <c r="L35" s="545">
        <f>IF('Final Calculation Sheet'!$AD$9="","",'Final Calculation Sheet'!$AD$9)</f>
        <v/>
      </c>
      <c r="M35" s="569">
        <f>IF('Final Calculation Sheet'!$AD$14="","",'Final Calculation Sheet'!$AD$14)</f>
        <v/>
      </c>
      <c r="O35" s="545">
        <f>IF('Final Calculation Sheet'!$AD$13="","",'Final Calculation Sheet'!$AD$13)</f>
        <v/>
      </c>
      <c r="P35" s="570">
        <f>IF('Final Calculation Sheet'!$AD$16="","",'Final Calculation Sheet'!$AD$16)</f>
        <v/>
      </c>
      <c r="R35" s="545">
        <f>IF('Final Calculation Sheet'!$AD$27="","",'Final Calculation Sheet'!$AD$27)</f>
        <v/>
      </c>
      <c r="T35" s="568">
        <f>IF('Final Calculation Sheet'!$AD$18="","",'Final Calculation Sheet'!$AD$18)</f>
        <v/>
      </c>
      <c r="U35" s="545">
        <f>IF('Final Calculation Sheet'!$AD$19="","",'Final Calculation Sheet'!$AD$19)</f>
        <v/>
      </c>
      <c r="V35" s="568">
        <f>IF('Final Calculation Sheet'!$AD$22="","",'Final Calculation Sheet'!$AD$22)</f>
        <v/>
      </c>
      <c r="W35" s="545">
        <f>IF('Final Calculation Sheet'!$AD$24="","",'Final Calculation Sheet'!$AD$24)</f>
        <v/>
      </c>
      <c r="X35" s="568">
        <f>IF('Final Calculation Sheet'!$AD$26="","",'Final Calculation Sheet'!$AD$26)</f>
        <v/>
      </c>
      <c r="Z35" s="545">
        <f>IF('Final Calculation Sheet'!$AD$21="","",'Final Calculation Sheet'!$AD$21)</f>
        <v/>
      </c>
      <c r="AB35" s="571">
        <f>IF('Final Calculation Sheet'!$AD$20="","",'Final Calculation Sheet'!$AD$20)</f>
        <v/>
      </c>
      <c r="AD35" s="545">
        <f>IF('Final Calculation Sheet'!$AD$17="","",'Final Calculation Sheet'!$AD$17)</f>
        <v/>
      </c>
      <c r="AE35" s="570">
        <f>IF('Final Calculation Sheet'!$AD$23="","",'Final Calculation Sheet'!$AD$23)</f>
        <v/>
      </c>
      <c r="AF35" s="545">
        <f>IF('Final Calculation Sheet'!$AD$29="","",'Final Calculation Sheet'!$AD$29)</f>
        <v/>
      </c>
      <c r="AH35" s="566">
        <f>IF('Final Calculation Sheet'!$AD$25="","",'Final Calculation Sheet'!$AD$25)</f>
        <v/>
      </c>
      <c r="AI35" s="545">
        <f>IF('Final Calculation Sheet'!$AD$28="","",'Final Calculation Sheet'!$AD$28)</f>
        <v/>
      </c>
      <c r="AK35" s="568">
        <f>IF('Final Calculation Sheet'!$AD$30="","",'Final Calculation Sheet'!$AD$30)</f>
        <v/>
      </c>
      <c r="AL35" s="545">
        <f>IF('Final Calculation Sheet'!$AD$32="","",'Final Calculation Sheet'!$AD$32)</f>
        <v/>
      </c>
      <c r="AM35" s="568">
        <f>IF('Final Calculation Sheet'!$AD$33="","",'Final Calculation Sheet'!$AD$33)</f>
        <v/>
      </c>
      <c r="AO35" s="545">
        <f>IF('Final Calculation Sheet'!$AD$31="","",'Final Calculation Sheet'!$AD$31)</f>
        <v/>
      </c>
      <c r="AQ35" s="570">
        <f>IF('Final Calculation Sheet'!$AD$34="","",'Final Calculation Sheet'!$AD$34)</f>
        <v/>
      </c>
      <c r="AS35" s="545">
        <f>IF('Final Calculation Sheet'!$AD$4="","",'Final Calculation Sheet'!$AD$4)</f>
        <v/>
      </c>
      <c r="AU35" s="569">
        <f>IF('Final Calculation Sheet'!$AD$38="","",'Final Calculation Sheet'!$AD$38)</f>
        <v/>
      </c>
      <c r="AW35" s="545">
        <f>IF('Final Calculation Sheet'!$AD$37="","",'Final Calculation Sheet'!$AD$37)</f>
        <v/>
      </c>
      <c r="AY35" s="571">
        <f>IF('Final Calculation Sheet'!$AD$8="","",'Final Calculation Sheet'!$AD$8)</f>
        <v/>
      </c>
      <c r="BA35" s="545">
        <f>IF('Final Calculation Sheet'!$AD$39="","",'Final Calculation Sheet'!$AD$39)</f>
        <v/>
      </c>
      <c r="BB35" s="570">
        <f>IF('Final Calculation Sheet'!$AD$40="","",'Final Calculation Sheet'!$AD$40)</f>
        <v/>
      </c>
      <c r="BD35" s="545">
        <f>IF('Final Calculation Sheet'!$AD$36="","",'Final Calculation Sheet'!$AD$36)</f>
        <v/>
      </c>
      <c r="BF35" s="566">
        <f>IF('Final Calculation Sheet'!$AD$35="","",'Final Calculation Sheet'!$AD$35)</f>
        <v/>
      </c>
      <c r="BG35" s="546">
        <f>IF('Final Calculation Sheet'!$AD$41="","",'Final Calculation Sheet'!$AD$41)</f>
        <v/>
      </c>
    </row>
    <row r="36" ht="15" customHeight="1">
      <c r="A36" s="540" t="inlineStr">
        <is>
          <t>Invoice No.</t>
        </is>
      </c>
      <c r="B36" s="566">
        <f>IF('Final Calculation Sheet'!$AE$6="","",'Final Calculation Sheet'!$AE$6)</f>
        <v/>
      </c>
      <c r="C36" s="545">
        <f>IF('Final Calculation Sheet'!$AE$7="","",'Final Calculation Sheet'!$AE$7)</f>
        <v/>
      </c>
      <c r="E36" s="567">
        <f>IF('Final Calculation Sheet'!$AE$15="","",'Final Calculation Sheet'!$AE$15)</f>
        <v/>
      </c>
      <c r="G36" s="545">
        <f>IF('Final Calculation Sheet'!$AE$5="","",'Final Calculation Sheet'!$AE$5)</f>
        <v/>
      </c>
      <c r="H36" s="568">
        <f>IF('Final Calculation Sheet'!$AE$10="","",'Final Calculation Sheet'!$AE$10)</f>
        <v/>
      </c>
      <c r="I36" s="545">
        <f>IF('Final Calculation Sheet'!$AE$11="","",'Final Calculation Sheet'!$AE$11)</f>
        <v/>
      </c>
      <c r="J36" s="568">
        <f>IF('Final Calculation Sheet'!$AE$12="","",'Final Calculation Sheet'!$AE$12)</f>
        <v/>
      </c>
      <c r="L36" s="545">
        <f>IF('Final Calculation Sheet'!$AE$9="","",'Final Calculation Sheet'!$AE$9)</f>
        <v/>
      </c>
      <c r="M36" s="569">
        <f>IF('Final Calculation Sheet'!$AE$14="","",'Final Calculation Sheet'!$AE$14)</f>
        <v/>
      </c>
      <c r="O36" s="545">
        <f>IF('Final Calculation Sheet'!$AE$13="","",'Final Calculation Sheet'!$AE$13)</f>
        <v/>
      </c>
      <c r="P36" s="570">
        <f>IF('Final Calculation Sheet'!$AE$16="","",'Final Calculation Sheet'!$AE$16)</f>
        <v/>
      </c>
      <c r="R36" s="545">
        <f>IF('Final Calculation Sheet'!$AE$27="","",'Final Calculation Sheet'!$AE$27)</f>
        <v/>
      </c>
      <c r="T36" s="568">
        <f>IF('Final Calculation Sheet'!$AE$18="","",'Final Calculation Sheet'!$AE$18)</f>
        <v/>
      </c>
      <c r="U36" s="545">
        <f>IF('Final Calculation Sheet'!$AE$19="","",'Final Calculation Sheet'!$AE$19)</f>
        <v/>
      </c>
      <c r="V36" s="568">
        <f>IF('Final Calculation Sheet'!$AE$22="","",'Final Calculation Sheet'!$AE$22)</f>
        <v/>
      </c>
      <c r="W36" s="545">
        <f>IF('Final Calculation Sheet'!$AE$24="","",'Final Calculation Sheet'!$AE$24)</f>
        <v/>
      </c>
      <c r="X36" s="568">
        <f>IF('Final Calculation Sheet'!$AE$26="","",'Final Calculation Sheet'!$AE$26)</f>
        <v/>
      </c>
      <c r="Z36" s="545">
        <f>IF('Final Calculation Sheet'!$AE$21="","",'Final Calculation Sheet'!$AE$21)</f>
        <v/>
      </c>
      <c r="AB36" s="571">
        <f>IF('Final Calculation Sheet'!$AE$20="","",'Final Calculation Sheet'!$AE$20)</f>
        <v/>
      </c>
      <c r="AD36" s="545">
        <f>IF('Final Calculation Sheet'!$AE$17="","",'Final Calculation Sheet'!$AE$17)</f>
        <v/>
      </c>
      <c r="AE36" s="570">
        <f>IF('Final Calculation Sheet'!$AE$23="","",'Final Calculation Sheet'!$AE$23)</f>
        <v/>
      </c>
      <c r="AF36" s="545">
        <f>IF('Final Calculation Sheet'!$AE$29="","",'Final Calculation Sheet'!$AE$29)</f>
        <v/>
      </c>
      <c r="AH36" s="566">
        <f>IF('Final Calculation Sheet'!$AE$25="","",'Final Calculation Sheet'!$AE$25)</f>
        <v/>
      </c>
      <c r="AI36" s="545">
        <f>IF('Final Calculation Sheet'!$AE$28="","",'Final Calculation Sheet'!$AE$28)</f>
        <v/>
      </c>
      <c r="AK36" s="568">
        <f>IF('Final Calculation Sheet'!$AE$30="","",'Final Calculation Sheet'!$AE$30)</f>
        <v/>
      </c>
      <c r="AL36" s="545">
        <f>IF('Final Calculation Sheet'!$AE$32="","",'Final Calculation Sheet'!$AE$32)</f>
        <v/>
      </c>
      <c r="AM36" s="568">
        <f>IF('Final Calculation Sheet'!$AE$33="","",'Final Calculation Sheet'!$AE$33)</f>
        <v/>
      </c>
      <c r="AO36" s="545">
        <f>IF('Final Calculation Sheet'!$AE$31="","",'Final Calculation Sheet'!$AE$31)</f>
        <v/>
      </c>
      <c r="AQ36" s="570">
        <f>IF('Final Calculation Sheet'!$AE$34="","",'Final Calculation Sheet'!$AE$34)</f>
        <v/>
      </c>
      <c r="AS36" s="545">
        <f>IF('Final Calculation Sheet'!$AE$4="","",'Final Calculation Sheet'!$AE$4)</f>
        <v/>
      </c>
      <c r="AU36" s="569">
        <f>IF('Final Calculation Sheet'!$AE$38="","",'Final Calculation Sheet'!$AE$38)</f>
        <v/>
      </c>
      <c r="AW36" s="545">
        <f>IF('Final Calculation Sheet'!$AE$37="","",'Final Calculation Sheet'!$AE$37)</f>
        <v/>
      </c>
      <c r="AY36" s="571">
        <f>IF('Final Calculation Sheet'!$AE$8="","",'Final Calculation Sheet'!$AE$8)</f>
        <v/>
      </c>
      <c r="BA36" s="545">
        <f>IF('Final Calculation Sheet'!$AE$39="","",'Final Calculation Sheet'!$AE$39)</f>
        <v/>
      </c>
      <c r="BB36" s="570">
        <f>IF('Final Calculation Sheet'!$AE$40="","",'Final Calculation Sheet'!$AE$40)</f>
        <v/>
      </c>
      <c r="BD36" s="545">
        <f>IF('Final Calculation Sheet'!$AE$36="","",'Final Calculation Sheet'!$AE$36)</f>
        <v/>
      </c>
      <c r="BF36" s="566">
        <f>IF('Final Calculation Sheet'!$AE$35="","",'Final Calculation Sheet'!$AE$35)</f>
        <v/>
      </c>
      <c r="BG36" s="546">
        <f>IF('Final Calculation Sheet'!$AE$41="","",'Final Calculation Sheet'!$AE$41)</f>
        <v/>
      </c>
    </row>
    <row r="37" ht="15" customHeight="1">
      <c r="A37" s="543" t="inlineStr">
        <is>
          <t>SAP Document</t>
        </is>
      </c>
      <c r="B37" s="590">
        <f>IF('Final Calculation Sheet'!$AF$6="","",'Final Calculation Sheet'!$AF$6)</f>
        <v/>
      </c>
      <c r="C37" s="556">
        <f>IF('Final Calculation Sheet'!$AF$7="","",'Final Calculation Sheet'!$AF$7)</f>
        <v/>
      </c>
      <c r="E37" s="591">
        <f>IF('Final Calculation Sheet'!$AF$15="","",'Final Calculation Sheet'!$AF$15)</f>
        <v/>
      </c>
      <c r="G37" s="556">
        <f>IF('Final Calculation Sheet'!$AF$5="","",'Final Calculation Sheet'!$AF$5)</f>
        <v/>
      </c>
      <c r="H37" s="592">
        <f>IF('Final Calculation Sheet'!$AF$10="","",'Final Calculation Sheet'!$AF$10)</f>
        <v/>
      </c>
      <c r="I37" s="556">
        <f>IF('Final Calculation Sheet'!$AF$11="","",'Final Calculation Sheet'!$AF$11)</f>
        <v/>
      </c>
      <c r="J37" s="592">
        <f>IF('Final Calculation Sheet'!$AF$12="","",'Final Calculation Sheet'!$AF$12)</f>
        <v/>
      </c>
      <c r="L37" s="556">
        <f>IF('Final Calculation Sheet'!$AF$9="","",'Final Calculation Sheet'!$AF$9)</f>
        <v/>
      </c>
      <c r="M37" s="593">
        <f>IF('Final Calculation Sheet'!$AF$14="","",'Final Calculation Sheet'!$AF$14)</f>
        <v/>
      </c>
      <c r="O37" s="556">
        <f>IF('Final Calculation Sheet'!$AF$13="","",'Final Calculation Sheet'!$AF$13)</f>
        <v/>
      </c>
      <c r="P37" s="594">
        <f>IF('Final Calculation Sheet'!$AF$16="","",'Final Calculation Sheet'!$AF$16)</f>
        <v/>
      </c>
      <c r="R37" s="556">
        <f>IF('Final Calculation Sheet'!$AF$27="","",'Final Calculation Sheet'!$AF$27)</f>
        <v/>
      </c>
      <c r="T37" s="592">
        <f>IF('Final Calculation Sheet'!$AF$18="","",'Final Calculation Sheet'!$AF$18)</f>
        <v/>
      </c>
      <c r="U37" s="556">
        <f>IF('Final Calculation Sheet'!$AF$19="","",'Final Calculation Sheet'!$AF$19)</f>
        <v/>
      </c>
      <c r="V37" s="592">
        <f>IF('Final Calculation Sheet'!$AF$22="","",'Final Calculation Sheet'!$AF$22)</f>
        <v/>
      </c>
      <c r="W37" s="556">
        <f>IF('Final Calculation Sheet'!$AF$24="","",'Final Calculation Sheet'!$AF$24)</f>
        <v/>
      </c>
      <c r="X37" s="592">
        <f>IF('Final Calculation Sheet'!$AF$26="","",'Final Calculation Sheet'!$AF$26)</f>
        <v/>
      </c>
      <c r="Z37" s="556">
        <f>IF('Final Calculation Sheet'!$AF$21="","",'Final Calculation Sheet'!$AF$21)</f>
        <v/>
      </c>
      <c r="AB37" s="595">
        <f>IF('Final Calculation Sheet'!$AF$20="","",'Final Calculation Sheet'!$AF$20)</f>
        <v/>
      </c>
      <c r="AD37" s="556">
        <f>IF('Final Calculation Sheet'!$AF$17="","",'Final Calculation Sheet'!$AF$17)</f>
        <v/>
      </c>
      <c r="AE37" s="594">
        <f>IF('Final Calculation Sheet'!$AF$23="","",'Final Calculation Sheet'!$AF$23)</f>
        <v/>
      </c>
      <c r="AF37" s="556">
        <f>IF('Final Calculation Sheet'!$AF$29="","",'Final Calculation Sheet'!$AF$29)</f>
        <v/>
      </c>
      <c r="AH37" s="590">
        <f>IF('Final Calculation Sheet'!$AF$25="","",'Final Calculation Sheet'!$AF$25)</f>
        <v/>
      </c>
      <c r="AI37" s="556">
        <f>IF('Final Calculation Sheet'!$AF$28="","",'Final Calculation Sheet'!$AF$28)</f>
        <v/>
      </c>
      <c r="AK37" s="592">
        <f>IF('Final Calculation Sheet'!$AF$30="","",'Final Calculation Sheet'!$AF$30)</f>
        <v/>
      </c>
      <c r="AL37" s="556">
        <f>IF('Final Calculation Sheet'!$AF$32="","",'Final Calculation Sheet'!$AF$32)</f>
        <v/>
      </c>
      <c r="AM37" s="592">
        <f>IF('Final Calculation Sheet'!$AF$33="","",'Final Calculation Sheet'!$AF$33)</f>
        <v/>
      </c>
      <c r="AO37" s="556">
        <f>IF('Final Calculation Sheet'!$AF$31="","",'Final Calculation Sheet'!$AF$31)</f>
        <v/>
      </c>
      <c r="AQ37" s="594">
        <f>IF('Final Calculation Sheet'!$AF$34="","",'Final Calculation Sheet'!$AF$34)</f>
        <v/>
      </c>
      <c r="AS37" s="556">
        <f>IF('Final Calculation Sheet'!$AF$4="","",'Final Calculation Sheet'!$AF$4)</f>
        <v/>
      </c>
      <c r="AU37" s="593">
        <f>IF('Final Calculation Sheet'!$AF$38="","",'Final Calculation Sheet'!$AF$38)</f>
        <v/>
      </c>
      <c r="AW37" s="556">
        <f>IF('Final Calculation Sheet'!$AF$37="","",'Final Calculation Sheet'!$AF$37)</f>
        <v/>
      </c>
      <c r="AY37" s="595">
        <f>IF('Final Calculation Sheet'!$AF$8="","",'Final Calculation Sheet'!$AF$8)</f>
        <v/>
      </c>
      <c r="BA37" s="556">
        <f>IF('Final Calculation Sheet'!$AF$39="","",'Final Calculation Sheet'!$AF$39)</f>
        <v/>
      </c>
      <c r="BB37" s="594">
        <f>IF('Final Calculation Sheet'!$AF$40="","",'Final Calculation Sheet'!$AF$40)</f>
        <v/>
      </c>
      <c r="BD37" s="556">
        <f>IF('Final Calculation Sheet'!$AF$36="","",'Final Calculation Sheet'!$AF$36)</f>
        <v/>
      </c>
      <c r="BF37" s="590">
        <f>IF('Final Calculation Sheet'!$AF$35="","",'Final Calculation Sheet'!$AF$35)</f>
        <v/>
      </c>
      <c r="BG37" s="499">
        <f>IF('Final Calculation Sheet'!$AF$41="","",'Final Calculation Sheet'!$AF$41)</f>
        <v/>
      </c>
    </row>
    <row r="38" ht="15" customHeight="1">
      <c r="A38" s="540" t="inlineStr">
        <is>
          <t>Doc./Invoice Date</t>
        </is>
      </c>
      <c r="B38" s="566">
        <f>IF('Final Calculation Sheet'!$AG$6="","",'Final Calculation Sheet'!$AG$6)</f>
        <v/>
      </c>
      <c r="C38" s="545">
        <f>IF('Final Calculation Sheet'!$AG$7="","",'Final Calculation Sheet'!$AG$7)</f>
        <v/>
      </c>
      <c r="E38" s="567">
        <f>IF('Final Calculation Sheet'!$AG$15="","",'Final Calculation Sheet'!$AG$15)</f>
        <v/>
      </c>
      <c r="G38" s="545">
        <f>IF('Final Calculation Sheet'!$AG$5="","",'Final Calculation Sheet'!$AG$5)</f>
        <v/>
      </c>
      <c r="H38" s="568">
        <f>IF('Final Calculation Sheet'!$AG$10="","",'Final Calculation Sheet'!$AG$10)</f>
        <v/>
      </c>
      <c r="I38" s="545">
        <f>IF('Final Calculation Sheet'!$AG$11="","",'Final Calculation Sheet'!$AG$11)</f>
        <v/>
      </c>
      <c r="J38" s="568">
        <f>IF('Final Calculation Sheet'!$AG$12="","",'Final Calculation Sheet'!$AG$12)</f>
        <v/>
      </c>
      <c r="L38" s="545">
        <f>IF('Final Calculation Sheet'!$AG$9="","",'Final Calculation Sheet'!$AG$9)</f>
        <v/>
      </c>
      <c r="M38" s="569">
        <f>IF('Final Calculation Sheet'!$AG$14="","",'Final Calculation Sheet'!$AG$14)</f>
        <v/>
      </c>
      <c r="O38" s="545">
        <f>IF('Final Calculation Sheet'!$AG$13="","",'Final Calculation Sheet'!$AG$13)</f>
        <v/>
      </c>
      <c r="P38" s="570">
        <f>IF('Final Calculation Sheet'!$AG$16="","",'Final Calculation Sheet'!$AG$16)</f>
        <v/>
      </c>
      <c r="R38" s="545">
        <f>IF('Final Calculation Sheet'!$AG$27="","",'Final Calculation Sheet'!$AG$27)</f>
        <v/>
      </c>
      <c r="T38" s="568">
        <f>IF('Final Calculation Sheet'!$AG$18="","",'Final Calculation Sheet'!$AG$18)</f>
        <v/>
      </c>
      <c r="U38" s="545">
        <f>IF('Final Calculation Sheet'!$AG$19="","",'Final Calculation Sheet'!$AG$19)</f>
        <v/>
      </c>
      <c r="V38" s="568">
        <f>IF('Final Calculation Sheet'!$AG$22="","",'Final Calculation Sheet'!$AG$22)</f>
        <v/>
      </c>
      <c r="W38" s="545">
        <f>IF('Final Calculation Sheet'!$AG$24="","",'Final Calculation Sheet'!$AG$24)</f>
        <v/>
      </c>
      <c r="X38" s="568">
        <f>IF('Final Calculation Sheet'!$AG$26="","",'Final Calculation Sheet'!$AG$26)</f>
        <v/>
      </c>
      <c r="Z38" s="545">
        <f>IF('Final Calculation Sheet'!$AG$21="","",'Final Calculation Sheet'!$AG$21)</f>
        <v/>
      </c>
      <c r="AB38" s="571">
        <f>IF('Final Calculation Sheet'!$AG$20="","",'Final Calculation Sheet'!$AG$20)</f>
        <v/>
      </c>
      <c r="AD38" s="545">
        <f>IF('Final Calculation Sheet'!$AG$17="","",'Final Calculation Sheet'!$AG$17)</f>
        <v/>
      </c>
      <c r="AE38" s="570">
        <f>IF('Final Calculation Sheet'!$AG$23="","",'Final Calculation Sheet'!$AG$23)</f>
        <v/>
      </c>
      <c r="AF38" s="545">
        <f>IF('Final Calculation Sheet'!$AG$29="","",'Final Calculation Sheet'!$AG$29)</f>
        <v/>
      </c>
      <c r="AH38" s="566">
        <f>IF('Final Calculation Sheet'!$AG$25="","",'Final Calculation Sheet'!$AG$25)</f>
        <v/>
      </c>
      <c r="AI38" s="545">
        <f>IF('Final Calculation Sheet'!$AG$28="","",'Final Calculation Sheet'!$AG$28)</f>
        <v/>
      </c>
      <c r="AK38" s="568">
        <f>IF('Final Calculation Sheet'!$AG$30="","",'Final Calculation Sheet'!$AG$30)</f>
        <v/>
      </c>
      <c r="AL38" s="545">
        <f>IF('Final Calculation Sheet'!$AG$32="","",'Final Calculation Sheet'!$AG$32)</f>
        <v/>
      </c>
      <c r="AM38" s="568">
        <f>IF('Final Calculation Sheet'!$AG$33="","",'Final Calculation Sheet'!$AG$33)</f>
        <v/>
      </c>
      <c r="AO38" s="545">
        <f>IF('Final Calculation Sheet'!$AG$31="","",'Final Calculation Sheet'!$AG$31)</f>
        <v/>
      </c>
      <c r="AQ38" s="570">
        <f>IF('Final Calculation Sheet'!$AG$34="","",'Final Calculation Sheet'!$AG$34)</f>
        <v/>
      </c>
      <c r="AS38" s="545">
        <f>IF('Final Calculation Sheet'!$AG$4="","",'Final Calculation Sheet'!$AG$4)</f>
        <v/>
      </c>
      <c r="AU38" s="569">
        <f>IF('Final Calculation Sheet'!$AG$38="","",'Final Calculation Sheet'!$AG$38)</f>
        <v/>
      </c>
      <c r="AW38" s="545">
        <f>IF('Final Calculation Sheet'!$AG$37="","",'Final Calculation Sheet'!$AG$37)</f>
        <v/>
      </c>
      <c r="AY38" s="571">
        <f>IF('Final Calculation Sheet'!$AG$8="","",'Final Calculation Sheet'!$AG$8)</f>
        <v/>
      </c>
      <c r="BA38" s="545">
        <f>IF('Final Calculation Sheet'!$AG$39="","",'Final Calculation Sheet'!$AG$39)</f>
        <v/>
      </c>
      <c r="BB38" s="570">
        <f>IF('Final Calculation Sheet'!$AG$40="","",'Final Calculation Sheet'!$AG$40)</f>
        <v/>
      </c>
      <c r="BD38" s="545">
        <f>IF('Final Calculation Sheet'!$AG$36="","",'Final Calculation Sheet'!$AG$36)</f>
        <v/>
      </c>
      <c r="BF38" s="566">
        <f>IF('Final Calculation Sheet'!$AG$35="","",'Final Calculation Sheet'!$AG$35)</f>
        <v/>
      </c>
      <c r="BG38" s="546">
        <f>IF('Final Calculation Sheet'!$AG$41="","",'Final Calculation Sheet'!$AG$41)</f>
        <v/>
      </c>
    </row>
  </sheetData>
  <mergeCells count="15">
    <mergeCell ref="T4:X4"/>
    <mergeCell ref="BA4:BB4"/>
    <mergeCell ref="AH4:AI4"/>
    <mergeCell ref="L4:M4"/>
    <mergeCell ref="B3:P3"/>
    <mergeCell ref="A2:BG2"/>
    <mergeCell ref="AS3:BF3"/>
    <mergeCell ref="G4:J4"/>
    <mergeCell ref="AD4:AF4"/>
    <mergeCell ref="AK4:AM4"/>
    <mergeCell ref="R3:AI3"/>
    <mergeCell ref="AK3:AQ3"/>
    <mergeCell ref="O4:P4"/>
    <mergeCell ref="B4:C4"/>
    <mergeCell ref="A1:BG1"/>
  </mergeCells>
  <conditionalFormatting sqref="B35:BF35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55E91"/>
    <outlinePr summaryBelow="0" summaryRight="1"/>
    <pageSetUpPr fitToPage="1"/>
  </sheetPr>
  <dimension ref="A1:B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2"/>
  <cols>
    <col width="34" customWidth="1" min="1" max="1"/>
    <col outlineLevel="2" width="14.5" customWidth="1" min="2" max="2"/>
    <col outlineLevel="2" width="14.5" customWidth="1" min="3" max="3"/>
    <col outlineLevel="1" width="2.6" customWidth="1" min="4" max="4"/>
    <col outlineLevel="2" width="14.5" customWidth="1" min="5" max="5"/>
    <col outlineLevel="1" width="2.6" customWidth="1" min="6" max="6"/>
    <col outlineLevel="2" width="14.5" customWidth="1" min="7" max="7"/>
    <col outlineLevel="2" width="14.5" customWidth="1" min="8" max="8"/>
    <col outlineLevel="2" width="14.5" customWidth="1" min="9" max="9"/>
    <col outlineLevel="2" width="14.5" customWidth="1" min="10" max="10"/>
    <col outlineLevel="1" width="2.6" customWidth="1" min="11" max="11"/>
    <col outlineLevel="2" width="14.5" customWidth="1" min="12" max="12"/>
    <col outlineLevel="2" width="14.5" customWidth="1" min="13" max="13"/>
    <col outlineLevel="1" width="2.6" customWidth="1" min="14" max="14"/>
    <col outlineLevel="2" width="14.5" customWidth="1" min="15" max="15"/>
    <col outlineLevel="2" width="14.5" customWidth="1" min="16" max="16"/>
    <col width="2.6" customWidth="1" min="17" max="17"/>
    <col outlineLevel="2" width="14.5" customWidth="1" min="18" max="18"/>
    <col outlineLevel="1" width="2.6" customWidth="1" min="19" max="19"/>
    <col outlineLevel="2" width="14.5" customWidth="1" min="20" max="20"/>
    <col outlineLevel="2" width="14.5" customWidth="1" min="21" max="21"/>
    <col outlineLevel="2" width="14.5" customWidth="1" min="22" max="22"/>
    <col outlineLevel="2" width="14.5" customWidth="1" min="23" max="23"/>
    <col outlineLevel="2" width="14.5" customWidth="1" min="24" max="24"/>
    <col outlineLevel="1" width="2.6" customWidth="1" min="25" max="25"/>
    <col outlineLevel="2" width="14.5" customWidth="1" min="26" max="26"/>
    <col outlineLevel="1" width="2.6" customWidth="1" min="27" max="27"/>
    <col outlineLevel="2" width="14.5" customWidth="1" min="28" max="28"/>
    <col outlineLevel="1" width="2.6" customWidth="1" min="29" max="29"/>
    <col outlineLevel="2" width="14.5" customWidth="1" min="30" max="30"/>
    <col outlineLevel="2" width="14.5" customWidth="1" min="31" max="31"/>
    <col outlineLevel="2" width="14.5" customWidth="1" min="32" max="32"/>
    <col outlineLevel="1" width="2.6" customWidth="1" min="33" max="33"/>
    <col outlineLevel="2" width="14.5" customWidth="1" min="34" max="34"/>
    <col outlineLevel="2" width="14.5" customWidth="1" min="35" max="35"/>
    <col width="2.6" customWidth="1" min="36" max="36"/>
    <col outlineLevel="2" width="14.5" customWidth="1" min="37" max="37"/>
    <col outlineLevel="2" width="14.5" customWidth="1" min="38" max="38"/>
    <col outlineLevel="2" width="14.5" customWidth="1" min="39" max="39"/>
    <col outlineLevel="1" width="2.6" customWidth="1" min="40" max="40"/>
    <col outlineLevel="2" width="14.5" customWidth="1" min="41" max="41"/>
    <col outlineLevel="1" width="2.6" customWidth="1" min="42" max="42"/>
    <col outlineLevel="2" width="14.5" customWidth="1" min="43" max="43"/>
    <col width="2.6" customWidth="1" min="44" max="44"/>
    <col outlineLevel="2" width="14.5" customWidth="1" min="45" max="45"/>
    <col outlineLevel="1" width="2.6" customWidth="1" min="46" max="46"/>
    <col outlineLevel="2" width="14.5" customWidth="1" min="47" max="47"/>
    <col outlineLevel="1" width="2.6" customWidth="1" min="48" max="48"/>
    <col outlineLevel="2" width="14.5" customWidth="1" min="49" max="49"/>
    <col outlineLevel="1" width="2.6" customWidth="1" min="50" max="50"/>
    <col outlineLevel="2" width="14.5" customWidth="1" min="51" max="51"/>
    <col outlineLevel="1" width="2.6" customWidth="1" min="52" max="52"/>
    <col outlineLevel="2" width="14.5" customWidth="1" min="53" max="53"/>
    <col outlineLevel="2" width="14.5" customWidth="1" min="54" max="54"/>
    <col outlineLevel="1" width="2.6" customWidth="1" min="55" max="55"/>
    <col outlineLevel="2" width="14.5" customWidth="1" min="56" max="56"/>
    <col outlineLevel="1" width="2.6" customWidth="1" min="57" max="57"/>
    <col outlineLevel="2" width="14.5" customWidth="1" min="58" max="58"/>
    <col width="14.5" customWidth="1" min="59" max="5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both at once: the ▼ on the FIELD label cell (A5) filters which rows show, and the − above the thin / wide dividers fold a buyer's or a whole auction's lot columns away.</t>
        </is>
      </c>
    </row>
    <row r="3" ht="16" customHeight="1">
      <c r="A3" s="399" t="inlineStr">
        <is>
          <t>AUCTION  →</t>
        </is>
      </c>
      <c r="B3" s="233" t="inlineStr">
        <is>
          <t>AUCTION 21977</t>
        </is>
      </c>
      <c r="C3" s="384" t="n"/>
      <c r="D3" s="384" t="n"/>
      <c r="E3" s="384" t="n"/>
      <c r="F3" s="384" t="n"/>
      <c r="G3" s="384" t="n"/>
      <c r="H3" s="384" t="n"/>
      <c r="I3" s="384" t="n"/>
      <c r="J3" s="384" t="n"/>
      <c r="K3" s="384" t="n"/>
      <c r="L3" s="384" t="n"/>
      <c r="M3" s="384" t="n"/>
      <c r="N3" s="384" t="n"/>
      <c r="O3" s="384" t="n"/>
      <c r="P3" s="384" t="n"/>
      <c r="R3" s="234" t="inlineStr">
        <is>
          <t>AUCTION 21978</t>
        </is>
      </c>
      <c r="S3" s="385" t="n"/>
      <c r="T3" s="385" t="n"/>
      <c r="U3" s="385" t="n"/>
      <c r="V3" s="385" t="n"/>
      <c r="W3" s="385" t="n"/>
      <c r="X3" s="385" t="n"/>
      <c r="Y3" s="385" t="n"/>
      <c r="Z3" s="385" t="n"/>
      <c r="AA3" s="385" t="n"/>
      <c r="AB3" s="385" t="n"/>
      <c r="AC3" s="385" t="n"/>
      <c r="AD3" s="385" t="n"/>
      <c r="AE3" s="385" t="n"/>
      <c r="AF3" s="385" t="n"/>
      <c r="AG3" s="385" t="n"/>
      <c r="AH3" s="385" t="n"/>
      <c r="AI3" s="385" t="n"/>
      <c r="AK3" s="235" t="inlineStr">
        <is>
          <t>AUCTION 21979</t>
        </is>
      </c>
      <c r="AL3" s="386" t="n"/>
      <c r="AM3" s="386" t="n"/>
      <c r="AN3" s="386" t="n"/>
      <c r="AO3" s="386" t="n"/>
      <c r="AP3" s="386" t="n"/>
      <c r="AQ3" s="386" t="n"/>
      <c r="AS3" s="236" t="inlineStr">
        <is>
          <t>AUCTION 21980</t>
        </is>
      </c>
      <c r="AT3" s="387" t="n"/>
      <c r="AU3" s="387" t="n"/>
      <c r="AV3" s="387" t="n"/>
      <c r="AW3" s="387" t="n"/>
      <c r="AX3" s="387" t="n"/>
      <c r="AY3" s="387" t="n"/>
      <c r="AZ3" s="387" t="n"/>
      <c r="BA3" s="387" t="n"/>
      <c r="BB3" s="387" t="n"/>
      <c r="BC3" s="387" t="n"/>
      <c r="BD3" s="387" t="n"/>
      <c r="BE3" s="387" t="n"/>
      <c r="BF3" s="387" t="n"/>
    </row>
    <row r="4" ht="46" customHeight="1">
      <c r="A4" s="399" t="inlineStr">
        <is>
          <t>BUYER  →</t>
        </is>
      </c>
      <c r="B4" s="557" t="inlineStr">
        <is>
          <t>F R KHANS ENTERPRISES  (2)</t>
        </is>
      </c>
      <c r="C4" s="384" t="n"/>
      <c r="E4" s="558" t="inlineStr">
        <is>
          <t>HIND TRADERS</t>
        </is>
      </c>
      <c r="G4" s="559" t="inlineStr">
        <is>
          <t>NATIONAL ENTERPRISES  (4)</t>
        </is>
      </c>
      <c r="H4" s="386" t="n"/>
      <c r="I4" s="386" t="n"/>
      <c r="J4" s="386" t="n"/>
      <c r="L4" s="560" t="inlineStr">
        <is>
          <t>SHAR JAHAN TRADERS  (2)</t>
        </is>
      </c>
      <c r="M4" s="387" t="n"/>
      <c r="O4" s="561" t="inlineStr">
        <is>
          <t>STERLING ENTERPRISES  (2)</t>
        </is>
      </c>
      <c r="P4" s="389" t="n"/>
      <c r="R4" s="562" t="inlineStr">
        <is>
          <t>M I SCRAP TRADERS</t>
        </is>
      </c>
      <c r="T4" s="559" t="inlineStr">
        <is>
          <t>NATIONAL ENTERPRISES  (5)</t>
        </is>
      </c>
      <c r="U4" s="386" t="n"/>
      <c r="V4" s="386" t="n"/>
      <c r="W4" s="386" t="n"/>
      <c r="X4" s="386" t="n"/>
      <c r="Z4" s="563" t="inlineStr">
        <is>
          <t>NATIONAL SCRAP AND BUILDING MATERIAL SUPPLIER</t>
        </is>
      </c>
      <c r="AB4" s="564" t="inlineStr">
        <is>
          <t>OMKAR STEELS</t>
        </is>
      </c>
      <c r="AD4" s="561" t="inlineStr">
        <is>
          <t>STERLING ENTERPRISES  (3)</t>
        </is>
      </c>
      <c r="AE4" s="389" t="n"/>
      <c r="AF4" s="389" t="n"/>
      <c r="AH4" s="557" t="inlineStr">
        <is>
          <t>WATAN SCRAP TRADERS  (2)</t>
        </is>
      </c>
      <c r="AI4" s="384" t="n"/>
      <c r="AK4" s="559" t="inlineStr">
        <is>
          <t>NATIONAL ENTERPRISES  (3)</t>
        </is>
      </c>
      <c r="AL4" s="386" t="n"/>
      <c r="AM4" s="386" t="n"/>
      <c r="AO4" s="558" t="inlineStr">
        <is>
          <t>SAHARA ENTERPRISES</t>
        </is>
      </c>
      <c r="AQ4" s="561" t="inlineStr">
        <is>
          <t>STERLING ENTERPRISES</t>
        </is>
      </c>
      <c r="AS4" s="559" t="inlineStr">
        <is>
          <t>AL HAMD TRADE CORPORATION</t>
        </is>
      </c>
      <c r="AU4" s="560" t="inlineStr">
        <is>
          <t>KASHYAP TRADING CO</t>
        </is>
      </c>
      <c r="AW4" s="559" t="inlineStr">
        <is>
          <t>NATIONAL ENTERPRISES</t>
        </is>
      </c>
      <c r="AY4" s="564" t="inlineStr">
        <is>
          <t>OMKAR STEELS</t>
        </is>
      </c>
      <c r="BA4" s="561" t="inlineStr">
        <is>
          <t>S M ENTERPRISES  (2)</t>
        </is>
      </c>
      <c r="BB4" s="389" t="n"/>
      <c r="BD4" s="561" t="inlineStr">
        <is>
          <t>STERLING ENTERPRISES</t>
        </is>
      </c>
      <c r="BF4" s="557" t="inlineStr">
        <is>
          <t>WATAN SCRAP TRADERS</t>
        </is>
      </c>
    </row>
    <row r="5" ht="30" customHeight="1">
      <c r="A5" s="424" t="inlineStr">
        <is>
          <t>FIELD (row 3 of the source)  ▸  |  LOT →</t>
        </is>
      </c>
      <c r="B5" s="536">
        <f>IF('Final Calculation Sheet'!$F$6="","",'Final Calculation Sheet'!$F$6)</f>
        <v/>
      </c>
      <c r="C5" s="536">
        <f>IF('Final Calculation Sheet'!$F$7="","",'Final Calculation Sheet'!$F$7)</f>
        <v/>
      </c>
      <c r="D5" s="565" t="n"/>
      <c r="E5" s="536">
        <f>IF('Final Calculation Sheet'!$F$15="","",'Final Calculation Sheet'!$F$15)</f>
        <v/>
      </c>
      <c r="F5" s="565" t="n"/>
      <c r="G5" s="536">
        <f>IF('Final Calculation Sheet'!$F$5="","",'Final Calculation Sheet'!$F$5)</f>
        <v/>
      </c>
      <c r="H5" s="536">
        <f>IF('Final Calculation Sheet'!$F$10="","",'Final Calculation Sheet'!$F$10)</f>
        <v/>
      </c>
      <c r="I5" s="536">
        <f>IF('Final Calculation Sheet'!$F$11="","",'Final Calculation Sheet'!$F$11)</f>
        <v/>
      </c>
      <c r="J5" s="536">
        <f>IF('Final Calculation Sheet'!$F$12="","",'Final Calculation Sheet'!$F$12)</f>
        <v/>
      </c>
      <c r="K5" s="565" t="n"/>
      <c r="L5" s="536">
        <f>IF('Final Calculation Sheet'!$F$9="","",'Final Calculation Sheet'!$F$9)</f>
        <v/>
      </c>
      <c r="M5" s="536">
        <f>IF('Final Calculation Sheet'!$F$14="","",'Final Calculation Sheet'!$F$14)</f>
        <v/>
      </c>
      <c r="N5" s="565" t="n"/>
      <c r="O5" s="536">
        <f>IF('Final Calculation Sheet'!$F$13="","",'Final Calculation Sheet'!$F$13)</f>
        <v/>
      </c>
      <c r="P5" s="536">
        <f>IF('Final Calculation Sheet'!$F$16="","",'Final Calculation Sheet'!$F$16)</f>
        <v/>
      </c>
      <c r="Q5" s="565" t="n"/>
      <c r="R5" s="537">
        <f>IF('Final Calculation Sheet'!$F$27="","",'Final Calculation Sheet'!$F$27)</f>
        <v/>
      </c>
      <c r="S5" s="565" t="n"/>
      <c r="T5" s="537">
        <f>IF('Final Calculation Sheet'!$F$18="","",'Final Calculation Sheet'!$F$18)</f>
        <v/>
      </c>
      <c r="U5" s="537">
        <f>IF('Final Calculation Sheet'!$F$19="","",'Final Calculation Sheet'!$F$19)</f>
        <v/>
      </c>
      <c r="V5" s="537">
        <f>IF('Final Calculation Sheet'!$F$22="","",'Final Calculation Sheet'!$F$22)</f>
        <v/>
      </c>
      <c r="W5" s="537">
        <f>IF('Final Calculation Sheet'!$F$24="","",'Final Calculation Sheet'!$F$24)</f>
        <v/>
      </c>
      <c r="X5" s="537">
        <f>IF('Final Calculation Sheet'!$F$26="","",'Final Calculation Sheet'!$F$26)</f>
        <v/>
      </c>
      <c r="Y5" s="565" t="n"/>
      <c r="Z5" s="537">
        <f>IF('Final Calculation Sheet'!$F$21="","",'Final Calculation Sheet'!$F$21)</f>
        <v/>
      </c>
      <c r="AA5" s="565" t="n"/>
      <c r="AB5" s="537">
        <f>IF('Final Calculation Sheet'!$F$20="","",'Final Calculation Sheet'!$F$20)</f>
        <v/>
      </c>
      <c r="AC5" s="565" t="n"/>
      <c r="AD5" s="537">
        <f>IF('Final Calculation Sheet'!$F$17="","",'Final Calculation Sheet'!$F$17)</f>
        <v/>
      </c>
      <c r="AE5" s="537">
        <f>IF('Final Calculation Sheet'!$F$23="","",'Final Calculation Sheet'!$F$23)</f>
        <v/>
      </c>
      <c r="AF5" s="537">
        <f>IF('Final Calculation Sheet'!$F$29="","",'Final Calculation Sheet'!$F$29)</f>
        <v/>
      </c>
      <c r="AG5" s="565" t="n"/>
      <c r="AH5" s="537">
        <f>IF('Final Calculation Sheet'!$F$25="","",'Final Calculation Sheet'!$F$25)</f>
        <v/>
      </c>
      <c r="AI5" s="537">
        <f>IF('Final Calculation Sheet'!$F$28="","",'Final Calculation Sheet'!$F$28)</f>
        <v/>
      </c>
      <c r="AJ5" s="565" t="n"/>
      <c r="AK5" s="538">
        <f>IF('Final Calculation Sheet'!$F$30="","",'Final Calculation Sheet'!$F$30)</f>
        <v/>
      </c>
      <c r="AL5" s="538">
        <f>IF('Final Calculation Sheet'!$F$32="","",'Final Calculation Sheet'!$F$32)</f>
        <v/>
      </c>
      <c r="AM5" s="538">
        <f>IF('Final Calculation Sheet'!$F$33="","",'Final Calculation Sheet'!$F$33)</f>
        <v/>
      </c>
      <c r="AN5" s="565" t="n"/>
      <c r="AO5" s="538">
        <f>IF('Final Calculation Sheet'!$F$31="","",'Final Calculation Sheet'!$F$31)</f>
        <v/>
      </c>
      <c r="AP5" s="565" t="n"/>
      <c r="AQ5" s="538">
        <f>IF('Final Calculation Sheet'!$F$34="","",'Final Calculation Sheet'!$F$34)</f>
        <v/>
      </c>
      <c r="AR5" s="565" t="n"/>
      <c r="AS5" s="539">
        <f>IF('Final Calculation Sheet'!$F$4="","",'Final Calculation Sheet'!$F$4)</f>
        <v/>
      </c>
      <c r="AT5" s="565" t="n"/>
      <c r="AU5" s="539">
        <f>IF('Final Calculation Sheet'!$F$38="","",'Final Calculation Sheet'!$F$38)</f>
        <v/>
      </c>
      <c r="AV5" s="565" t="n"/>
      <c r="AW5" s="539">
        <f>IF('Final Calculation Sheet'!$F$37="","",'Final Calculation Sheet'!$F$37)</f>
        <v/>
      </c>
      <c r="AX5" s="565" t="n"/>
      <c r="AY5" s="539">
        <f>IF('Final Calculation Sheet'!$F$8="","",'Final Calculation Sheet'!$F$8)</f>
        <v/>
      </c>
      <c r="AZ5" s="565" t="n"/>
      <c r="BA5" s="539">
        <f>IF('Final Calculation Sheet'!$F$39="","",'Final Calculation Sheet'!$F$39)</f>
        <v/>
      </c>
      <c r="BB5" s="539">
        <f>IF('Final Calculation Sheet'!$F$40="","",'Final Calculation Sheet'!$F$40)</f>
        <v/>
      </c>
      <c r="BC5" s="565" t="n"/>
      <c r="BD5" s="539">
        <f>IF('Final Calculation Sheet'!$F$36="","",'Final Calculation Sheet'!$F$36)</f>
        <v/>
      </c>
      <c r="BE5" s="565" t="n"/>
      <c r="BF5" s="539">
        <f>IF('Final Calculation Sheet'!$F$35="","",'Final Calculation Sheet'!$F$35)</f>
        <v/>
      </c>
      <c r="BG5" s="490" t="inlineStr">
        <is>
          <t>TOTAL (src row 41)</t>
        </is>
      </c>
    </row>
    <row r="6" ht="15" customHeight="1">
      <c r="A6" s="540" t="inlineStr">
        <is>
          <t>Quantity</t>
        </is>
      </c>
      <c r="B6" s="429">
        <f>IF('Final Calculation Sheet'!$A$6="","",'Final Calculation Sheet'!$A$6)</f>
        <v/>
      </c>
      <c r="C6" s="541">
        <f>IF('Final Calculation Sheet'!$A$7="","",'Final Calculation Sheet'!$A$7)</f>
        <v/>
      </c>
      <c r="E6" s="436">
        <f>IF('Final Calculation Sheet'!$A$15="","",'Final Calculation Sheet'!$A$15)</f>
        <v/>
      </c>
      <c r="G6" s="541">
        <f>IF('Final Calculation Sheet'!$A$5="","",'Final Calculation Sheet'!$A$5)</f>
        <v/>
      </c>
      <c r="H6" s="444">
        <f>IF('Final Calculation Sheet'!$A$10="","",'Final Calculation Sheet'!$A$10)</f>
        <v/>
      </c>
      <c r="I6" s="541">
        <f>IF('Final Calculation Sheet'!$A$11="","",'Final Calculation Sheet'!$A$11)</f>
        <v/>
      </c>
      <c r="J6" s="444">
        <f>IF('Final Calculation Sheet'!$A$12="","",'Final Calculation Sheet'!$A$12)</f>
        <v/>
      </c>
      <c r="L6" s="541">
        <f>IF('Final Calculation Sheet'!$A$9="","",'Final Calculation Sheet'!$A$9)</f>
        <v/>
      </c>
      <c r="M6" s="451">
        <f>IF('Final Calculation Sheet'!$A$14="","",'Final Calculation Sheet'!$A$14)</f>
        <v/>
      </c>
      <c r="O6" s="541">
        <f>IF('Final Calculation Sheet'!$A$13="","",'Final Calculation Sheet'!$A$13)</f>
        <v/>
      </c>
      <c r="P6" s="459">
        <f>IF('Final Calculation Sheet'!$A$16="","",'Final Calculation Sheet'!$A$16)</f>
        <v/>
      </c>
      <c r="R6" s="541">
        <f>IF('Final Calculation Sheet'!$A$27="","",'Final Calculation Sheet'!$A$27)</f>
        <v/>
      </c>
      <c r="T6" s="444">
        <f>IF('Final Calculation Sheet'!$A$18="","",'Final Calculation Sheet'!$A$18)</f>
        <v/>
      </c>
      <c r="U6" s="541">
        <f>IF('Final Calculation Sheet'!$A$19="","",'Final Calculation Sheet'!$A$19)</f>
        <v/>
      </c>
      <c r="V6" s="444">
        <f>IF('Final Calculation Sheet'!$A$22="","",'Final Calculation Sheet'!$A$22)</f>
        <v/>
      </c>
      <c r="W6" s="541">
        <f>IF('Final Calculation Sheet'!$A$24="","",'Final Calculation Sheet'!$A$24)</f>
        <v/>
      </c>
      <c r="X6" s="444">
        <f>IF('Final Calculation Sheet'!$A$26="","",'Final Calculation Sheet'!$A$26)</f>
        <v/>
      </c>
      <c r="Z6" s="541">
        <f>IF('Final Calculation Sheet'!$A$21="","",'Final Calculation Sheet'!$A$21)</f>
        <v/>
      </c>
      <c r="AB6" s="481">
        <f>IF('Final Calculation Sheet'!$A$20="","",'Final Calculation Sheet'!$A$20)</f>
        <v/>
      </c>
      <c r="AD6" s="541">
        <f>IF('Final Calculation Sheet'!$A$17="","",'Final Calculation Sheet'!$A$17)</f>
        <v/>
      </c>
      <c r="AE6" s="459">
        <f>IF('Final Calculation Sheet'!$A$23="","",'Final Calculation Sheet'!$A$23)</f>
        <v/>
      </c>
      <c r="AF6" s="541">
        <f>IF('Final Calculation Sheet'!$A$29="","",'Final Calculation Sheet'!$A$29)</f>
        <v/>
      </c>
      <c r="AH6" s="429">
        <f>IF('Final Calculation Sheet'!$A$25="","",'Final Calculation Sheet'!$A$25)</f>
        <v/>
      </c>
      <c r="AI6" s="541">
        <f>IF('Final Calculation Sheet'!$A$28="","",'Final Calculation Sheet'!$A$28)</f>
        <v/>
      </c>
      <c r="AK6" s="444">
        <f>IF('Final Calculation Sheet'!$A$30="","",'Final Calculation Sheet'!$A$30)</f>
        <v/>
      </c>
      <c r="AL6" s="541">
        <f>IF('Final Calculation Sheet'!$A$32="","",'Final Calculation Sheet'!$A$32)</f>
        <v/>
      </c>
      <c r="AM6" s="444">
        <f>IF('Final Calculation Sheet'!$A$33="","",'Final Calculation Sheet'!$A$33)</f>
        <v/>
      </c>
      <c r="AO6" s="541">
        <f>IF('Final Calculation Sheet'!$A$31="","",'Final Calculation Sheet'!$A$31)</f>
        <v/>
      </c>
      <c r="AQ6" s="459">
        <f>IF('Final Calculation Sheet'!$A$34="","",'Final Calculation Sheet'!$A$34)</f>
        <v/>
      </c>
      <c r="AS6" s="541">
        <f>IF('Final Calculation Sheet'!$A$4="","",'Final Calculation Sheet'!$A$4)</f>
        <v/>
      </c>
      <c r="AU6" s="451">
        <f>IF('Final Calculation Sheet'!$A$38="","",'Final Calculation Sheet'!$A$38)</f>
        <v/>
      </c>
      <c r="AW6" s="541">
        <f>IF('Final Calculation Sheet'!$A$37="","",'Final Calculation Sheet'!$A$37)</f>
        <v/>
      </c>
      <c r="AY6" s="481">
        <f>IF('Final Calculation Sheet'!$A$8="","",'Final Calculation Sheet'!$A$8)</f>
        <v/>
      </c>
      <c r="BA6" s="541">
        <f>IF('Final Calculation Sheet'!$A$39="","",'Final Calculation Sheet'!$A$39)</f>
        <v/>
      </c>
      <c r="BB6" s="459">
        <f>IF('Final Calculation Sheet'!$A$40="","",'Final Calculation Sheet'!$A$40)</f>
        <v/>
      </c>
      <c r="BD6" s="541">
        <f>IF('Final Calculation Sheet'!$A$36="","",'Final Calculation Sheet'!$A$36)</f>
        <v/>
      </c>
      <c r="BF6" s="429">
        <f>IF('Final Calculation Sheet'!$A$35="","",'Final Calculation Sheet'!$A$35)</f>
        <v/>
      </c>
      <c r="BG6" s="542">
        <f>IF('Final Calculation Sheet'!$A$41="","",'Final Calculation Sheet'!$A$41)</f>
        <v/>
      </c>
    </row>
    <row r="7" ht="15" customHeight="1">
      <c r="A7" s="543" t="inlineStr">
        <is>
          <t>Lot Name</t>
        </is>
      </c>
      <c r="B7" s="429">
        <f>IF('Final Calculation Sheet'!$B$6="","",'Final Calculation Sheet'!$B$6)</f>
        <v/>
      </c>
      <c r="C7" s="541">
        <f>IF('Final Calculation Sheet'!$B$7="","",'Final Calculation Sheet'!$B$7)</f>
        <v/>
      </c>
      <c r="E7" s="436">
        <f>IF('Final Calculation Sheet'!$B$15="","",'Final Calculation Sheet'!$B$15)</f>
        <v/>
      </c>
      <c r="G7" s="541">
        <f>IF('Final Calculation Sheet'!$B$5="","",'Final Calculation Sheet'!$B$5)</f>
        <v/>
      </c>
      <c r="H7" s="444">
        <f>IF('Final Calculation Sheet'!$B$10="","",'Final Calculation Sheet'!$B$10)</f>
        <v/>
      </c>
      <c r="I7" s="541">
        <f>IF('Final Calculation Sheet'!$B$11="","",'Final Calculation Sheet'!$B$11)</f>
        <v/>
      </c>
      <c r="J7" s="444">
        <f>IF('Final Calculation Sheet'!$B$12="","",'Final Calculation Sheet'!$B$12)</f>
        <v/>
      </c>
      <c r="L7" s="541">
        <f>IF('Final Calculation Sheet'!$B$9="","",'Final Calculation Sheet'!$B$9)</f>
        <v/>
      </c>
      <c r="M7" s="451">
        <f>IF('Final Calculation Sheet'!$B$14="","",'Final Calculation Sheet'!$B$14)</f>
        <v/>
      </c>
      <c r="O7" s="541">
        <f>IF('Final Calculation Sheet'!$B$13="","",'Final Calculation Sheet'!$B$13)</f>
        <v/>
      </c>
      <c r="P7" s="459">
        <f>IF('Final Calculation Sheet'!$B$16="","",'Final Calculation Sheet'!$B$16)</f>
        <v/>
      </c>
      <c r="R7" s="541">
        <f>IF('Final Calculation Sheet'!$B$27="","",'Final Calculation Sheet'!$B$27)</f>
        <v/>
      </c>
      <c r="T7" s="444">
        <f>IF('Final Calculation Sheet'!$B$18="","",'Final Calculation Sheet'!$B$18)</f>
        <v/>
      </c>
      <c r="U7" s="541">
        <f>IF('Final Calculation Sheet'!$B$19="","",'Final Calculation Sheet'!$B$19)</f>
        <v/>
      </c>
      <c r="V7" s="444">
        <f>IF('Final Calculation Sheet'!$B$22="","",'Final Calculation Sheet'!$B$22)</f>
        <v/>
      </c>
      <c r="W7" s="541">
        <f>IF('Final Calculation Sheet'!$B$24="","",'Final Calculation Sheet'!$B$24)</f>
        <v/>
      </c>
      <c r="X7" s="444">
        <f>IF('Final Calculation Sheet'!$B$26="","",'Final Calculation Sheet'!$B$26)</f>
        <v/>
      </c>
      <c r="Z7" s="541">
        <f>IF('Final Calculation Sheet'!$B$21="","",'Final Calculation Sheet'!$B$21)</f>
        <v/>
      </c>
      <c r="AB7" s="481">
        <f>IF('Final Calculation Sheet'!$B$20="","",'Final Calculation Sheet'!$B$20)</f>
        <v/>
      </c>
      <c r="AD7" s="541">
        <f>IF('Final Calculation Sheet'!$B$17="","",'Final Calculation Sheet'!$B$17)</f>
        <v/>
      </c>
      <c r="AE7" s="459">
        <f>IF('Final Calculation Sheet'!$B$23="","",'Final Calculation Sheet'!$B$23)</f>
        <v/>
      </c>
      <c r="AF7" s="541">
        <f>IF('Final Calculation Sheet'!$B$29="","",'Final Calculation Sheet'!$B$29)</f>
        <v/>
      </c>
      <c r="AH7" s="429">
        <f>IF('Final Calculation Sheet'!$B$25="","",'Final Calculation Sheet'!$B$25)</f>
        <v/>
      </c>
      <c r="AI7" s="541">
        <f>IF('Final Calculation Sheet'!$B$28="","",'Final Calculation Sheet'!$B$28)</f>
        <v/>
      </c>
      <c r="AK7" s="444">
        <f>IF('Final Calculation Sheet'!$B$30="","",'Final Calculation Sheet'!$B$30)</f>
        <v/>
      </c>
      <c r="AL7" s="541">
        <f>IF('Final Calculation Sheet'!$B$32="","",'Final Calculation Sheet'!$B$32)</f>
        <v/>
      </c>
      <c r="AM7" s="444">
        <f>IF('Final Calculation Sheet'!$B$33="","",'Final Calculation Sheet'!$B$33)</f>
        <v/>
      </c>
      <c r="AO7" s="541">
        <f>IF('Final Calculation Sheet'!$B$31="","",'Final Calculation Sheet'!$B$31)</f>
        <v/>
      </c>
      <c r="AQ7" s="459">
        <f>IF('Final Calculation Sheet'!$B$34="","",'Final Calculation Sheet'!$B$34)</f>
        <v/>
      </c>
      <c r="AS7" s="541">
        <f>IF('Final Calculation Sheet'!$B$4="","",'Final Calculation Sheet'!$B$4)</f>
        <v/>
      </c>
      <c r="AU7" s="451">
        <f>IF('Final Calculation Sheet'!$B$38="","",'Final Calculation Sheet'!$B$38)</f>
        <v/>
      </c>
      <c r="AW7" s="541">
        <f>IF('Final Calculation Sheet'!$B$37="","",'Final Calculation Sheet'!$B$37)</f>
        <v/>
      </c>
      <c r="AY7" s="481">
        <f>IF('Final Calculation Sheet'!$B$8="","",'Final Calculation Sheet'!$B$8)</f>
        <v/>
      </c>
      <c r="BA7" s="541">
        <f>IF('Final Calculation Sheet'!$B$39="","",'Final Calculation Sheet'!$B$39)</f>
        <v/>
      </c>
      <c r="BB7" s="459">
        <f>IF('Final Calculation Sheet'!$B$40="","",'Final Calculation Sheet'!$B$40)</f>
        <v/>
      </c>
      <c r="BD7" s="541">
        <f>IF('Final Calculation Sheet'!$B$36="","",'Final Calculation Sheet'!$B$36)</f>
        <v/>
      </c>
      <c r="BF7" s="429">
        <f>IF('Final Calculation Sheet'!$B$35="","",'Final Calculation Sheet'!$B$35)</f>
        <v/>
      </c>
      <c r="BG7" s="542">
        <f>IF('Final Calculation Sheet'!$B$41="","",'Final Calculation Sheet'!$B$41)</f>
        <v/>
      </c>
    </row>
    <row r="8" ht="15" customHeight="1">
      <c r="A8" s="540" t="inlineStr">
        <is>
          <t>Rate</t>
        </is>
      </c>
      <c r="B8" s="566">
        <f>IF('Final Calculation Sheet'!$C$6="","",'Final Calculation Sheet'!$C$6)</f>
        <v/>
      </c>
      <c r="C8" s="545">
        <f>IF('Final Calculation Sheet'!$C$7="","",'Final Calculation Sheet'!$C$7)</f>
        <v/>
      </c>
      <c r="E8" s="567">
        <f>IF('Final Calculation Sheet'!$C$15="","",'Final Calculation Sheet'!$C$15)</f>
        <v/>
      </c>
      <c r="G8" s="545">
        <f>IF('Final Calculation Sheet'!$C$5="","",'Final Calculation Sheet'!$C$5)</f>
        <v/>
      </c>
      <c r="H8" s="568">
        <f>IF('Final Calculation Sheet'!$C$10="","",'Final Calculation Sheet'!$C$10)</f>
        <v/>
      </c>
      <c r="I8" s="545">
        <f>IF('Final Calculation Sheet'!$C$11="","",'Final Calculation Sheet'!$C$11)</f>
        <v/>
      </c>
      <c r="J8" s="568">
        <f>IF('Final Calculation Sheet'!$C$12="","",'Final Calculation Sheet'!$C$12)</f>
        <v/>
      </c>
      <c r="L8" s="545">
        <f>IF('Final Calculation Sheet'!$C$9="","",'Final Calculation Sheet'!$C$9)</f>
        <v/>
      </c>
      <c r="M8" s="569">
        <f>IF('Final Calculation Sheet'!$C$14="","",'Final Calculation Sheet'!$C$14)</f>
        <v/>
      </c>
      <c r="O8" s="545">
        <f>IF('Final Calculation Sheet'!$C$13="","",'Final Calculation Sheet'!$C$13)</f>
        <v/>
      </c>
      <c r="P8" s="570">
        <f>IF('Final Calculation Sheet'!$C$16="","",'Final Calculation Sheet'!$C$16)</f>
        <v/>
      </c>
      <c r="R8" s="545">
        <f>IF('Final Calculation Sheet'!$C$27="","",'Final Calculation Sheet'!$C$27)</f>
        <v/>
      </c>
      <c r="T8" s="568">
        <f>IF('Final Calculation Sheet'!$C$18="","",'Final Calculation Sheet'!$C$18)</f>
        <v/>
      </c>
      <c r="U8" s="545">
        <f>IF('Final Calculation Sheet'!$C$19="","",'Final Calculation Sheet'!$C$19)</f>
        <v/>
      </c>
      <c r="V8" s="568">
        <f>IF('Final Calculation Sheet'!$C$22="","",'Final Calculation Sheet'!$C$22)</f>
        <v/>
      </c>
      <c r="W8" s="545">
        <f>IF('Final Calculation Sheet'!$C$24="","",'Final Calculation Sheet'!$C$24)</f>
        <v/>
      </c>
      <c r="X8" s="568">
        <f>IF('Final Calculation Sheet'!$C$26="","",'Final Calculation Sheet'!$C$26)</f>
        <v/>
      </c>
      <c r="Z8" s="545">
        <f>IF('Final Calculation Sheet'!$C$21="","",'Final Calculation Sheet'!$C$21)</f>
        <v/>
      </c>
      <c r="AB8" s="571">
        <f>IF('Final Calculation Sheet'!$C$20="","",'Final Calculation Sheet'!$C$20)</f>
        <v/>
      </c>
      <c r="AD8" s="545">
        <f>IF('Final Calculation Sheet'!$C$17="","",'Final Calculation Sheet'!$C$17)</f>
        <v/>
      </c>
      <c r="AE8" s="570">
        <f>IF('Final Calculation Sheet'!$C$23="","",'Final Calculation Sheet'!$C$23)</f>
        <v/>
      </c>
      <c r="AF8" s="545">
        <f>IF('Final Calculation Sheet'!$C$29="","",'Final Calculation Sheet'!$C$29)</f>
        <v/>
      </c>
      <c r="AH8" s="566">
        <f>IF('Final Calculation Sheet'!$C$25="","",'Final Calculation Sheet'!$C$25)</f>
        <v/>
      </c>
      <c r="AI8" s="545">
        <f>IF('Final Calculation Sheet'!$C$28="","",'Final Calculation Sheet'!$C$28)</f>
        <v/>
      </c>
      <c r="AK8" s="568">
        <f>IF('Final Calculation Sheet'!$C$30="","",'Final Calculation Sheet'!$C$30)</f>
        <v/>
      </c>
      <c r="AL8" s="545">
        <f>IF('Final Calculation Sheet'!$C$32="","",'Final Calculation Sheet'!$C$32)</f>
        <v/>
      </c>
      <c r="AM8" s="568">
        <f>IF('Final Calculation Sheet'!$C$33="","",'Final Calculation Sheet'!$C$33)</f>
        <v/>
      </c>
      <c r="AO8" s="545">
        <f>IF('Final Calculation Sheet'!$C$31="","",'Final Calculation Sheet'!$C$31)</f>
        <v/>
      </c>
      <c r="AQ8" s="570">
        <f>IF('Final Calculation Sheet'!$C$34="","",'Final Calculation Sheet'!$C$34)</f>
        <v/>
      </c>
      <c r="AS8" s="545">
        <f>IF('Final Calculation Sheet'!$C$4="","",'Final Calculation Sheet'!$C$4)</f>
        <v/>
      </c>
      <c r="AU8" s="569">
        <f>IF('Final Calculation Sheet'!$C$38="","",'Final Calculation Sheet'!$C$38)</f>
        <v/>
      </c>
      <c r="AW8" s="545">
        <f>IF('Final Calculation Sheet'!$C$37="","",'Final Calculation Sheet'!$C$37)</f>
        <v/>
      </c>
      <c r="AY8" s="571">
        <f>IF('Final Calculation Sheet'!$C$8="","",'Final Calculation Sheet'!$C$8)</f>
        <v/>
      </c>
      <c r="BA8" s="545">
        <f>IF('Final Calculation Sheet'!$C$39="","",'Final Calculation Sheet'!$C$39)</f>
        <v/>
      </c>
      <c r="BB8" s="570">
        <f>IF('Final Calculation Sheet'!$C$40="","",'Final Calculation Sheet'!$C$40)</f>
        <v/>
      </c>
      <c r="BD8" s="545">
        <f>IF('Final Calculation Sheet'!$C$36="","",'Final Calculation Sheet'!$C$36)</f>
        <v/>
      </c>
      <c r="BF8" s="566">
        <f>IF('Final Calculation Sheet'!$C$35="","",'Final Calculation Sheet'!$C$35)</f>
        <v/>
      </c>
      <c r="BG8" s="546">
        <f>IF('Final Calculation Sheet'!$C$41="","",'Final Calculation Sheet'!$C$41)</f>
        <v/>
      </c>
    </row>
    <row r="9" ht="15" customHeight="1">
      <c r="A9" s="543" t="inlineStr">
        <is>
          <t>Bid Sheet</t>
        </is>
      </c>
      <c r="B9" s="429">
        <f>IF('Final Calculation Sheet'!$D$6="","",'Final Calculation Sheet'!$D$6)</f>
        <v/>
      </c>
      <c r="C9" s="541">
        <f>IF('Final Calculation Sheet'!$D$7="","",'Final Calculation Sheet'!$D$7)</f>
        <v/>
      </c>
      <c r="E9" s="436">
        <f>IF('Final Calculation Sheet'!$D$15="","",'Final Calculation Sheet'!$D$15)</f>
        <v/>
      </c>
      <c r="G9" s="541">
        <f>IF('Final Calculation Sheet'!$D$5="","",'Final Calculation Sheet'!$D$5)</f>
        <v/>
      </c>
      <c r="H9" s="444">
        <f>IF('Final Calculation Sheet'!$D$10="","",'Final Calculation Sheet'!$D$10)</f>
        <v/>
      </c>
      <c r="I9" s="541">
        <f>IF('Final Calculation Sheet'!$D$11="","",'Final Calculation Sheet'!$D$11)</f>
        <v/>
      </c>
      <c r="J9" s="444">
        <f>IF('Final Calculation Sheet'!$D$12="","",'Final Calculation Sheet'!$D$12)</f>
        <v/>
      </c>
      <c r="L9" s="541">
        <f>IF('Final Calculation Sheet'!$D$9="","",'Final Calculation Sheet'!$D$9)</f>
        <v/>
      </c>
      <c r="M9" s="451">
        <f>IF('Final Calculation Sheet'!$D$14="","",'Final Calculation Sheet'!$D$14)</f>
        <v/>
      </c>
      <c r="O9" s="541">
        <f>IF('Final Calculation Sheet'!$D$13="","",'Final Calculation Sheet'!$D$13)</f>
        <v/>
      </c>
      <c r="P9" s="459">
        <f>IF('Final Calculation Sheet'!$D$16="","",'Final Calculation Sheet'!$D$16)</f>
        <v/>
      </c>
      <c r="R9" s="541">
        <f>IF('Final Calculation Sheet'!$D$27="","",'Final Calculation Sheet'!$D$27)</f>
        <v/>
      </c>
      <c r="T9" s="444">
        <f>IF('Final Calculation Sheet'!$D$18="","",'Final Calculation Sheet'!$D$18)</f>
        <v/>
      </c>
      <c r="U9" s="541">
        <f>IF('Final Calculation Sheet'!$D$19="","",'Final Calculation Sheet'!$D$19)</f>
        <v/>
      </c>
      <c r="V9" s="444">
        <f>IF('Final Calculation Sheet'!$D$22="","",'Final Calculation Sheet'!$D$22)</f>
        <v/>
      </c>
      <c r="W9" s="541">
        <f>IF('Final Calculation Sheet'!$D$24="","",'Final Calculation Sheet'!$D$24)</f>
        <v/>
      </c>
      <c r="X9" s="444">
        <f>IF('Final Calculation Sheet'!$D$26="","",'Final Calculation Sheet'!$D$26)</f>
        <v/>
      </c>
      <c r="Z9" s="541">
        <f>IF('Final Calculation Sheet'!$D$21="","",'Final Calculation Sheet'!$D$21)</f>
        <v/>
      </c>
      <c r="AB9" s="481">
        <f>IF('Final Calculation Sheet'!$D$20="","",'Final Calculation Sheet'!$D$20)</f>
        <v/>
      </c>
      <c r="AD9" s="541">
        <f>IF('Final Calculation Sheet'!$D$17="","",'Final Calculation Sheet'!$D$17)</f>
        <v/>
      </c>
      <c r="AE9" s="459">
        <f>IF('Final Calculation Sheet'!$D$23="","",'Final Calculation Sheet'!$D$23)</f>
        <v/>
      </c>
      <c r="AF9" s="541">
        <f>IF('Final Calculation Sheet'!$D$29="","",'Final Calculation Sheet'!$D$29)</f>
        <v/>
      </c>
      <c r="AH9" s="429">
        <f>IF('Final Calculation Sheet'!$D$25="","",'Final Calculation Sheet'!$D$25)</f>
        <v/>
      </c>
      <c r="AI9" s="541">
        <f>IF('Final Calculation Sheet'!$D$28="","",'Final Calculation Sheet'!$D$28)</f>
        <v/>
      </c>
      <c r="AK9" s="444">
        <f>IF('Final Calculation Sheet'!$D$30="","",'Final Calculation Sheet'!$D$30)</f>
        <v/>
      </c>
      <c r="AL9" s="541">
        <f>IF('Final Calculation Sheet'!$D$32="","",'Final Calculation Sheet'!$D$32)</f>
        <v/>
      </c>
      <c r="AM9" s="444">
        <f>IF('Final Calculation Sheet'!$D$33="","",'Final Calculation Sheet'!$D$33)</f>
        <v/>
      </c>
      <c r="AO9" s="541">
        <f>IF('Final Calculation Sheet'!$D$31="","",'Final Calculation Sheet'!$D$31)</f>
        <v/>
      </c>
      <c r="AQ9" s="459">
        <f>IF('Final Calculation Sheet'!$D$34="","",'Final Calculation Sheet'!$D$34)</f>
        <v/>
      </c>
      <c r="AS9" s="541">
        <f>IF('Final Calculation Sheet'!$D$4="","",'Final Calculation Sheet'!$D$4)</f>
        <v/>
      </c>
      <c r="AU9" s="451">
        <f>IF('Final Calculation Sheet'!$D$38="","",'Final Calculation Sheet'!$D$38)</f>
        <v/>
      </c>
      <c r="AW9" s="541">
        <f>IF('Final Calculation Sheet'!$D$37="","",'Final Calculation Sheet'!$D$37)</f>
        <v/>
      </c>
      <c r="AY9" s="481">
        <f>IF('Final Calculation Sheet'!$D$8="","",'Final Calculation Sheet'!$D$8)</f>
        <v/>
      </c>
      <c r="BA9" s="541">
        <f>IF('Final Calculation Sheet'!$D$39="","",'Final Calculation Sheet'!$D$39)</f>
        <v/>
      </c>
      <c r="BB9" s="459">
        <f>IF('Final Calculation Sheet'!$D$40="","",'Final Calculation Sheet'!$D$40)</f>
        <v/>
      </c>
      <c r="BD9" s="541">
        <f>IF('Final Calculation Sheet'!$D$36="","",'Final Calculation Sheet'!$D$36)</f>
        <v/>
      </c>
      <c r="BF9" s="429">
        <f>IF('Final Calculation Sheet'!$D$35="","",'Final Calculation Sheet'!$D$35)</f>
        <v/>
      </c>
      <c r="BG9" s="542">
        <f>IF('Final Calculation Sheet'!$D$41="","",'Final Calculation Sheet'!$D$41)</f>
        <v/>
      </c>
    </row>
    <row r="10" ht="15" customHeight="1">
      <c r="A10" s="540" t="inlineStr">
        <is>
          <t>Unit</t>
        </is>
      </c>
      <c r="B10" s="429">
        <f>IF('Final Calculation Sheet'!$E$6="","",'Final Calculation Sheet'!$E$6)</f>
        <v/>
      </c>
      <c r="C10" s="541">
        <f>IF('Final Calculation Sheet'!$E$7="","",'Final Calculation Sheet'!$E$7)</f>
        <v/>
      </c>
      <c r="E10" s="436">
        <f>IF('Final Calculation Sheet'!$E$15="","",'Final Calculation Sheet'!$E$15)</f>
        <v/>
      </c>
      <c r="G10" s="541">
        <f>IF('Final Calculation Sheet'!$E$5="","",'Final Calculation Sheet'!$E$5)</f>
        <v/>
      </c>
      <c r="H10" s="444">
        <f>IF('Final Calculation Sheet'!$E$10="","",'Final Calculation Sheet'!$E$10)</f>
        <v/>
      </c>
      <c r="I10" s="541">
        <f>IF('Final Calculation Sheet'!$E$11="","",'Final Calculation Sheet'!$E$11)</f>
        <v/>
      </c>
      <c r="J10" s="444">
        <f>IF('Final Calculation Sheet'!$E$12="","",'Final Calculation Sheet'!$E$12)</f>
        <v/>
      </c>
      <c r="L10" s="541">
        <f>IF('Final Calculation Sheet'!$E$9="","",'Final Calculation Sheet'!$E$9)</f>
        <v/>
      </c>
      <c r="M10" s="451">
        <f>IF('Final Calculation Sheet'!$E$14="","",'Final Calculation Sheet'!$E$14)</f>
        <v/>
      </c>
      <c r="O10" s="541">
        <f>IF('Final Calculation Sheet'!$E$13="","",'Final Calculation Sheet'!$E$13)</f>
        <v/>
      </c>
      <c r="P10" s="459">
        <f>IF('Final Calculation Sheet'!$E$16="","",'Final Calculation Sheet'!$E$16)</f>
        <v/>
      </c>
      <c r="R10" s="541">
        <f>IF('Final Calculation Sheet'!$E$27="","",'Final Calculation Sheet'!$E$27)</f>
        <v/>
      </c>
      <c r="T10" s="444">
        <f>IF('Final Calculation Sheet'!$E$18="","",'Final Calculation Sheet'!$E$18)</f>
        <v/>
      </c>
      <c r="U10" s="541">
        <f>IF('Final Calculation Sheet'!$E$19="","",'Final Calculation Sheet'!$E$19)</f>
        <v/>
      </c>
      <c r="V10" s="444">
        <f>IF('Final Calculation Sheet'!$E$22="","",'Final Calculation Sheet'!$E$22)</f>
        <v/>
      </c>
      <c r="W10" s="541">
        <f>IF('Final Calculation Sheet'!$E$24="","",'Final Calculation Sheet'!$E$24)</f>
        <v/>
      </c>
      <c r="X10" s="444">
        <f>IF('Final Calculation Sheet'!$E$26="","",'Final Calculation Sheet'!$E$26)</f>
        <v/>
      </c>
      <c r="Z10" s="541">
        <f>IF('Final Calculation Sheet'!$E$21="","",'Final Calculation Sheet'!$E$21)</f>
        <v/>
      </c>
      <c r="AB10" s="481">
        <f>IF('Final Calculation Sheet'!$E$20="","",'Final Calculation Sheet'!$E$20)</f>
        <v/>
      </c>
      <c r="AD10" s="541">
        <f>IF('Final Calculation Sheet'!$E$17="","",'Final Calculation Sheet'!$E$17)</f>
        <v/>
      </c>
      <c r="AE10" s="459">
        <f>IF('Final Calculation Sheet'!$E$23="","",'Final Calculation Sheet'!$E$23)</f>
        <v/>
      </c>
      <c r="AF10" s="541">
        <f>IF('Final Calculation Sheet'!$E$29="","",'Final Calculation Sheet'!$E$29)</f>
        <v/>
      </c>
      <c r="AH10" s="429">
        <f>IF('Final Calculation Sheet'!$E$25="","",'Final Calculation Sheet'!$E$25)</f>
        <v/>
      </c>
      <c r="AI10" s="541">
        <f>IF('Final Calculation Sheet'!$E$28="","",'Final Calculation Sheet'!$E$28)</f>
        <v/>
      </c>
      <c r="AK10" s="444">
        <f>IF('Final Calculation Sheet'!$E$30="","",'Final Calculation Sheet'!$E$30)</f>
        <v/>
      </c>
      <c r="AL10" s="541">
        <f>IF('Final Calculation Sheet'!$E$32="","",'Final Calculation Sheet'!$E$32)</f>
        <v/>
      </c>
      <c r="AM10" s="444">
        <f>IF('Final Calculation Sheet'!$E$33="","",'Final Calculation Sheet'!$E$33)</f>
        <v/>
      </c>
      <c r="AO10" s="541">
        <f>IF('Final Calculation Sheet'!$E$31="","",'Final Calculation Sheet'!$E$31)</f>
        <v/>
      </c>
      <c r="AQ10" s="459">
        <f>IF('Final Calculation Sheet'!$E$34="","",'Final Calculation Sheet'!$E$34)</f>
        <v/>
      </c>
      <c r="AS10" s="541">
        <f>IF('Final Calculation Sheet'!$E$4="","",'Final Calculation Sheet'!$E$4)</f>
        <v/>
      </c>
      <c r="AU10" s="451">
        <f>IF('Final Calculation Sheet'!$E$38="","",'Final Calculation Sheet'!$E$38)</f>
        <v/>
      </c>
      <c r="AW10" s="541">
        <f>IF('Final Calculation Sheet'!$E$37="","",'Final Calculation Sheet'!$E$37)</f>
        <v/>
      </c>
      <c r="AY10" s="481">
        <f>IF('Final Calculation Sheet'!$E$8="","",'Final Calculation Sheet'!$E$8)</f>
        <v/>
      </c>
      <c r="BA10" s="541">
        <f>IF('Final Calculation Sheet'!$E$39="","",'Final Calculation Sheet'!$E$39)</f>
        <v/>
      </c>
      <c r="BB10" s="459">
        <f>IF('Final Calculation Sheet'!$E$40="","",'Final Calculation Sheet'!$E$40)</f>
        <v/>
      </c>
      <c r="BD10" s="541">
        <f>IF('Final Calculation Sheet'!$E$36="","",'Final Calculation Sheet'!$E$36)</f>
        <v/>
      </c>
      <c r="BF10" s="429">
        <f>IF('Final Calculation Sheet'!$E$35="","",'Final Calculation Sheet'!$E$35)</f>
        <v/>
      </c>
      <c r="BG10" s="542">
        <f>IF('Final Calculation Sheet'!$E$41="","",'Final Calculation Sheet'!$E$41)</f>
        <v/>
      </c>
    </row>
    <row r="11" ht="15" customHeight="1">
      <c r="A11" s="543" t="inlineStr">
        <is>
          <t>Lot No.</t>
        </is>
      </c>
      <c r="B11" s="429">
        <f>IF('Final Calculation Sheet'!$F$6="","",'Final Calculation Sheet'!$F$6)</f>
        <v/>
      </c>
      <c r="C11" s="541">
        <f>IF('Final Calculation Sheet'!$F$7="","",'Final Calculation Sheet'!$F$7)</f>
        <v/>
      </c>
      <c r="E11" s="436">
        <f>IF('Final Calculation Sheet'!$F$15="","",'Final Calculation Sheet'!$F$15)</f>
        <v/>
      </c>
      <c r="G11" s="541">
        <f>IF('Final Calculation Sheet'!$F$5="","",'Final Calculation Sheet'!$F$5)</f>
        <v/>
      </c>
      <c r="H11" s="444">
        <f>IF('Final Calculation Sheet'!$F$10="","",'Final Calculation Sheet'!$F$10)</f>
        <v/>
      </c>
      <c r="I11" s="541">
        <f>IF('Final Calculation Sheet'!$F$11="","",'Final Calculation Sheet'!$F$11)</f>
        <v/>
      </c>
      <c r="J11" s="444">
        <f>IF('Final Calculation Sheet'!$F$12="","",'Final Calculation Sheet'!$F$12)</f>
        <v/>
      </c>
      <c r="L11" s="541">
        <f>IF('Final Calculation Sheet'!$F$9="","",'Final Calculation Sheet'!$F$9)</f>
        <v/>
      </c>
      <c r="M11" s="451">
        <f>IF('Final Calculation Sheet'!$F$14="","",'Final Calculation Sheet'!$F$14)</f>
        <v/>
      </c>
      <c r="O11" s="541">
        <f>IF('Final Calculation Sheet'!$F$13="","",'Final Calculation Sheet'!$F$13)</f>
        <v/>
      </c>
      <c r="P11" s="459">
        <f>IF('Final Calculation Sheet'!$F$16="","",'Final Calculation Sheet'!$F$16)</f>
        <v/>
      </c>
      <c r="R11" s="541">
        <f>IF('Final Calculation Sheet'!$F$27="","",'Final Calculation Sheet'!$F$27)</f>
        <v/>
      </c>
      <c r="T11" s="444">
        <f>IF('Final Calculation Sheet'!$F$18="","",'Final Calculation Sheet'!$F$18)</f>
        <v/>
      </c>
      <c r="U11" s="541">
        <f>IF('Final Calculation Sheet'!$F$19="","",'Final Calculation Sheet'!$F$19)</f>
        <v/>
      </c>
      <c r="V11" s="444">
        <f>IF('Final Calculation Sheet'!$F$22="","",'Final Calculation Sheet'!$F$22)</f>
        <v/>
      </c>
      <c r="W11" s="541">
        <f>IF('Final Calculation Sheet'!$F$24="","",'Final Calculation Sheet'!$F$24)</f>
        <v/>
      </c>
      <c r="X11" s="444">
        <f>IF('Final Calculation Sheet'!$F$26="","",'Final Calculation Sheet'!$F$26)</f>
        <v/>
      </c>
      <c r="Z11" s="541">
        <f>IF('Final Calculation Sheet'!$F$21="","",'Final Calculation Sheet'!$F$21)</f>
        <v/>
      </c>
      <c r="AB11" s="481">
        <f>IF('Final Calculation Sheet'!$F$20="","",'Final Calculation Sheet'!$F$20)</f>
        <v/>
      </c>
      <c r="AD11" s="541">
        <f>IF('Final Calculation Sheet'!$F$17="","",'Final Calculation Sheet'!$F$17)</f>
        <v/>
      </c>
      <c r="AE11" s="459">
        <f>IF('Final Calculation Sheet'!$F$23="","",'Final Calculation Sheet'!$F$23)</f>
        <v/>
      </c>
      <c r="AF11" s="541">
        <f>IF('Final Calculation Sheet'!$F$29="","",'Final Calculation Sheet'!$F$29)</f>
        <v/>
      </c>
      <c r="AH11" s="429">
        <f>IF('Final Calculation Sheet'!$F$25="","",'Final Calculation Sheet'!$F$25)</f>
        <v/>
      </c>
      <c r="AI11" s="541">
        <f>IF('Final Calculation Sheet'!$F$28="","",'Final Calculation Sheet'!$F$28)</f>
        <v/>
      </c>
      <c r="AK11" s="444">
        <f>IF('Final Calculation Sheet'!$F$30="","",'Final Calculation Sheet'!$F$30)</f>
        <v/>
      </c>
      <c r="AL11" s="541">
        <f>IF('Final Calculation Sheet'!$F$32="","",'Final Calculation Sheet'!$F$32)</f>
        <v/>
      </c>
      <c r="AM11" s="444">
        <f>IF('Final Calculation Sheet'!$F$33="","",'Final Calculation Sheet'!$F$33)</f>
        <v/>
      </c>
      <c r="AO11" s="541">
        <f>IF('Final Calculation Sheet'!$F$31="","",'Final Calculation Sheet'!$F$31)</f>
        <v/>
      </c>
      <c r="AQ11" s="459">
        <f>IF('Final Calculation Sheet'!$F$34="","",'Final Calculation Sheet'!$F$34)</f>
        <v/>
      </c>
      <c r="AS11" s="541">
        <f>IF('Final Calculation Sheet'!$F$4="","",'Final Calculation Sheet'!$F$4)</f>
        <v/>
      </c>
      <c r="AU11" s="451">
        <f>IF('Final Calculation Sheet'!$F$38="","",'Final Calculation Sheet'!$F$38)</f>
        <v/>
      </c>
      <c r="AW11" s="541">
        <f>IF('Final Calculation Sheet'!$F$37="","",'Final Calculation Sheet'!$F$37)</f>
        <v/>
      </c>
      <c r="AY11" s="481">
        <f>IF('Final Calculation Sheet'!$F$8="","",'Final Calculation Sheet'!$F$8)</f>
        <v/>
      </c>
      <c r="BA11" s="541">
        <f>IF('Final Calculation Sheet'!$F$39="","",'Final Calculation Sheet'!$F$39)</f>
        <v/>
      </c>
      <c r="BB11" s="459">
        <f>IF('Final Calculation Sheet'!$F$40="","",'Final Calculation Sheet'!$F$40)</f>
        <v/>
      </c>
      <c r="BD11" s="541">
        <f>IF('Final Calculation Sheet'!$F$36="","",'Final Calculation Sheet'!$F$36)</f>
        <v/>
      </c>
      <c r="BF11" s="429">
        <f>IF('Final Calculation Sheet'!$F$35="","",'Final Calculation Sheet'!$F$35)</f>
        <v/>
      </c>
      <c r="BG11" s="542">
        <f>IF('Final Calculation Sheet'!$F$41="","",'Final Calculation Sheet'!$F$41)</f>
        <v/>
      </c>
    </row>
    <row r="12" ht="15" customHeight="1">
      <c r="A12" s="540" t="inlineStr">
        <is>
          <t>Buyer</t>
        </is>
      </c>
      <c r="B12" s="429">
        <f>IF('Final Calculation Sheet'!$G$6="","",'Final Calculation Sheet'!$G$6)</f>
        <v/>
      </c>
      <c r="C12" s="541">
        <f>IF('Final Calculation Sheet'!$G$7="","",'Final Calculation Sheet'!$G$7)</f>
        <v/>
      </c>
      <c r="E12" s="436">
        <f>IF('Final Calculation Sheet'!$G$15="","",'Final Calculation Sheet'!$G$15)</f>
        <v/>
      </c>
      <c r="G12" s="541">
        <f>IF('Final Calculation Sheet'!$G$5="","",'Final Calculation Sheet'!$G$5)</f>
        <v/>
      </c>
      <c r="H12" s="444">
        <f>IF('Final Calculation Sheet'!$G$10="","",'Final Calculation Sheet'!$G$10)</f>
        <v/>
      </c>
      <c r="I12" s="541">
        <f>IF('Final Calculation Sheet'!$G$11="","",'Final Calculation Sheet'!$G$11)</f>
        <v/>
      </c>
      <c r="J12" s="444">
        <f>IF('Final Calculation Sheet'!$G$12="","",'Final Calculation Sheet'!$G$12)</f>
        <v/>
      </c>
      <c r="L12" s="541">
        <f>IF('Final Calculation Sheet'!$G$9="","",'Final Calculation Sheet'!$G$9)</f>
        <v/>
      </c>
      <c r="M12" s="451">
        <f>IF('Final Calculation Sheet'!$G$14="","",'Final Calculation Sheet'!$G$14)</f>
        <v/>
      </c>
      <c r="O12" s="541">
        <f>IF('Final Calculation Sheet'!$G$13="","",'Final Calculation Sheet'!$G$13)</f>
        <v/>
      </c>
      <c r="P12" s="459">
        <f>IF('Final Calculation Sheet'!$G$16="","",'Final Calculation Sheet'!$G$16)</f>
        <v/>
      </c>
      <c r="R12" s="541">
        <f>IF('Final Calculation Sheet'!$G$27="","",'Final Calculation Sheet'!$G$27)</f>
        <v/>
      </c>
      <c r="T12" s="444">
        <f>IF('Final Calculation Sheet'!$G$18="","",'Final Calculation Sheet'!$G$18)</f>
        <v/>
      </c>
      <c r="U12" s="541">
        <f>IF('Final Calculation Sheet'!$G$19="","",'Final Calculation Sheet'!$G$19)</f>
        <v/>
      </c>
      <c r="V12" s="444">
        <f>IF('Final Calculation Sheet'!$G$22="","",'Final Calculation Sheet'!$G$22)</f>
        <v/>
      </c>
      <c r="W12" s="541">
        <f>IF('Final Calculation Sheet'!$G$24="","",'Final Calculation Sheet'!$G$24)</f>
        <v/>
      </c>
      <c r="X12" s="444">
        <f>IF('Final Calculation Sheet'!$G$26="","",'Final Calculation Sheet'!$G$26)</f>
        <v/>
      </c>
      <c r="Z12" s="541">
        <f>IF('Final Calculation Sheet'!$G$21="","",'Final Calculation Sheet'!$G$21)</f>
        <v/>
      </c>
      <c r="AB12" s="481">
        <f>IF('Final Calculation Sheet'!$G$20="","",'Final Calculation Sheet'!$G$20)</f>
        <v/>
      </c>
      <c r="AD12" s="541">
        <f>IF('Final Calculation Sheet'!$G$17="","",'Final Calculation Sheet'!$G$17)</f>
        <v/>
      </c>
      <c r="AE12" s="459">
        <f>IF('Final Calculation Sheet'!$G$23="","",'Final Calculation Sheet'!$G$23)</f>
        <v/>
      </c>
      <c r="AF12" s="541">
        <f>IF('Final Calculation Sheet'!$G$29="","",'Final Calculation Sheet'!$G$29)</f>
        <v/>
      </c>
      <c r="AH12" s="429">
        <f>IF('Final Calculation Sheet'!$G$25="","",'Final Calculation Sheet'!$G$25)</f>
        <v/>
      </c>
      <c r="AI12" s="541">
        <f>IF('Final Calculation Sheet'!$G$28="","",'Final Calculation Sheet'!$G$28)</f>
        <v/>
      </c>
      <c r="AK12" s="444">
        <f>IF('Final Calculation Sheet'!$G$30="","",'Final Calculation Sheet'!$G$30)</f>
        <v/>
      </c>
      <c r="AL12" s="541">
        <f>IF('Final Calculation Sheet'!$G$32="","",'Final Calculation Sheet'!$G$32)</f>
        <v/>
      </c>
      <c r="AM12" s="444">
        <f>IF('Final Calculation Sheet'!$G$33="","",'Final Calculation Sheet'!$G$33)</f>
        <v/>
      </c>
      <c r="AO12" s="541">
        <f>IF('Final Calculation Sheet'!$G$31="","",'Final Calculation Sheet'!$G$31)</f>
        <v/>
      </c>
      <c r="AQ12" s="459">
        <f>IF('Final Calculation Sheet'!$G$34="","",'Final Calculation Sheet'!$G$34)</f>
        <v/>
      </c>
      <c r="AS12" s="541">
        <f>IF('Final Calculation Sheet'!$G$4="","",'Final Calculation Sheet'!$G$4)</f>
        <v/>
      </c>
      <c r="AU12" s="451">
        <f>IF('Final Calculation Sheet'!$G$38="","",'Final Calculation Sheet'!$G$38)</f>
        <v/>
      </c>
      <c r="AW12" s="541">
        <f>IF('Final Calculation Sheet'!$G$37="","",'Final Calculation Sheet'!$G$37)</f>
        <v/>
      </c>
      <c r="AY12" s="481">
        <f>IF('Final Calculation Sheet'!$G$8="","",'Final Calculation Sheet'!$G$8)</f>
        <v/>
      </c>
      <c r="BA12" s="541">
        <f>IF('Final Calculation Sheet'!$G$39="","",'Final Calculation Sheet'!$G$39)</f>
        <v/>
      </c>
      <c r="BB12" s="459">
        <f>IF('Final Calculation Sheet'!$G$40="","",'Final Calculation Sheet'!$G$40)</f>
        <v/>
      </c>
      <c r="BD12" s="541">
        <f>IF('Final Calculation Sheet'!$G$36="","",'Final Calculation Sheet'!$G$36)</f>
        <v/>
      </c>
      <c r="BF12" s="429">
        <f>IF('Final Calculation Sheet'!$G$35="","",'Final Calculation Sheet'!$G$35)</f>
        <v/>
      </c>
      <c r="BG12" s="542">
        <f>IF('Final Calculation Sheet'!$G$41="","",'Final Calculation Sheet'!$G$41)</f>
        <v/>
      </c>
    </row>
    <row r="13" ht="15" customHeight="1">
      <c r="A13" s="543" t="inlineStr">
        <is>
          <t>Mat. Value</t>
        </is>
      </c>
      <c r="B13" s="566">
        <f>IF('Final Calculation Sheet'!$H$6="","",'Final Calculation Sheet'!$H$6)</f>
        <v/>
      </c>
      <c r="C13" s="545">
        <f>IF('Final Calculation Sheet'!$H$7="","",'Final Calculation Sheet'!$H$7)</f>
        <v/>
      </c>
      <c r="E13" s="567">
        <f>IF('Final Calculation Sheet'!$H$15="","",'Final Calculation Sheet'!$H$15)</f>
        <v/>
      </c>
      <c r="G13" s="545">
        <f>IF('Final Calculation Sheet'!$H$5="","",'Final Calculation Sheet'!$H$5)</f>
        <v/>
      </c>
      <c r="H13" s="568">
        <f>IF('Final Calculation Sheet'!$H$10="","",'Final Calculation Sheet'!$H$10)</f>
        <v/>
      </c>
      <c r="I13" s="545">
        <f>IF('Final Calculation Sheet'!$H$11="","",'Final Calculation Sheet'!$H$11)</f>
        <v/>
      </c>
      <c r="J13" s="568">
        <f>IF('Final Calculation Sheet'!$H$12="","",'Final Calculation Sheet'!$H$12)</f>
        <v/>
      </c>
      <c r="L13" s="545">
        <f>IF('Final Calculation Sheet'!$H$9="","",'Final Calculation Sheet'!$H$9)</f>
        <v/>
      </c>
      <c r="M13" s="569">
        <f>IF('Final Calculation Sheet'!$H$14="","",'Final Calculation Sheet'!$H$14)</f>
        <v/>
      </c>
      <c r="O13" s="545">
        <f>IF('Final Calculation Sheet'!$H$13="","",'Final Calculation Sheet'!$H$13)</f>
        <v/>
      </c>
      <c r="P13" s="570">
        <f>IF('Final Calculation Sheet'!$H$16="","",'Final Calculation Sheet'!$H$16)</f>
        <v/>
      </c>
      <c r="R13" s="545">
        <f>IF('Final Calculation Sheet'!$H$27="","",'Final Calculation Sheet'!$H$27)</f>
        <v/>
      </c>
      <c r="T13" s="568">
        <f>IF('Final Calculation Sheet'!$H$18="","",'Final Calculation Sheet'!$H$18)</f>
        <v/>
      </c>
      <c r="U13" s="545">
        <f>IF('Final Calculation Sheet'!$H$19="","",'Final Calculation Sheet'!$H$19)</f>
        <v/>
      </c>
      <c r="V13" s="568">
        <f>IF('Final Calculation Sheet'!$H$22="","",'Final Calculation Sheet'!$H$22)</f>
        <v/>
      </c>
      <c r="W13" s="545">
        <f>IF('Final Calculation Sheet'!$H$24="","",'Final Calculation Sheet'!$H$24)</f>
        <v/>
      </c>
      <c r="X13" s="568">
        <f>IF('Final Calculation Sheet'!$H$26="","",'Final Calculation Sheet'!$H$26)</f>
        <v/>
      </c>
      <c r="Z13" s="545">
        <f>IF('Final Calculation Sheet'!$H$21="","",'Final Calculation Sheet'!$H$21)</f>
        <v/>
      </c>
      <c r="AB13" s="571">
        <f>IF('Final Calculation Sheet'!$H$20="","",'Final Calculation Sheet'!$H$20)</f>
        <v/>
      </c>
      <c r="AD13" s="545">
        <f>IF('Final Calculation Sheet'!$H$17="","",'Final Calculation Sheet'!$H$17)</f>
        <v/>
      </c>
      <c r="AE13" s="570">
        <f>IF('Final Calculation Sheet'!$H$23="","",'Final Calculation Sheet'!$H$23)</f>
        <v/>
      </c>
      <c r="AF13" s="545">
        <f>IF('Final Calculation Sheet'!$H$29="","",'Final Calculation Sheet'!$H$29)</f>
        <v/>
      </c>
      <c r="AH13" s="566">
        <f>IF('Final Calculation Sheet'!$H$25="","",'Final Calculation Sheet'!$H$25)</f>
        <v/>
      </c>
      <c r="AI13" s="545">
        <f>IF('Final Calculation Sheet'!$H$28="","",'Final Calculation Sheet'!$H$28)</f>
        <v/>
      </c>
      <c r="AK13" s="568">
        <f>IF('Final Calculation Sheet'!$H$30="","",'Final Calculation Sheet'!$H$30)</f>
        <v/>
      </c>
      <c r="AL13" s="545">
        <f>IF('Final Calculation Sheet'!$H$32="","",'Final Calculation Sheet'!$H$32)</f>
        <v/>
      </c>
      <c r="AM13" s="568">
        <f>IF('Final Calculation Sheet'!$H$33="","",'Final Calculation Sheet'!$H$33)</f>
        <v/>
      </c>
      <c r="AO13" s="545">
        <f>IF('Final Calculation Sheet'!$H$31="","",'Final Calculation Sheet'!$H$31)</f>
        <v/>
      </c>
      <c r="AQ13" s="570">
        <f>IF('Final Calculation Sheet'!$H$34="","",'Final Calculation Sheet'!$H$34)</f>
        <v/>
      </c>
      <c r="AS13" s="545">
        <f>IF('Final Calculation Sheet'!$H$4="","",'Final Calculation Sheet'!$H$4)</f>
        <v/>
      </c>
      <c r="AU13" s="569">
        <f>IF('Final Calculation Sheet'!$H$38="","",'Final Calculation Sheet'!$H$38)</f>
        <v/>
      </c>
      <c r="AW13" s="545">
        <f>IF('Final Calculation Sheet'!$H$37="","",'Final Calculation Sheet'!$H$37)</f>
        <v/>
      </c>
      <c r="AY13" s="571">
        <f>IF('Final Calculation Sheet'!$H$8="","",'Final Calculation Sheet'!$H$8)</f>
        <v/>
      </c>
      <c r="BA13" s="545">
        <f>IF('Final Calculation Sheet'!$H$39="","",'Final Calculation Sheet'!$H$39)</f>
        <v/>
      </c>
      <c r="BB13" s="570">
        <f>IF('Final Calculation Sheet'!$H$40="","",'Final Calculation Sheet'!$H$40)</f>
        <v/>
      </c>
      <c r="BD13" s="545">
        <f>IF('Final Calculation Sheet'!$H$36="","",'Final Calculation Sheet'!$H$36)</f>
        <v/>
      </c>
      <c r="BF13" s="566">
        <f>IF('Final Calculation Sheet'!$H$35="","",'Final Calculation Sheet'!$H$35)</f>
        <v/>
      </c>
      <c r="BG13" s="546">
        <f>IF('Final Calculation Sheet'!$H$41="","",'Final Calculation Sheet'!$H$41)</f>
        <v/>
      </c>
    </row>
    <row r="14" ht="15" customHeight="1">
      <c r="A14" s="540" t="inlineStr">
        <is>
          <t>GST</t>
        </is>
      </c>
      <c r="B14" s="566">
        <f>IF('Final Calculation Sheet'!$I$6="","",'Final Calculation Sheet'!$I$6)</f>
        <v/>
      </c>
      <c r="C14" s="545">
        <f>IF('Final Calculation Sheet'!$I$7="","",'Final Calculation Sheet'!$I$7)</f>
        <v/>
      </c>
      <c r="E14" s="567">
        <f>IF('Final Calculation Sheet'!$I$15="","",'Final Calculation Sheet'!$I$15)</f>
        <v/>
      </c>
      <c r="G14" s="545">
        <f>IF('Final Calculation Sheet'!$I$5="","",'Final Calculation Sheet'!$I$5)</f>
        <v/>
      </c>
      <c r="H14" s="568">
        <f>IF('Final Calculation Sheet'!$I$10="","",'Final Calculation Sheet'!$I$10)</f>
        <v/>
      </c>
      <c r="I14" s="545">
        <f>IF('Final Calculation Sheet'!$I$11="","",'Final Calculation Sheet'!$I$11)</f>
        <v/>
      </c>
      <c r="J14" s="568">
        <f>IF('Final Calculation Sheet'!$I$12="","",'Final Calculation Sheet'!$I$12)</f>
        <v/>
      </c>
      <c r="L14" s="545">
        <f>IF('Final Calculation Sheet'!$I$9="","",'Final Calculation Sheet'!$I$9)</f>
        <v/>
      </c>
      <c r="M14" s="569">
        <f>IF('Final Calculation Sheet'!$I$14="","",'Final Calculation Sheet'!$I$14)</f>
        <v/>
      </c>
      <c r="O14" s="545">
        <f>IF('Final Calculation Sheet'!$I$13="","",'Final Calculation Sheet'!$I$13)</f>
        <v/>
      </c>
      <c r="P14" s="570">
        <f>IF('Final Calculation Sheet'!$I$16="","",'Final Calculation Sheet'!$I$16)</f>
        <v/>
      </c>
      <c r="R14" s="545">
        <f>IF('Final Calculation Sheet'!$I$27="","",'Final Calculation Sheet'!$I$27)</f>
        <v/>
      </c>
      <c r="T14" s="568">
        <f>IF('Final Calculation Sheet'!$I$18="","",'Final Calculation Sheet'!$I$18)</f>
        <v/>
      </c>
      <c r="U14" s="545">
        <f>IF('Final Calculation Sheet'!$I$19="","",'Final Calculation Sheet'!$I$19)</f>
        <v/>
      </c>
      <c r="V14" s="568">
        <f>IF('Final Calculation Sheet'!$I$22="","",'Final Calculation Sheet'!$I$22)</f>
        <v/>
      </c>
      <c r="W14" s="545">
        <f>IF('Final Calculation Sheet'!$I$24="","",'Final Calculation Sheet'!$I$24)</f>
        <v/>
      </c>
      <c r="X14" s="568">
        <f>IF('Final Calculation Sheet'!$I$26="","",'Final Calculation Sheet'!$I$26)</f>
        <v/>
      </c>
      <c r="Z14" s="545">
        <f>IF('Final Calculation Sheet'!$I$21="","",'Final Calculation Sheet'!$I$21)</f>
        <v/>
      </c>
      <c r="AB14" s="571">
        <f>IF('Final Calculation Sheet'!$I$20="","",'Final Calculation Sheet'!$I$20)</f>
        <v/>
      </c>
      <c r="AD14" s="545">
        <f>IF('Final Calculation Sheet'!$I$17="","",'Final Calculation Sheet'!$I$17)</f>
        <v/>
      </c>
      <c r="AE14" s="570">
        <f>IF('Final Calculation Sheet'!$I$23="","",'Final Calculation Sheet'!$I$23)</f>
        <v/>
      </c>
      <c r="AF14" s="545">
        <f>IF('Final Calculation Sheet'!$I$29="","",'Final Calculation Sheet'!$I$29)</f>
        <v/>
      </c>
      <c r="AH14" s="566">
        <f>IF('Final Calculation Sheet'!$I$25="","",'Final Calculation Sheet'!$I$25)</f>
        <v/>
      </c>
      <c r="AI14" s="545">
        <f>IF('Final Calculation Sheet'!$I$28="","",'Final Calculation Sheet'!$I$28)</f>
        <v/>
      </c>
      <c r="AK14" s="568">
        <f>IF('Final Calculation Sheet'!$I$30="","",'Final Calculation Sheet'!$I$30)</f>
        <v/>
      </c>
      <c r="AL14" s="545">
        <f>IF('Final Calculation Sheet'!$I$32="","",'Final Calculation Sheet'!$I$32)</f>
        <v/>
      </c>
      <c r="AM14" s="568">
        <f>IF('Final Calculation Sheet'!$I$33="","",'Final Calculation Sheet'!$I$33)</f>
        <v/>
      </c>
      <c r="AO14" s="545">
        <f>IF('Final Calculation Sheet'!$I$31="","",'Final Calculation Sheet'!$I$31)</f>
        <v/>
      </c>
      <c r="AQ14" s="570">
        <f>IF('Final Calculation Sheet'!$I$34="","",'Final Calculation Sheet'!$I$34)</f>
        <v/>
      </c>
      <c r="AS14" s="545">
        <f>IF('Final Calculation Sheet'!$I$4="","",'Final Calculation Sheet'!$I$4)</f>
        <v/>
      </c>
      <c r="AU14" s="569">
        <f>IF('Final Calculation Sheet'!$I$38="","",'Final Calculation Sheet'!$I$38)</f>
        <v/>
      </c>
      <c r="AW14" s="545">
        <f>IF('Final Calculation Sheet'!$I$37="","",'Final Calculation Sheet'!$I$37)</f>
        <v/>
      </c>
      <c r="AY14" s="571">
        <f>IF('Final Calculation Sheet'!$I$8="","",'Final Calculation Sheet'!$I$8)</f>
        <v/>
      </c>
      <c r="BA14" s="545">
        <f>IF('Final Calculation Sheet'!$I$39="","",'Final Calculation Sheet'!$I$39)</f>
        <v/>
      </c>
      <c r="BB14" s="570">
        <f>IF('Final Calculation Sheet'!$I$40="","",'Final Calculation Sheet'!$I$40)</f>
        <v/>
      </c>
      <c r="BD14" s="545">
        <f>IF('Final Calculation Sheet'!$I$36="","",'Final Calculation Sheet'!$I$36)</f>
        <v/>
      </c>
      <c r="BF14" s="566">
        <f>IF('Final Calculation Sheet'!$I$35="","",'Final Calculation Sheet'!$I$35)</f>
        <v/>
      </c>
      <c r="BG14" s="546">
        <f>IF('Final Calculation Sheet'!$I$41="","",'Final Calculation Sheet'!$I$41)</f>
        <v/>
      </c>
    </row>
    <row r="15" ht="15" customHeight="1">
      <c r="A15" s="543" t="inlineStr">
        <is>
          <t>Mat. Value + GST</t>
        </is>
      </c>
      <c r="B15" s="566">
        <f>IF('Final Calculation Sheet'!$J$6="","",'Final Calculation Sheet'!$J$6)</f>
        <v/>
      </c>
      <c r="C15" s="545">
        <f>IF('Final Calculation Sheet'!$J$7="","",'Final Calculation Sheet'!$J$7)</f>
        <v/>
      </c>
      <c r="E15" s="567">
        <f>IF('Final Calculation Sheet'!$J$15="","",'Final Calculation Sheet'!$J$15)</f>
        <v/>
      </c>
      <c r="G15" s="545">
        <f>IF('Final Calculation Sheet'!$J$5="","",'Final Calculation Sheet'!$J$5)</f>
        <v/>
      </c>
      <c r="H15" s="568">
        <f>IF('Final Calculation Sheet'!$J$10="","",'Final Calculation Sheet'!$J$10)</f>
        <v/>
      </c>
      <c r="I15" s="545">
        <f>IF('Final Calculation Sheet'!$J$11="","",'Final Calculation Sheet'!$J$11)</f>
        <v/>
      </c>
      <c r="J15" s="568">
        <f>IF('Final Calculation Sheet'!$J$12="","",'Final Calculation Sheet'!$J$12)</f>
        <v/>
      </c>
      <c r="L15" s="545">
        <f>IF('Final Calculation Sheet'!$J$9="","",'Final Calculation Sheet'!$J$9)</f>
        <v/>
      </c>
      <c r="M15" s="569">
        <f>IF('Final Calculation Sheet'!$J$14="","",'Final Calculation Sheet'!$J$14)</f>
        <v/>
      </c>
      <c r="O15" s="545">
        <f>IF('Final Calculation Sheet'!$J$13="","",'Final Calculation Sheet'!$J$13)</f>
        <v/>
      </c>
      <c r="P15" s="570">
        <f>IF('Final Calculation Sheet'!$J$16="","",'Final Calculation Sheet'!$J$16)</f>
        <v/>
      </c>
      <c r="R15" s="545">
        <f>IF('Final Calculation Sheet'!$J$27="","",'Final Calculation Sheet'!$J$27)</f>
        <v/>
      </c>
      <c r="T15" s="568">
        <f>IF('Final Calculation Sheet'!$J$18="","",'Final Calculation Sheet'!$J$18)</f>
        <v/>
      </c>
      <c r="U15" s="545">
        <f>IF('Final Calculation Sheet'!$J$19="","",'Final Calculation Sheet'!$J$19)</f>
        <v/>
      </c>
      <c r="V15" s="568">
        <f>IF('Final Calculation Sheet'!$J$22="","",'Final Calculation Sheet'!$J$22)</f>
        <v/>
      </c>
      <c r="W15" s="545">
        <f>IF('Final Calculation Sheet'!$J$24="","",'Final Calculation Sheet'!$J$24)</f>
        <v/>
      </c>
      <c r="X15" s="568">
        <f>IF('Final Calculation Sheet'!$J$26="","",'Final Calculation Sheet'!$J$26)</f>
        <v/>
      </c>
      <c r="Z15" s="545">
        <f>IF('Final Calculation Sheet'!$J$21="","",'Final Calculation Sheet'!$J$21)</f>
        <v/>
      </c>
      <c r="AB15" s="571">
        <f>IF('Final Calculation Sheet'!$J$20="","",'Final Calculation Sheet'!$J$20)</f>
        <v/>
      </c>
      <c r="AD15" s="545">
        <f>IF('Final Calculation Sheet'!$J$17="","",'Final Calculation Sheet'!$J$17)</f>
        <v/>
      </c>
      <c r="AE15" s="570">
        <f>IF('Final Calculation Sheet'!$J$23="","",'Final Calculation Sheet'!$J$23)</f>
        <v/>
      </c>
      <c r="AF15" s="545">
        <f>IF('Final Calculation Sheet'!$J$29="","",'Final Calculation Sheet'!$J$29)</f>
        <v/>
      </c>
      <c r="AH15" s="566">
        <f>IF('Final Calculation Sheet'!$J$25="","",'Final Calculation Sheet'!$J$25)</f>
        <v/>
      </c>
      <c r="AI15" s="545">
        <f>IF('Final Calculation Sheet'!$J$28="","",'Final Calculation Sheet'!$J$28)</f>
        <v/>
      </c>
      <c r="AK15" s="568">
        <f>IF('Final Calculation Sheet'!$J$30="","",'Final Calculation Sheet'!$J$30)</f>
        <v/>
      </c>
      <c r="AL15" s="545">
        <f>IF('Final Calculation Sheet'!$J$32="","",'Final Calculation Sheet'!$J$32)</f>
        <v/>
      </c>
      <c r="AM15" s="568">
        <f>IF('Final Calculation Sheet'!$J$33="","",'Final Calculation Sheet'!$J$33)</f>
        <v/>
      </c>
      <c r="AO15" s="545">
        <f>IF('Final Calculation Sheet'!$J$31="","",'Final Calculation Sheet'!$J$31)</f>
        <v/>
      </c>
      <c r="AQ15" s="570">
        <f>IF('Final Calculation Sheet'!$J$34="","",'Final Calculation Sheet'!$J$34)</f>
        <v/>
      </c>
      <c r="AS15" s="545">
        <f>IF('Final Calculation Sheet'!$J$4="","",'Final Calculation Sheet'!$J$4)</f>
        <v/>
      </c>
      <c r="AU15" s="569">
        <f>IF('Final Calculation Sheet'!$J$38="","",'Final Calculation Sheet'!$J$38)</f>
        <v/>
      </c>
      <c r="AW15" s="545">
        <f>IF('Final Calculation Sheet'!$J$37="","",'Final Calculation Sheet'!$J$37)</f>
        <v/>
      </c>
      <c r="AY15" s="571">
        <f>IF('Final Calculation Sheet'!$J$8="","",'Final Calculation Sheet'!$J$8)</f>
        <v/>
      </c>
      <c r="BA15" s="545">
        <f>IF('Final Calculation Sheet'!$J$39="","",'Final Calculation Sheet'!$J$39)</f>
        <v/>
      </c>
      <c r="BB15" s="570">
        <f>IF('Final Calculation Sheet'!$J$40="","",'Final Calculation Sheet'!$J$40)</f>
        <v/>
      </c>
      <c r="BD15" s="545">
        <f>IF('Final Calculation Sheet'!$J$36="","",'Final Calculation Sheet'!$J$36)</f>
        <v/>
      </c>
      <c r="BF15" s="566">
        <f>IF('Final Calculation Sheet'!$J$35="","",'Final Calculation Sheet'!$J$35)</f>
        <v/>
      </c>
      <c r="BG15" s="546">
        <f>IF('Final Calculation Sheet'!$J$41="","",'Final Calculation Sheet'!$J$41)</f>
        <v/>
      </c>
    </row>
    <row r="16" ht="15" customHeight="1">
      <c r="A16" s="540" t="inlineStr">
        <is>
          <t>TCS</t>
        </is>
      </c>
      <c r="B16" s="566">
        <f>IF('Final Calculation Sheet'!$K$6="","",'Final Calculation Sheet'!$K$6)</f>
        <v/>
      </c>
      <c r="C16" s="545">
        <f>IF('Final Calculation Sheet'!$K$7="","",'Final Calculation Sheet'!$K$7)</f>
        <v/>
      </c>
      <c r="E16" s="567">
        <f>IF('Final Calculation Sheet'!$K$15="","",'Final Calculation Sheet'!$K$15)</f>
        <v/>
      </c>
      <c r="G16" s="545">
        <f>IF('Final Calculation Sheet'!$K$5="","",'Final Calculation Sheet'!$K$5)</f>
        <v/>
      </c>
      <c r="H16" s="568">
        <f>IF('Final Calculation Sheet'!$K$10="","",'Final Calculation Sheet'!$K$10)</f>
        <v/>
      </c>
      <c r="I16" s="545">
        <f>IF('Final Calculation Sheet'!$K$11="","",'Final Calculation Sheet'!$K$11)</f>
        <v/>
      </c>
      <c r="J16" s="568">
        <f>IF('Final Calculation Sheet'!$K$12="","",'Final Calculation Sheet'!$K$12)</f>
        <v/>
      </c>
      <c r="L16" s="545">
        <f>IF('Final Calculation Sheet'!$K$9="","",'Final Calculation Sheet'!$K$9)</f>
        <v/>
      </c>
      <c r="M16" s="569">
        <f>IF('Final Calculation Sheet'!$K$14="","",'Final Calculation Sheet'!$K$14)</f>
        <v/>
      </c>
      <c r="O16" s="545">
        <f>IF('Final Calculation Sheet'!$K$13="","",'Final Calculation Sheet'!$K$13)</f>
        <v/>
      </c>
      <c r="P16" s="570">
        <f>IF('Final Calculation Sheet'!$K$16="","",'Final Calculation Sheet'!$K$16)</f>
        <v/>
      </c>
      <c r="R16" s="545">
        <f>IF('Final Calculation Sheet'!$K$27="","",'Final Calculation Sheet'!$K$27)</f>
        <v/>
      </c>
      <c r="T16" s="568">
        <f>IF('Final Calculation Sheet'!$K$18="","",'Final Calculation Sheet'!$K$18)</f>
        <v/>
      </c>
      <c r="U16" s="545">
        <f>IF('Final Calculation Sheet'!$K$19="","",'Final Calculation Sheet'!$K$19)</f>
        <v/>
      </c>
      <c r="V16" s="568">
        <f>IF('Final Calculation Sheet'!$K$22="","",'Final Calculation Sheet'!$K$22)</f>
        <v/>
      </c>
      <c r="W16" s="545">
        <f>IF('Final Calculation Sheet'!$K$24="","",'Final Calculation Sheet'!$K$24)</f>
        <v/>
      </c>
      <c r="X16" s="568">
        <f>IF('Final Calculation Sheet'!$K$26="","",'Final Calculation Sheet'!$K$26)</f>
        <v/>
      </c>
      <c r="Z16" s="545">
        <f>IF('Final Calculation Sheet'!$K$21="","",'Final Calculation Sheet'!$K$21)</f>
        <v/>
      </c>
      <c r="AB16" s="571">
        <f>IF('Final Calculation Sheet'!$K$20="","",'Final Calculation Sheet'!$K$20)</f>
        <v/>
      </c>
      <c r="AD16" s="545">
        <f>IF('Final Calculation Sheet'!$K$17="","",'Final Calculation Sheet'!$K$17)</f>
        <v/>
      </c>
      <c r="AE16" s="570">
        <f>IF('Final Calculation Sheet'!$K$23="","",'Final Calculation Sheet'!$K$23)</f>
        <v/>
      </c>
      <c r="AF16" s="545">
        <f>IF('Final Calculation Sheet'!$K$29="","",'Final Calculation Sheet'!$K$29)</f>
        <v/>
      </c>
      <c r="AH16" s="566">
        <f>IF('Final Calculation Sheet'!$K$25="","",'Final Calculation Sheet'!$K$25)</f>
        <v/>
      </c>
      <c r="AI16" s="545">
        <f>IF('Final Calculation Sheet'!$K$28="","",'Final Calculation Sheet'!$K$28)</f>
        <v/>
      </c>
      <c r="AK16" s="568">
        <f>IF('Final Calculation Sheet'!$K$30="","",'Final Calculation Sheet'!$K$30)</f>
        <v/>
      </c>
      <c r="AL16" s="545">
        <f>IF('Final Calculation Sheet'!$K$32="","",'Final Calculation Sheet'!$K$32)</f>
        <v/>
      </c>
      <c r="AM16" s="568">
        <f>IF('Final Calculation Sheet'!$K$33="","",'Final Calculation Sheet'!$K$33)</f>
        <v/>
      </c>
      <c r="AO16" s="545">
        <f>IF('Final Calculation Sheet'!$K$31="","",'Final Calculation Sheet'!$K$31)</f>
        <v/>
      </c>
      <c r="AQ16" s="570">
        <f>IF('Final Calculation Sheet'!$K$34="","",'Final Calculation Sheet'!$K$34)</f>
        <v/>
      </c>
      <c r="AS16" s="545">
        <f>IF('Final Calculation Sheet'!$K$4="","",'Final Calculation Sheet'!$K$4)</f>
        <v/>
      </c>
      <c r="AU16" s="569">
        <f>IF('Final Calculation Sheet'!$K$38="","",'Final Calculation Sheet'!$K$38)</f>
        <v/>
      </c>
      <c r="AW16" s="545">
        <f>IF('Final Calculation Sheet'!$K$37="","",'Final Calculation Sheet'!$K$37)</f>
        <v/>
      </c>
      <c r="AY16" s="571">
        <f>IF('Final Calculation Sheet'!$K$8="","",'Final Calculation Sheet'!$K$8)</f>
        <v/>
      </c>
      <c r="BA16" s="545">
        <f>IF('Final Calculation Sheet'!$K$39="","",'Final Calculation Sheet'!$K$39)</f>
        <v/>
      </c>
      <c r="BB16" s="570">
        <f>IF('Final Calculation Sheet'!$K$40="","",'Final Calculation Sheet'!$K$40)</f>
        <v/>
      </c>
      <c r="BD16" s="545">
        <f>IF('Final Calculation Sheet'!$K$36="","",'Final Calculation Sheet'!$K$36)</f>
        <v/>
      </c>
      <c r="BF16" s="566">
        <f>IF('Final Calculation Sheet'!$K$35="","",'Final Calculation Sheet'!$K$35)</f>
        <v/>
      </c>
      <c r="BG16" s="546">
        <f>IF('Final Calculation Sheet'!$K$41="","",'Final Calculation Sheet'!$K$41)</f>
        <v/>
      </c>
    </row>
    <row r="17" ht="15" customHeight="1">
      <c r="A17" s="543" t="inlineStr">
        <is>
          <t>TDS u/s 194(O)</t>
        </is>
      </c>
      <c r="B17" s="566">
        <f>IF('Final Calculation Sheet'!$L$6="","",'Final Calculation Sheet'!$L$6)</f>
        <v/>
      </c>
      <c r="C17" s="545">
        <f>IF('Final Calculation Sheet'!$L$7="","",'Final Calculation Sheet'!$L$7)</f>
        <v/>
      </c>
      <c r="E17" s="567">
        <f>IF('Final Calculation Sheet'!$L$15="","",'Final Calculation Sheet'!$L$15)</f>
        <v/>
      </c>
      <c r="G17" s="545">
        <f>IF('Final Calculation Sheet'!$L$5="","",'Final Calculation Sheet'!$L$5)</f>
        <v/>
      </c>
      <c r="H17" s="568">
        <f>IF('Final Calculation Sheet'!$L$10="","",'Final Calculation Sheet'!$L$10)</f>
        <v/>
      </c>
      <c r="I17" s="545">
        <f>IF('Final Calculation Sheet'!$L$11="","",'Final Calculation Sheet'!$L$11)</f>
        <v/>
      </c>
      <c r="J17" s="568">
        <f>IF('Final Calculation Sheet'!$L$12="","",'Final Calculation Sheet'!$L$12)</f>
        <v/>
      </c>
      <c r="L17" s="545">
        <f>IF('Final Calculation Sheet'!$L$9="","",'Final Calculation Sheet'!$L$9)</f>
        <v/>
      </c>
      <c r="M17" s="569">
        <f>IF('Final Calculation Sheet'!$L$14="","",'Final Calculation Sheet'!$L$14)</f>
        <v/>
      </c>
      <c r="O17" s="545">
        <f>IF('Final Calculation Sheet'!$L$13="","",'Final Calculation Sheet'!$L$13)</f>
        <v/>
      </c>
      <c r="P17" s="570">
        <f>IF('Final Calculation Sheet'!$L$16="","",'Final Calculation Sheet'!$L$16)</f>
        <v/>
      </c>
      <c r="R17" s="545">
        <f>IF('Final Calculation Sheet'!$L$27="","",'Final Calculation Sheet'!$L$27)</f>
        <v/>
      </c>
      <c r="T17" s="568">
        <f>IF('Final Calculation Sheet'!$L$18="","",'Final Calculation Sheet'!$L$18)</f>
        <v/>
      </c>
      <c r="U17" s="545">
        <f>IF('Final Calculation Sheet'!$L$19="","",'Final Calculation Sheet'!$L$19)</f>
        <v/>
      </c>
      <c r="V17" s="568">
        <f>IF('Final Calculation Sheet'!$L$22="","",'Final Calculation Sheet'!$L$22)</f>
        <v/>
      </c>
      <c r="W17" s="545">
        <f>IF('Final Calculation Sheet'!$L$24="","",'Final Calculation Sheet'!$L$24)</f>
        <v/>
      </c>
      <c r="X17" s="568">
        <f>IF('Final Calculation Sheet'!$L$26="","",'Final Calculation Sheet'!$L$26)</f>
        <v/>
      </c>
      <c r="Z17" s="545">
        <f>IF('Final Calculation Sheet'!$L$21="","",'Final Calculation Sheet'!$L$21)</f>
        <v/>
      </c>
      <c r="AB17" s="571">
        <f>IF('Final Calculation Sheet'!$L$20="","",'Final Calculation Sheet'!$L$20)</f>
        <v/>
      </c>
      <c r="AD17" s="545">
        <f>IF('Final Calculation Sheet'!$L$17="","",'Final Calculation Sheet'!$L$17)</f>
        <v/>
      </c>
      <c r="AE17" s="570">
        <f>IF('Final Calculation Sheet'!$L$23="","",'Final Calculation Sheet'!$L$23)</f>
        <v/>
      </c>
      <c r="AF17" s="545">
        <f>IF('Final Calculation Sheet'!$L$29="","",'Final Calculation Sheet'!$L$29)</f>
        <v/>
      </c>
      <c r="AH17" s="566">
        <f>IF('Final Calculation Sheet'!$L$25="","",'Final Calculation Sheet'!$L$25)</f>
        <v/>
      </c>
      <c r="AI17" s="545">
        <f>IF('Final Calculation Sheet'!$L$28="","",'Final Calculation Sheet'!$L$28)</f>
        <v/>
      </c>
      <c r="AK17" s="568">
        <f>IF('Final Calculation Sheet'!$L$30="","",'Final Calculation Sheet'!$L$30)</f>
        <v/>
      </c>
      <c r="AL17" s="545">
        <f>IF('Final Calculation Sheet'!$L$32="","",'Final Calculation Sheet'!$L$32)</f>
        <v/>
      </c>
      <c r="AM17" s="568">
        <f>IF('Final Calculation Sheet'!$L$33="","",'Final Calculation Sheet'!$L$33)</f>
        <v/>
      </c>
      <c r="AO17" s="545">
        <f>IF('Final Calculation Sheet'!$L$31="","",'Final Calculation Sheet'!$L$31)</f>
        <v/>
      </c>
      <c r="AQ17" s="570">
        <f>IF('Final Calculation Sheet'!$L$34="","",'Final Calculation Sheet'!$L$34)</f>
        <v/>
      </c>
      <c r="AS17" s="545">
        <f>IF('Final Calculation Sheet'!$L$4="","",'Final Calculation Sheet'!$L$4)</f>
        <v/>
      </c>
      <c r="AU17" s="569">
        <f>IF('Final Calculation Sheet'!$L$38="","",'Final Calculation Sheet'!$L$38)</f>
        <v/>
      </c>
      <c r="AW17" s="545">
        <f>IF('Final Calculation Sheet'!$L$37="","",'Final Calculation Sheet'!$L$37)</f>
        <v/>
      </c>
      <c r="AY17" s="571">
        <f>IF('Final Calculation Sheet'!$L$8="","",'Final Calculation Sheet'!$L$8)</f>
        <v/>
      </c>
      <c r="BA17" s="545">
        <f>IF('Final Calculation Sheet'!$L$39="","",'Final Calculation Sheet'!$L$39)</f>
        <v/>
      </c>
      <c r="BB17" s="570">
        <f>IF('Final Calculation Sheet'!$L$40="","",'Final Calculation Sheet'!$L$40)</f>
        <v/>
      </c>
      <c r="BD17" s="545">
        <f>IF('Final Calculation Sheet'!$L$36="","",'Final Calculation Sheet'!$L$36)</f>
        <v/>
      </c>
      <c r="BF17" s="566">
        <f>IF('Final Calculation Sheet'!$L$35="","",'Final Calculation Sheet'!$L$35)</f>
        <v/>
      </c>
      <c r="BG17" s="546">
        <f>IF('Final Calculation Sheet'!$L$41="","",'Final Calculation Sheet'!$L$41)</f>
        <v/>
      </c>
    </row>
    <row r="18" ht="15" customHeight="1">
      <c r="A18" s="540" t="inlineStr">
        <is>
          <t>Service Charge to MSTC</t>
        </is>
      </c>
      <c r="B18" s="566">
        <f>IF('Final Calculation Sheet'!$M$6="","",'Final Calculation Sheet'!$M$6)</f>
        <v/>
      </c>
      <c r="C18" s="545">
        <f>IF('Final Calculation Sheet'!$M$7="","",'Final Calculation Sheet'!$M$7)</f>
        <v/>
      </c>
      <c r="E18" s="567">
        <f>IF('Final Calculation Sheet'!$M$15="","",'Final Calculation Sheet'!$M$15)</f>
        <v/>
      </c>
      <c r="G18" s="545">
        <f>IF('Final Calculation Sheet'!$M$5="","",'Final Calculation Sheet'!$M$5)</f>
        <v/>
      </c>
      <c r="H18" s="568">
        <f>IF('Final Calculation Sheet'!$M$10="","",'Final Calculation Sheet'!$M$10)</f>
        <v/>
      </c>
      <c r="I18" s="545">
        <f>IF('Final Calculation Sheet'!$M$11="","",'Final Calculation Sheet'!$M$11)</f>
        <v/>
      </c>
      <c r="J18" s="568">
        <f>IF('Final Calculation Sheet'!$M$12="","",'Final Calculation Sheet'!$M$12)</f>
        <v/>
      </c>
      <c r="L18" s="545">
        <f>IF('Final Calculation Sheet'!$M$9="","",'Final Calculation Sheet'!$M$9)</f>
        <v/>
      </c>
      <c r="M18" s="569">
        <f>IF('Final Calculation Sheet'!$M$14="","",'Final Calculation Sheet'!$M$14)</f>
        <v/>
      </c>
      <c r="O18" s="545">
        <f>IF('Final Calculation Sheet'!$M$13="","",'Final Calculation Sheet'!$M$13)</f>
        <v/>
      </c>
      <c r="P18" s="570">
        <f>IF('Final Calculation Sheet'!$M$16="","",'Final Calculation Sheet'!$M$16)</f>
        <v/>
      </c>
      <c r="R18" s="545">
        <f>IF('Final Calculation Sheet'!$M$27="","",'Final Calculation Sheet'!$M$27)</f>
        <v/>
      </c>
      <c r="T18" s="568">
        <f>IF('Final Calculation Sheet'!$M$18="","",'Final Calculation Sheet'!$M$18)</f>
        <v/>
      </c>
      <c r="U18" s="545">
        <f>IF('Final Calculation Sheet'!$M$19="","",'Final Calculation Sheet'!$M$19)</f>
        <v/>
      </c>
      <c r="V18" s="568">
        <f>IF('Final Calculation Sheet'!$M$22="","",'Final Calculation Sheet'!$M$22)</f>
        <v/>
      </c>
      <c r="W18" s="545">
        <f>IF('Final Calculation Sheet'!$M$24="","",'Final Calculation Sheet'!$M$24)</f>
        <v/>
      </c>
      <c r="X18" s="568">
        <f>IF('Final Calculation Sheet'!$M$26="","",'Final Calculation Sheet'!$M$26)</f>
        <v/>
      </c>
      <c r="Z18" s="545">
        <f>IF('Final Calculation Sheet'!$M$21="","",'Final Calculation Sheet'!$M$21)</f>
        <v/>
      </c>
      <c r="AB18" s="571">
        <f>IF('Final Calculation Sheet'!$M$20="","",'Final Calculation Sheet'!$M$20)</f>
        <v/>
      </c>
      <c r="AD18" s="545">
        <f>IF('Final Calculation Sheet'!$M$17="","",'Final Calculation Sheet'!$M$17)</f>
        <v/>
      </c>
      <c r="AE18" s="570">
        <f>IF('Final Calculation Sheet'!$M$23="","",'Final Calculation Sheet'!$M$23)</f>
        <v/>
      </c>
      <c r="AF18" s="545">
        <f>IF('Final Calculation Sheet'!$M$29="","",'Final Calculation Sheet'!$M$29)</f>
        <v/>
      </c>
      <c r="AH18" s="566">
        <f>IF('Final Calculation Sheet'!$M$25="","",'Final Calculation Sheet'!$M$25)</f>
        <v/>
      </c>
      <c r="AI18" s="545">
        <f>IF('Final Calculation Sheet'!$M$28="","",'Final Calculation Sheet'!$M$28)</f>
        <v/>
      </c>
      <c r="AK18" s="568">
        <f>IF('Final Calculation Sheet'!$M$30="","",'Final Calculation Sheet'!$M$30)</f>
        <v/>
      </c>
      <c r="AL18" s="545">
        <f>IF('Final Calculation Sheet'!$M$32="","",'Final Calculation Sheet'!$M$32)</f>
        <v/>
      </c>
      <c r="AM18" s="568">
        <f>IF('Final Calculation Sheet'!$M$33="","",'Final Calculation Sheet'!$M$33)</f>
        <v/>
      </c>
      <c r="AO18" s="545">
        <f>IF('Final Calculation Sheet'!$M$31="","",'Final Calculation Sheet'!$M$31)</f>
        <v/>
      </c>
      <c r="AQ18" s="570">
        <f>IF('Final Calculation Sheet'!$M$34="","",'Final Calculation Sheet'!$M$34)</f>
        <v/>
      </c>
      <c r="AS18" s="545">
        <f>IF('Final Calculation Sheet'!$M$4="","",'Final Calculation Sheet'!$M$4)</f>
        <v/>
      </c>
      <c r="AU18" s="569">
        <f>IF('Final Calculation Sheet'!$M$38="","",'Final Calculation Sheet'!$M$38)</f>
        <v/>
      </c>
      <c r="AW18" s="545">
        <f>IF('Final Calculation Sheet'!$M$37="","",'Final Calculation Sheet'!$M$37)</f>
        <v/>
      </c>
      <c r="AY18" s="571">
        <f>IF('Final Calculation Sheet'!$M$8="","",'Final Calculation Sheet'!$M$8)</f>
        <v/>
      </c>
      <c r="BA18" s="545">
        <f>IF('Final Calculation Sheet'!$M$39="","",'Final Calculation Sheet'!$M$39)</f>
        <v/>
      </c>
      <c r="BB18" s="570">
        <f>IF('Final Calculation Sheet'!$M$40="","",'Final Calculation Sheet'!$M$40)</f>
        <v/>
      </c>
      <c r="BD18" s="545">
        <f>IF('Final Calculation Sheet'!$M$36="","",'Final Calculation Sheet'!$M$36)</f>
        <v/>
      </c>
      <c r="BF18" s="566">
        <f>IF('Final Calculation Sheet'!$M$35="","",'Final Calculation Sheet'!$M$35)</f>
        <v/>
      </c>
      <c r="BG18" s="546">
        <f>IF('Final Calculation Sheet'!$M$41="","",'Final Calculation Sheet'!$M$41)</f>
        <v/>
      </c>
    </row>
    <row r="19" ht="15" customHeight="1">
      <c r="A19" s="543" t="inlineStr">
        <is>
          <t>TDS u/s 194(H)</t>
        </is>
      </c>
      <c r="B19" s="572">
        <f>IF('Final Calculation Sheet'!$N$6="","",'Final Calculation Sheet'!$N$6)</f>
        <v/>
      </c>
      <c r="C19" s="548">
        <f>IF('Final Calculation Sheet'!$N$7="","",'Final Calculation Sheet'!$N$7)</f>
        <v/>
      </c>
      <c r="E19" s="573">
        <f>IF('Final Calculation Sheet'!$N$15="","",'Final Calculation Sheet'!$N$15)</f>
        <v/>
      </c>
      <c r="G19" s="548">
        <f>IF('Final Calculation Sheet'!$N$5="","",'Final Calculation Sheet'!$N$5)</f>
        <v/>
      </c>
      <c r="H19" s="574">
        <f>IF('Final Calculation Sheet'!$N$10="","",'Final Calculation Sheet'!$N$10)</f>
        <v/>
      </c>
      <c r="I19" s="548">
        <f>IF('Final Calculation Sheet'!$N$11="","",'Final Calculation Sheet'!$N$11)</f>
        <v/>
      </c>
      <c r="J19" s="574">
        <f>IF('Final Calculation Sheet'!$N$12="","",'Final Calculation Sheet'!$N$12)</f>
        <v/>
      </c>
      <c r="L19" s="548">
        <f>IF('Final Calculation Sheet'!$N$9="","",'Final Calculation Sheet'!$N$9)</f>
        <v/>
      </c>
      <c r="M19" s="575">
        <f>IF('Final Calculation Sheet'!$N$14="","",'Final Calculation Sheet'!$N$14)</f>
        <v/>
      </c>
      <c r="O19" s="548">
        <f>IF('Final Calculation Sheet'!$N$13="","",'Final Calculation Sheet'!$N$13)</f>
        <v/>
      </c>
      <c r="P19" s="576">
        <f>IF('Final Calculation Sheet'!$N$16="","",'Final Calculation Sheet'!$N$16)</f>
        <v/>
      </c>
      <c r="R19" s="548">
        <f>IF('Final Calculation Sheet'!$N$27="","",'Final Calculation Sheet'!$N$27)</f>
        <v/>
      </c>
      <c r="T19" s="574">
        <f>IF('Final Calculation Sheet'!$N$18="","",'Final Calculation Sheet'!$N$18)</f>
        <v/>
      </c>
      <c r="U19" s="548">
        <f>IF('Final Calculation Sheet'!$N$19="","",'Final Calculation Sheet'!$N$19)</f>
        <v/>
      </c>
      <c r="V19" s="574">
        <f>IF('Final Calculation Sheet'!$N$22="","",'Final Calculation Sheet'!$N$22)</f>
        <v/>
      </c>
      <c r="W19" s="548">
        <f>IF('Final Calculation Sheet'!$N$24="","",'Final Calculation Sheet'!$N$24)</f>
        <v/>
      </c>
      <c r="X19" s="574">
        <f>IF('Final Calculation Sheet'!$N$26="","",'Final Calculation Sheet'!$N$26)</f>
        <v/>
      </c>
      <c r="Z19" s="548">
        <f>IF('Final Calculation Sheet'!$N$21="","",'Final Calculation Sheet'!$N$21)</f>
        <v/>
      </c>
      <c r="AB19" s="577">
        <f>IF('Final Calculation Sheet'!$N$20="","",'Final Calculation Sheet'!$N$20)</f>
        <v/>
      </c>
      <c r="AD19" s="548">
        <f>IF('Final Calculation Sheet'!$N$17="","",'Final Calculation Sheet'!$N$17)</f>
        <v/>
      </c>
      <c r="AE19" s="576">
        <f>IF('Final Calculation Sheet'!$N$23="","",'Final Calculation Sheet'!$N$23)</f>
        <v/>
      </c>
      <c r="AF19" s="548">
        <f>IF('Final Calculation Sheet'!$N$29="","",'Final Calculation Sheet'!$N$29)</f>
        <v/>
      </c>
      <c r="AH19" s="572">
        <f>IF('Final Calculation Sheet'!$N$25="","",'Final Calculation Sheet'!$N$25)</f>
        <v/>
      </c>
      <c r="AI19" s="548">
        <f>IF('Final Calculation Sheet'!$N$28="","",'Final Calculation Sheet'!$N$28)</f>
        <v/>
      </c>
      <c r="AK19" s="574">
        <f>IF('Final Calculation Sheet'!$N$30="","",'Final Calculation Sheet'!$N$30)</f>
        <v/>
      </c>
      <c r="AL19" s="548">
        <f>IF('Final Calculation Sheet'!$N$32="","",'Final Calculation Sheet'!$N$32)</f>
        <v/>
      </c>
      <c r="AM19" s="574">
        <f>IF('Final Calculation Sheet'!$N$33="","",'Final Calculation Sheet'!$N$33)</f>
        <v/>
      </c>
      <c r="AO19" s="548">
        <f>IF('Final Calculation Sheet'!$N$31="","",'Final Calculation Sheet'!$N$31)</f>
        <v/>
      </c>
      <c r="AQ19" s="576">
        <f>IF('Final Calculation Sheet'!$N$34="","",'Final Calculation Sheet'!$N$34)</f>
        <v/>
      </c>
      <c r="AS19" s="548">
        <f>IF('Final Calculation Sheet'!$N$4="","",'Final Calculation Sheet'!$N$4)</f>
        <v/>
      </c>
      <c r="AU19" s="575">
        <f>IF('Final Calculation Sheet'!$N$38="","",'Final Calculation Sheet'!$N$38)</f>
        <v/>
      </c>
      <c r="AW19" s="548">
        <f>IF('Final Calculation Sheet'!$N$37="","",'Final Calculation Sheet'!$N$37)</f>
        <v/>
      </c>
      <c r="AY19" s="577">
        <f>IF('Final Calculation Sheet'!$N$8="","",'Final Calculation Sheet'!$N$8)</f>
        <v/>
      </c>
      <c r="BA19" s="548">
        <f>IF('Final Calculation Sheet'!$N$39="","",'Final Calculation Sheet'!$N$39)</f>
        <v/>
      </c>
      <c r="BB19" s="576">
        <f>IF('Final Calculation Sheet'!$N$40="","",'Final Calculation Sheet'!$N$40)</f>
        <v/>
      </c>
      <c r="BD19" s="548">
        <f>IF('Final Calculation Sheet'!$N$36="","",'Final Calculation Sheet'!$N$36)</f>
        <v/>
      </c>
      <c r="BF19" s="572">
        <f>IF('Final Calculation Sheet'!$N$35="","",'Final Calculation Sheet'!$N$35)</f>
        <v/>
      </c>
      <c r="BG19" s="414">
        <f>IF('Final Calculation Sheet'!$N$41="","",'Final Calculation Sheet'!$N$41)</f>
        <v/>
      </c>
    </row>
    <row r="20" ht="15" customHeight="1">
      <c r="A20" s="540" t="inlineStr">
        <is>
          <t>Net Service Charge (post TDS 194H)</t>
        </is>
      </c>
      <c r="B20" s="566">
        <f>IF('Final Calculation Sheet'!$O$6="","",'Final Calculation Sheet'!$O$6)</f>
        <v/>
      </c>
      <c r="C20" s="545">
        <f>IF('Final Calculation Sheet'!$O$7="","",'Final Calculation Sheet'!$O$7)</f>
        <v/>
      </c>
      <c r="E20" s="567">
        <f>IF('Final Calculation Sheet'!$O$15="","",'Final Calculation Sheet'!$O$15)</f>
        <v/>
      </c>
      <c r="G20" s="545">
        <f>IF('Final Calculation Sheet'!$O$5="","",'Final Calculation Sheet'!$O$5)</f>
        <v/>
      </c>
      <c r="H20" s="568">
        <f>IF('Final Calculation Sheet'!$O$10="","",'Final Calculation Sheet'!$O$10)</f>
        <v/>
      </c>
      <c r="I20" s="545">
        <f>IF('Final Calculation Sheet'!$O$11="","",'Final Calculation Sheet'!$O$11)</f>
        <v/>
      </c>
      <c r="J20" s="568">
        <f>IF('Final Calculation Sheet'!$O$12="","",'Final Calculation Sheet'!$O$12)</f>
        <v/>
      </c>
      <c r="L20" s="545">
        <f>IF('Final Calculation Sheet'!$O$9="","",'Final Calculation Sheet'!$O$9)</f>
        <v/>
      </c>
      <c r="M20" s="569">
        <f>IF('Final Calculation Sheet'!$O$14="","",'Final Calculation Sheet'!$O$14)</f>
        <v/>
      </c>
      <c r="O20" s="545">
        <f>IF('Final Calculation Sheet'!$O$13="","",'Final Calculation Sheet'!$O$13)</f>
        <v/>
      </c>
      <c r="P20" s="570">
        <f>IF('Final Calculation Sheet'!$O$16="","",'Final Calculation Sheet'!$O$16)</f>
        <v/>
      </c>
      <c r="R20" s="545">
        <f>IF('Final Calculation Sheet'!$O$27="","",'Final Calculation Sheet'!$O$27)</f>
        <v/>
      </c>
      <c r="T20" s="568">
        <f>IF('Final Calculation Sheet'!$O$18="","",'Final Calculation Sheet'!$O$18)</f>
        <v/>
      </c>
      <c r="U20" s="545">
        <f>IF('Final Calculation Sheet'!$O$19="","",'Final Calculation Sheet'!$O$19)</f>
        <v/>
      </c>
      <c r="V20" s="568">
        <f>IF('Final Calculation Sheet'!$O$22="","",'Final Calculation Sheet'!$O$22)</f>
        <v/>
      </c>
      <c r="W20" s="545">
        <f>IF('Final Calculation Sheet'!$O$24="","",'Final Calculation Sheet'!$O$24)</f>
        <v/>
      </c>
      <c r="X20" s="568">
        <f>IF('Final Calculation Sheet'!$O$26="","",'Final Calculation Sheet'!$O$26)</f>
        <v/>
      </c>
      <c r="Z20" s="545">
        <f>IF('Final Calculation Sheet'!$O$21="","",'Final Calculation Sheet'!$O$21)</f>
        <v/>
      </c>
      <c r="AB20" s="571">
        <f>IF('Final Calculation Sheet'!$O$20="","",'Final Calculation Sheet'!$O$20)</f>
        <v/>
      </c>
      <c r="AD20" s="545">
        <f>IF('Final Calculation Sheet'!$O$17="","",'Final Calculation Sheet'!$O$17)</f>
        <v/>
      </c>
      <c r="AE20" s="570">
        <f>IF('Final Calculation Sheet'!$O$23="","",'Final Calculation Sheet'!$O$23)</f>
        <v/>
      </c>
      <c r="AF20" s="545">
        <f>IF('Final Calculation Sheet'!$O$29="","",'Final Calculation Sheet'!$O$29)</f>
        <v/>
      </c>
      <c r="AH20" s="566">
        <f>IF('Final Calculation Sheet'!$O$25="","",'Final Calculation Sheet'!$O$25)</f>
        <v/>
      </c>
      <c r="AI20" s="545">
        <f>IF('Final Calculation Sheet'!$O$28="","",'Final Calculation Sheet'!$O$28)</f>
        <v/>
      </c>
      <c r="AK20" s="568">
        <f>IF('Final Calculation Sheet'!$O$30="","",'Final Calculation Sheet'!$O$30)</f>
        <v/>
      </c>
      <c r="AL20" s="545">
        <f>IF('Final Calculation Sheet'!$O$32="","",'Final Calculation Sheet'!$O$32)</f>
        <v/>
      </c>
      <c r="AM20" s="568">
        <f>IF('Final Calculation Sheet'!$O$33="","",'Final Calculation Sheet'!$O$33)</f>
        <v/>
      </c>
      <c r="AO20" s="545">
        <f>IF('Final Calculation Sheet'!$O$31="","",'Final Calculation Sheet'!$O$31)</f>
        <v/>
      </c>
      <c r="AQ20" s="570">
        <f>IF('Final Calculation Sheet'!$O$34="","",'Final Calculation Sheet'!$O$34)</f>
        <v/>
      </c>
      <c r="AS20" s="545">
        <f>IF('Final Calculation Sheet'!$O$4="","",'Final Calculation Sheet'!$O$4)</f>
        <v/>
      </c>
      <c r="AU20" s="569">
        <f>IF('Final Calculation Sheet'!$O$38="","",'Final Calculation Sheet'!$O$38)</f>
        <v/>
      </c>
      <c r="AW20" s="545">
        <f>IF('Final Calculation Sheet'!$O$37="","",'Final Calculation Sheet'!$O$37)</f>
        <v/>
      </c>
      <c r="AY20" s="571">
        <f>IF('Final Calculation Sheet'!$O$8="","",'Final Calculation Sheet'!$O$8)</f>
        <v/>
      </c>
      <c r="BA20" s="545">
        <f>IF('Final Calculation Sheet'!$O$39="","",'Final Calculation Sheet'!$O$39)</f>
        <v/>
      </c>
      <c r="BB20" s="570">
        <f>IF('Final Calculation Sheet'!$O$40="","",'Final Calculation Sheet'!$O$40)</f>
        <v/>
      </c>
      <c r="BD20" s="545">
        <f>IF('Final Calculation Sheet'!$O$36="","",'Final Calculation Sheet'!$O$36)</f>
        <v/>
      </c>
      <c r="BF20" s="566">
        <f>IF('Final Calculation Sheet'!$O$35="","",'Final Calculation Sheet'!$O$35)</f>
        <v/>
      </c>
      <c r="BG20" s="546">
        <f>IF('Final Calculation Sheet'!$O$41="","",'Final Calculation Sheet'!$O$41)</f>
        <v/>
      </c>
    </row>
    <row r="21" ht="15" customHeight="1">
      <c r="A21" s="543" t="inlineStr">
        <is>
          <t>Service charge to MSTC</t>
        </is>
      </c>
      <c r="B21" s="566">
        <f>IF('Final Calculation Sheet'!$P$6="","",'Final Calculation Sheet'!$P$6)</f>
        <v/>
      </c>
      <c r="C21" s="545">
        <f>IF('Final Calculation Sheet'!$P$7="","",'Final Calculation Sheet'!$P$7)</f>
        <v/>
      </c>
      <c r="E21" s="567">
        <f>IF('Final Calculation Sheet'!$P$15="","",'Final Calculation Sheet'!$P$15)</f>
        <v/>
      </c>
      <c r="G21" s="545">
        <f>IF('Final Calculation Sheet'!$P$5="","",'Final Calculation Sheet'!$P$5)</f>
        <v/>
      </c>
      <c r="H21" s="568">
        <f>IF('Final Calculation Sheet'!$P$10="","",'Final Calculation Sheet'!$P$10)</f>
        <v/>
      </c>
      <c r="I21" s="545">
        <f>IF('Final Calculation Sheet'!$P$11="","",'Final Calculation Sheet'!$P$11)</f>
        <v/>
      </c>
      <c r="J21" s="568">
        <f>IF('Final Calculation Sheet'!$P$12="","",'Final Calculation Sheet'!$P$12)</f>
        <v/>
      </c>
      <c r="L21" s="545">
        <f>IF('Final Calculation Sheet'!$P$9="","",'Final Calculation Sheet'!$P$9)</f>
        <v/>
      </c>
      <c r="M21" s="569">
        <f>IF('Final Calculation Sheet'!$P$14="","",'Final Calculation Sheet'!$P$14)</f>
        <v/>
      </c>
      <c r="O21" s="545">
        <f>IF('Final Calculation Sheet'!$P$13="","",'Final Calculation Sheet'!$P$13)</f>
        <v/>
      </c>
      <c r="P21" s="570">
        <f>IF('Final Calculation Sheet'!$P$16="","",'Final Calculation Sheet'!$P$16)</f>
        <v/>
      </c>
      <c r="R21" s="545">
        <f>IF('Final Calculation Sheet'!$P$27="","",'Final Calculation Sheet'!$P$27)</f>
        <v/>
      </c>
      <c r="T21" s="568">
        <f>IF('Final Calculation Sheet'!$P$18="","",'Final Calculation Sheet'!$P$18)</f>
        <v/>
      </c>
      <c r="U21" s="545">
        <f>IF('Final Calculation Sheet'!$P$19="","",'Final Calculation Sheet'!$P$19)</f>
        <v/>
      </c>
      <c r="V21" s="568">
        <f>IF('Final Calculation Sheet'!$P$22="","",'Final Calculation Sheet'!$P$22)</f>
        <v/>
      </c>
      <c r="W21" s="545">
        <f>IF('Final Calculation Sheet'!$P$24="","",'Final Calculation Sheet'!$P$24)</f>
        <v/>
      </c>
      <c r="X21" s="568">
        <f>IF('Final Calculation Sheet'!$P$26="","",'Final Calculation Sheet'!$P$26)</f>
        <v/>
      </c>
      <c r="Z21" s="545">
        <f>IF('Final Calculation Sheet'!$P$21="","",'Final Calculation Sheet'!$P$21)</f>
        <v/>
      </c>
      <c r="AB21" s="571">
        <f>IF('Final Calculation Sheet'!$P$20="","",'Final Calculation Sheet'!$P$20)</f>
        <v/>
      </c>
      <c r="AD21" s="545">
        <f>IF('Final Calculation Sheet'!$P$17="","",'Final Calculation Sheet'!$P$17)</f>
        <v/>
      </c>
      <c r="AE21" s="570">
        <f>IF('Final Calculation Sheet'!$P$23="","",'Final Calculation Sheet'!$P$23)</f>
        <v/>
      </c>
      <c r="AF21" s="545">
        <f>IF('Final Calculation Sheet'!$P$29="","",'Final Calculation Sheet'!$P$29)</f>
        <v/>
      </c>
      <c r="AH21" s="566">
        <f>IF('Final Calculation Sheet'!$P$25="","",'Final Calculation Sheet'!$P$25)</f>
        <v/>
      </c>
      <c r="AI21" s="545">
        <f>IF('Final Calculation Sheet'!$P$28="","",'Final Calculation Sheet'!$P$28)</f>
        <v/>
      </c>
      <c r="AK21" s="568">
        <f>IF('Final Calculation Sheet'!$P$30="","",'Final Calculation Sheet'!$P$30)</f>
        <v/>
      </c>
      <c r="AL21" s="545">
        <f>IF('Final Calculation Sheet'!$P$32="","",'Final Calculation Sheet'!$P$32)</f>
        <v/>
      </c>
      <c r="AM21" s="568">
        <f>IF('Final Calculation Sheet'!$P$33="","",'Final Calculation Sheet'!$P$33)</f>
        <v/>
      </c>
      <c r="AO21" s="545">
        <f>IF('Final Calculation Sheet'!$P$31="","",'Final Calculation Sheet'!$P$31)</f>
        <v/>
      </c>
      <c r="AQ21" s="570">
        <f>IF('Final Calculation Sheet'!$P$34="","",'Final Calculation Sheet'!$P$34)</f>
        <v/>
      </c>
      <c r="AS21" s="545">
        <f>IF('Final Calculation Sheet'!$P$4="","",'Final Calculation Sheet'!$P$4)</f>
        <v/>
      </c>
      <c r="AU21" s="569">
        <f>IF('Final Calculation Sheet'!$P$38="","",'Final Calculation Sheet'!$P$38)</f>
        <v/>
      </c>
      <c r="AW21" s="545">
        <f>IF('Final Calculation Sheet'!$P$37="","",'Final Calculation Sheet'!$P$37)</f>
        <v/>
      </c>
      <c r="AY21" s="571">
        <f>IF('Final Calculation Sheet'!$P$8="","",'Final Calculation Sheet'!$P$8)</f>
        <v/>
      </c>
      <c r="BA21" s="545">
        <f>IF('Final Calculation Sheet'!$P$39="","",'Final Calculation Sheet'!$P$39)</f>
        <v/>
      </c>
      <c r="BB21" s="570">
        <f>IF('Final Calculation Sheet'!$P$40="","",'Final Calculation Sheet'!$P$40)</f>
        <v/>
      </c>
      <c r="BD21" s="545">
        <f>IF('Final Calculation Sheet'!$P$36="","",'Final Calculation Sheet'!$P$36)</f>
        <v/>
      </c>
      <c r="BF21" s="566">
        <f>IF('Final Calculation Sheet'!$P$35="","",'Final Calculation Sheet'!$P$35)</f>
        <v/>
      </c>
      <c r="BG21" s="546">
        <f>IF('Final Calculation Sheet'!$P$41="","",'Final Calculation Sheet'!$P$41)</f>
        <v/>
      </c>
    </row>
    <row r="22" ht="15" customHeight="1">
      <c r="A22" s="540" t="inlineStr">
        <is>
          <t>GST TDS Rate</t>
        </is>
      </c>
      <c r="B22" s="578">
        <f>IF('Final Calculation Sheet'!$Q$6="","",'Final Calculation Sheet'!$Q$6)</f>
        <v/>
      </c>
      <c r="C22" s="550">
        <f>IF('Final Calculation Sheet'!$Q$7="","",'Final Calculation Sheet'!$Q$7)</f>
        <v/>
      </c>
      <c r="E22" s="579">
        <f>IF('Final Calculation Sheet'!$Q$15="","",'Final Calculation Sheet'!$Q$15)</f>
        <v/>
      </c>
      <c r="G22" s="550">
        <f>IF('Final Calculation Sheet'!$Q$5="","",'Final Calculation Sheet'!$Q$5)</f>
        <v/>
      </c>
      <c r="H22" s="580">
        <f>IF('Final Calculation Sheet'!$Q$10="","",'Final Calculation Sheet'!$Q$10)</f>
        <v/>
      </c>
      <c r="I22" s="550">
        <f>IF('Final Calculation Sheet'!$Q$11="","",'Final Calculation Sheet'!$Q$11)</f>
        <v/>
      </c>
      <c r="J22" s="580">
        <f>IF('Final Calculation Sheet'!$Q$12="","",'Final Calculation Sheet'!$Q$12)</f>
        <v/>
      </c>
      <c r="L22" s="550">
        <f>IF('Final Calculation Sheet'!$Q$9="","",'Final Calculation Sheet'!$Q$9)</f>
        <v/>
      </c>
      <c r="M22" s="581">
        <f>IF('Final Calculation Sheet'!$Q$14="","",'Final Calculation Sheet'!$Q$14)</f>
        <v/>
      </c>
      <c r="O22" s="550">
        <f>IF('Final Calculation Sheet'!$Q$13="","",'Final Calculation Sheet'!$Q$13)</f>
        <v/>
      </c>
      <c r="P22" s="582">
        <f>IF('Final Calculation Sheet'!$Q$16="","",'Final Calculation Sheet'!$Q$16)</f>
        <v/>
      </c>
      <c r="R22" s="550">
        <f>IF('Final Calculation Sheet'!$Q$27="","",'Final Calculation Sheet'!$Q$27)</f>
        <v/>
      </c>
      <c r="T22" s="580">
        <f>IF('Final Calculation Sheet'!$Q$18="","",'Final Calculation Sheet'!$Q$18)</f>
        <v/>
      </c>
      <c r="U22" s="550">
        <f>IF('Final Calculation Sheet'!$Q$19="","",'Final Calculation Sheet'!$Q$19)</f>
        <v/>
      </c>
      <c r="V22" s="580">
        <f>IF('Final Calculation Sheet'!$Q$22="","",'Final Calculation Sheet'!$Q$22)</f>
        <v/>
      </c>
      <c r="W22" s="550">
        <f>IF('Final Calculation Sheet'!$Q$24="","",'Final Calculation Sheet'!$Q$24)</f>
        <v/>
      </c>
      <c r="X22" s="580">
        <f>IF('Final Calculation Sheet'!$Q$26="","",'Final Calculation Sheet'!$Q$26)</f>
        <v/>
      </c>
      <c r="Z22" s="550">
        <f>IF('Final Calculation Sheet'!$Q$21="","",'Final Calculation Sheet'!$Q$21)</f>
        <v/>
      </c>
      <c r="AB22" s="583">
        <f>IF('Final Calculation Sheet'!$Q$20="","",'Final Calculation Sheet'!$Q$20)</f>
        <v/>
      </c>
      <c r="AD22" s="550">
        <f>IF('Final Calculation Sheet'!$Q$17="","",'Final Calculation Sheet'!$Q$17)</f>
        <v/>
      </c>
      <c r="AE22" s="582">
        <f>IF('Final Calculation Sheet'!$Q$23="","",'Final Calculation Sheet'!$Q$23)</f>
        <v/>
      </c>
      <c r="AF22" s="550">
        <f>IF('Final Calculation Sheet'!$Q$29="","",'Final Calculation Sheet'!$Q$29)</f>
        <v/>
      </c>
      <c r="AH22" s="578">
        <f>IF('Final Calculation Sheet'!$Q$25="","",'Final Calculation Sheet'!$Q$25)</f>
        <v/>
      </c>
      <c r="AI22" s="550">
        <f>IF('Final Calculation Sheet'!$Q$28="","",'Final Calculation Sheet'!$Q$28)</f>
        <v/>
      </c>
      <c r="AK22" s="580">
        <f>IF('Final Calculation Sheet'!$Q$30="","",'Final Calculation Sheet'!$Q$30)</f>
        <v/>
      </c>
      <c r="AL22" s="550">
        <f>IF('Final Calculation Sheet'!$Q$32="","",'Final Calculation Sheet'!$Q$32)</f>
        <v/>
      </c>
      <c r="AM22" s="580">
        <f>IF('Final Calculation Sheet'!$Q$33="","",'Final Calculation Sheet'!$Q$33)</f>
        <v/>
      </c>
      <c r="AO22" s="550">
        <f>IF('Final Calculation Sheet'!$Q$31="","",'Final Calculation Sheet'!$Q$31)</f>
        <v/>
      </c>
      <c r="AQ22" s="582">
        <f>IF('Final Calculation Sheet'!$Q$34="","",'Final Calculation Sheet'!$Q$34)</f>
        <v/>
      </c>
      <c r="AS22" s="550">
        <f>IF('Final Calculation Sheet'!$Q$4="","",'Final Calculation Sheet'!$Q$4)</f>
        <v/>
      </c>
      <c r="AU22" s="581">
        <f>IF('Final Calculation Sheet'!$Q$38="","",'Final Calculation Sheet'!$Q$38)</f>
        <v/>
      </c>
      <c r="AW22" s="550">
        <f>IF('Final Calculation Sheet'!$Q$37="","",'Final Calculation Sheet'!$Q$37)</f>
        <v/>
      </c>
      <c r="AY22" s="583">
        <f>IF('Final Calculation Sheet'!$Q$8="","",'Final Calculation Sheet'!$Q$8)</f>
        <v/>
      </c>
      <c r="BA22" s="550">
        <f>IF('Final Calculation Sheet'!$Q$39="","",'Final Calculation Sheet'!$Q$39)</f>
        <v/>
      </c>
      <c r="BB22" s="582">
        <f>IF('Final Calculation Sheet'!$Q$40="","",'Final Calculation Sheet'!$Q$40)</f>
        <v/>
      </c>
      <c r="BD22" s="550">
        <f>IF('Final Calculation Sheet'!$Q$36="","",'Final Calculation Sheet'!$Q$36)</f>
        <v/>
      </c>
      <c r="BF22" s="578">
        <f>IF('Final Calculation Sheet'!$Q$35="","",'Final Calculation Sheet'!$Q$35)</f>
        <v/>
      </c>
      <c r="BG22" s="551">
        <f>IF('Final Calculation Sheet'!$Q$41="","",'Final Calculation Sheet'!$Q$41)</f>
        <v/>
      </c>
    </row>
    <row r="23" ht="15" customHeight="1">
      <c r="A23" s="543" t="inlineStr">
        <is>
          <t>GST TDS</t>
        </is>
      </c>
      <c r="B23" s="566">
        <f>IF('Final Calculation Sheet'!$R$6="","",'Final Calculation Sheet'!$R$6)</f>
        <v/>
      </c>
      <c r="C23" s="545">
        <f>IF('Final Calculation Sheet'!$R$7="","",'Final Calculation Sheet'!$R$7)</f>
        <v/>
      </c>
      <c r="E23" s="567">
        <f>IF('Final Calculation Sheet'!$R$15="","",'Final Calculation Sheet'!$R$15)</f>
        <v/>
      </c>
      <c r="G23" s="545">
        <f>IF('Final Calculation Sheet'!$R$5="","",'Final Calculation Sheet'!$R$5)</f>
        <v/>
      </c>
      <c r="H23" s="568">
        <f>IF('Final Calculation Sheet'!$R$10="","",'Final Calculation Sheet'!$R$10)</f>
        <v/>
      </c>
      <c r="I23" s="545">
        <f>IF('Final Calculation Sheet'!$R$11="","",'Final Calculation Sheet'!$R$11)</f>
        <v/>
      </c>
      <c r="J23" s="568">
        <f>IF('Final Calculation Sheet'!$R$12="","",'Final Calculation Sheet'!$R$12)</f>
        <v/>
      </c>
      <c r="L23" s="545">
        <f>IF('Final Calculation Sheet'!$R$9="","",'Final Calculation Sheet'!$R$9)</f>
        <v/>
      </c>
      <c r="M23" s="569">
        <f>IF('Final Calculation Sheet'!$R$14="","",'Final Calculation Sheet'!$R$14)</f>
        <v/>
      </c>
      <c r="O23" s="545">
        <f>IF('Final Calculation Sheet'!$R$13="","",'Final Calculation Sheet'!$R$13)</f>
        <v/>
      </c>
      <c r="P23" s="570">
        <f>IF('Final Calculation Sheet'!$R$16="","",'Final Calculation Sheet'!$R$16)</f>
        <v/>
      </c>
      <c r="R23" s="545">
        <f>IF('Final Calculation Sheet'!$R$27="","",'Final Calculation Sheet'!$R$27)</f>
        <v/>
      </c>
      <c r="T23" s="568">
        <f>IF('Final Calculation Sheet'!$R$18="","",'Final Calculation Sheet'!$R$18)</f>
        <v/>
      </c>
      <c r="U23" s="545">
        <f>IF('Final Calculation Sheet'!$R$19="","",'Final Calculation Sheet'!$R$19)</f>
        <v/>
      </c>
      <c r="V23" s="568">
        <f>IF('Final Calculation Sheet'!$R$22="","",'Final Calculation Sheet'!$R$22)</f>
        <v/>
      </c>
      <c r="W23" s="545">
        <f>IF('Final Calculation Sheet'!$R$24="","",'Final Calculation Sheet'!$R$24)</f>
        <v/>
      </c>
      <c r="X23" s="568">
        <f>IF('Final Calculation Sheet'!$R$26="","",'Final Calculation Sheet'!$R$26)</f>
        <v/>
      </c>
      <c r="Z23" s="545">
        <f>IF('Final Calculation Sheet'!$R$21="","",'Final Calculation Sheet'!$R$21)</f>
        <v/>
      </c>
      <c r="AB23" s="571">
        <f>IF('Final Calculation Sheet'!$R$20="","",'Final Calculation Sheet'!$R$20)</f>
        <v/>
      </c>
      <c r="AD23" s="545">
        <f>IF('Final Calculation Sheet'!$R$17="","",'Final Calculation Sheet'!$R$17)</f>
        <v/>
      </c>
      <c r="AE23" s="570">
        <f>IF('Final Calculation Sheet'!$R$23="","",'Final Calculation Sheet'!$R$23)</f>
        <v/>
      </c>
      <c r="AF23" s="545">
        <f>IF('Final Calculation Sheet'!$R$29="","",'Final Calculation Sheet'!$R$29)</f>
        <v/>
      </c>
      <c r="AH23" s="566">
        <f>IF('Final Calculation Sheet'!$R$25="","",'Final Calculation Sheet'!$R$25)</f>
        <v/>
      </c>
      <c r="AI23" s="545">
        <f>IF('Final Calculation Sheet'!$R$28="","",'Final Calculation Sheet'!$R$28)</f>
        <v/>
      </c>
      <c r="AK23" s="568">
        <f>IF('Final Calculation Sheet'!$R$30="","",'Final Calculation Sheet'!$R$30)</f>
        <v/>
      </c>
      <c r="AL23" s="545">
        <f>IF('Final Calculation Sheet'!$R$32="","",'Final Calculation Sheet'!$R$32)</f>
        <v/>
      </c>
      <c r="AM23" s="568">
        <f>IF('Final Calculation Sheet'!$R$33="","",'Final Calculation Sheet'!$R$33)</f>
        <v/>
      </c>
      <c r="AO23" s="545">
        <f>IF('Final Calculation Sheet'!$R$31="","",'Final Calculation Sheet'!$R$31)</f>
        <v/>
      </c>
      <c r="AQ23" s="570">
        <f>IF('Final Calculation Sheet'!$R$34="","",'Final Calculation Sheet'!$R$34)</f>
        <v/>
      </c>
      <c r="AS23" s="545">
        <f>IF('Final Calculation Sheet'!$R$4="","",'Final Calculation Sheet'!$R$4)</f>
        <v/>
      </c>
      <c r="AU23" s="569">
        <f>IF('Final Calculation Sheet'!$R$38="","",'Final Calculation Sheet'!$R$38)</f>
        <v/>
      </c>
      <c r="AW23" s="545">
        <f>IF('Final Calculation Sheet'!$R$37="","",'Final Calculation Sheet'!$R$37)</f>
        <v/>
      </c>
      <c r="AY23" s="571">
        <f>IF('Final Calculation Sheet'!$R$8="","",'Final Calculation Sheet'!$R$8)</f>
        <v/>
      </c>
      <c r="BA23" s="545">
        <f>IF('Final Calculation Sheet'!$R$39="","",'Final Calculation Sheet'!$R$39)</f>
        <v/>
      </c>
      <c r="BB23" s="570">
        <f>IF('Final Calculation Sheet'!$R$40="","",'Final Calculation Sheet'!$R$40)</f>
        <v/>
      </c>
      <c r="BD23" s="545">
        <f>IF('Final Calculation Sheet'!$R$36="","",'Final Calculation Sheet'!$R$36)</f>
        <v/>
      </c>
      <c r="BF23" s="566">
        <f>IF('Final Calculation Sheet'!$R$35="","",'Final Calculation Sheet'!$R$35)</f>
        <v/>
      </c>
      <c r="BG23" s="546">
        <f>IF('Final Calculation Sheet'!$R$41="","",'Final Calculation Sheet'!$R$41)</f>
        <v/>
      </c>
    </row>
    <row r="24" ht="15" customHeight="1">
      <c r="A24" s="540" t="inlineStr">
        <is>
          <t>Total Receivables in Cash</t>
        </is>
      </c>
      <c r="B24" s="566">
        <f>IF('Final Calculation Sheet'!$S$6="","",'Final Calculation Sheet'!$S$6)</f>
        <v/>
      </c>
      <c r="C24" s="545">
        <f>IF('Final Calculation Sheet'!$S$7="","",'Final Calculation Sheet'!$S$7)</f>
        <v/>
      </c>
      <c r="E24" s="567">
        <f>IF('Final Calculation Sheet'!$S$15="","",'Final Calculation Sheet'!$S$15)</f>
        <v/>
      </c>
      <c r="G24" s="545">
        <f>IF('Final Calculation Sheet'!$S$5="","",'Final Calculation Sheet'!$S$5)</f>
        <v/>
      </c>
      <c r="H24" s="568">
        <f>IF('Final Calculation Sheet'!$S$10="","",'Final Calculation Sheet'!$S$10)</f>
        <v/>
      </c>
      <c r="I24" s="545">
        <f>IF('Final Calculation Sheet'!$S$11="","",'Final Calculation Sheet'!$S$11)</f>
        <v/>
      </c>
      <c r="J24" s="568">
        <f>IF('Final Calculation Sheet'!$S$12="","",'Final Calculation Sheet'!$S$12)</f>
        <v/>
      </c>
      <c r="L24" s="545">
        <f>IF('Final Calculation Sheet'!$S$9="","",'Final Calculation Sheet'!$S$9)</f>
        <v/>
      </c>
      <c r="M24" s="569">
        <f>IF('Final Calculation Sheet'!$S$14="","",'Final Calculation Sheet'!$S$14)</f>
        <v/>
      </c>
      <c r="O24" s="545">
        <f>IF('Final Calculation Sheet'!$S$13="","",'Final Calculation Sheet'!$S$13)</f>
        <v/>
      </c>
      <c r="P24" s="570">
        <f>IF('Final Calculation Sheet'!$S$16="","",'Final Calculation Sheet'!$S$16)</f>
        <v/>
      </c>
      <c r="R24" s="545">
        <f>IF('Final Calculation Sheet'!$S$27="","",'Final Calculation Sheet'!$S$27)</f>
        <v/>
      </c>
      <c r="T24" s="568">
        <f>IF('Final Calculation Sheet'!$S$18="","",'Final Calculation Sheet'!$S$18)</f>
        <v/>
      </c>
      <c r="U24" s="545">
        <f>IF('Final Calculation Sheet'!$S$19="","",'Final Calculation Sheet'!$S$19)</f>
        <v/>
      </c>
      <c r="V24" s="568">
        <f>IF('Final Calculation Sheet'!$S$22="","",'Final Calculation Sheet'!$S$22)</f>
        <v/>
      </c>
      <c r="W24" s="545">
        <f>IF('Final Calculation Sheet'!$S$24="","",'Final Calculation Sheet'!$S$24)</f>
        <v/>
      </c>
      <c r="X24" s="568">
        <f>IF('Final Calculation Sheet'!$S$26="","",'Final Calculation Sheet'!$S$26)</f>
        <v/>
      </c>
      <c r="Z24" s="545">
        <f>IF('Final Calculation Sheet'!$S$21="","",'Final Calculation Sheet'!$S$21)</f>
        <v/>
      </c>
      <c r="AB24" s="571">
        <f>IF('Final Calculation Sheet'!$S$20="","",'Final Calculation Sheet'!$S$20)</f>
        <v/>
      </c>
      <c r="AD24" s="545">
        <f>IF('Final Calculation Sheet'!$S$17="","",'Final Calculation Sheet'!$S$17)</f>
        <v/>
      </c>
      <c r="AE24" s="570">
        <f>IF('Final Calculation Sheet'!$S$23="","",'Final Calculation Sheet'!$S$23)</f>
        <v/>
      </c>
      <c r="AF24" s="545">
        <f>IF('Final Calculation Sheet'!$S$29="","",'Final Calculation Sheet'!$S$29)</f>
        <v/>
      </c>
      <c r="AH24" s="566">
        <f>IF('Final Calculation Sheet'!$S$25="","",'Final Calculation Sheet'!$S$25)</f>
        <v/>
      </c>
      <c r="AI24" s="545">
        <f>IF('Final Calculation Sheet'!$S$28="","",'Final Calculation Sheet'!$S$28)</f>
        <v/>
      </c>
      <c r="AK24" s="568">
        <f>IF('Final Calculation Sheet'!$S$30="","",'Final Calculation Sheet'!$S$30)</f>
        <v/>
      </c>
      <c r="AL24" s="545">
        <f>IF('Final Calculation Sheet'!$S$32="","",'Final Calculation Sheet'!$S$32)</f>
        <v/>
      </c>
      <c r="AM24" s="568">
        <f>IF('Final Calculation Sheet'!$S$33="","",'Final Calculation Sheet'!$S$33)</f>
        <v/>
      </c>
      <c r="AO24" s="545">
        <f>IF('Final Calculation Sheet'!$S$31="","",'Final Calculation Sheet'!$S$31)</f>
        <v/>
      </c>
      <c r="AQ24" s="570">
        <f>IF('Final Calculation Sheet'!$S$34="","",'Final Calculation Sheet'!$S$34)</f>
        <v/>
      </c>
      <c r="AS24" s="545">
        <f>IF('Final Calculation Sheet'!$S$4="","",'Final Calculation Sheet'!$S$4)</f>
        <v/>
      </c>
      <c r="AU24" s="569">
        <f>IF('Final Calculation Sheet'!$S$38="","",'Final Calculation Sheet'!$S$38)</f>
        <v/>
      </c>
      <c r="AW24" s="545">
        <f>IF('Final Calculation Sheet'!$S$37="","",'Final Calculation Sheet'!$S$37)</f>
        <v/>
      </c>
      <c r="AY24" s="571">
        <f>IF('Final Calculation Sheet'!$S$8="","",'Final Calculation Sheet'!$S$8)</f>
        <v/>
      </c>
      <c r="BA24" s="545">
        <f>IF('Final Calculation Sheet'!$S$39="","",'Final Calculation Sheet'!$S$39)</f>
        <v/>
      </c>
      <c r="BB24" s="570">
        <f>IF('Final Calculation Sheet'!$S$40="","",'Final Calculation Sheet'!$S$40)</f>
        <v/>
      </c>
      <c r="BD24" s="545">
        <f>IF('Final Calculation Sheet'!$S$36="","",'Final Calculation Sheet'!$S$36)</f>
        <v/>
      </c>
      <c r="BF24" s="566">
        <f>IF('Final Calculation Sheet'!$S$35="","",'Final Calculation Sheet'!$S$35)</f>
        <v/>
      </c>
      <c r="BG24" s="546">
        <f>IF('Final Calculation Sheet'!$S$41="","",'Final Calculation Sheet'!$S$41)</f>
        <v/>
      </c>
    </row>
    <row r="25" ht="15" customHeight="1">
      <c r="A25" s="543" t="inlineStr">
        <is>
          <t>Security Deposit (Expected)</t>
        </is>
      </c>
      <c r="B25" s="566">
        <f>IF('Final Calculation Sheet'!$T$6="","",'Final Calculation Sheet'!$T$6)</f>
        <v/>
      </c>
      <c r="C25" s="545">
        <f>IF('Final Calculation Sheet'!$T$7="","",'Final Calculation Sheet'!$T$7)</f>
        <v/>
      </c>
      <c r="E25" s="567">
        <f>IF('Final Calculation Sheet'!$T$15="","",'Final Calculation Sheet'!$T$15)</f>
        <v/>
      </c>
      <c r="G25" s="545">
        <f>IF('Final Calculation Sheet'!$T$5="","",'Final Calculation Sheet'!$T$5)</f>
        <v/>
      </c>
      <c r="H25" s="568">
        <f>IF('Final Calculation Sheet'!$T$10="","",'Final Calculation Sheet'!$T$10)</f>
        <v/>
      </c>
      <c r="I25" s="545">
        <f>IF('Final Calculation Sheet'!$T$11="","",'Final Calculation Sheet'!$T$11)</f>
        <v/>
      </c>
      <c r="J25" s="568">
        <f>IF('Final Calculation Sheet'!$T$12="","",'Final Calculation Sheet'!$T$12)</f>
        <v/>
      </c>
      <c r="L25" s="545">
        <f>IF('Final Calculation Sheet'!$T$9="","",'Final Calculation Sheet'!$T$9)</f>
        <v/>
      </c>
      <c r="M25" s="569">
        <f>IF('Final Calculation Sheet'!$T$14="","",'Final Calculation Sheet'!$T$14)</f>
        <v/>
      </c>
      <c r="O25" s="545">
        <f>IF('Final Calculation Sheet'!$T$13="","",'Final Calculation Sheet'!$T$13)</f>
        <v/>
      </c>
      <c r="P25" s="570">
        <f>IF('Final Calculation Sheet'!$T$16="","",'Final Calculation Sheet'!$T$16)</f>
        <v/>
      </c>
      <c r="R25" s="545">
        <f>IF('Final Calculation Sheet'!$T$27="","",'Final Calculation Sheet'!$T$27)</f>
        <v/>
      </c>
      <c r="T25" s="568">
        <f>IF('Final Calculation Sheet'!$T$18="","",'Final Calculation Sheet'!$T$18)</f>
        <v/>
      </c>
      <c r="U25" s="545">
        <f>IF('Final Calculation Sheet'!$T$19="","",'Final Calculation Sheet'!$T$19)</f>
        <v/>
      </c>
      <c r="V25" s="568">
        <f>IF('Final Calculation Sheet'!$T$22="","",'Final Calculation Sheet'!$T$22)</f>
        <v/>
      </c>
      <c r="W25" s="545">
        <f>IF('Final Calculation Sheet'!$T$24="","",'Final Calculation Sheet'!$T$24)</f>
        <v/>
      </c>
      <c r="X25" s="568">
        <f>IF('Final Calculation Sheet'!$T$26="","",'Final Calculation Sheet'!$T$26)</f>
        <v/>
      </c>
      <c r="Z25" s="545">
        <f>IF('Final Calculation Sheet'!$T$21="","",'Final Calculation Sheet'!$T$21)</f>
        <v/>
      </c>
      <c r="AB25" s="571">
        <f>IF('Final Calculation Sheet'!$T$20="","",'Final Calculation Sheet'!$T$20)</f>
        <v/>
      </c>
      <c r="AD25" s="545">
        <f>IF('Final Calculation Sheet'!$T$17="","",'Final Calculation Sheet'!$T$17)</f>
        <v/>
      </c>
      <c r="AE25" s="570">
        <f>IF('Final Calculation Sheet'!$T$23="","",'Final Calculation Sheet'!$T$23)</f>
        <v/>
      </c>
      <c r="AF25" s="545">
        <f>IF('Final Calculation Sheet'!$T$29="","",'Final Calculation Sheet'!$T$29)</f>
        <v/>
      </c>
      <c r="AH25" s="566">
        <f>IF('Final Calculation Sheet'!$T$25="","",'Final Calculation Sheet'!$T$25)</f>
        <v/>
      </c>
      <c r="AI25" s="545">
        <f>IF('Final Calculation Sheet'!$T$28="","",'Final Calculation Sheet'!$T$28)</f>
        <v/>
      </c>
      <c r="AK25" s="568">
        <f>IF('Final Calculation Sheet'!$T$30="","",'Final Calculation Sheet'!$T$30)</f>
        <v/>
      </c>
      <c r="AL25" s="545">
        <f>IF('Final Calculation Sheet'!$T$32="","",'Final Calculation Sheet'!$T$32)</f>
        <v/>
      </c>
      <c r="AM25" s="568">
        <f>IF('Final Calculation Sheet'!$T$33="","",'Final Calculation Sheet'!$T$33)</f>
        <v/>
      </c>
      <c r="AO25" s="545">
        <f>IF('Final Calculation Sheet'!$T$31="","",'Final Calculation Sheet'!$T$31)</f>
        <v/>
      </c>
      <c r="AQ25" s="570">
        <f>IF('Final Calculation Sheet'!$T$34="","",'Final Calculation Sheet'!$T$34)</f>
        <v/>
      </c>
      <c r="AS25" s="545">
        <f>IF('Final Calculation Sheet'!$T$4="","",'Final Calculation Sheet'!$T$4)</f>
        <v/>
      </c>
      <c r="AU25" s="569">
        <f>IF('Final Calculation Sheet'!$T$38="","",'Final Calculation Sheet'!$T$38)</f>
        <v/>
      </c>
      <c r="AW25" s="545">
        <f>IF('Final Calculation Sheet'!$T$37="","",'Final Calculation Sheet'!$T$37)</f>
        <v/>
      </c>
      <c r="AY25" s="571">
        <f>IF('Final Calculation Sheet'!$T$8="","",'Final Calculation Sheet'!$T$8)</f>
        <v/>
      </c>
      <c r="BA25" s="545">
        <f>IF('Final Calculation Sheet'!$T$39="","",'Final Calculation Sheet'!$T$39)</f>
        <v/>
      </c>
      <c r="BB25" s="570">
        <f>IF('Final Calculation Sheet'!$T$40="","",'Final Calculation Sheet'!$T$40)</f>
        <v/>
      </c>
      <c r="BD25" s="545">
        <f>IF('Final Calculation Sheet'!$T$36="","",'Final Calculation Sheet'!$T$36)</f>
        <v/>
      </c>
      <c r="BF25" s="566">
        <f>IF('Final Calculation Sheet'!$T$35="","",'Final Calculation Sheet'!$T$35)</f>
        <v/>
      </c>
      <c r="BG25" s="546">
        <f>IF('Final Calculation Sheet'!$T$41="","",'Final Calculation Sheet'!$T$41)</f>
        <v/>
      </c>
    </row>
    <row r="26" ht="15" customHeight="1">
      <c r="A26" s="540" t="inlineStr">
        <is>
          <t>Security Deposit (Received)</t>
        </is>
      </c>
      <c r="B26" s="584">
        <f>IF('Final Calculation Sheet'!$U$6="","",'Final Calculation Sheet'!$U$6)</f>
        <v/>
      </c>
      <c r="C26" s="553">
        <f>IF('Final Calculation Sheet'!$U$7="","",'Final Calculation Sheet'!$U$7)</f>
        <v/>
      </c>
      <c r="E26" s="585">
        <f>IF('Final Calculation Sheet'!$U$15="","",'Final Calculation Sheet'!$U$15)</f>
        <v/>
      </c>
      <c r="G26" s="553">
        <f>IF('Final Calculation Sheet'!$U$5="","",'Final Calculation Sheet'!$U$5)</f>
        <v/>
      </c>
      <c r="H26" s="586">
        <f>IF('Final Calculation Sheet'!$U$10="","",'Final Calculation Sheet'!$U$10)</f>
        <v/>
      </c>
      <c r="I26" s="553">
        <f>IF('Final Calculation Sheet'!$U$11="","",'Final Calculation Sheet'!$U$11)</f>
        <v/>
      </c>
      <c r="J26" s="586">
        <f>IF('Final Calculation Sheet'!$U$12="","",'Final Calculation Sheet'!$U$12)</f>
        <v/>
      </c>
      <c r="L26" s="553">
        <f>IF('Final Calculation Sheet'!$U$9="","",'Final Calculation Sheet'!$U$9)</f>
        <v/>
      </c>
      <c r="M26" s="587">
        <f>IF('Final Calculation Sheet'!$U$14="","",'Final Calculation Sheet'!$U$14)</f>
        <v/>
      </c>
      <c r="O26" s="553">
        <f>IF('Final Calculation Sheet'!$U$13="","",'Final Calculation Sheet'!$U$13)</f>
        <v/>
      </c>
      <c r="P26" s="588">
        <f>IF('Final Calculation Sheet'!$U$16="","",'Final Calculation Sheet'!$U$16)</f>
        <v/>
      </c>
      <c r="R26" s="553">
        <f>IF('Final Calculation Sheet'!$U$27="","",'Final Calculation Sheet'!$U$27)</f>
        <v/>
      </c>
      <c r="T26" s="586">
        <f>IF('Final Calculation Sheet'!$U$18="","",'Final Calculation Sheet'!$U$18)</f>
        <v/>
      </c>
      <c r="U26" s="553">
        <f>IF('Final Calculation Sheet'!$U$19="","",'Final Calculation Sheet'!$U$19)</f>
        <v/>
      </c>
      <c r="V26" s="586">
        <f>IF('Final Calculation Sheet'!$U$22="","",'Final Calculation Sheet'!$U$22)</f>
        <v/>
      </c>
      <c r="W26" s="553">
        <f>IF('Final Calculation Sheet'!$U$24="","",'Final Calculation Sheet'!$U$24)</f>
        <v/>
      </c>
      <c r="X26" s="586">
        <f>IF('Final Calculation Sheet'!$U$26="","",'Final Calculation Sheet'!$U$26)</f>
        <v/>
      </c>
      <c r="Z26" s="553">
        <f>IF('Final Calculation Sheet'!$U$21="","",'Final Calculation Sheet'!$U$21)</f>
        <v/>
      </c>
      <c r="AB26" s="589">
        <f>IF('Final Calculation Sheet'!$U$20="","",'Final Calculation Sheet'!$U$20)</f>
        <v/>
      </c>
      <c r="AD26" s="553">
        <f>IF('Final Calculation Sheet'!$U$17="","",'Final Calculation Sheet'!$U$17)</f>
        <v/>
      </c>
      <c r="AE26" s="588">
        <f>IF('Final Calculation Sheet'!$U$23="","",'Final Calculation Sheet'!$U$23)</f>
        <v/>
      </c>
      <c r="AF26" s="553">
        <f>IF('Final Calculation Sheet'!$U$29="","",'Final Calculation Sheet'!$U$29)</f>
        <v/>
      </c>
      <c r="AH26" s="584">
        <f>IF('Final Calculation Sheet'!$U$25="","",'Final Calculation Sheet'!$U$25)</f>
        <v/>
      </c>
      <c r="AI26" s="553">
        <f>IF('Final Calculation Sheet'!$U$28="","",'Final Calculation Sheet'!$U$28)</f>
        <v/>
      </c>
      <c r="AK26" s="586">
        <f>IF('Final Calculation Sheet'!$U$30="","",'Final Calculation Sheet'!$U$30)</f>
        <v/>
      </c>
      <c r="AL26" s="553">
        <f>IF('Final Calculation Sheet'!$U$32="","",'Final Calculation Sheet'!$U$32)</f>
        <v/>
      </c>
      <c r="AM26" s="586">
        <f>IF('Final Calculation Sheet'!$U$33="","",'Final Calculation Sheet'!$U$33)</f>
        <v/>
      </c>
      <c r="AO26" s="553">
        <f>IF('Final Calculation Sheet'!$U$31="","",'Final Calculation Sheet'!$U$31)</f>
        <v/>
      </c>
      <c r="AQ26" s="588">
        <f>IF('Final Calculation Sheet'!$U$34="","",'Final Calculation Sheet'!$U$34)</f>
        <v/>
      </c>
      <c r="AS26" s="553">
        <f>IF('Final Calculation Sheet'!$U$4="","",'Final Calculation Sheet'!$U$4)</f>
        <v/>
      </c>
      <c r="AU26" s="587">
        <f>IF('Final Calculation Sheet'!$U$38="","",'Final Calculation Sheet'!$U$38)</f>
        <v/>
      </c>
      <c r="AW26" s="553">
        <f>IF('Final Calculation Sheet'!$U$37="","",'Final Calculation Sheet'!$U$37)</f>
        <v/>
      </c>
      <c r="AY26" s="589">
        <f>IF('Final Calculation Sheet'!$U$8="","",'Final Calculation Sheet'!$U$8)</f>
        <v/>
      </c>
      <c r="BA26" s="553">
        <f>IF('Final Calculation Sheet'!$U$39="","",'Final Calculation Sheet'!$U$39)</f>
        <v/>
      </c>
      <c r="BB26" s="588">
        <f>IF('Final Calculation Sheet'!$U$40="","",'Final Calculation Sheet'!$U$40)</f>
        <v/>
      </c>
      <c r="BD26" s="553">
        <f>IF('Final Calculation Sheet'!$U$36="","",'Final Calculation Sheet'!$U$36)</f>
        <v/>
      </c>
      <c r="BF26" s="584">
        <f>IF('Final Calculation Sheet'!$U$35="","",'Final Calculation Sheet'!$U$35)</f>
        <v/>
      </c>
      <c r="BG26" s="554">
        <f>IF('Final Calculation Sheet'!$U$41="","",'Final Calculation Sheet'!$U$41)</f>
        <v/>
      </c>
    </row>
    <row r="27" ht="15" customHeight="1">
      <c r="A27" s="543" t="inlineStr">
        <is>
          <t>Date of Receipt (col V)</t>
        </is>
      </c>
      <c r="B27" s="566">
        <f>IF('Final Calculation Sheet'!$V$6="","",'Final Calculation Sheet'!$V$6)</f>
        <v/>
      </c>
      <c r="C27" s="545">
        <f>IF('Final Calculation Sheet'!$V$7="","",'Final Calculation Sheet'!$V$7)</f>
        <v/>
      </c>
      <c r="E27" s="567">
        <f>IF('Final Calculation Sheet'!$V$15="","",'Final Calculation Sheet'!$V$15)</f>
        <v/>
      </c>
      <c r="G27" s="545">
        <f>IF('Final Calculation Sheet'!$V$5="","",'Final Calculation Sheet'!$V$5)</f>
        <v/>
      </c>
      <c r="H27" s="568">
        <f>IF('Final Calculation Sheet'!$V$10="","",'Final Calculation Sheet'!$V$10)</f>
        <v/>
      </c>
      <c r="I27" s="545">
        <f>IF('Final Calculation Sheet'!$V$11="","",'Final Calculation Sheet'!$V$11)</f>
        <v/>
      </c>
      <c r="J27" s="568">
        <f>IF('Final Calculation Sheet'!$V$12="","",'Final Calculation Sheet'!$V$12)</f>
        <v/>
      </c>
      <c r="L27" s="545">
        <f>IF('Final Calculation Sheet'!$V$9="","",'Final Calculation Sheet'!$V$9)</f>
        <v/>
      </c>
      <c r="M27" s="569">
        <f>IF('Final Calculation Sheet'!$V$14="","",'Final Calculation Sheet'!$V$14)</f>
        <v/>
      </c>
      <c r="O27" s="545">
        <f>IF('Final Calculation Sheet'!$V$13="","",'Final Calculation Sheet'!$V$13)</f>
        <v/>
      </c>
      <c r="P27" s="570">
        <f>IF('Final Calculation Sheet'!$V$16="","",'Final Calculation Sheet'!$V$16)</f>
        <v/>
      </c>
      <c r="R27" s="545">
        <f>IF('Final Calculation Sheet'!$V$27="","",'Final Calculation Sheet'!$V$27)</f>
        <v/>
      </c>
      <c r="T27" s="568">
        <f>IF('Final Calculation Sheet'!$V$18="","",'Final Calculation Sheet'!$V$18)</f>
        <v/>
      </c>
      <c r="U27" s="545">
        <f>IF('Final Calculation Sheet'!$V$19="","",'Final Calculation Sheet'!$V$19)</f>
        <v/>
      </c>
      <c r="V27" s="568">
        <f>IF('Final Calculation Sheet'!$V$22="","",'Final Calculation Sheet'!$V$22)</f>
        <v/>
      </c>
      <c r="W27" s="545">
        <f>IF('Final Calculation Sheet'!$V$24="","",'Final Calculation Sheet'!$V$24)</f>
        <v/>
      </c>
      <c r="X27" s="568">
        <f>IF('Final Calculation Sheet'!$V$26="","",'Final Calculation Sheet'!$V$26)</f>
        <v/>
      </c>
      <c r="Z27" s="545">
        <f>IF('Final Calculation Sheet'!$V$21="","",'Final Calculation Sheet'!$V$21)</f>
        <v/>
      </c>
      <c r="AB27" s="571">
        <f>IF('Final Calculation Sheet'!$V$20="","",'Final Calculation Sheet'!$V$20)</f>
        <v/>
      </c>
      <c r="AD27" s="545">
        <f>IF('Final Calculation Sheet'!$V$17="","",'Final Calculation Sheet'!$V$17)</f>
        <v/>
      </c>
      <c r="AE27" s="570">
        <f>IF('Final Calculation Sheet'!$V$23="","",'Final Calculation Sheet'!$V$23)</f>
        <v/>
      </c>
      <c r="AF27" s="545">
        <f>IF('Final Calculation Sheet'!$V$29="","",'Final Calculation Sheet'!$V$29)</f>
        <v/>
      </c>
      <c r="AH27" s="566">
        <f>IF('Final Calculation Sheet'!$V$25="","",'Final Calculation Sheet'!$V$25)</f>
        <v/>
      </c>
      <c r="AI27" s="545">
        <f>IF('Final Calculation Sheet'!$V$28="","",'Final Calculation Sheet'!$V$28)</f>
        <v/>
      </c>
      <c r="AK27" s="568">
        <f>IF('Final Calculation Sheet'!$V$30="","",'Final Calculation Sheet'!$V$30)</f>
        <v/>
      </c>
      <c r="AL27" s="545">
        <f>IF('Final Calculation Sheet'!$V$32="","",'Final Calculation Sheet'!$V$32)</f>
        <v/>
      </c>
      <c r="AM27" s="568">
        <f>IF('Final Calculation Sheet'!$V$33="","",'Final Calculation Sheet'!$V$33)</f>
        <v/>
      </c>
      <c r="AO27" s="545">
        <f>IF('Final Calculation Sheet'!$V$31="","",'Final Calculation Sheet'!$V$31)</f>
        <v/>
      </c>
      <c r="AQ27" s="570">
        <f>IF('Final Calculation Sheet'!$V$34="","",'Final Calculation Sheet'!$V$34)</f>
        <v/>
      </c>
      <c r="AS27" s="545">
        <f>IF('Final Calculation Sheet'!$V$4="","",'Final Calculation Sheet'!$V$4)</f>
        <v/>
      </c>
      <c r="AU27" s="569">
        <f>IF('Final Calculation Sheet'!$V$38="","",'Final Calculation Sheet'!$V$38)</f>
        <v/>
      </c>
      <c r="AW27" s="545">
        <f>IF('Final Calculation Sheet'!$V$37="","",'Final Calculation Sheet'!$V$37)</f>
        <v/>
      </c>
      <c r="AY27" s="571">
        <f>IF('Final Calculation Sheet'!$V$8="","",'Final Calculation Sheet'!$V$8)</f>
        <v/>
      </c>
      <c r="BA27" s="545">
        <f>IF('Final Calculation Sheet'!$V$39="","",'Final Calculation Sheet'!$V$39)</f>
        <v/>
      </c>
      <c r="BB27" s="570">
        <f>IF('Final Calculation Sheet'!$V$40="","",'Final Calculation Sheet'!$V$40)</f>
        <v/>
      </c>
      <c r="BD27" s="545">
        <f>IF('Final Calculation Sheet'!$V$36="","",'Final Calculation Sheet'!$V$36)</f>
        <v/>
      </c>
      <c r="BF27" s="566">
        <f>IF('Final Calculation Sheet'!$V$35="","",'Final Calculation Sheet'!$V$35)</f>
        <v/>
      </c>
      <c r="BG27" s="546">
        <f>IF('Final Calculation Sheet'!$V$41="","",'Final Calculation Sheet'!$V$41)</f>
        <v/>
      </c>
    </row>
    <row r="28" ht="15" customHeight="1">
      <c r="A28" s="540" t="inlineStr">
        <is>
          <t>Final Payment (Expected)</t>
        </is>
      </c>
      <c r="B28" s="566">
        <f>IF('Final Calculation Sheet'!$W$6="","",'Final Calculation Sheet'!$W$6)</f>
        <v/>
      </c>
      <c r="C28" s="545">
        <f>IF('Final Calculation Sheet'!$W$7="","",'Final Calculation Sheet'!$W$7)</f>
        <v/>
      </c>
      <c r="E28" s="567">
        <f>IF('Final Calculation Sheet'!$W$15="","",'Final Calculation Sheet'!$W$15)</f>
        <v/>
      </c>
      <c r="G28" s="545">
        <f>IF('Final Calculation Sheet'!$W$5="","",'Final Calculation Sheet'!$W$5)</f>
        <v/>
      </c>
      <c r="H28" s="568">
        <f>IF('Final Calculation Sheet'!$W$10="","",'Final Calculation Sheet'!$W$10)</f>
        <v/>
      </c>
      <c r="I28" s="545">
        <f>IF('Final Calculation Sheet'!$W$11="","",'Final Calculation Sheet'!$W$11)</f>
        <v/>
      </c>
      <c r="J28" s="568">
        <f>IF('Final Calculation Sheet'!$W$12="","",'Final Calculation Sheet'!$W$12)</f>
        <v/>
      </c>
      <c r="L28" s="545">
        <f>IF('Final Calculation Sheet'!$W$9="","",'Final Calculation Sheet'!$W$9)</f>
        <v/>
      </c>
      <c r="M28" s="569">
        <f>IF('Final Calculation Sheet'!$W$14="","",'Final Calculation Sheet'!$W$14)</f>
        <v/>
      </c>
      <c r="O28" s="545">
        <f>IF('Final Calculation Sheet'!$W$13="","",'Final Calculation Sheet'!$W$13)</f>
        <v/>
      </c>
      <c r="P28" s="570">
        <f>IF('Final Calculation Sheet'!$W$16="","",'Final Calculation Sheet'!$W$16)</f>
        <v/>
      </c>
      <c r="R28" s="545">
        <f>IF('Final Calculation Sheet'!$W$27="","",'Final Calculation Sheet'!$W$27)</f>
        <v/>
      </c>
      <c r="T28" s="568">
        <f>IF('Final Calculation Sheet'!$W$18="","",'Final Calculation Sheet'!$W$18)</f>
        <v/>
      </c>
      <c r="U28" s="545">
        <f>IF('Final Calculation Sheet'!$W$19="","",'Final Calculation Sheet'!$W$19)</f>
        <v/>
      </c>
      <c r="V28" s="568">
        <f>IF('Final Calculation Sheet'!$W$22="","",'Final Calculation Sheet'!$W$22)</f>
        <v/>
      </c>
      <c r="W28" s="545">
        <f>IF('Final Calculation Sheet'!$W$24="","",'Final Calculation Sheet'!$W$24)</f>
        <v/>
      </c>
      <c r="X28" s="568">
        <f>IF('Final Calculation Sheet'!$W$26="","",'Final Calculation Sheet'!$W$26)</f>
        <v/>
      </c>
      <c r="Z28" s="545">
        <f>IF('Final Calculation Sheet'!$W$21="","",'Final Calculation Sheet'!$W$21)</f>
        <v/>
      </c>
      <c r="AB28" s="571">
        <f>IF('Final Calculation Sheet'!$W$20="","",'Final Calculation Sheet'!$W$20)</f>
        <v/>
      </c>
      <c r="AD28" s="545">
        <f>IF('Final Calculation Sheet'!$W$17="","",'Final Calculation Sheet'!$W$17)</f>
        <v/>
      </c>
      <c r="AE28" s="570">
        <f>IF('Final Calculation Sheet'!$W$23="","",'Final Calculation Sheet'!$W$23)</f>
        <v/>
      </c>
      <c r="AF28" s="545">
        <f>IF('Final Calculation Sheet'!$W$29="","",'Final Calculation Sheet'!$W$29)</f>
        <v/>
      </c>
      <c r="AH28" s="566">
        <f>IF('Final Calculation Sheet'!$W$25="","",'Final Calculation Sheet'!$W$25)</f>
        <v/>
      </c>
      <c r="AI28" s="545">
        <f>IF('Final Calculation Sheet'!$W$28="","",'Final Calculation Sheet'!$W$28)</f>
        <v/>
      </c>
      <c r="AK28" s="568">
        <f>IF('Final Calculation Sheet'!$W$30="","",'Final Calculation Sheet'!$W$30)</f>
        <v/>
      </c>
      <c r="AL28" s="545">
        <f>IF('Final Calculation Sheet'!$W$32="","",'Final Calculation Sheet'!$W$32)</f>
        <v/>
      </c>
      <c r="AM28" s="568">
        <f>IF('Final Calculation Sheet'!$W$33="","",'Final Calculation Sheet'!$W$33)</f>
        <v/>
      </c>
      <c r="AO28" s="545">
        <f>IF('Final Calculation Sheet'!$W$31="","",'Final Calculation Sheet'!$W$31)</f>
        <v/>
      </c>
      <c r="AQ28" s="570">
        <f>IF('Final Calculation Sheet'!$W$34="","",'Final Calculation Sheet'!$W$34)</f>
        <v/>
      </c>
      <c r="AS28" s="545">
        <f>IF('Final Calculation Sheet'!$W$4="","",'Final Calculation Sheet'!$W$4)</f>
        <v/>
      </c>
      <c r="AU28" s="569">
        <f>IF('Final Calculation Sheet'!$W$38="","",'Final Calculation Sheet'!$W$38)</f>
        <v/>
      </c>
      <c r="AW28" s="545">
        <f>IF('Final Calculation Sheet'!$W$37="","",'Final Calculation Sheet'!$W$37)</f>
        <v/>
      </c>
      <c r="AY28" s="571">
        <f>IF('Final Calculation Sheet'!$W$8="","",'Final Calculation Sheet'!$W$8)</f>
        <v/>
      </c>
      <c r="BA28" s="545">
        <f>IF('Final Calculation Sheet'!$W$39="","",'Final Calculation Sheet'!$W$39)</f>
        <v/>
      </c>
      <c r="BB28" s="570">
        <f>IF('Final Calculation Sheet'!$W$40="","",'Final Calculation Sheet'!$W$40)</f>
        <v/>
      </c>
      <c r="BD28" s="545">
        <f>IF('Final Calculation Sheet'!$W$36="","",'Final Calculation Sheet'!$W$36)</f>
        <v/>
      </c>
      <c r="BF28" s="566">
        <f>IF('Final Calculation Sheet'!$W$35="","",'Final Calculation Sheet'!$W$35)</f>
        <v/>
      </c>
      <c r="BG28" s="546">
        <f>IF('Final Calculation Sheet'!$W$41="","",'Final Calculation Sheet'!$W$41)</f>
        <v/>
      </c>
    </row>
    <row r="29" ht="15" customHeight="1">
      <c r="A29" s="543" t="inlineStr">
        <is>
          <t>Final Payment (Received)</t>
        </is>
      </c>
      <c r="B29" s="566">
        <f>IF('Final Calculation Sheet'!$X$6="","",'Final Calculation Sheet'!$X$6)</f>
        <v/>
      </c>
      <c r="C29" s="545">
        <f>IF('Final Calculation Sheet'!$X$7="","",'Final Calculation Sheet'!$X$7)</f>
        <v/>
      </c>
      <c r="E29" s="567">
        <f>IF('Final Calculation Sheet'!$X$15="","",'Final Calculation Sheet'!$X$15)</f>
        <v/>
      </c>
      <c r="G29" s="545">
        <f>IF('Final Calculation Sheet'!$X$5="","",'Final Calculation Sheet'!$X$5)</f>
        <v/>
      </c>
      <c r="H29" s="568">
        <f>IF('Final Calculation Sheet'!$X$10="","",'Final Calculation Sheet'!$X$10)</f>
        <v/>
      </c>
      <c r="I29" s="545">
        <f>IF('Final Calculation Sheet'!$X$11="","",'Final Calculation Sheet'!$X$11)</f>
        <v/>
      </c>
      <c r="J29" s="568">
        <f>IF('Final Calculation Sheet'!$X$12="","",'Final Calculation Sheet'!$X$12)</f>
        <v/>
      </c>
      <c r="L29" s="545">
        <f>IF('Final Calculation Sheet'!$X$9="","",'Final Calculation Sheet'!$X$9)</f>
        <v/>
      </c>
      <c r="M29" s="569">
        <f>IF('Final Calculation Sheet'!$X$14="","",'Final Calculation Sheet'!$X$14)</f>
        <v/>
      </c>
      <c r="O29" s="545">
        <f>IF('Final Calculation Sheet'!$X$13="","",'Final Calculation Sheet'!$X$13)</f>
        <v/>
      </c>
      <c r="P29" s="570">
        <f>IF('Final Calculation Sheet'!$X$16="","",'Final Calculation Sheet'!$X$16)</f>
        <v/>
      </c>
      <c r="R29" s="545">
        <f>IF('Final Calculation Sheet'!$X$27="","",'Final Calculation Sheet'!$X$27)</f>
        <v/>
      </c>
      <c r="T29" s="568">
        <f>IF('Final Calculation Sheet'!$X$18="","",'Final Calculation Sheet'!$X$18)</f>
        <v/>
      </c>
      <c r="U29" s="545">
        <f>IF('Final Calculation Sheet'!$X$19="","",'Final Calculation Sheet'!$X$19)</f>
        <v/>
      </c>
      <c r="V29" s="568">
        <f>IF('Final Calculation Sheet'!$X$22="","",'Final Calculation Sheet'!$X$22)</f>
        <v/>
      </c>
      <c r="W29" s="545">
        <f>IF('Final Calculation Sheet'!$X$24="","",'Final Calculation Sheet'!$X$24)</f>
        <v/>
      </c>
      <c r="X29" s="568">
        <f>IF('Final Calculation Sheet'!$X$26="","",'Final Calculation Sheet'!$X$26)</f>
        <v/>
      </c>
      <c r="Z29" s="545">
        <f>IF('Final Calculation Sheet'!$X$21="","",'Final Calculation Sheet'!$X$21)</f>
        <v/>
      </c>
      <c r="AB29" s="571">
        <f>IF('Final Calculation Sheet'!$X$20="","",'Final Calculation Sheet'!$X$20)</f>
        <v/>
      </c>
      <c r="AD29" s="545">
        <f>IF('Final Calculation Sheet'!$X$17="","",'Final Calculation Sheet'!$X$17)</f>
        <v/>
      </c>
      <c r="AE29" s="570">
        <f>IF('Final Calculation Sheet'!$X$23="","",'Final Calculation Sheet'!$X$23)</f>
        <v/>
      </c>
      <c r="AF29" s="545">
        <f>IF('Final Calculation Sheet'!$X$29="","",'Final Calculation Sheet'!$X$29)</f>
        <v/>
      </c>
      <c r="AH29" s="566">
        <f>IF('Final Calculation Sheet'!$X$25="","",'Final Calculation Sheet'!$X$25)</f>
        <v/>
      </c>
      <c r="AI29" s="545">
        <f>IF('Final Calculation Sheet'!$X$28="","",'Final Calculation Sheet'!$X$28)</f>
        <v/>
      </c>
      <c r="AK29" s="568">
        <f>IF('Final Calculation Sheet'!$X$30="","",'Final Calculation Sheet'!$X$30)</f>
        <v/>
      </c>
      <c r="AL29" s="545">
        <f>IF('Final Calculation Sheet'!$X$32="","",'Final Calculation Sheet'!$X$32)</f>
        <v/>
      </c>
      <c r="AM29" s="568">
        <f>IF('Final Calculation Sheet'!$X$33="","",'Final Calculation Sheet'!$X$33)</f>
        <v/>
      </c>
      <c r="AO29" s="545">
        <f>IF('Final Calculation Sheet'!$X$31="","",'Final Calculation Sheet'!$X$31)</f>
        <v/>
      </c>
      <c r="AQ29" s="570">
        <f>IF('Final Calculation Sheet'!$X$34="","",'Final Calculation Sheet'!$X$34)</f>
        <v/>
      </c>
      <c r="AS29" s="545">
        <f>IF('Final Calculation Sheet'!$X$4="","",'Final Calculation Sheet'!$X$4)</f>
        <v/>
      </c>
      <c r="AU29" s="569">
        <f>IF('Final Calculation Sheet'!$X$38="","",'Final Calculation Sheet'!$X$38)</f>
        <v/>
      </c>
      <c r="AW29" s="545">
        <f>IF('Final Calculation Sheet'!$X$37="","",'Final Calculation Sheet'!$X$37)</f>
        <v/>
      </c>
      <c r="AY29" s="571">
        <f>IF('Final Calculation Sheet'!$X$8="","",'Final Calculation Sheet'!$X$8)</f>
        <v/>
      </c>
      <c r="BA29" s="545">
        <f>IF('Final Calculation Sheet'!$X$39="","",'Final Calculation Sheet'!$X$39)</f>
        <v/>
      </c>
      <c r="BB29" s="570">
        <f>IF('Final Calculation Sheet'!$X$40="","",'Final Calculation Sheet'!$X$40)</f>
        <v/>
      </c>
      <c r="BD29" s="545">
        <f>IF('Final Calculation Sheet'!$X$36="","",'Final Calculation Sheet'!$X$36)</f>
        <v/>
      </c>
      <c r="BF29" s="566">
        <f>IF('Final Calculation Sheet'!$X$35="","",'Final Calculation Sheet'!$X$35)</f>
        <v/>
      </c>
      <c r="BG29" s="546">
        <f>IF('Final Calculation Sheet'!$X$41="","",'Final Calculation Sheet'!$X$41)</f>
        <v/>
      </c>
    </row>
    <row r="30" ht="15" customHeight="1">
      <c r="A30" s="540" t="inlineStr">
        <is>
          <t>Date of Receipt (col Y)</t>
        </is>
      </c>
      <c r="B30" s="566">
        <f>IF('Final Calculation Sheet'!$Y$6="","",'Final Calculation Sheet'!$Y$6)</f>
        <v/>
      </c>
      <c r="C30" s="545">
        <f>IF('Final Calculation Sheet'!$Y$7="","",'Final Calculation Sheet'!$Y$7)</f>
        <v/>
      </c>
      <c r="E30" s="567">
        <f>IF('Final Calculation Sheet'!$Y$15="","",'Final Calculation Sheet'!$Y$15)</f>
        <v/>
      </c>
      <c r="G30" s="545">
        <f>IF('Final Calculation Sheet'!$Y$5="","",'Final Calculation Sheet'!$Y$5)</f>
        <v/>
      </c>
      <c r="H30" s="568">
        <f>IF('Final Calculation Sheet'!$Y$10="","",'Final Calculation Sheet'!$Y$10)</f>
        <v/>
      </c>
      <c r="I30" s="545">
        <f>IF('Final Calculation Sheet'!$Y$11="","",'Final Calculation Sheet'!$Y$11)</f>
        <v/>
      </c>
      <c r="J30" s="568">
        <f>IF('Final Calculation Sheet'!$Y$12="","",'Final Calculation Sheet'!$Y$12)</f>
        <v/>
      </c>
      <c r="L30" s="545">
        <f>IF('Final Calculation Sheet'!$Y$9="","",'Final Calculation Sheet'!$Y$9)</f>
        <v/>
      </c>
      <c r="M30" s="569">
        <f>IF('Final Calculation Sheet'!$Y$14="","",'Final Calculation Sheet'!$Y$14)</f>
        <v/>
      </c>
      <c r="O30" s="545">
        <f>IF('Final Calculation Sheet'!$Y$13="","",'Final Calculation Sheet'!$Y$13)</f>
        <v/>
      </c>
      <c r="P30" s="570">
        <f>IF('Final Calculation Sheet'!$Y$16="","",'Final Calculation Sheet'!$Y$16)</f>
        <v/>
      </c>
      <c r="R30" s="545">
        <f>IF('Final Calculation Sheet'!$Y$27="","",'Final Calculation Sheet'!$Y$27)</f>
        <v/>
      </c>
      <c r="T30" s="568">
        <f>IF('Final Calculation Sheet'!$Y$18="","",'Final Calculation Sheet'!$Y$18)</f>
        <v/>
      </c>
      <c r="U30" s="545">
        <f>IF('Final Calculation Sheet'!$Y$19="","",'Final Calculation Sheet'!$Y$19)</f>
        <v/>
      </c>
      <c r="V30" s="568">
        <f>IF('Final Calculation Sheet'!$Y$22="","",'Final Calculation Sheet'!$Y$22)</f>
        <v/>
      </c>
      <c r="W30" s="545">
        <f>IF('Final Calculation Sheet'!$Y$24="","",'Final Calculation Sheet'!$Y$24)</f>
        <v/>
      </c>
      <c r="X30" s="568">
        <f>IF('Final Calculation Sheet'!$Y$26="","",'Final Calculation Sheet'!$Y$26)</f>
        <v/>
      </c>
      <c r="Z30" s="545">
        <f>IF('Final Calculation Sheet'!$Y$21="","",'Final Calculation Sheet'!$Y$21)</f>
        <v/>
      </c>
      <c r="AB30" s="571">
        <f>IF('Final Calculation Sheet'!$Y$20="","",'Final Calculation Sheet'!$Y$20)</f>
        <v/>
      </c>
      <c r="AD30" s="545">
        <f>IF('Final Calculation Sheet'!$Y$17="","",'Final Calculation Sheet'!$Y$17)</f>
        <v/>
      </c>
      <c r="AE30" s="570">
        <f>IF('Final Calculation Sheet'!$Y$23="","",'Final Calculation Sheet'!$Y$23)</f>
        <v/>
      </c>
      <c r="AF30" s="545">
        <f>IF('Final Calculation Sheet'!$Y$29="","",'Final Calculation Sheet'!$Y$29)</f>
        <v/>
      </c>
      <c r="AH30" s="566">
        <f>IF('Final Calculation Sheet'!$Y$25="","",'Final Calculation Sheet'!$Y$25)</f>
        <v/>
      </c>
      <c r="AI30" s="545">
        <f>IF('Final Calculation Sheet'!$Y$28="","",'Final Calculation Sheet'!$Y$28)</f>
        <v/>
      </c>
      <c r="AK30" s="568">
        <f>IF('Final Calculation Sheet'!$Y$30="","",'Final Calculation Sheet'!$Y$30)</f>
        <v/>
      </c>
      <c r="AL30" s="545">
        <f>IF('Final Calculation Sheet'!$Y$32="","",'Final Calculation Sheet'!$Y$32)</f>
        <v/>
      </c>
      <c r="AM30" s="568">
        <f>IF('Final Calculation Sheet'!$Y$33="","",'Final Calculation Sheet'!$Y$33)</f>
        <v/>
      </c>
      <c r="AO30" s="545">
        <f>IF('Final Calculation Sheet'!$Y$31="","",'Final Calculation Sheet'!$Y$31)</f>
        <v/>
      </c>
      <c r="AQ30" s="570">
        <f>IF('Final Calculation Sheet'!$Y$34="","",'Final Calculation Sheet'!$Y$34)</f>
        <v/>
      </c>
      <c r="AS30" s="545">
        <f>IF('Final Calculation Sheet'!$Y$4="","",'Final Calculation Sheet'!$Y$4)</f>
        <v/>
      </c>
      <c r="AU30" s="569">
        <f>IF('Final Calculation Sheet'!$Y$38="","",'Final Calculation Sheet'!$Y$38)</f>
        <v/>
      </c>
      <c r="AW30" s="545">
        <f>IF('Final Calculation Sheet'!$Y$37="","",'Final Calculation Sheet'!$Y$37)</f>
        <v/>
      </c>
      <c r="AY30" s="571">
        <f>IF('Final Calculation Sheet'!$Y$8="","",'Final Calculation Sheet'!$Y$8)</f>
        <v/>
      </c>
      <c r="BA30" s="545">
        <f>IF('Final Calculation Sheet'!$Y$39="","",'Final Calculation Sheet'!$Y$39)</f>
        <v/>
      </c>
      <c r="BB30" s="570">
        <f>IF('Final Calculation Sheet'!$Y$40="","",'Final Calculation Sheet'!$Y$40)</f>
        <v/>
      </c>
      <c r="BD30" s="545">
        <f>IF('Final Calculation Sheet'!$Y$36="","",'Final Calculation Sheet'!$Y$36)</f>
        <v/>
      </c>
      <c r="BF30" s="566">
        <f>IF('Final Calculation Sheet'!$Y$35="","",'Final Calculation Sheet'!$Y$35)</f>
        <v/>
      </c>
      <c r="BG30" s="546">
        <f>IF('Final Calculation Sheet'!$Y$41="","",'Final Calculation Sheet'!$Y$41)</f>
        <v/>
      </c>
    </row>
    <row r="31" ht="15" customHeight="1">
      <c r="A31" s="543" t="inlineStr">
        <is>
          <t>LPP Expected</t>
        </is>
      </c>
      <c r="B31" s="566">
        <f>IF('Final Calculation Sheet'!$Z$6="","",'Final Calculation Sheet'!$Z$6)</f>
        <v/>
      </c>
      <c r="C31" s="545">
        <f>IF('Final Calculation Sheet'!$Z$7="","",'Final Calculation Sheet'!$Z$7)</f>
        <v/>
      </c>
      <c r="E31" s="567">
        <f>IF('Final Calculation Sheet'!$Z$15="","",'Final Calculation Sheet'!$Z$15)</f>
        <v/>
      </c>
      <c r="G31" s="545">
        <f>IF('Final Calculation Sheet'!$Z$5="","",'Final Calculation Sheet'!$Z$5)</f>
        <v/>
      </c>
      <c r="H31" s="568">
        <f>IF('Final Calculation Sheet'!$Z$10="","",'Final Calculation Sheet'!$Z$10)</f>
        <v/>
      </c>
      <c r="I31" s="545">
        <f>IF('Final Calculation Sheet'!$Z$11="","",'Final Calculation Sheet'!$Z$11)</f>
        <v/>
      </c>
      <c r="J31" s="568">
        <f>IF('Final Calculation Sheet'!$Z$12="","",'Final Calculation Sheet'!$Z$12)</f>
        <v/>
      </c>
      <c r="L31" s="545">
        <f>IF('Final Calculation Sheet'!$Z$9="","",'Final Calculation Sheet'!$Z$9)</f>
        <v/>
      </c>
      <c r="M31" s="569">
        <f>IF('Final Calculation Sheet'!$Z$14="","",'Final Calculation Sheet'!$Z$14)</f>
        <v/>
      </c>
      <c r="O31" s="545">
        <f>IF('Final Calculation Sheet'!$Z$13="","",'Final Calculation Sheet'!$Z$13)</f>
        <v/>
      </c>
      <c r="P31" s="570">
        <f>IF('Final Calculation Sheet'!$Z$16="","",'Final Calculation Sheet'!$Z$16)</f>
        <v/>
      </c>
      <c r="R31" s="545">
        <f>IF('Final Calculation Sheet'!$Z$27="","",'Final Calculation Sheet'!$Z$27)</f>
        <v/>
      </c>
      <c r="T31" s="568">
        <f>IF('Final Calculation Sheet'!$Z$18="","",'Final Calculation Sheet'!$Z$18)</f>
        <v/>
      </c>
      <c r="U31" s="545">
        <f>IF('Final Calculation Sheet'!$Z$19="","",'Final Calculation Sheet'!$Z$19)</f>
        <v/>
      </c>
      <c r="V31" s="568">
        <f>IF('Final Calculation Sheet'!$Z$22="","",'Final Calculation Sheet'!$Z$22)</f>
        <v/>
      </c>
      <c r="W31" s="545">
        <f>IF('Final Calculation Sheet'!$Z$24="","",'Final Calculation Sheet'!$Z$24)</f>
        <v/>
      </c>
      <c r="X31" s="568">
        <f>IF('Final Calculation Sheet'!$Z$26="","",'Final Calculation Sheet'!$Z$26)</f>
        <v/>
      </c>
      <c r="Z31" s="545">
        <f>IF('Final Calculation Sheet'!$Z$21="","",'Final Calculation Sheet'!$Z$21)</f>
        <v/>
      </c>
      <c r="AB31" s="571">
        <f>IF('Final Calculation Sheet'!$Z$20="","",'Final Calculation Sheet'!$Z$20)</f>
        <v/>
      </c>
      <c r="AD31" s="545">
        <f>IF('Final Calculation Sheet'!$Z$17="","",'Final Calculation Sheet'!$Z$17)</f>
        <v/>
      </c>
      <c r="AE31" s="570">
        <f>IF('Final Calculation Sheet'!$Z$23="","",'Final Calculation Sheet'!$Z$23)</f>
        <v/>
      </c>
      <c r="AF31" s="545">
        <f>IF('Final Calculation Sheet'!$Z$29="","",'Final Calculation Sheet'!$Z$29)</f>
        <v/>
      </c>
      <c r="AH31" s="566">
        <f>IF('Final Calculation Sheet'!$Z$25="","",'Final Calculation Sheet'!$Z$25)</f>
        <v/>
      </c>
      <c r="AI31" s="545">
        <f>IF('Final Calculation Sheet'!$Z$28="","",'Final Calculation Sheet'!$Z$28)</f>
        <v/>
      </c>
      <c r="AK31" s="568">
        <f>IF('Final Calculation Sheet'!$Z$30="","",'Final Calculation Sheet'!$Z$30)</f>
        <v/>
      </c>
      <c r="AL31" s="545">
        <f>IF('Final Calculation Sheet'!$Z$32="","",'Final Calculation Sheet'!$Z$32)</f>
        <v/>
      </c>
      <c r="AM31" s="568">
        <f>IF('Final Calculation Sheet'!$Z$33="","",'Final Calculation Sheet'!$Z$33)</f>
        <v/>
      </c>
      <c r="AO31" s="545">
        <f>IF('Final Calculation Sheet'!$Z$31="","",'Final Calculation Sheet'!$Z$31)</f>
        <v/>
      </c>
      <c r="AQ31" s="570">
        <f>IF('Final Calculation Sheet'!$Z$34="","",'Final Calculation Sheet'!$Z$34)</f>
        <v/>
      </c>
      <c r="AS31" s="545">
        <f>IF('Final Calculation Sheet'!$Z$4="","",'Final Calculation Sheet'!$Z$4)</f>
        <v/>
      </c>
      <c r="AU31" s="569">
        <f>IF('Final Calculation Sheet'!$Z$38="","",'Final Calculation Sheet'!$Z$38)</f>
        <v/>
      </c>
      <c r="AW31" s="545">
        <f>IF('Final Calculation Sheet'!$Z$37="","",'Final Calculation Sheet'!$Z$37)</f>
        <v/>
      </c>
      <c r="AY31" s="571">
        <f>IF('Final Calculation Sheet'!$Z$8="","",'Final Calculation Sheet'!$Z$8)</f>
        <v/>
      </c>
      <c r="BA31" s="545">
        <f>IF('Final Calculation Sheet'!$Z$39="","",'Final Calculation Sheet'!$Z$39)</f>
        <v/>
      </c>
      <c r="BB31" s="570">
        <f>IF('Final Calculation Sheet'!$Z$40="","",'Final Calculation Sheet'!$Z$40)</f>
        <v/>
      </c>
      <c r="BD31" s="545">
        <f>IF('Final Calculation Sheet'!$Z$36="","",'Final Calculation Sheet'!$Z$36)</f>
        <v/>
      </c>
      <c r="BF31" s="566">
        <f>IF('Final Calculation Sheet'!$Z$35="","",'Final Calculation Sheet'!$Z$35)</f>
        <v/>
      </c>
      <c r="BG31" s="546">
        <f>IF('Final Calculation Sheet'!$Z$41="","",'Final Calculation Sheet'!$Z$41)</f>
        <v/>
      </c>
    </row>
    <row r="32" ht="15" customHeight="1">
      <c r="A32" s="540" t="inlineStr">
        <is>
          <t>LPP Received</t>
        </is>
      </c>
      <c r="B32" s="566">
        <f>IF('Final Calculation Sheet'!$AA$6="","",'Final Calculation Sheet'!$AA$6)</f>
        <v/>
      </c>
      <c r="C32" s="545">
        <f>IF('Final Calculation Sheet'!$AA$7="","",'Final Calculation Sheet'!$AA$7)</f>
        <v/>
      </c>
      <c r="E32" s="567">
        <f>IF('Final Calculation Sheet'!$AA$15="","",'Final Calculation Sheet'!$AA$15)</f>
        <v/>
      </c>
      <c r="G32" s="545">
        <f>IF('Final Calculation Sheet'!$AA$5="","",'Final Calculation Sheet'!$AA$5)</f>
        <v/>
      </c>
      <c r="H32" s="568">
        <f>IF('Final Calculation Sheet'!$AA$10="","",'Final Calculation Sheet'!$AA$10)</f>
        <v/>
      </c>
      <c r="I32" s="545">
        <f>IF('Final Calculation Sheet'!$AA$11="","",'Final Calculation Sheet'!$AA$11)</f>
        <v/>
      </c>
      <c r="J32" s="568">
        <f>IF('Final Calculation Sheet'!$AA$12="","",'Final Calculation Sheet'!$AA$12)</f>
        <v/>
      </c>
      <c r="L32" s="545">
        <f>IF('Final Calculation Sheet'!$AA$9="","",'Final Calculation Sheet'!$AA$9)</f>
        <v/>
      </c>
      <c r="M32" s="569">
        <f>IF('Final Calculation Sheet'!$AA$14="","",'Final Calculation Sheet'!$AA$14)</f>
        <v/>
      </c>
      <c r="O32" s="545">
        <f>IF('Final Calculation Sheet'!$AA$13="","",'Final Calculation Sheet'!$AA$13)</f>
        <v/>
      </c>
      <c r="P32" s="570">
        <f>IF('Final Calculation Sheet'!$AA$16="","",'Final Calculation Sheet'!$AA$16)</f>
        <v/>
      </c>
      <c r="R32" s="545">
        <f>IF('Final Calculation Sheet'!$AA$27="","",'Final Calculation Sheet'!$AA$27)</f>
        <v/>
      </c>
      <c r="T32" s="568">
        <f>IF('Final Calculation Sheet'!$AA$18="","",'Final Calculation Sheet'!$AA$18)</f>
        <v/>
      </c>
      <c r="U32" s="545">
        <f>IF('Final Calculation Sheet'!$AA$19="","",'Final Calculation Sheet'!$AA$19)</f>
        <v/>
      </c>
      <c r="V32" s="568">
        <f>IF('Final Calculation Sheet'!$AA$22="","",'Final Calculation Sheet'!$AA$22)</f>
        <v/>
      </c>
      <c r="W32" s="545">
        <f>IF('Final Calculation Sheet'!$AA$24="","",'Final Calculation Sheet'!$AA$24)</f>
        <v/>
      </c>
      <c r="X32" s="568">
        <f>IF('Final Calculation Sheet'!$AA$26="","",'Final Calculation Sheet'!$AA$26)</f>
        <v/>
      </c>
      <c r="Z32" s="545">
        <f>IF('Final Calculation Sheet'!$AA$21="","",'Final Calculation Sheet'!$AA$21)</f>
        <v/>
      </c>
      <c r="AB32" s="571">
        <f>IF('Final Calculation Sheet'!$AA$20="","",'Final Calculation Sheet'!$AA$20)</f>
        <v/>
      </c>
      <c r="AD32" s="545">
        <f>IF('Final Calculation Sheet'!$AA$17="","",'Final Calculation Sheet'!$AA$17)</f>
        <v/>
      </c>
      <c r="AE32" s="570">
        <f>IF('Final Calculation Sheet'!$AA$23="","",'Final Calculation Sheet'!$AA$23)</f>
        <v/>
      </c>
      <c r="AF32" s="545">
        <f>IF('Final Calculation Sheet'!$AA$29="","",'Final Calculation Sheet'!$AA$29)</f>
        <v/>
      </c>
      <c r="AH32" s="566">
        <f>IF('Final Calculation Sheet'!$AA$25="","",'Final Calculation Sheet'!$AA$25)</f>
        <v/>
      </c>
      <c r="AI32" s="545">
        <f>IF('Final Calculation Sheet'!$AA$28="","",'Final Calculation Sheet'!$AA$28)</f>
        <v/>
      </c>
      <c r="AK32" s="568">
        <f>IF('Final Calculation Sheet'!$AA$30="","",'Final Calculation Sheet'!$AA$30)</f>
        <v/>
      </c>
      <c r="AL32" s="545">
        <f>IF('Final Calculation Sheet'!$AA$32="","",'Final Calculation Sheet'!$AA$32)</f>
        <v/>
      </c>
      <c r="AM32" s="568">
        <f>IF('Final Calculation Sheet'!$AA$33="","",'Final Calculation Sheet'!$AA$33)</f>
        <v/>
      </c>
      <c r="AO32" s="545">
        <f>IF('Final Calculation Sheet'!$AA$31="","",'Final Calculation Sheet'!$AA$31)</f>
        <v/>
      </c>
      <c r="AQ32" s="570">
        <f>IF('Final Calculation Sheet'!$AA$34="","",'Final Calculation Sheet'!$AA$34)</f>
        <v/>
      </c>
      <c r="AS32" s="545">
        <f>IF('Final Calculation Sheet'!$AA$4="","",'Final Calculation Sheet'!$AA$4)</f>
        <v/>
      </c>
      <c r="AU32" s="569">
        <f>IF('Final Calculation Sheet'!$AA$38="","",'Final Calculation Sheet'!$AA$38)</f>
        <v/>
      </c>
      <c r="AW32" s="545">
        <f>IF('Final Calculation Sheet'!$AA$37="","",'Final Calculation Sheet'!$AA$37)</f>
        <v/>
      </c>
      <c r="AY32" s="571">
        <f>IF('Final Calculation Sheet'!$AA$8="","",'Final Calculation Sheet'!$AA$8)</f>
        <v/>
      </c>
      <c r="BA32" s="545">
        <f>IF('Final Calculation Sheet'!$AA$39="","",'Final Calculation Sheet'!$AA$39)</f>
        <v/>
      </c>
      <c r="BB32" s="570">
        <f>IF('Final Calculation Sheet'!$AA$40="","",'Final Calculation Sheet'!$AA$40)</f>
        <v/>
      </c>
      <c r="BD32" s="545">
        <f>IF('Final Calculation Sheet'!$AA$36="","",'Final Calculation Sheet'!$AA$36)</f>
        <v/>
      </c>
      <c r="BF32" s="566">
        <f>IF('Final Calculation Sheet'!$AA$35="","",'Final Calculation Sheet'!$AA$35)</f>
        <v/>
      </c>
      <c r="BG32" s="546">
        <f>IF('Final Calculation Sheet'!$AA$41="","",'Final Calculation Sheet'!$AA$41)</f>
        <v/>
      </c>
    </row>
    <row r="33" ht="15" customHeight="1">
      <c r="A33" s="543" t="inlineStr">
        <is>
          <t>Date of Recepit of LPP</t>
        </is>
      </c>
      <c r="B33" s="566">
        <f>IF('Final Calculation Sheet'!$AB$6="","",'Final Calculation Sheet'!$AB$6)</f>
        <v/>
      </c>
      <c r="C33" s="545">
        <f>IF('Final Calculation Sheet'!$AB$7="","",'Final Calculation Sheet'!$AB$7)</f>
        <v/>
      </c>
      <c r="E33" s="567">
        <f>IF('Final Calculation Sheet'!$AB$15="","",'Final Calculation Sheet'!$AB$15)</f>
        <v/>
      </c>
      <c r="G33" s="545">
        <f>IF('Final Calculation Sheet'!$AB$5="","",'Final Calculation Sheet'!$AB$5)</f>
        <v/>
      </c>
      <c r="H33" s="568">
        <f>IF('Final Calculation Sheet'!$AB$10="","",'Final Calculation Sheet'!$AB$10)</f>
        <v/>
      </c>
      <c r="I33" s="545">
        <f>IF('Final Calculation Sheet'!$AB$11="","",'Final Calculation Sheet'!$AB$11)</f>
        <v/>
      </c>
      <c r="J33" s="568">
        <f>IF('Final Calculation Sheet'!$AB$12="","",'Final Calculation Sheet'!$AB$12)</f>
        <v/>
      </c>
      <c r="L33" s="545">
        <f>IF('Final Calculation Sheet'!$AB$9="","",'Final Calculation Sheet'!$AB$9)</f>
        <v/>
      </c>
      <c r="M33" s="569">
        <f>IF('Final Calculation Sheet'!$AB$14="","",'Final Calculation Sheet'!$AB$14)</f>
        <v/>
      </c>
      <c r="O33" s="545">
        <f>IF('Final Calculation Sheet'!$AB$13="","",'Final Calculation Sheet'!$AB$13)</f>
        <v/>
      </c>
      <c r="P33" s="570">
        <f>IF('Final Calculation Sheet'!$AB$16="","",'Final Calculation Sheet'!$AB$16)</f>
        <v/>
      </c>
      <c r="R33" s="545">
        <f>IF('Final Calculation Sheet'!$AB$27="","",'Final Calculation Sheet'!$AB$27)</f>
        <v/>
      </c>
      <c r="T33" s="568">
        <f>IF('Final Calculation Sheet'!$AB$18="","",'Final Calculation Sheet'!$AB$18)</f>
        <v/>
      </c>
      <c r="U33" s="545">
        <f>IF('Final Calculation Sheet'!$AB$19="","",'Final Calculation Sheet'!$AB$19)</f>
        <v/>
      </c>
      <c r="V33" s="568">
        <f>IF('Final Calculation Sheet'!$AB$22="","",'Final Calculation Sheet'!$AB$22)</f>
        <v/>
      </c>
      <c r="W33" s="545">
        <f>IF('Final Calculation Sheet'!$AB$24="","",'Final Calculation Sheet'!$AB$24)</f>
        <v/>
      </c>
      <c r="X33" s="568">
        <f>IF('Final Calculation Sheet'!$AB$26="","",'Final Calculation Sheet'!$AB$26)</f>
        <v/>
      </c>
      <c r="Z33" s="545">
        <f>IF('Final Calculation Sheet'!$AB$21="","",'Final Calculation Sheet'!$AB$21)</f>
        <v/>
      </c>
      <c r="AB33" s="571">
        <f>IF('Final Calculation Sheet'!$AB$20="","",'Final Calculation Sheet'!$AB$20)</f>
        <v/>
      </c>
      <c r="AD33" s="545">
        <f>IF('Final Calculation Sheet'!$AB$17="","",'Final Calculation Sheet'!$AB$17)</f>
        <v/>
      </c>
      <c r="AE33" s="570">
        <f>IF('Final Calculation Sheet'!$AB$23="","",'Final Calculation Sheet'!$AB$23)</f>
        <v/>
      </c>
      <c r="AF33" s="545">
        <f>IF('Final Calculation Sheet'!$AB$29="","",'Final Calculation Sheet'!$AB$29)</f>
        <v/>
      </c>
      <c r="AH33" s="566">
        <f>IF('Final Calculation Sheet'!$AB$25="","",'Final Calculation Sheet'!$AB$25)</f>
        <v/>
      </c>
      <c r="AI33" s="545">
        <f>IF('Final Calculation Sheet'!$AB$28="","",'Final Calculation Sheet'!$AB$28)</f>
        <v/>
      </c>
      <c r="AK33" s="568">
        <f>IF('Final Calculation Sheet'!$AB$30="","",'Final Calculation Sheet'!$AB$30)</f>
        <v/>
      </c>
      <c r="AL33" s="545">
        <f>IF('Final Calculation Sheet'!$AB$32="","",'Final Calculation Sheet'!$AB$32)</f>
        <v/>
      </c>
      <c r="AM33" s="568">
        <f>IF('Final Calculation Sheet'!$AB$33="","",'Final Calculation Sheet'!$AB$33)</f>
        <v/>
      </c>
      <c r="AO33" s="545">
        <f>IF('Final Calculation Sheet'!$AB$31="","",'Final Calculation Sheet'!$AB$31)</f>
        <v/>
      </c>
      <c r="AQ33" s="570">
        <f>IF('Final Calculation Sheet'!$AB$34="","",'Final Calculation Sheet'!$AB$34)</f>
        <v/>
      </c>
      <c r="AS33" s="545">
        <f>IF('Final Calculation Sheet'!$AB$4="","",'Final Calculation Sheet'!$AB$4)</f>
        <v/>
      </c>
      <c r="AU33" s="569">
        <f>IF('Final Calculation Sheet'!$AB$38="","",'Final Calculation Sheet'!$AB$38)</f>
        <v/>
      </c>
      <c r="AW33" s="545">
        <f>IF('Final Calculation Sheet'!$AB$37="","",'Final Calculation Sheet'!$AB$37)</f>
        <v/>
      </c>
      <c r="AY33" s="571">
        <f>IF('Final Calculation Sheet'!$AB$8="","",'Final Calculation Sheet'!$AB$8)</f>
        <v/>
      </c>
      <c r="BA33" s="545">
        <f>IF('Final Calculation Sheet'!$AB$39="","",'Final Calculation Sheet'!$AB$39)</f>
        <v/>
      </c>
      <c r="BB33" s="570">
        <f>IF('Final Calculation Sheet'!$AB$40="","",'Final Calculation Sheet'!$AB$40)</f>
        <v/>
      </c>
      <c r="BD33" s="545">
        <f>IF('Final Calculation Sheet'!$AB$36="","",'Final Calculation Sheet'!$AB$36)</f>
        <v/>
      </c>
      <c r="BF33" s="566">
        <f>IF('Final Calculation Sheet'!$AB$35="","",'Final Calculation Sheet'!$AB$35)</f>
        <v/>
      </c>
      <c r="BG33" s="546">
        <f>IF('Final Calculation Sheet'!$AB$41="","",'Final Calculation Sheet'!$AB$41)</f>
        <v/>
      </c>
    </row>
    <row r="34" ht="15" customHeight="1">
      <c r="A34" s="540" t="inlineStr">
        <is>
          <t>Total Received</t>
        </is>
      </c>
      <c r="B34" s="566">
        <f>IF('Final Calculation Sheet'!$AC$6="","",'Final Calculation Sheet'!$AC$6)</f>
        <v/>
      </c>
      <c r="C34" s="545">
        <f>IF('Final Calculation Sheet'!$AC$7="","",'Final Calculation Sheet'!$AC$7)</f>
        <v/>
      </c>
      <c r="E34" s="567">
        <f>IF('Final Calculation Sheet'!$AC$15="","",'Final Calculation Sheet'!$AC$15)</f>
        <v/>
      </c>
      <c r="G34" s="545">
        <f>IF('Final Calculation Sheet'!$AC$5="","",'Final Calculation Sheet'!$AC$5)</f>
        <v/>
      </c>
      <c r="H34" s="568">
        <f>IF('Final Calculation Sheet'!$AC$10="","",'Final Calculation Sheet'!$AC$10)</f>
        <v/>
      </c>
      <c r="I34" s="545">
        <f>IF('Final Calculation Sheet'!$AC$11="","",'Final Calculation Sheet'!$AC$11)</f>
        <v/>
      </c>
      <c r="J34" s="568">
        <f>IF('Final Calculation Sheet'!$AC$12="","",'Final Calculation Sheet'!$AC$12)</f>
        <v/>
      </c>
      <c r="L34" s="545">
        <f>IF('Final Calculation Sheet'!$AC$9="","",'Final Calculation Sheet'!$AC$9)</f>
        <v/>
      </c>
      <c r="M34" s="569">
        <f>IF('Final Calculation Sheet'!$AC$14="","",'Final Calculation Sheet'!$AC$14)</f>
        <v/>
      </c>
      <c r="O34" s="545">
        <f>IF('Final Calculation Sheet'!$AC$13="","",'Final Calculation Sheet'!$AC$13)</f>
        <v/>
      </c>
      <c r="P34" s="570">
        <f>IF('Final Calculation Sheet'!$AC$16="","",'Final Calculation Sheet'!$AC$16)</f>
        <v/>
      </c>
      <c r="R34" s="545">
        <f>IF('Final Calculation Sheet'!$AC$27="","",'Final Calculation Sheet'!$AC$27)</f>
        <v/>
      </c>
      <c r="T34" s="568">
        <f>IF('Final Calculation Sheet'!$AC$18="","",'Final Calculation Sheet'!$AC$18)</f>
        <v/>
      </c>
      <c r="U34" s="545">
        <f>IF('Final Calculation Sheet'!$AC$19="","",'Final Calculation Sheet'!$AC$19)</f>
        <v/>
      </c>
      <c r="V34" s="568">
        <f>IF('Final Calculation Sheet'!$AC$22="","",'Final Calculation Sheet'!$AC$22)</f>
        <v/>
      </c>
      <c r="W34" s="545">
        <f>IF('Final Calculation Sheet'!$AC$24="","",'Final Calculation Sheet'!$AC$24)</f>
        <v/>
      </c>
      <c r="X34" s="568">
        <f>IF('Final Calculation Sheet'!$AC$26="","",'Final Calculation Sheet'!$AC$26)</f>
        <v/>
      </c>
      <c r="Z34" s="545">
        <f>IF('Final Calculation Sheet'!$AC$21="","",'Final Calculation Sheet'!$AC$21)</f>
        <v/>
      </c>
      <c r="AB34" s="571">
        <f>IF('Final Calculation Sheet'!$AC$20="","",'Final Calculation Sheet'!$AC$20)</f>
        <v/>
      </c>
      <c r="AD34" s="545">
        <f>IF('Final Calculation Sheet'!$AC$17="","",'Final Calculation Sheet'!$AC$17)</f>
        <v/>
      </c>
      <c r="AE34" s="570">
        <f>IF('Final Calculation Sheet'!$AC$23="","",'Final Calculation Sheet'!$AC$23)</f>
        <v/>
      </c>
      <c r="AF34" s="545">
        <f>IF('Final Calculation Sheet'!$AC$29="","",'Final Calculation Sheet'!$AC$29)</f>
        <v/>
      </c>
      <c r="AH34" s="566">
        <f>IF('Final Calculation Sheet'!$AC$25="","",'Final Calculation Sheet'!$AC$25)</f>
        <v/>
      </c>
      <c r="AI34" s="545">
        <f>IF('Final Calculation Sheet'!$AC$28="","",'Final Calculation Sheet'!$AC$28)</f>
        <v/>
      </c>
      <c r="AK34" s="568">
        <f>IF('Final Calculation Sheet'!$AC$30="","",'Final Calculation Sheet'!$AC$30)</f>
        <v/>
      </c>
      <c r="AL34" s="545">
        <f>IF('Final Calculation Sheet'!$AC$32="","",'Final Calculation Sheet'!$AC$32)</f>
        <v/>
      </c>
      <c r="AM34" s="568">
        <f>IF('Final Calculation Sheet'!$AC$33="","",'Final Calculation Sheet'!$AC$33)</f>
        <v/>
      </c>
      <c r="AO34" s="545">
        <f>IF('Final Calculation Sheet'!$AC$31="","",'Final Calculation Sheet'!$AC$31)</f>
        <v/>
      </c>
      <c r="AQ34" s="570">
        <f>IF('Final Calculation Sheet'!$AC$34="","",'Final Calculation Sheet'!$AC$34)</f>
        <v/>
      </c>
      <c r="AS34" s="545">
        <f>IF('Final Calculation Sheet'!$AC$4="","",'Final Calculation Sheet'!$AC$4)</f>
        <v/>
      </c>
      <c r="AU34" s="569">
        <f>IF('Final Calculation Sheet'!$AC$38="","",'Final Calculation Sheet'!$AC$38)</f>
        <v/>
      </c>
      <c r="AW34" s="545">
        <f>IF('Final Calculation Sheet'!$AC$37="","",'Final Calculation Sheet'!$AC$37)</f>
        <v/>
      </c>
      <c r="AY34" s="571">
        <f>IF('Final Calculation Sheet'!$AC$8="","",'Final Calculation Sheet'!$AC$8)</f>
        <v/>
      </c>
      <c r="BA34" s="545">
        <f>IF('Final Calculation Sheet'!$AC$39="","",'Final Calculation Sheet'!$AC$39)</f>
        <v/>
      </c>
      <c r="BB34" s="570">
        <f>IF('Final Calculation Sheet'!$AC$40="","",'Final Calculation Sheet'!$AC$40)</f>
        <v/>
      </c>
      <c r="BD34" s="545">
        <f>IF('Final Calculation Sheet'!$AC$36="","",'Final Calculation Sheet'!$AC$36)</f>
        <v/>
      </c>
      <c r="BF34" s="566">
        <f>IF('Final Calculation Sheet'!$AC$35="","",'Final Calculation Sheet'!$AC$35)</f>
        <v/>
      </c>
      <c r="BG34" s="546">
        <f>IF('Final Calculation Sheet'!$AC$41="","",'Final Calculation Sheet'!$AC$41)</f>
        <v/>
      </c>
    </row>
    <row r="35" ht="15" customHeight="1">
      <c r="A35" s="543" t="inlineStr">
        <is>
          <t>Outstanding</t>
        </is>
      </c>
      <c r="B35" s="566">
        <f>IF('Final Calculation Sheet'!$AD$6="","",'Final Calculation Sheet'!$AD$6)</f>
        <v/>
      </c>
      <c r="C35" s="545">
        <f>IF('Final Calculation Sheet'!$AD$7="","",'Final Calculation Sheet'!$AD$7)</f>
        <v/>
      </c>
      <c r="E35" s="567">
        <f>IF('Final Calculation Sheet'!$AD$15="","",'Final Calculation Sheet'!$AD$15)</f>
        <v/>
      </c>
      <c r="G35" s="545">
        <f>IF('Final Calculation Sheet'!$AD$5="","",'Final Calculation Sheet'!$AD$5)</f>
        <v/>
      </c>
      <c r="H35" s="568">
        <f>IF('Final Calculation Sheet'!$AD$10="","",'Final Calculation Sheet'!$AD$10)</f>
        <v/>
      </c>
      <c r="I35" s="545">
        <f>IF('Final Calculation Sheet'!$AD$11="","",'Final Calculation Sheet'!$AD$11)</f>
        <v/>
      </c>
      <c r="J35" s="568">
        <f>IF('Final Calculation Sheet'!$AD$12="","",'Final Calculation Sheet'!$AD$12)</f>
        <v/>
      </c>
      <c r="L35" s="545">
        <f>IF('Final Calculation Sheet'!$AD$9="","",'Final Calculation Sheet'!$AD$9)</f>
        <v/>
      </c>
      <c r="M35" s="569">
        <f>IF('Final Calculation Sheet'!$AD$14="","",'Final Calculation Sheet'!$AD$14)</f>
        <v/>
      </c>
      <c r="O35" s="545">
        <f>IF('Final Calculation Sheet'!$AD$13="","",'Final Calculation Sheet'!$AD$13)</f>
        <v/>
      </c>
      <c r="P35" s="570">
        <f>IF('Final Calculation Sheet'!$AD$16="","",'Final Calculation Sheet'!$AD$16)</f>
        <v/>
      </c>
      <c r="R35" s="545">
        <f>IF('Final Calculation Sheet'!$AD$27="","",'Final Calculation Sheet'!$AD$27)</f>
        <v/>
      </c>
      <c r="T35" s="568">
        <f>IF('Final Calculation Sheet'!$AD$18="","",'Final Calculation Sheet'!$AD$18)</f>
        <v/>
      </c>
      <c r="U35" s="545">
        <f>IF('Final Calculation Sheet'!$AD$19="","",'Final Calculation Sheet'!$AD$19)</f>
        <v/>
      </c>
      <c r="V35" s="568">
        <f>IF('Final Calculation Sheet'!$AD$22="","",'Final Calculation Sheet'!$AD$22)</f>
        <v/>
      </c>
      <c r="W35" s="545">
        <f>IF('Final Calculation Sheet'!$AD$24="","",'Final Calculation Sheet'!$AD$24)</f>
        <v/>
      </c>
      <c r="X35" s="568">
        <f>IF('Final Calculation Sheet'!$AD$26="","",'Final Calculation Sheet'!$AD$26)</f>
        <v/>
      </c>
      <c r="Z35" s="545">
        <f>IF('Final Calculation Sheet'!$AD$21="","",'Final Calculation Sheet'!$AD$21)</f>
        <v/>
      </c>
      <c r="AB35" s="571">
        <f>IF('Final Calculation Sheet'!$AD$20="","",'Final Calculation Sheet'!$AD$20)</f>
        <v/>
      </c>
      <c r="AD35" s="545">
        <f>IF('Final Calculation Sheet'!$AD$17="","",'Final Calculation Sheet'!$AD$17)</f>
        <v/>
      </c>
      <c r="AE35" s="570">
        <f>IF('Final Calculation Sheet'!$AD$23="","",'Final Calculation Sheet'!$AD$23)</f>
        <v/>
      </c>
      <c r="AF35" s="545">
        <f>IF('Final Calculation Sheet'!$AD$29="","",'Final Calculation Sheet'!$AD$29)</f>
        <v/>
      </c>
      <c r="AH35" s="566">
        <f>IF('Final Calculation Sheet'!$AD$25="","",'Final Calculation Sheet'!$AD$25)</f>
        <v/>
      </c>
      <c r="AI35" s="545">
        <f>IF('Final Calculation Sheet'!$AD$28="","",'Final Calculation Sheet'!$AD$28)</f>
        <v/>
      </c>
      <c r="AK35" s="568">
        <f>IF('Final Calculation Sheet'!$AD$30="","",'Final Calculation Sheet'!$AD$30)</f>
        <v/>
      </c>
      <c r="AL35" s="545">
        <f>IF('Final Calculation Sheet'!$AD$32="","",'Final Calculation Sheet'!$AD$32)</f>
        <v/>
      </c>
      <c r="AM35" s="568">
        <f>IF('Final Calculation Sheet'!$AD$33="","",'Final Calculation Sheet'!$AD$33)</f>
        <v/>
      </c>
      <c r="AO35" s="545">
        <f>IF('Final Calculation Sheet'!$AD$31="","",'Final Calculation Sheet'!$AD$31)</f>
        <v/>
      </c>
      <c r="AQ35" s="570">
        <f>IF('Final Calculation Sheet'!$AD$34="","",'Final Calculation Sheet'!$AD$34)</f>
        <v/>
      </c>
      <c r="AS35" s="545">
        <f>IF('Final Calculation Sheet'!$AD$4="","",'Final Calculation Sheet'!$AD$4)</f>
        <v/>
      </c>
      <c r="AU35" s="569">
        <f>IF('Final Calculation Sheet'!$AD$38="","",'Final Calculation Sheet'!$AD$38)</f>
        <v/>
      </c>
      <c r="AW35" s="545">
        <f>IF('Final Calculation Sheet'!$AD$37="","",'Final Calculation Sheet'!$AD$37)</f>
        <v/>
      </c>
      <c r="AY35" s="571">
        <f>IF('Final Calculation Sheet'!$AD$8="","",'Final Calculation Sheet'!$AD$8)</f>
        <v/>
      </c>
      <c r="BA35" s="545">
        <f>IF('Final Calculation Sheet'!$AD$39="","",'Final Calculation Sheet'!$AD$39)</f>
        <v/>
      </c>
      <c r="BB35" s="570">
        <f>IF('Final Calculation Sheet'!$AD$40="","",'Final Calculation Sheet'!$AD$40)</f>
        <v/>
      </c>
      <c r="BD35" s="545">
        <f>IF('Final Calculation Sheet'!$AD$36="","",'Final Calculation Sheet'!$AD$36)</f>
        <v/>
      </c>
      <c r="BF35" s="566">
        <f>IF('Final Calculation Sheet'!$AD$35="","",'Final Calculation Sheet'!$AD$35)</f>
        <v/>
      </c>
      <c r="BG35" s="546">
        <f>IF('Final Calculation Sheet'!$AD$41="","",'Final Calculation Sheet'!$AD$41)</f>
        <v/>
      </c>
    </row>
    <row r="36" ht="15" customHeight="1">
      <c r="A36" s="540" t="inlineStr">
        <is>
          <t>Invoice No.</t>
        </is>
      </c>
      <c r="B36" s="566">
        <f>IF('Final Calculation Sheet'!$AE$6="","",'Final Calculation Sheet'!$AE$6)</f>
        <v/>
      </c>
      <c r="C36" s="545">
        <f>IF('Final Calculation Sheet'!$AE$7="","",'Final Calculation Sheet'!$AE$7)</f>
        <v/>
      </c>
      <c r="E36" s="567">
        <f>IF('Final Calculation Sheet'!$AE$15="","",'Final Calculation Sheet'!$AE$15)</f>
        <v/>
      </c>
      <c r="G36" s="545">
        <f>IF('Final Calculation Sheet'!$AE$5="","",'Final Calculation Sheet'!$AE$5)</f>
        <v/>
      </c>
      <c r="H36" s="568">
        <f>IF('Final Calculation Sheet'!$AE$10="","",'Final Calculation Sheet'!$AE$10)</f>
        <v/>
      </c>
      <c r="I36" s="545">
        <f>IF('Final Calculation Sheet'!$AE$11="","",'Final Calculation Sheet'!$AE$11)</f>
        <v/>
      </c>
      <c r="J36" s="568">
        <f>IF('Final Calculation Sheet'!$AE$12="","",'Final Calculation Sheet'!$AE$12)</f>
        <v/>
      </c>
      <c r="L36" s="545">
        <f>IF('Final Calculation Sheet'!$AE$9="","",'Final Calculation Sheet'!$AE$9)</f>
        <v/>
      </c>
      <c r="M36" s="569">
        <f>IF('Final Calculation Sheet'!$AE$14="","",'Final Calculation Sheet'!$AE$14)</f>
        <v/>
      </c>
      <c r="O36" s="545">
        <f>IF('Final Calculation Sheet'!$AE$13="","",'Final Calculation Sheet'!$AE$13)</f>
        <v/>
      </c>
      <c r="P36" s="570">
        <f>IF('Final Calculation Sheet'!$AE$16="","",'Final Calculation Sheet'!$AE$16)</f>
        <v/>
      </c>
      <c r="R36" s="545">
        <f>IF('Final Calculation Sheet'!$AE$27="","",'Final Calculation Sheet'!$AE$27)</f>
        <v/>
      </c>
      <c r="T36" s="568">
        <f>IF('Final Calculation Sheet'!$AE$18="","",'Final Calculation Sheet'!$AE$18)</f>
        <v/>
      </c>
      <c r="U36" s="545">
        <f>IF('Final Calculation Sheet'!$AE$19="","",'Final Calculation Sheet'!$AE$19)</f>
        <v/>
      </c>
      <c r="V36" s="568">
        <f>IF('Final Calculation Sheet'!$AE$22="","",'Final Calculation Sheet'!$AE$22)</f>
        <v/>
      </c>
      <c r="W36" s="545">
        <f>IF('Final Calculation Sheet'!$AE$24="","",'Final Calculation Sheet'!$AE$24)</f>
        <v/>
      </c>
      <c r="X36" s="568">
        <f>IF('Final Calculation Sheet'!$AE$26="","",'Final Calculation Sheet'!$AE$26)</f>
        <v/>
      </c>
      <c r="Z36" s="545">
        <f>IF('Final Calculation Sheet'!$AE$21="","",'Final Calculation Sheet'!$AE$21)</f>
        <v/>
      </c>
      <c r="AB36" s="571">
        <f>IF('Final Calculation Sheet'!$AE$20="","",'Final Calculation Sheet'!$AE$20)</f>
        <v/>
      </c>
      <c r="AD36" s="545">
        <f>IF('Final Calculation Sheet'!$AE$17="","",'Final Calculation Sheet'!$AE$17)</f>
        <v/>
      </c>
      <c r="AE36" s="570">
        <f>IF('Final Calculation Sheet'!$AE$23="","",'Final Calculation Sheet'!$AE$23)</f>
        <v/>
      </c>
      <c r="AF36" s="545">
        <f>IF('Final Calculation Sheet'!$AE$29="","",'Final Calculation Sheet'!$AE$29)</f>
        <v/>
      </c>
      <c r="AH36" s="566">
        <f>IF('Final Calculation Sheet'!$AE$25="","",'Final Calculation Sheet'!$AE$25)</f>
        <v/>
      </c>
      <c r="AI36" s="545">
        <f>IF('Final Calculation Sheet'!$AE$28="","",'Final Calculation Sheet'!$AE$28)</f>
        <v/>
      </c>
      <c r="AK36" s="568">
        <f>IF('Final Calculation Sheet'!$AE$30="","",'Final Calculation Sheet'!$AE$30)</f>
        <v/>
      </c>
      <c r="AL36" s="545">
        <f>IF('Final Calculation Sheet'!$AE$32="","",'Final Calculation Sheet'!$AE$32)</f>
        <v/>
      </c>
      <c r="AM36" s="568">
        <f>IF('Final Calculation Sheet'!$AE$33="","",'Final Calculation Sheet'!$AE$33)</f>
        <v/>
      </c>
      <c r="AO36" s="545">
        <f>IF('Final Calculation Sheet'!$AE$31="","",'Final Calculation Sheet'!$AE$31)</f>
        <v/>
      </c>
      <c r="AQ36" s="570">
        <f>IF('Final Calculation Sheet'!$AE$34="","",'Final Calculation Sheet'!$AE$34)</f>
        <v/>
      </c>
      <c r="AS36" s="545">
        <f>IF('Final Calculation Sheet'!$AE$4="","",'Final Calculation Sheet'!$AE$4)</f>
        <v/>
      </c>
      <c r="AU36" s="569">
        <f>IF('Final Calculation Sheet'!$AE$38="","",'Final Calculation Sheet'!$AE$38)</f>
        <v/>
      </c>
      <c r="AW36" s="545">
        <f>IF('Final Calculation Sheet'!$AE$37="","",'Final Calculation Sheet'!$AE$37)</f>
        <v/>
      </c>
      <c r="AY36" s="571">
        <f>IF('Final Calculation Sheet'!$AE$8="","",'Final Calculation Sheet'!$AE$8)</f>
        <v/>
      </c>
      <c r="BA36" s="545">
        <f>IF('Final Calculation Sheet'!$AE$39="","",'Final Calculation Sheet'!$AE$39)</f>
        <v/>
      </c>
      <c r="BB36" s="570">
        <f>IF('Final Calculation Sheet'!$AE$40="","",'Final Calculation Sheet'!$AE$40)</f>
        <v/>
      </c>
      <c r="BD36" s="545">
        <f>IF('Final Calculation Sheet'!$AE$36="","",'Final Calculation Sheet'!$AE$36)</f>
        <v/>
      </c>
      <c r="BF36" s="566">
        <f>IF('Final Calculation Sheet'!$AE$35="","",'Final Calculation Sheet'!$AE$35)</f>
        <v/>
      </c>
      <c r="BG36" s="546">
        <f>IF('Final Calculation Sheet'!$AE$41="","",'Final Calculation Sheet'!$AE$41)</f>
        <v/>
      </c>
    </row>
    <row r="37" ht="15" customHeight="1">
      <c r="A37" s="543" t="inlineStr">
        <is>
          <t>SAP Document</t>
        </is>
      </c>
      <c r="B37" s="590">
        <f>IF('Final Calculation Sheet'!$AF$6="","",'Final Calculation Sheet'!$AF$6)</f>
        <v/>
      </c>
      <c r="C37" s="556">
        <f>IF('Final Calculation Sheet'!$AF$7="","",'Final Calculation Sheet'!$AF$7)</f>
        <v/>
      </c>
      <c r="E37" s="591">
        <f>IF('Final Calculation Sheet'!$AF$15="","",'Final Calculation Sheet'!$AF$15)</f>
        <v/>
      </c>
      <c r="G37" s="556">
        <f>IF('Final Calculation Sheet'!$AF$5="","",'Final Calculation Sheet'!$AF$5)</f>
        <v/>
      </c>
      <c r="H37" s="592">
        <f>IF('Final Calculation Sheet'!$AF$10="","",'Final Calculation Sheet'!$AF$10)</f>
        <v/>
      </c>
      <c r="I37" s="556">
        <f>IF('Final Calculation Sheet'!$AF$11="","",'Final Calculation Sheet'!$AF$11)</f>
        <v/>
      </c>
      <c r="J37" s="592">
        <f>IF('Final Calculation Sheet'!$AF$12="","",'Final Calculation Sheet'!$AF$12)</f>
        <v/>
      </c>
      <c r="L37" s="556">
        <f>IF('Final Calculation Sheet'!$AF$9="","",'Final Calculation Sheet'!$AF$9)</f>
        <v/>
      </c>
      <c r="M37" s="593">
        <f>IF('Final Calculation Sheet'!$AF$14="","",'Final Calculation Sheet'!$AF$14)</f>
        <v/>
      </c>
      <c r="O37" s="556">
        <f>IF('Final Calculation Sheet'!$AF$13="","",'Final Calculation Sheet'!$AF$13)</f>
        <v/>
      </c>
      <c r="P37" s="594">
        <f>IF('Final Calculation Sheet'!$AF$16="","",'Final Calculation Sheet'!$AF$16)</f>
        <v/>
      </c>
      <c r="R37" s="556">
        <f>IF('Final Calculation Sheet'!$AF$27="","",'Final Calculation Sheet'!$AF$27)</f>
        <v/>
      </c>
      <c r="T37" s="592">
        <f>IF('Final Calculation Sheet'!$AF$18="","",'Final Calculation Sheet'!$AF$18)</f>
        <v/>
      </c>
      <c r="U37" s="556">
        <f>IF('Final Calculation Sheet'!$AF$19="","",'Final Calculation Sheet'!$AF$19)</f>
        <v/>
      </c>
      <c r="V37" s="592">
        <f>IF('Final Calculation Sheet'!$AF$22="","",'Final Calculation Sheet'!$AF$22)</f>
        <v/>
      </c>
      <c r="W37" s="556">
        <f>IF('Final Calculation Sheet'!$AF$24="","",'Final Calculation Sheet'!$AF$24)</f>
        <v/>
      </c>
      <c r="X37" s="592">
        <f>IF('Final Calculation Sheet'!$AF$26="","",'Final Calculation Sheet'!$AF$26)</f>
        <v/>
      </c>
      <c r="Z37" s="556">
        <f>IF('Final Calculation Sheet'!$AF$21="","",'Final Calculation Sheet'!$AF$21)</f>
        <v/>
      </c>
      <c r="AB37" s="595">
        <f>IF('Final Calculation Sheet'!$AF$20="","",'Final Calculation Sheet'!$AF$20)</f>
        <v/>
      </c>
      <c r="AD37" s="556">
        <f>IF('Final Calculation Sheet'!$AF$17="","",'Final Calculation Sheet'!$AF$17)</f>
        <v/>
      </c>
      <c r="AE37" s="594">
        <f>IF('Final Calculation Sheet'!$AF$23="","",'Final Calculation Sheet'!$AF$23)</f>
        <v/>
      </c>
      <c r="AF37" s="556">
        <f>IF('Final Calculation Sheet'!$AF$29="","",'Final Calculation Sheet'!$AF$29)</f>
        <v/>
      </c>
      <c r="AH37" s="590">
        <f>IF('Final Calculation Sheet'!$AF$25="","",'Final Calculation Sheet'!$AF$25)</f>
        <v/>
      </c>
      <c r="AI37" s="556">
        <f>IF('Final Calculation Sheet'!$AF$28="","",'Final Calculation Sheet'!$AF$28)</f>
        <v/>
      </c>
      <c r="AK37" s="592">
        <f>IF('Final Calculation Sheet'!$AF$30="","",'Final Calculation Sheet'!$AF$30)</f>
        <v/>
      </c>
      <c r="AL37" s="556">
        <f>IF('Final Calculation Sheet'!$AF$32="","",'Final Calculation Sheet'!$AF$32)</f>
        <v/>
      </c>
      <c r="AM37" s="592">
        <f>IF('Final Calculation Sheet'!$AF$33="","",'Final Calculation Sheet'!$AF$33)</f>
        <v/>
      </c>
      <c r="AO37" s="556">
        <f>IF('Final Calculation Sheet'!$AF$31="","",'Final Calculation Sheet'!$AF$31)</f>
        <v/>
      </c>
      <c r="AQ37" s="594">
        <f>IF('Final Calculation Sheet'!$AF$34="","",'Final Calculation Sheet'!$AF$34)</f>
        <v/>
      </c>
      <c r="AS37" s="556">
        <f>IF('Final Calculation Sheet'!$AF$4="","",'Final Calculation Sheet'!$AF$4)</f>
        <v/>
      </c>
      <c r="AU37" s="593">
        <f>IF('Final Calculation Sheet'!$AF$38="","",'Final Calculation Sheet'!$AF$38)</f>
        <v/>
      </c>
      <c r="AW37" s="556">
        <f>IF('Final Calculation Sheet'!$AF$37="","",'Final Calculation Sheet'!$AF$37)</f>
        <v/>
      </c>
      <c r="AY37" s="595">
        <f>IF('Final Calculation Sheet'!$AF$8="","",'Final Calculation Sheet'!$AF$8)</f>
        <v/>
      </c>
      <c r="BA37" s="556">
        <f>IF('Final Calculation Sheet'!$AF$39="","",'Final Calculation Sheet'!$AF$39)</f>
        <v/>
      </c>
      <c r="BB37" s="594">
        <f>IF('Final Calculation Sheet'!$AF$40="","",'Final Calculation Sheet'!$AF$40)</f>
        <v/>
      </c>
      <c r="BD37" s="556">
        <f>IF('Final Calculation Sheet'!$AF$36="","",'Final Calculation Sheet'!$AF$36)</f>
        <v/>
      </c>
      <c r="BF37" s="590">
        <f>IF('Final Calculation Sheet'!$AF$35="","",'Final Calculation Sheet'!$AF$35)</f>
        <v/>
      </c>
      <c r="BG37" s="499">
        <f>IF('Final Calculation Sheet'!$AF$41="","",'Final Calculation Sheet'!$AF$41)</f>
        <v/>
      </c>
    </row>
    <row r="38" ht="15" customHeight="1">
      <c r="A38" s="540" t="inlineStr">
        <is>
          <t>Doc./Invoice Date</t>
        </is>
      </c>
      <c r="B38" s="566">
        <f>IF('Final Calculation Sheet'!$AG$6="","",'Final Calculation Sheet'!$AG$6)</f>
        <v/>
      </c>
      <c r="C38" s="545">
        <f>IF('Final Calculation Sheet'!$AG$7="","",'Final Calculation Sheet'!$AG$7)</f>
        <v/>
      </c>
      <c r="E38" s="567">
        <f>IF('Final Calculation Sheet'!$AG$15="","",'Final Calculation Sheet'!$AG$15)</f>
        <v/>
      </c>
      <c r="G38" s="545">
        <f>IF('Final Calculation Sheet'!$AG$5="","",'Final Calculation Sheet'!$AG$5)</f>
        <v/>
      </c>
      <c r="H38" s="568">
        <f>IF('Final Calculation Sheet'!$AG$10="","",'Final Calculation Sheet'!$AG$10)</f>
        <v/>
      </c>
      <c r="I38" s="545">
        <f>IF('Final Calculation Sheet'!$AG$11="","",'Final Calculation Sheet'!$AG$11)</f>
        <v/>
      </c>
      <c r="J38" s="568">
        <f>IF('Final Calculation Sheet'!$AG$12="","",'Final Calculation Sheet'!$AG$12)</f>
        <v/>
      </c>
      <c r="L38" s="545">
        <f>IF('Final Calculation Sheet'!$AG$9="","",'Final Calculation Sheet'!$AG$9)</f>
        <v/>
      </c>
      <c r="M38" s="569">
        <f>IF('Final Calculation Sheet'!$AG$14="","",'Final Calculation Sheet'!$AG$14)</f>
        <v/>
      </c>
      <c r="O38" s="545">
        <f>IF('Final Calculation Sheet'!$AG$13="","",'Final Calculation Sheet'!$AG$13)</f>
        <v/>
      </c>
      <c r="P38" s="570">
        <f>IF('Final Calculation Sheet'!$AG$16="","",'Final Calculation Sheet'!$AG$16)</f>
        <v/>
      </c>
      <c r="R38" s="545">
        <f>IF('Final Calculation Sheet'!$AG$27="","",'Final Calculation Sheet'!$AG$27)</f>
        <v/>
      </c>
      <c r="T38" s="568">
        <f>IF('Final Calculation Sheet'!$AG$18="","",'Final Calculation Sheet'!$AG$18)</f>
        <v/>
      </c>
      <c r="U38" s="545">
        <f>IF('Final Calculation Sheet'!$AG$19="","",'Final Calculation Sheet'!$AG$19)</f>
        <v/>
      </c>
      <c r="V38" s="568">
        <f>IF('Final Calculation Sheet'!$AG$22="","",'Final Calculation Sheet'!$AG$22)</f>
        <v/>
      </c>
      <c r="W38" s="545">
        <f>IF('Final Calculation Sheet'!$AG$24="","",'Final Calculation Sheet'!$AG$24)</f>
        <v/>
      </c>
      <c r="X38" s="568">
        <f>IF('Final Calculation Sheet'!$AG$26="","",'Final Calculation Sheet'!$AG$26)</f>
        <v/>
      </c>
      <c r="Z38" s="545">
        <f>IF('Final Calculation Sheet'!$AG$21="","",'Final Calculation Sheet'!$AG$21)</f>
        <v/>
      </c>
      <c r="AB38" s="571">
        <f>IF('Final Calculation Sheet'!$AG$20="","",'Final Calculation Sheet'!$AG$20)</f>
        <v/>
      </c>
      <c r="AD38" s="545">
        <f>IF('Final Calculation Sheet'!$AG$17="","",'Final Calculation Sheet'!$AG$17)</f>
        <v/>
      </c>
      <c r="AE38" s="570">
        <f>IF('Final Calculation Sheet'!$AG$23="","",'Final Calculation Sheet'!$AG$23)</f>
        <v/>
      </c>
      <c r="AF38" s="545">
        <f>IF('Final Calculation Sheet'!$AG$29="","",'Final Calculation Sheet'!$AG$29)</f>
        <v/>
      </c>
      <c r="AH38" s="566">
        <f>IF('Final Calculation Sheet'!$AG$25="","",'Final Calculation Sheet'!$AG$25)</f>
        <v/>
      </c>
      <c r="AI38" s="545">
        <f>IF('Final Calculation Sheet'!$AG$28="","",'Final Calculation Sheet'!$AG$28)</f>
        <v/>
      </c>
      <c r="AK38" s="568">
        <f>IF('Final Calculation Sheet'!$AG$30="","",'Final Calculation Sheet'!$AG$30)</f>
        <v/>
      </c>
      <c r="AL38" s="545">
        <f>IF('Final Calculation Sheet'!$AG$32="","",'Final Calculation Sheet'!$AG$32)</f>
        <v/>
      </c>
      <c r="AM38" s="568">
        <f>IF('Final Calculation Sheet'!$AG$33="","",'Final Calculation Sheet'!$AG$33)</f>
        <v/>
      </c>
      <c r="AO38" s="545">
        <f>IF('Final Calculation Sheet'!$AG$31="","",'Final Calculation Sheet'!$AG$31)</f>
        <v/>
      </c>
      <c r="AQ38" s="570">
        <f>IF('Final Calculation Sheet'!$AG$34="","",'Final Calculation Sheet'!$AG$34)</f>
        <v/>
      </c>
      <c r="AS38" s="545">
        <f>IF('Final Calculation Sheet'!$AG$4="","",'Final Calculation Sheet'!$AG$4)</f>
        <v/>
      </c>
      <c r="AU38" s="569">
        <f>IF('Final Calculation Sheet'!$AG$38="","",'Final Calculation Sheet'!$AG$38)</f>
        <v/>
      </c>
      <c r="AW38" s="545">
        <f>IF('Final Calculation Sheet'!$AG$37="","",'Final Calculation Sheet'!$AG$37)</f>
        <v/>
      </c>
      <c r="AY38" s="571">
        <f>IF('Final Calculation Sheet'!$AG$8="","",'Final Calculation Sheet'!$AG$8)</f>
        <v/>
      </c>
      <c r="BA38" s="545">
        <f>IF('Final Calculation Sheet'!$AG$39="","",'Final Calculation Sheet'!$AG$39)</f>
        <v/>
      </c>
      <c r="BB38" s="570">
        <f>IF('Final Calculation Sheet'!$AG$40="","",'Final Calculation Sheet'!$AG$40)</f>
        <v/>
      </c>
      <c r="BD38" s="545">
        <f>IF('Final Calculation Sheet'!$AG$36="","",'Final Calculation Sheet'!$AG$36)</f>
        <v/>
      </c>
      <c r="BF38" s="566">
        <f>IF('Final Calculation Sheet'!$AG$35="","",'Final Calculation Sheet'!$AG$35)</f>
        <v/>
      </c>
      <c r="BG38" s="546">
        <f>IF('Final Calculation Sheet'!$AG$41="","",'Final Calculation Sheet'!$AG$41)</f>
        <v/>
      </c>
    </row>
  </sheetData>
  <autoFilter ref="A5:A38"/>
  <mergeCells count="15">
    <mergeCell ref="T4:X4"/>
    <mergeCell ref="BA4:BB4"/>
    <mergeCell ref="AH4:AI4"/>
    <mergeCell ref="L4:M4"/>
    <mergeCell ref="B3:P3"/>
    <mergeCell ref="A2:BG2"/>
    <mergeCell ref="AS3:BF3"/>
    <mergeCell ref="G4:J4"/>
    <mergeCell ref="AD4:AF4"/>
    <mergeCell ref="AK4:AM4"/>
    <mergeCell ref="R3:AI3"/>
    <mergeCell ref="AK3:AQ3"/>
    <mergeCell ref="O4:P4"/>
    <mergeCell ref="B4:C4"/>
    <mergeCell ref="A1:BG1"/>
  </mergeCells>
  <conditionalFormatting sqref="B35:BF35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03864"/>
    <outlinePr summaryBelow="1" summaryRight="1"/>
    <pageSetUpPr fitToPage="1"/>
  </sheetPr>
  <dimension ref="A1:U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7" customWidth="1" min="15" max="15"/>
    <col hidden="1" width="12" customWidth="1" min="17" max="17"/>
    <col hidden="1" width="12" customWidth="1" min="18" max="18"/>
    <col hidden="1" width="12" customWidth="1" min="19" max="19"/>
    <col hidden="1" width="12" customWidth="1" min="20" max="20"/>
    <col hidden="1" width="12" customWidth="1" min="21" max="21"/>
  </cols>
  <sheetData>
    <row r="1" ht="30" customHeight="1">
      <c r="A1" s="59" t="inlineStr">
        <is>
          <t>MSTC LIMITED  •  TRANSPOSED, FILTERED BY BUYER   (pick a buyer → only its lots are shown)</t>
        </is>
      </c>
    </row>
    <row r="2" ht="44" customHeight="1">
      <c r="A2" s="61" t="inlineStr">
        <is>
          <t>HOW TO USE  ▶  click the blue cell B3 and pick a buyer from the list - the lot columns immediately re-point at that buyer's lots (up to 13, the widest buyer here) and every figure follows   •   the ▼ on the FIELD column still filters which rows show   •   nothing is typed in: each cell is an INDEX / MATCH into 'Final Calculation Sheet', so the two can never disagree   •   columns Q, S and U are hidden helpers - the buyer list in U is rewritten whenever this sheet is rebuilt</t>
        </is>
      </c>
      <c r="S2" s="596" t="inlineStr">
        <is>
          <t>source row of each lot column</t>
        </is>
      </c>
    </row>
    <row r="3" ht="26" customHeight="1">
      <c r="A3" s="597" t="inlineStr">
        <is>
          <t>PICK A BUYER  ▸</t>
        </is>
      </c>
      <c r="B3" s="598" t="inlineStr">
        <is>
          <t>NATIONAL ENTERPRISES</t>
        </is>
      </c>
      <c r="C3" s="599" t="n"/>
      <c r="D3" s="599" t="n"/>
      <c r="E3" s="600">
        <f>IF($B$3="","◀ pick a buyer in B3","showing "&amp;COUNT($B$4:$N$4)&amp;" lot(s) of "&amp;COUNTIF('Final Calculation Sheet'!$G$4:$G$40,$B$3)&amp;" for "&amp;$B$3)</f>
        <v/>
      </c>
      <c r="Q3" s="596" t="inlineStr">
        <is>
          <t>rank of each source lot row inside the chosen buyer</t>
        </is>
      </c>
      <c r="S3" s="596" t="n"/>
      <c r="U3" s="596" t="inlineStr">
        <is>
          <t>buyer list for the B3 dropdown</t>
        </is>
      </c>
    </row>
    <row r="4" ht="30" customHeight="1">
      <c r="A4" s="424" t="inlineStr">
        <is>
          <t>FIELD (row 3 of the source)  ▸  |  LOT →</t>
        </is>
      </c>
      <c r="B4" s="536">
        <f>IFERROR(INDEX('Final Calculation Sheet'!$F$4:$F$40,$S4-3),"")</f>
        <v/>
      </c>
      <c r="C4" s="537">
        <f>IFERROR(INDEX('Final Calculation Sheet'!$F$4:$F$40,$S5-3),"")</f>
        <v/>
      </c>
      <c r="D4" s="538">
        <f>IFERROR(INDEX('Final Calculation Sheet'!$F$4:$F$40,$S6-3),"")</f>
        <v/>
      </c>
      <c r="E4" s="539">
        <f>IFERROR(INDEX('Final Calculation Sheet'!$F$4:$F$40,$S7-3),"")</f>
        <v/>
      </c>
      <c r="F4" s="601">
        <f>IFERROR(INDEX('Final Calculation Sheet'!$F$4:$F$40,$S8-3),"")</f>
        <v/>
      </c>
      <c r="G4" s="602">
        <f>IFERROR(INDEX('Final Calculation Sheet'!$F$4:$F$40,$S9-3),"")</f>
        <v/>
      </c>
      <c r="H4" s="603">
        <f>IFERROR(INDEX('Final Calculation Sheet'!$F$4:$F$40,$S10-3),"")</f>
        <v/>
      </c>
      <c r="I4" s="604">
        <f>IFERROR(INDEX('Final Calculation Sheet'!$F$4:$F$40,$S11-3),"")</f>
        <v/>
      </c>
      <c r="J4" s="536">
        <f>IFERROR(INDEX('Final Calculation Sheet'!$F$4:$F$40,$S12-3),"")</f>
        <v/>
      </c>
      <c r="K4" s="537">
        <f>IFERROR(INDEX('Final Calculation Sheet'!$F$4:$F$40,$S13-3),"")</f>
        <v/>
      </c>
      <c r="L4" s="538">
        <f>IFERROR(INDEX('Final Calculation Sheet'!$F$4:$F$40,$S14-3),"")</f>
        <v/>
      </c>
      <c r="M4" s="539">
        <f>IFERROR(INDEX('Final Calculation Sheet'!$F$4:$F$40,$S15-3),"")</f>
        <v/>
      </c>
      <c r="N4" s="601">
        <f>IFERROR(INDEX('Final Calculation Sheet'!$F$4:$F$40,$S16-3),"")</f>
        <v/>
      </c>
      <c r="O4" s="490">
        <f>"TOTAL  "&amp;$B$3</f>
        <v/>
      </c>
      <c r="Q4">
        <f>IF('Final Calculation Sheet'!$G4=$B$3,COUNTIF('Final Calculation Sheet'!$G$4:$G4,$B$3),"")</f>
        <v/>
      </c>
      <c r="S4">
        <f>IFERROR(MATCH(1,$Q$4:$Q$40,0)+3,"")</f>
        <v/>
      </c>
      <c r="U4" t="inlineStr">
        <is>
          <t>AL HAMD TRADE CORPORATION</t>
        </is>
      </c>
    </row>
    <row r="5" ht="15" customHeight="1">
      <c r="A5" s="540" t="inlineStr">
        <is>
          <t>Quantity</t>
        </is>
      </c>
      <c r="B5" s="69">
        <f>IFERROR(IF(INDEX('Final Calculation Sheet'!$A$4:$A$40,$S4-3)="","",INDEX('Final Calculation Sheet'!$A$4:$A$40,$S4-3)),"")</f>
        <v/>
      </c>
      <c r="C5" s="541">
        <f>IFERROR(IF(INDEX('Final Calculation Sheet'!$A$4:$A$40,$S5-3)="","",INDEX('Final Calculation Sheet'!$A$4:$A$40,$S5-3)),"")</f>
        <v/>
      </c>
      <c r="D5" s="69">
        <f>IFERROR(IF(INDEX('Final Calculation Sheet'!$A$4:$A$40,$S6-3)="","",INDEX('Final Calculation Sheet'!$A$4:$A$40,$S6-3)),"")</f>
        <v/>
      </c>
      <c r="E5" s="541">
        <f>IFERROR(IF(INDEX('Final Calculation Sheet'!$A$4:$A$40,$S7-3)="","",INDEX('Final Calculation Sheet'!$A$4:$A$40,$S7-3)),"")</f>
        <v/>
      </c>
      <c r="F5" s="69">
        <f>IFERROR(IF(INDEX('Final Calculation Sheet'!$A$4:$A$40,$S8-3)="","",INDEX('Final Calculation Sheet'!$A$4:$A$40,$S8-3)),"")</f>
        <v/>
      </c>
      <c r="G5" s="541">
        <f>IFERROR(IF(INDEX('Final Calculation Sheet'!$A$4:$A$40,$S9-3)="","",INDEX('Final Calculation Sheet'!$A$4:$A$40,$S9-3)),"")</f>
        <v/>
      </c>
      <c r="H5" s="69">
        <f>IFERROR(IF(INDEX('Final Calculation Sheet'!$A$4:$A$40,$S10-3)="","",INDEX('Final Calculation Sheet'!$A$4:$A$40,$S10-3)),"")</f>
        <v/>
      </c>
      <c r="I5" s="541">
        <f>IFERROR(IF(INDEX('Final Calculation Sheet'!$A$4:$A$40,$S11-3)="","",INDEX('Final Calculation Sheet'!$A$4:$A$40,$S11-3)),"")</f>
        <v/>
      </c>
      <c r="J5" s="69">
        <f>IFERROR(IF(INDEX('Final Calculation Sheet'!$A$4:$A$40,$S12-3)="","",INDEX('Final Calculation Sheet'!$A$4:$A$40,$S12-3)),"")</f>
        <v/>
      </c>
      <c r="K5" s="541">
        <f>IFERROR(IF(INDEX('Final Calculation Sheet'!$A$4:$A$40,$S13-3)="","",INDEX('Final Calculation Sheet'!$A$4:$A$40,$S13-3)),"")</f>
        <v/>
      </c>
      <c r="L5" s="69">
        <f>IFERROR(IF(INDEX('Final Calculation Sheet'!$A$4:$A$40,$S14-3)="","",INDEX('Final Calculation Sheet'!$A$4:$A$40,$S14-3)),"")</f>
        <v/>
      </c>
      <c r="M5" s="541">
        <f>IFERROR(IF(INDEX('Final Calculation Sheet'!$A$4:$A$40,$S15-3)="","",INDEX('Final Calculation Sheet'!$A$4:$A$40,$S15-3)),"")</f>
        <v/>
      </c>
      <c r="N5" s="69">
        <f>IFERROR(IF(INDEX('Final Calculation Sheet'!$A$4:$A$40,$S16-3)="","",INDEX('Final Calculation Sheet'!$A$4:$A$40,$S16-3)),"")</f>
        <v/>
      </c>
      <c r="O5" s="542">
        <f>IF(COUNT(B5:N5)=0,"",SUM(B5:N5))</f>
        <v/>
      </c>
      <c r="Q5">
        <f>IF('Final Calculation Sheet'!$G5=$B$3,COUNTIF('Final Calculation Sheet'!$G$4:$G5,$B$3),"")</f>
        <v/>
      </c>
      <c r="S5">
        <f>IFERROR(MATCH(2,$Q$4:$Q$40,0)+3,"")</f>
        <v/>
      </c>
      <c r="U5" t="inlineStr">
        <is>
          <t>F R KHANS ENTERPRISES</t>
        </is>
      </c>
    </row>
    <row r="6" ht="15" customHeight="1">
      <c r="A6" s="543" t="inlineStr">
        <is>
          <t>Lot Name</t>
        </is>
      </c>
      <c r="B6" s="69">
        <f>IFERROR(IF(INDEX('Final Calculation Sheet'!$B$4:$B$40,$S4-3)="","",INDEX('Final Calculation Sheet'!$B$4:$B$40,$S4-3)),"")</f>
        <v/>
      </c>
      <c r="C6" s="541">
        <f>IFERROR(IF(INDEX('Final Calculation Sheet'!$B$4:$B$40,$S5-3)="","",INDEX('Final Calculation Sheet'!$B$4:$B$40,$S5-3)),"")</f>
        <v/>
      </c>
      <c r="D6" s="69">
        <f>IFERROR(IF(INDEX('Final Calculation Sheet'!$B$4:$B$40,$S6-3)="","",INDEX('Final Calculation Sheet'!$B$4:$B$40,$S6-3)),"")</f>
        <v/>
      </c>
      <c r="E6" s="541">
        <f>IFERROR(IF(INDEX('Final Calculation Sheet'!$B$4:$B$40,$S7-3)="","",INDEX('Final Calculation Sheet'!$B$4:$B$40,$S7-3)),"")</f>
        <v/>
      </c>
      <c r="F6" s="69">
        <f>IFERROR(IF(INDEX('Final Calculation Sheet'!$B$4:$B$40,$S8-3)="","",INDEX('Final Calculation Sheet'!$B$4:$B$40,$S8-3)),"")</f>
        <v/>
      </c>
      <c r="G6" s="541">
        <f>IFERROR(IF(INDEX('Final Calculation Sheet'!$B$4:$B$40,$S9-3)="","",INDEX('Final Calculation Sheet'!$B$4:$B$40,$S9-3)),"")</f>
        <v/>
      </c>
      <c r="H6" s="69">
        <f>IFERROR(IF(INDEX('Final Calculation Sheet'!$B$4:$B$40,$S10-3)="","",INDEX('Final Calculation Sheet'!$B$4:$B$40,$S10-3)),"")</f>
        <v/>
      </c>
      <c r="I6" s="541">
        <f>IFERROR(IF(INDEX('Final Calculation Sheet'!$B$4:$B$40,$S11-3)="","",INDEX('Final Calculation Sheet'!$B$4:$B$40,$S11-3)),"")</f>
        <v/>
      </c>
      <c r="J6" s="69">
        <f>IFERROR(IF(INDEX('Final Calculation Sheet'!$B$4:$B$40,$S12-3)="","",INDEX('Final Calculation Sheet'!$B$4:$B$40,$S12-3)),"")</f>
        <v/>
      </c>
      <c r="K6" s="541">
        <f>IFERROR(IF(INDEX('Final Calculation Sheet'!$B$4:$B$40,$S13-3)="","",INDEX('Final Calculation Sheet'!$B$4:$B$40,$S13-3)),"")</f>
        <v/>
      </c>
      <c r="L6" s="69">
        <f>IFERROR(IF(INDEX('Final Calculation Sheet'!$B$4:$B$40,$S14-3)="","",INDEX('Final Calculation Sheet'!$B$4:$B$40,$S14-3)),"")</f>
        <v/>
      </c>
      <c r="M6" s="541">
        <f>IFERROR(IF(INDEX('Final Calculation Sheet'!$B$4:$B$40,$S15-3)="","",INDEX('Final Calculation Sheet'!$B$4:$B$40,$S15-3)),"")</f>
        <v/>
      </c>
      <c r="N6" s="69">
        <f>IFERROR(IF(INDEX('Final Calculation Sheet'!$B$4:$B$40,$S16-3)="","",INDEX('Final Calculation Sheet'!$B$4:$B$40,$S16-3)),"")</f>
        <v/>
      </c>
      <c r="O6" s="542" t="inlineStr">
        <is>
          <t>–</t>
        </is>
      </c>
      <c r="Q6">
        <f>IF('Final Calculation Sheet'!$G6=$B$3,COUNTIF('Final Calculation Sheet'!$G$4:$G6,$B$3),"")</f>
        <v/>
      </c>
      <c r="S6">
        <f>IFERROR(MATCH(3,$Q$4:$Q$40,0)+3,"")</f>
        <v/>
      </c>
      <c r="U6" t="inlineStr">
        <is>
          <t>HIND TRADERS</t>
        </is>
      </c>
    </row>
    <row r="7" ht="15" customHeight="1">
      <c r="A7" s="540" t="inlineStr">
        <is>
          <t>Rate</t>
        </is>
      </c>
      <c r="B7" s="544">
        <f>IFERROR(IF(INDEX('Final Calculation Sheet'!$C$4:$C$40,$S4-3)="","",INDEX('Final Calculation Sheet'!$C$4:$C$40,$S4-3)),"")</f>
        <v/>
      </c>
      <c r="C7" s="545">
        <f>IFERROR(IF(INDEX('Final Calculation Sheet'!$C$4:$C$40,$S5-3)="","",INDEX('Final Calculation Sheet'!$C$4:$C$40,$S5-3)),"")</f>
        <v/>
      </c>
      <c r="D7" s="544">
        <f>IFERROR(IF(INDEX('Final Calculation Sheet'!$C$4:$C$40,$S6-3)="","",INDEX('Final Calculation Sheet'!$C$4:$C$40,$S6-3)),"")</f>
        <v/>
      </c>
      <c r="E7" s="545">
        <f>IFERROR(IF(INDEX('Final Calculation Sheet'!$C$4:$C$40,$S7-3)="","",INDEX('Final Calculation Sheet'!$C$4:$C$40,$S7-3)),"")</f>
        <v/>
      </c>
      <c r="F7" s="544">
        <f>IFERROR(IF(INDEX('Final Calculation Sheet'!$C$4:$C$40,$S8-3)="","",INDEX('Final Calculation Sheet'!$C$4:$C$40,$S8-3)),"")</f>
        <v/>
      </c>
      <c r="G7" s="545">
        <f>IFERROR(IF(INDEX('Final Calculation Sheet'!$C$4:$C$40,$S9-3)="","",INDEX('Final Calculation Sheet'!$C$4:$C$40,$S9-3)),"")</f>
        <v/>
      </c>
      <c r="H7" s="544">
        <f>IFERROR(IF(INDEX('Final Calculation Sheet'!$C$4:$C$40,$S10-3)="","",INDEX('Final Calculation Sheet'!$C$4:$C$40,$S10-3)),"")</f>
        <v/>
      </c>
      <c r="I7" s="545">
        <f>IFERROR(IF(INDEX('Final Calculation Sheet'!$C$4:$C$40,$S11-3)="","",INDEX('Final Calculation Sheet'!$C$4:$C$40,$S11-3)),"")</f>
        <v/>
      </c>
      <c r="J7" s="544">
        <f>IFERROR(IF(INDEX('Final Calculation Sheet'!$C$4:$C$40,$S12-3)="","",INDEX('Final Calculation Sheet'!$C$4:$C$40,$S12-3)),"")</f>
        <v/>
      </c>
      <c r="K7" s="545">
        <f>IFERROR(IF(INDEX('Final Calculation Sheet'!$C$4:$C$40,$S13-3)="","",INDEX('Final Calculation Sheet'!$C$4:$C$40,$S13-3)),"")</f>
        <v/>
      </c>
      <c r="L7" s="544">
        <f>IFERROR(IF(INDEX('Final Calculation Sheet'!$C$4:$C$40,$S14-3)="","",INDEX('Final Calculation Sheet'!$C$4:$C$40,$S14-3)),"")</f>
        <v/>
      </c>
      <c r="M7" s="545">
        <f>IFERROR(IF(INDEX('Final Calculation Sheet'!$C$4:$C$40,$S15-3)="","",INDEX('Final Calculation Sheet'!$C$4:$C$40,$S15-3)),"")</f>
        <v/>
      </c>
      <c r="N7" s="544">
        <f>IFERROR(IF(INDEX('Final Calculation Sheet'!$C$4:$C$40,$S16-3)="","",INDEX('Final Calculation Sheet'!$C$4:$C$40,$S16-3)),"")</f>
        <v/>
      </c>
      <c r="O7" s="605" t="inlineStr">
        <is>
          <t>–</t>
        </is>
      </c>
      <c r="Q7">
        <f>IF('Final Calculation Sheet'!$G7=$B$3,COUNTIF('Final Calculation Sheet'!$G$4:$G7,$B$3),"")</f>
        <v/>
      </c>
      <c r="S7">
        <f>IFERROR(MATCH(4,$Q$4:$Q$40,0)+3,"")</f>
        <v/>
      </c>
      <c r="U7" t="inlineStr">
        <is>
          <t>KASHYAP TRADING CO</t>
        </is>
      </c>
    </row>
    <row r="8" ht="15" customHeight="1">
      <c r="A8" s="543" t="inlineStr">
        <is>
          <t>Bid Sheet</t>
        </is>
      </c>
      <c r="B8" s="69">
        <f>IFERROR(IF(INDEX('Final Calculation Sheet'!$D$4:$D$40,$S4-3)="","",INDEX('Final Calculation Sheet'!$D$4:$D$40,$S4-3)),"")</f>
        <v/>
      </c>
      <c r="C8" s="541">
        <f>IFERROR(IF(INDEX('Final Calculation Sheet'!$D$4:$D$40,$S5-3)="","",INDEX('Final Calculation Sheet'!$D$4:$D$40,$S5-3)),"")</f>
        <v/>
      </c>
      <c r="D8" s="69">
        <f>IFERROR(IF(INDEX('Final Calculation Sheet'!$D$4:$D$40,$S6-3)="","",INDEX('Final Calculation Sheet'!$D$4:$D$40,$S6-3)),"")</f>
        <v/>
      </c>
      <c r="E8" s="541">
        <f>IFERROR(IF(INDEX('Final Calculation Sheet'!$D$4:$D$40,$S7-3)="","",INDEX('Final Calculation Sheet'!$D$4:$D$40,$S7-3)),"")</f>
        <v/>
      </c>
      <c r="F8" s="69">
        <f>IFERROR(IF(INDEX('Final Calculation Sheet'!$D$4:$D$40,$S8-3)="","",INDEX('Final Calculation Sheet'!$D$4:$D$40,$S8-3)),"")</f>
        <v/>
      </c>
      <c r="G8" s="541">
        <f>IFERROR(IF(INDEX('Final Calculation Sheet'!$D$4:$D$40,$S9-3)="","",INDEX('Final Calculation Sheet'!$D$4:$D$40,$S9-3)),"")</f>
        <v/>
      </c>
      <c r="H8" s="69">
        <f>IFERROR(IF(INDEX('Final Calculation Sheet'!$D$4:$D$40,$S10-3)="","",INDEX('Final Calculation Sheet'!$D$4:$D$40,$S10-3)),"")</f>
        <v/>
      </c>
      <c r="I8" s="541">
        <f>IFERROR(IF(INDEX('Final Calculation Sheet'!$D$4:$D$40,$S11-3)="","",INDEX('Final Calculation Sheet'!$D$4:$D$40,$S11-3)),"")</f>
        <v/>
      </c>
      <c r="J8" s="69">
        <f>IFERROR(IF(INDEX('Final Calculation Sheet'!$D$4:$D$40,$S12-3)="","",INDEX('Final Calculation Sheet'!$D$4:$D$40,$S12-3)),"")</f>
        <v/>
      </c>
      <c r="K8" s="541">
        <f>IFERROR(IF(INDEX('Final Calculation Sheet'!$D$4:$D$40,$S13-3)="","",INDEX('Final Calculation Sheet'!$D$4:$D$40,$S13-3)),"")</f>
        <v/>
      </c>
      <c r="L8" s="69">
        <f>IFERROR(IF(INDEX('Final Calculation Sheet'!$D$4:$D$40,$S14-3)="","",INDEX('Final Calculation Sheet'!$D$4:$D$40,$S14-3)),"")</f>
        <v/>
      </c>
      <c r="M8" s="541">
        <f>IFERROR(IF(INDEX('Final Calculation Sheet'!$D$4:$D$40,$S15-3)="","",INDEX('Final Calculation Sheet'!$D$4:$D$40,$S15-3)),"")</f>
        <v/>
      </c>
      <c r="N8" s="69">
        <f>IFERROR(IF(INDEX('Final Calculation Sheet'!$D$4:$D$40,$S16-3)="","",INDEX('Final Calculation Sheet'!$D$4:$D$40,$S16-3)),"")</f>
        <v/>
      </c>
      <c r="O8" s="542" t="inlineStr">
        <is>
          <t>–</t>
        </is>
      </c>
      <c r="Q8">
        <f>IF('Final Calculation Sheet'!$G8=$B$3,COUNTIF('Final Calculation Sheet'!$G$4:$G8,$B$3),"")</f>
        <v/>
      </c>
      <c r="S8">
        <f>IFERROR(MATCH(5,$Q$4:$Q$40,0)+3,"")</f>
        <v/>
      </c>
      <c r="U8" t="inlineStr">
        <is>
          <t>M I SCRAP TRADERS</t>
        </is>
      </c>
    </row>
    <row r="9" ht="15" customHeight="1">
      <c r="A9" s="540" t="inlineStr">
        <is>
          <t>Unit</t>
        </is>
      </c>
      <c r="B9" s="69">
        <f>IFERROR(IF(INDEX('Final Calculation Sheet'!$E$4:$E$40,$S4-3)="","",INDEX('Final Calculation Sheet'!$E$4:$E$40,$S4-3)),"")</f>
        <v/>
      </c>
      <c r="C9" s="541">
        <f>IFERROR(IF(INDEX('Final Calculation Sheet'!$E$4:$E$40,$S5-3)="","",INDEX('Final Calculation Sheet'!$E$4:$E$40,$S5-3)),"")</f>
        <v/>
      </c>
      <c r="D9" s="69">
        <f>IFERROR(IF(INDEX('Final Calculation Sheet'!$E$4:$E$40,$S6-3)="","",INDEX('Final Calculation Sheet'!$E$4:$E$40,$S6-3)),"")</f>
        <v/>
      </c>
      <c r="E9" s="541">
        <f>IFERROR(IF(INDEX('Final Calculation Sheet'!$E$4:$E$40,$S7-3)="","",INDEX('Final Calculation Sheet'!$E$4:$E$40,$S7-3)),"")</f>
        <v/>
      </c>
      <c r="F9" s="69">
        <f>IFERROR(IF(INDEX('Final Calculation Sheet'!$E$4:$E$40,$S8-3)="","",INDEX('Final Calculation Sheet'!$E$4:$E$40,$S8-3)),"")</f>
        <v/>
      </c>
      <c r="G9" s="541">
        <f>IFERROR(IF(INDEX('Final Calculation Sheet'!$E$4:$E$40,$S9-3)="","",INDEX('Final Calculation Sheet'!$E$4:$E$40,$S9-3)),"")</f>
        <v/>
      </c>
      <c r="H9" s="69">
        <f>IFERROR(IF(INDEX('Final Calculation Sheet'!$E$4:$E$40,$S10-3)="","",INDEX('Final Calculation Sheet'!$E$4:$E$40,$S10-3)),"")</f>
        <v/>
      </c>
      <c r="I9" s="541">
        <f>IFERROR(IF(INDEX('Final Calculation Sheet'!$E$4:$E$40,$S11-3)="","",INDEX('Final Calculation Sheet'!$E$4:$E$40,$S11-3)),"")</f>
        <v/>
      </c>
      <c r="J9" s="69">
        <f>IFERROR(IF(INDEX('Final Calculation Sheet'!$E$4:$E$40,$S12-3)="","",INDEX('Final Calculation Sheet'!$E$4:$E$40,$S12-3)),"")</f>
        <v/>
      </c>
      <c r="K9" s="541">
        <f>IFERROR(IF(INDEX('Final Calculation Sheet'!$E$4:$E$40,$S13-3)="","",INDEX('Final Calculation Sheet'!$E$4:$E$40,$S13-3)),"")</f>
        <v/>
      </c>
      <c r="L9" s="69">
        <f>IFERROR(IF(INDEX('Final Calculation Sheet'!$E$4:$E$40,$S14-3)="","",INDEX('Final Calculation Sheet'!$E$4:$E$40,$S14-3)),"")</f>
        <v/>
      </c>
      <c r="M9" s="541">
        <f>IFERROR(IF(INDEX('Final Calculation Sheet'!$E$4:$E$40,$S15-3)="","",INDEX('Final Calculation Sheet'!$E$4:$E$40,$S15-3)),"")</f>
        <v/>
      </c>
      <c r="N9" s="69">
        <f>IFERROR(IF(INDEX('Final Calculation Sheet'!$E$4:$E$40,$S16-3)="","",INDEX('Final Calculation Sheet'!$E$4:$E$40,$S16-3)),"")</f>
        <v/>
      </c>
      <c r="O9" s="542" t="inlineStr">
        <is>
          <t>–</t>
        </is>
      </c>
      <c r="Q9">
        <f>IF('Final Calculation Sheet'!$G9=$B$3,COUNTIF('Final Calculation Sheet'!$G$4:$G9,$B$3),"")</f>
        <v/>
      </c>
      <c r="S9">
        <f>IFERROR(MATCH(6,$Q$4:$Q$40,0)+3,"")</f>
        <v/>
      </c>
      <c r="U9" t="inlineStr">
        <is>
          <t>NATIONAL ENTERPRISES</t>
        </is>
      </c>
    </row>
    <row r="10" ht="15" customHeight="1">
      <c r="A10" s="543" t="inlineStr">
        <is>
          <t>Lot No.</t>
        </is>
      </c>
      <c r="B10" s="69">
        <f>IFERROR(IF(INDEX('Final Calculation Sheet'!$F$4:$F$40,$S4-3)="","",INDEX('Final Calculation Sheet'!$F$4:$F$40,$S4-3)),"")</f>
        <v/>
      </c>
      <c r="C10" s="541">
        <f>IFERROR(IF(INDEX('Final Calculation Sheet'!$F$4:$F$40,$S5-3)="","",INDEX('Final Calculation Sheet'!$F$4:$F$40,$S5-3)),"")</f>
        <v/>
      </c>
      <c r="D10" s="69">
        <f>IFERROR(IF(INDEX('Final Calculation Sheet'!$F$4:$F$40,$S6-3)="","",INDEX('Final Calculation Sheet'!$F$4:$F$40,$S6-3)),"")</f>
        <v/>
      </c>
      <c r="E10" s="541">
        <f>IFERROR(IF(INDEX('Final Calculation Sheet'!$F$4:$F$40,$S7-3)="","",INDEX('Final Calculation Sheet'!$F$4:$F$40,$S7-3)),"")</f>
        <v/>
      </c>
      <c r="F10" s="69">
        <f>IFERROR(IF(INDEX('Final Calculation Sheet'!$F$4:$F$40,$S8-3)="","",INDEX('Final Calculation Sheet'!$F$4:$F$40,$S8-3)),"")</f>
        <v/>
      </c>
      <c r="G10" s="541">
        <f>IFERROR(IF(INDEX('Final Calculation Sheet'!$F$4:$F$40,$S9-3)="","",INDEX('Final Calculation Sheet'!$F$4:$F$40,$S9-3)),"")</f>
        <v/>
      </c>
      <c r="H10" s="69">
        <f>IFERROR(IF(INDEX('Final Calculation Sheet'!$F$4:$F$40,$S10-3)="","",INDEX('Final Calculation Sheet'!$F$4:$F$40,$S10-3)),"")</f>
        <v/>
      </c>
      <c r="I10" s="541">
        <f>IFERROR(IF(INDEX('Final Calculation Sheet'!$F$4:$F$40,$S11-3)="","",INDEX('Final Calculation Sheet'!$F$4:$F$40,$S11-3)),"")</f>
        <v/>
      </c>
      <c r="J10" s="69">
        <f>IFERROR(IF(INDEX('Final Calculation Sheet'!$F$4:$F$40,$S12-3)="","",INDEX('Final Calculation Sheet'!$F$4:$F$40,$S12-3)),"")</f>
        <v/>
      </c>
      <c r="K10" s="541">
        <f>IFERROR(IF(INDEX('Final Calculation Sheet'!$F$4:$F$40,$S13-3)="","",INDEX('Final Calculation Sheet'!$F$4:$F$40,$S13-3)),"")</f>
        <v/>
      </c>
      <c r="L10" s="69">
        <f>IFERROR(IF(INDEX('Final Calculation Sheet'!$F$4:$F$40,$S14-3)="","",INDEX('Final Calculation Sheet'!$F$4:$F$40,$S14-3)),"")</f>
        <v/>
      </c>
      <c r="M10" s="541">
        <f>IFERROR(IF(INDEX('Final Calculation Sheet'!$F$4:$F$40,$S15-3)="","",INDEX('Final Calculation Sheet'!$F$4:$F$40,$S15-3)),"")</f>
        <v/>
      </c>
      <c r="N10" s="69">
        <f>IFERROR(IF(INDEX('Final Calculation Sheet'!$F$4:$F$40,$S16-3)="","",INDEX('Final Calculation Sheet'!$F$4:$F$40,$S16-3)),"")</f>
        <v/>
      </c>
      <c r="O10" s="542" t="inlineStr">
        <is>
          <t>–</t>
        </is>
      </c>
      <c r="Q10">
        <f>IF('Final Calculation Sheet'!$G10=$B$3,COUNTIF('Final Calculation Sheet'!$G$4:$G10,$B$3),"")</f>
        <v/>
      </c>
      <c r="S10">
        <f>IFERROR(MATCH(7,$Q$4:$Q$40,0)+3,"")</f>
        <v/>
      </c>
      <c r="U10" t="inlineStr">
        <is>
          <t>NATIONAL SCRAP AND BUILDING MATERIAL SUPPLIER</t>
        </is>
      </c>
    </row>
    <row r="11" ht="15" customHeight="1">
      <c r="A11" s="540" t="inlineStr">
        <is>
          <t>Buyer</t>
        </is>
      </c>
      <c r="B11" s="69">
        <f>IFERROR(IF(INDEX('Final Calculation Sheet'!$G$4:$G$40,$S4-3)="","",INDEX('Final Calculation Sheet'!$G$4:$G$40,$S4-3)),"")</f>
        <v/>
      </c>
      <c r="C11" s="541">
        <f>IFERROR(IF(INDEX('Final Calculation Sheet'!$G$4:$G$40,$S5-3)="","",INDEX('Final Calculation Sheet'!$G$4:$G$40,$S5-3)),"")</f>
        <v/>
      </c>
      <c r="D11" s="69">
        <f>IFERROR(IF(INDEX('Final Calculation Sheet'!$G$4:$G$40,$S6-3)="","",INDEX('Final Calculation Sheet'!$G$4:$G$40,$S6-3)),"")</f>
        <v/>
      </c>
      <c r="E11" s="541">
        <f>IFERROR(IF(INDEX('Final Calculation Sheet'!$G$4:$G$40,$S7-3)="","",INDEX('Final Calculation Sheet'!$G$4:$G$40,$S7-3)),"")</f>
        <v/>
      </c>
      <c r="F11" s="69">
        <f>IFERROR(IF(INDEX('Final Calculation Sheet'!$G$4:$G$40,$S8-3)="","",INDEX('Final Calculation Sheet'!$G$4:$G$40,$S8-3)),"")</f>
        <v/>
      </c>
      <c r="G11" s="541">
        <f>IFERROR(IF(INDEX('Final Calculation Sheet'!$G$4:$G$40,$S9-3)="","",INDEX('Final Calculation Sheet'!$G$4:$G$40,$S9-3)),"")</f>
        <v/>
      </c>
      <c r="H11" s="69">
        <f>IFERROR(IF(INDEX('Final Calculation Sheet'!$G$4:$G$40,$S10-3)="","",INDEX('Final Calculation Sheet'!$G$4:$G$40,$S10-3)),"")</f>
        <v/>
      </c>
      <c r="I11" s="541">
        <f>IFERROR(IF(INDEX('Final Calculation Sheet'!$G$4:$G$40,$S11-3)="","",INDEX('Final Calculation Sheet'!$G$4:$G$40,$S11-3)),"")</f>
        <v/>
      </c>
      <c r="J11" s="69">
        <f>IFERROR(IF(INDEX('Final Calculation Sheet'!$G$4:$G$40,$S12-3)="","",INDEX('Final Calculation Sheet'!$G$4:$G$40,$S12-3)),"")</f>
        <v/>
      </c>
      <c r="K11" s="541">
        <f>IFERROR(IF(INDEX('Final Calculation Sheet'!$G$4:$G$40,$S13-3)="","",INDEX('Final Calculation Sheet'!$G$4:$G$40,$S13-3)),"")</f>
        <v/>
      </c>
      <c r="L11" s="69">
        <f>IFERROR(IF(INDEX('Final Calculation Sheet'!$G$4:$G$40,$S14-3)="","",INDEX('Final Calculation Sheet'!$G$4:$G$40,$S14-3)),"")</f>
        <v/>
      </c>
      <c r="M11" s="541">
        <f>IFERROR(IF(INDEX('Final Calculation Sheet'!$G$4:$G$40,$S15-3)="","",INDEX('Final Calculation Sheet'!$G$4:$G$40,$S15-3)),"")</f>
        <v/>
      </c>
      <c r="N11" s="69">
        <f>IFERROR(IF(INDEX('Final Calculation Sheet'!$G$4:$G$40,$S16-3)="","",INDEX('Final Calculation Sheet'!$G$4:$G$40,$S16-3)),"")</f>
        <v/>
      </c>
      <c r="O11" s="542" t="inlineStr">
        <is>
          <t>–</t>
        </is>
      </c>
      <c r="Q11">
        <f>IF('Final Calculation Sheet'!$G11=$B$3,COUNTIF('Final Calculation Sheet'!$G$4:$G11,$B$3),"")</f>
        <v/>
      </c>
      <c r="S11">
        <f>IFERROR(MATCH(8,$Q$4:$Q$40,0)+3,"")</f>
        <v/>
      </c>
      <c r="U11" t="inlineStr">
        <is>
          <t>OMKAR STEELS</t>
        </is>
      </c>
    </row>
    <row r="12" ht="15" customHeight="1">
      <c r="A12" s="543" t="inlineStr">
        <is>
          <t>Mat. Value</t>
        </is>
      </c>
      <c r="B12" s="544">
        <f>IFERROR(IF(INDEX('Final Calculation Sheet'!$H$4:$H$40,$S4-3)="","",INDEX('Final Calculation Sheet'!$H$4:$H$40,$S4-3)),"")</f>
        <v/>
      </c>
      <c r="C12" s="545">
        <f>IFERROR(IF(INDEX('Final Calculation Sheet'!$H$4:$H$40,$S5-3)="","",INDEX('Final Calculation Sheet'!$H$4:$H$40,$S5-3)),"")</f>
        <v/>
      </c>
      <c r="D12" s="544">
        <f>IFERROR(IF(INDEX('Final Calculation Sheet'!$H$4:$H$40,$S6-3)="","",INDEX('Final Calculation Sheet'!$H$4:$H$40,$S6-3)),"")</f>
        <v/>
      </c>
      <c r="E12" s="545">
        <f>IFERROR(IF(INDEX('Final Calculation Sheet'!$H$4:$H$40,$S7-3)="","",INDEX('Final Calculation Sheet'!$H$4:$H$40,$S7-3)),"")</f>
        <v/>
      </c>
      <c r="F12" s="544">
        <f>IFERROR(IF(INDEX('Final Calculation Sheet'!$H$4:$H$40,$S8-3)="","",INDEX('Final Calculation Sheet'!$H$4:$H$40,$S8-3)),"")</f>
        <v/>
      </c>
      <c r="G12" s="545">
        <f>IFERROR(IF(INDEX('Final Calculation Sheet'!$H$4:$H$40,$S9-3)="","",INDEX('Final Calculation Sheet'!$H$4:$H$40,$S9-3)),"")</f>
        <v/>
      </c>
      <c r="H12" s="544">
        <f>IFERROR(IF(INDEX('Final Calculation Sheet'!$H$4:$H$40,$S10-3)="","",INDEX('Final Calculation Sheet'!$H$4:$H$40,$S10-3)),"")</f>
        <v/>
      </c>
      <c r="I12" s="545">
        <f>IFERROR(IF(INDEX('Final Calculation Sheet'!$H$4:$H$40,$S11-3)="","",INDEX('Final Calculation Sheet'!$H$4:$H$40,$S11-3)),"")</f>
        <v/>
      </c>
      <c r="J12" s="544">
        <f>IFERROR(IF(INDEX('Final Calculation Sheet'!$H$4:$H$40,$S12-3)="","",INDEX('Final Calculation Sheet'!$H$4:$H$40,$S12-3)),"")</f>
        <v/>
      </c>
      <c r="K12" s="545">
        <f>IFERROR(IF(INDEX('Final Calculation Sheet'!$H$4:$H$40,$S13-3)="","",INDEX('Final Calculation Sheet'!$H$4:$H$40,$S13-3)),"")</f>
        <v/>
      </c>
      <c r="L12" s="544">
        <f>IFERROR(IF(INDEX('Final Calculation Sheet'!$H$4:$H$40,$S14-3)="","",INDEX('Final Calculation Sheet'!$H$4:$H$40,$S14-3)),"")</f>
        <v/>
      </c>
      <c r="M12" s="545">
        <f>IFERROR(IF(INDEX('Final Calculation Sheet'!$H$4:$H$40,$S15-3)="","",INDEX('Final Calculation Sheet'!$H$4:$H$40,$S15-3)),"")</f>
        <v/>
      </c>
      <c r="N12" s="544">
        <f>IFERROR(IF(INDEX('Final Calculation Sheet'!$H$4:$H$40,$S16-3)="","",INDEX('Final Calculation Sheet'!$H$4:$H$40,$S16-3)),"")</f>
        <v/>
      </c>
      <c r="O12" s="546">
        <f>IF(COUNT(B12:N12)=0,"",SUM(B12:N12))</f>
        <v/>
      </c>
      <c r="Q12">
        <f>IF('Final Calculation Sheet'!$G12=$B$3,COUNTIF('Final Calculation Sheet'!$G$4:$G12,$B$3),"")</f>
        <v/>
      </c>
      <c r="S12">
        <f>IFERROR(MATCH(9,$Q$4:$Q$40,0)+3,"")</f>
        <v/>
      </c>
      <c r="U12" t="inlineStr">
        <is>
          <t>S M ENTERPRISES</t>
        </is>
      </c>
    </row>
    <row r="13" ht="15" customHeight="1">
      <c r="A13" s="540" t="inlineStr">
        <is>
          <t>GST</t>
        </is>
      </c>
      <c r="B13" s="544">
        <f>IFERROR(IF(INDEX('Final Calculation Sheet'!$I$4:$I$40,$S4-3)="","",INDEX('Final Calculation Sheet'!$I$4:$I$40,$S4-3)),"")</f>
        <v/>
      </c>
      <c r="C13" s="545">
        <f>IFERROR(IF(INDEX('Final Calculation Sheet'!$I$4:$I$40,$S5-3)="","",INDEX('Final Calculation Sheet'!$I$4:$I$40,$S5-3)),"")</f>
        <v/>
      </c>
      <c r="D13" s="544">
        <f>IFERROR(IF(INDEX('Final Calculation Sheet'!$I$4:$I$40,$S6-3)="","",INDEX('Final Calculation Sheet'!$I$4:$I$40,$S6-3)),"")</f>
        <v/>
      </c>
      <c r="E13" s="545">
        <f>IFERROR(IF(INDEX('Final Calculation Sheet'!$I$4:$I$40,$S7-3)="","",INDEX('Final Calculation Sheet'!$I$4:$I$40,$S7-3)),"")</f>
        <v/>
      </c>
      <c r="F13" s="544">
        <f>IFERROR(IF(INDEX('Final Calculation Sheet'!$I$4:$I$40,$S8-3)="","",INDEX('Final Calculation Sheet'!$I$4:$I$40,$S8-3)),"")</f>
        <v/>
      </c>
      <c r="G13" s="545">
        <f>IFERROR(IF(INDEX('Final Calculation Sheet'!$I$4:$I$40,$S9-3)="","",INDEX('Final Calculation Sheet'!$I$4:$I$40,$S9-3)),"")</f>
        <v/>
      </c>
      <c r="H13" s="544">
        <f>IFERROR(IF(INDEX('Final Calculation Sheet'!$I$4:$I$40,$S10-3)="","",INDEX('Final Calculation Sheet'!$I$4:$I$40,$S10-3)),"")</f>
        <v/>
      </c>
      <c r="I13" s="545">
        <f>IFERROR(IF(INDEX('Final Calculation Sheet'!$I$4:$I$40,$S11-3)="","",INDEX('Final Calculation Sheet'!$I$4:$I$40,$S11-3)),"")</f>
        <v/>
      </c>
      <c r="J13" s="544">
        <f>IFERROR(IF(INDEX('Final Calculation Sheet'!$I$4:$I$40,$S12-3)="","",INDEX('Final Calculation Sheet'!$I$4:$I$40,$S12-3)),"")</f>
        <v/>
      </c>
      <c r="K13" s="545">
        <f>IFERROR(IF(INDEX('Final Calculation Sheet'!$I$4:$I$40,$S13-3)="","",INDEX('Final Calculation Sheet'!$I$4:$I$40,$S13-3)),"")</f>
        <v/>
      </c>
      <c r="L13" s="544">
        <f>IFERROR(IF(INDEX('Final Calculation Sheet'!$I$4:$I$40,$S14-3)="","",INDEX('Final Calculation Sheet'!$I$4:$I$40,$S14-3)),"")</f>
        <v/>
      </c>
      <c r="M13" s="545">
        <f>IFERROR(IF(INDEX('Final Calculation Sheet'!$I$4:$I$40,$S15-3)="","",INDEX('Final Calculation Sheet'!$I$4:$I$40,$S15-3)),"")</f>
        <v/>
      </c>
      <c r="N13" s="544">
        <f>IFERROR(IF(INDEX('Final Calculation Sheet'!$I$4:$I$40,$S16-3)="","",INDEX('Final Calculation Sheet'!$I$4:$I$40,$S16-3)),"")</f>
        <v/>
      </c>
      <c r="O13" s="546">
        <f>IF(COUNT(B13:N13)=0,"",SUM(B13:N13))</f>
        <v/>
      </c>
      <c r="Q13">
        <f>IF('Final Calculation Sheet'!$G13=$B$3,COUNTIF('Final Calculation Sheet'!$G$4:$G13,$B$3),"")</f>
        <v/>
      </c>
      <c r="S13">
        <f>IFERROR(MATCH(10,$Q$4:$Q$40,0)+3,"")</f>
        <v/>
      </c>
      <c r="U13" t="inlineStr">
        <is>
          <t>SAHARA ENTERPRISES</t>
        </is>
      </c>
    </row>
    <row r="14" ht="15" customHeight="1">
      <c r="A14" s="543" t="inlineStr">
        <is>
          <t>Mat. Value + GST</t>
        </is>
      </c>
      <c r="B14" s="544">
        <f>IFERROR(IF(INDEX('Final Calculation Sheet'!$J$4:$J$40,$S4-3)="","",INDEX('Final Calculation Sheet'!$J$4:$J$40,$S4-3)),"")</f>
        <v/>
      </c>
      <c r="C14" s="545">
        <f>IFERROR(IF(INDEX('Final Calculation Sheet'!$J$4:$J$40,$S5-3)="","",INDEX('Final Calculation Sheet'!$J$4:$J$40,$S5-3)),"")</f>
        <v/>
      </c>
      <c r="D14" s="544">
        <f>IFERROR(IF(INDEX('Final Calculation Sheet'!$J$4:$J$40,$S6-3)="","",INDEX('Final Calculation Sheet'!$J$4:$J$40,$S6-3)),"")</f>
        <v/>
      </c>
      <c r="E14" s="545">
        <f>IFERROR(IF(INDEX('Final Calculation Sheet'!$J$4:$J$40,$S7-3)="","",INDEX('Final Calculation Sheet'!$J$4:$J$40,$S7-3)),"")</f>
        <v/>
      </c>
      <c r="F14" s="544">
        <f>IFERROR(IF(INDEX('Final Calculation Sheet'!$J$4:$J$40,$S8-3)="","",INDEX('Final Calculation Sheet'!$J$4:$J$40,$S8-3)),"")</f>
        <v/>
      </c>
      <c r="G14" s="545">
        <f>IFERROR(IF(INDEX('Final Calculation Sheet'!$J$4:$J$40,$S9-3)="","",INDEX('Final Calculation Sheet'!$J$4:$J$40,$S9-3)),"")</f>
        <v/>
      </c>
      <c r="H14" s="544">
        <f>IFERROR(IF(INDEX('Final Calculation Sheet'!$J$4:$J$40,$S10-3)="","",INDEX('Final Calculation Sheet'!$J$4:$J$40,$S10-3)),"")</f>
        <v/>
      </c>
      <c r="I14" s="545">
        <f>IFERROR(IF(INDEX('Final Calculation Sheet'!$J$4:$J$40,$S11-3)="","",INDEX('Final Calculation Sheet'!$J$4:$J$40,$S11-3)),"")</f>
        <v/>
      </c>
      <c r="J14" s="544">
        <f>IFERROR(IF(INDEX('Final Calculation Sheet'!$J$4:$J$40,$S12-3)="","",INDEX('Final Calculation Sheet'!$J$4:$J$40,$S12-3)),"")</f>
        <v/>
      </c>
      <c r="K14" s="545">
        <f>IFERROR(IF(INDEX('Final Calculation Sheet'!$J$4:$J$40,$S13-3)="","",INDEX('Final Calculation Sheet'!$J$4:$J$40,$S13-3)),"")</f>
        <v/>
      </c>
      <c r="L14" s="544">
        <f>IFERROR(IF(INDEX('Final Calculation Sheet'!$J$4:$J$40,$S14-3)="","",INDEX('Final Calculation Sheet'!$J$4:$J$40,$S14-3)),"")</f>
        <v/>
      </c>
      <c r="M14" s="545">
        <f>IFERROR(IF(INDEX('Final Calculation Sheet'!$J$4:$J$40,$S15-3)="","",INDEX('Final Calculation Sheet'!$J$4:$J$40,$S15-3)),"")</f>
        <v/>
      </c>
      <c r="N14" s="544">
        <f>IFERROR(IF(INDEX('Final Calculation Sheet'!$J$4:$J$40,$S16-3)="","",INDEX('Final Calculation Sheet'!$J$4:$J$40,$S16-3)),"")</f>
        <v/>
      </c>
      <c r="O14" s="546">
        <f>IF(COUNT(B14:N14)=0,"",SUM(B14:N14))</f>
        <v/>
      </c>
      <c r="Q14">
        <f>IF('Final Calculation Sheet'!$G14=$B$3,COUNTIF('Final Calculation Sheet'!$G$4:$G14,$B$3),"")</f>
        <v/>
      </c>
      <c r="S14">
        <f>IFERROR(MATCH(11,$Q$4:$Q$40,0)+3,"")</f>
        <v/>
      </c>
      <c r="U14" t="inlineStr">
        <is>
          <t>SHAR JAHAN TRADERS</t>
        </is>
      </c>
    </row>
    <row r="15" ht="15" customHeight="1">
      <c r="A15" s="540" t="inlineStr">
        <is>
          <t>TCS</t>
        </is>
      </c>
      <c r="B15" s="544">
        <f>IFERROR(IF(INDEX('Final Calculation Sheet'!$K$4:$K$40,$S4-3)="","",INDEX('Final Calculation Sheet'!$K$4:$K$40,$S4-3)),"")</f>
        <v/>
      </c>
      <c r="C15" s="545">
        <f>IFERROR(IF(INDEX('Final Calculation Sheet'!$K$4:$K$40,$S5-3)="","",INDEX('Final Calculation Sheet'!$K$4:$K$40,$S5-3)),"")</f>
        <v/>
      </c>
      <c r="D15" s="544">
        <f>IFERROR(IF(INDEX('Final Calculation Sheet'!$K$4:$K$40,$S6-3)="","",INDEX('Final Calculation Sheet'!$K$4:$K$40,$S6-3)),"")</f>
        <v/>
      </c>
      <c r="E15" s="545">
        <f>IFERROR(IF(INDEX('Final Calculation Sheet'!$K$4:$K$40,$S7-3)="","",INDEX('Final Calculation Sheet'!$K$4:$K$40,$S7-3)),"")</f>
        <v/>
      </c>
      <c r="F15" s="544">
        <f>IFERROR(IF(INDEX('Final Calculation Sheet'!$K$4:$K$40,$S8-3)="","",INDEX('Final Calculation Sheet'!$K$4:$K$40,$S8-3)),"")</f>
        <v/>
      </c>
      <c r="G15" s="545">
        <f>IFERROR(IF(INDEX('Final Calculation Sheet'!$K$4:$K$40,$S9-3)="","",INDEX('Final Calculation Sheet'!$K$4:$K$40,$S9-3)),"")</f>
        <v/>
      </c>
      <c r="H15" s="544">
        <f>IFERROR(IF(INDEX('Final Calculation Sheet'!$K$4:$K$40,$S10-3)="","",INDEX('Final Calculation Sheet'!$K$4:$K$40,$S10-3)),"")</f>
        <v/>
      </c>
      <c r="I15" s="545">
        <f>IFERROR(IF(INDEX('Final Calculation Sheet'!$K$4:$K$40,$S11-3)="","",INDEX('Final Calculation Sheet'!$K$4:$K$40,$S11-3)),"")</f>
        <v/>
      </c>
      <c r="J15" s="544">
        <f>IFERROR(IF(INDEX('Final Calculation Sheet'!$K$4:$K$40,$S12-3)="","",INDEX('Final Calculation Sheet'!$K$4:$K$40,$S12-3)),"")</f>
        <v/>
      </c>
      <c r="K15" s="545">
        <f>IFERROR(IF(INDEX('Final Calculation Sheet'!$K$4:$K$40,$S13-3)="","",INDEX('Final Calculation Sheet'!$K$4:$K$40,$S13-3)),"")</f>
        <v/>
      </c>
      <c r="L15" s="544">
        <f>IFERROR(IF(INDEX('Final Calculation Sheet'!$K$4:$K$40,$S14-3)="","",INDEX('Final Calculation Sheet'!$K$4:$K$40,$S14-3)),"")</f>
        <v/>
      </c>
      <c r="M15" s="545">
        <f>IFERROR(IF(INDEX('Final Calculation Sheet'!$K$4:$K$40,$S15-3)="","",INDEX('Final Calculation Sheet'!$K$4:$K$40,$S15-3)),"")</f>
        <v/>
      </c>
      <c r="N15" s="544">
        <f>IFERROR(IF(INDEX('Final Calculation Sheet'!$K$4:$K$40,$S16-3)="","",INDEX('Final Calculation Sheet'!$K$4:$K$40,$S16-3)),"")</f>
        <v/>
      </c>
      <c r="O15" s="546">
        <f>IF(COUNT(B15:N15)=0,"",SUM(B15:N15))</f>
        <v/>
      </c>
      <c r="Q15">
        <f>IF('Final Calculation Sheet'!$G15=$B$3,COUNTIF('Final Calculation Sheet'!$G$4:$G15,$B$3),"")</f>
        <v/>
      </c>
      <c r="S15">
        <f>IFERROR(MATCH(12,$Q$4:$Q$40,0)+3,"")</f>
        <v/>
      </c>
      <c r="U15" t="inlineStr">
        <is>
          <t>STERLING ENTERPRISES</t>
        </is>
      </c>
    </row>
    <row r="16" ht="15" customHeight="1">
      <c r="A16" s="543" t="inlineStr">
        <is>
          <t>TDS u/s 194(O)</t>
        </is>
      </c>
      <c r="B16" s="544">
        <f>IFERROR(IF(INDEX('Final Calculation Sheet'!$L$4:$L$40,$S4-3)="","",INDEX('Final Calculation Sheet'!$L$4:$L$40,$S4-3)),"")</f>
        <v/>
      </c>
      <c r="C16" s="545">
        <f>IFERROR(IF(INDEX('Final Calculation Sheet'!$L$4:$L$40,$S5-3)="","",INDEX('Final Calculation Sheet'!$L$4:$L$40,$S5-3)),"")</f>
        <v/>
      </c>
      <c r="D16" s="544">
        <f>IFERROR(IF(INDEX('Final Calculation Sheet'!$L$4:$L$40,$S6-3)="","",INDEX('Final Calculation Sheet'!$L$4:$L$40,$S6-3)),"")</f>
        <v/>
      </c>
      <c r="E16" s="545">
        <f>IFERROR(IF(INDEX('Final Calculation Sheet'!$L$4:$L$40,$S7-3)="","",INDEX('Final Calculation Sheet'!$L$4:$L$40,$S7-3)),"")</f>
        <v/>
      </c>
      <c r="F16" s="544">
        <f>IFERROR(IF(INDEX('Final Calculation Sheet'!$L$4:$L$40,$S8-3)="","",INDEX('Final Calculation Sheet'!$L$4:$L$40,$S8-3)),"")</f>
        <v/>
      </c>
      <c r="G16" s="545">
        <f>IFERROR(IF(INDEX('Final Calculation Sheet'!$L$4:$L$40,$S9-3)="","",INDEX('Final Calculation Sheet'!$L$4:$L$40,$S9-3)),"")</f>
        <v/>
      </c>
      <c r="H16" s="544">
        <f>IFERROR(IF(INDEX('Final Calculation Sheet'!$L$4:$L$40,$S10-3)="","",INDEX('Final Calculation Sheet'!$L$4:$L$40,$S10-3)),"")</f>
        <v/>
      </c>
      <c r="I16" s="545">
        <f>IFERROR(IF(INDEX('Final Calculation Sheet'!$L$4:$L$40,$S11-3)="","",INDEX('Final Calculation Sheet'!$L$4:$L$40,$S11-3)),"")</f>
        <v/>
      </c>
      <c r="J16" s="544">
        <f>IFERROR(IF(INDEX('Final Calculation Sheet'!$L$4:$L$40,$S12-3)="","",INDEX('Final Calculation Sheet'!$L$4:$L$40,$S12-3)),"")</f>
        <v/>
      </c>
      <c r="K16" s="545">
        <f>IFERROR(IF(INDEX('Final Calculation Sheet'!$L$4:$L$40,$S13-3)="","",INDEX('Final Calculation Sheet'!$L$4:$L$40,$S13-3)),"")</f>
        <v/>
      </c>
      <c r="L16" s="544">
        <f>IFERROR(IF(INDEX('Final Calculation Sheet'!$L$4:$L$40,$S14-3)="","",INDEX('Final Calculation Sheet'!$L$4:$L$40,$S14-3)),"")</f>
        <v/>
      </c>
      <c r="M16" s="545">
        <f>IFERROR(IF(INDEX('Final Calculation Sheet'!$L$4:$L$40,$S15-3)="","",INDEX('Final Calculation Sheet'!$L$4:$L$40,$S15-3)),"")</f>
        <v/>
      </c>
      <c r="N16" s="544">
        <f>IFERROR(IF(INDEX('Final Calculation Sheet'!$L$4:$L$40,$S16-3)="","",INDEX('Final Calculation Sheet'!$L$4:$L$40,$S16-3)),"")</f>
        <v/>
      </c>
      <c r="O16" s="546">
        <f>IF(COUNT(B16:N16)=0,"",SUM(B16:N16))</f>
        <v/>
      </c>
      <c r="Q16">
        <f>IF('Final Calculation Sheet'!$G16=$B$3,COUNTIF('Final Calculation Sheet'!$G$4:$G16,$B$3),"")</f>
        <v/>
      </c>
      <c r="S16">
        <f>IFERROR(MATCH(13,$Q$4:$Q$40,0)+3,"")</f>
        <v/>
      </c>
      <c r="U16" t="inlineStr">
        <is>
          <t>WATAN SCRAP TRADERS</t>
        </is>
      </c>
    </row>
    <row r="17" ht="15" customHeight="1">
      <c r="A17" s="540" t="inlineStr">
        <is>
          <t>Service Charge to MSTC</t>
        </is>
      </c>
      <c r="B17" s="544">
        <f>IFERROR(IF(INDEX('Final Calculation Sheet'!$M$4:$M$40,$S4-3)="","",INDEX('Final Calculation Sheet'!$M$4:$M$40,$S4-3)),"")</f>
        <v/>
      </c>
      <c r="C17" s="545">
        <f>IFERROR(IF(INDEX('Final Calculation Sheet'!$M$4:$M$40,$S5-3)="","",INDEX('Final Calculation Sheet'!$M$4:$M$40,$S5-3)),"")</f>
        <v/>
      </c>
      <c r="D17" s="544">
        <f>IFERROR(IF(INDEX('Final Calculation Sheet'!$M$4:$M$40,$S6-3)="","",INDEX('Final Calculation Sheet'!$M$4:$M$40,$S6-3)),"")</f>
        <v/>
      </c>
      <c r="E17" s="545">
        <f>IFERROR(IF(INDEX('Final Calculation Sheet'!$M$4:$M$40,$S7-3)="","",INDEX('Final Calculation Sheet'!$M$4:$M$40,$S7-3)),"")</f>
        <v/>
      </c>
      <c r="F17" s="544">
        <f>IFERROR(IF(INDEX('Final Calculation Sheet'!$M$4:$M$40,$S8-3)="","",INDEX('Final Calculation Sheet'!$M$4:$M$40,$S8-3)),"")</f>
        <v/>
      </c>
      <c r="G17" s="545">
        <f>IFERROR(IF(INDEX('Final Calculation Sheet'!$M$4:$M$40,$S9-3)="","",INDEX('Final Calculation Sheet'!$M$4:$M$40,$S9-3)),"")</f>
        <v/>
      </c>
      <c r="H17" s="544">
        <f>IFERROR(IF(INDEX('Final Calculation Sheet'!$M$4:$M$40,$S10-3)="","",INDEX('Final Calculation Sheet'!$M$4:$M$40,$S10-3)),"")</f>
        <v/>
      </c>
      <c r="I17" s="545">
        <f>IFERROR(IF(INDEX('Final Calculation Sheet'!$M$4:$M$40,$S11-3)="","",INDEX('Final Calculation Sheet'!$M$4:$M$40,$S11-3)),"")</f>
        <v/>
      </c>
      <c r="J17" s="544">
        <f>IFERROR(IF(INDEX('Final Calculation Sheet'!$M$4:$M$40,$S12-3)="","",INDEX('Final Calculation Sheet'!$M$4:$M$40,$S12-3)),"")</f>
        <v/>
      </c>
      <c r="K17" s="545">
        <f>IFERROR(IF(INDEX('Final Calculation Sheet'!$M$4:$M$40,$S13-3)="","",INDEX('Final Calculation Sheet'!$M$4:$M$40,$S13-3)),"")</f>
        <v/>
      </c>
      <c r="L17" s="544">
        <f>IFERROR(IF(INDEX('Final Calculation Sheet'!$M$4:$M$40,$S14-3)="","",INDEX('Final Calculation Sheet'!$M$4:$M$40,$S14-3)),"")</f>
        <v/>
      </c>
      <c r="M17" s="545">
        <f>IFERROR(IF(INDEX('Final Calculation Sheet'!$M$4:$M$40,$S15-3)="","",INDEX('Final Calculation Sheet'!$M$4:$M$40,$S15-3)),"")</f>
        <v/>
      </c>
      <c r="N17" s="544">
        <f>IFERROR(IF(INDEX('Final Calculation Sheet'!$M$4:$M$40,$S16-3)="","",INDEX('Final Calculation Sheet'!$M$4:$M$40,$S16-3)),"")</f>
        <v/>
      </c>
      <c r="O17" s="546">
        <f>IF(COUNT(B17:N17)=0,"",SUM(B17:N17))</f>
        <v/>
      </c>
      <c r="Q17">
        <f>IF('Final Calculation Sheet'!$G17=$B$3,COUNTIF('Final Calculation Sheet'!$G$4:$G17,$B$3),"")</f>
        <v/>
      </c>
    </row>
    <row r="18" ht="15" customHeight="1">
      <c r="A18" s="543" t="inlineStr">
        <is>
          <t>TDS u/s 194(H)</t>
        </is>
      </c>
      <c r="B18" s="547">
        <f>IFERROR(IF(INDEX('Final Calculation Sheet'!$N$4:$N$40,$S4-3)="","",INDEX('Final Calculation Sheet'!$N$4:$N$40,$S4-3)),"")</f>
        <v/>
      </c>
      <c r="C18" s="548">
        <f>IFERROR(IF(INDEX('Final Calculation Sheet'!$N$4:$N$40,$S5-3)="","",INDEX('Final Calculation Sheet'!$N$4:$N$40,$S5-3)),"")</f>
        <v/>
      </c>
      <c r="D18" s="547">
        <f>IFERROR(IF(INDEX('Final Calculation Sheet'!$N$4:$N$40,$S6-3)="","",INDEX('Final Calculation Sheet'!$N$4:$N$40,$S6-3)),"")</f>
        <v/>
      </c>
      <c r="E18" s="548">
        <f>IFERROR(IF(INDEX('Final Calculation Sheet'!$N$4:$N$40,$S7-3)="","",INDEX('Final Calculation Sheet'!$N$4:$N$40,$S7-3)),"")</f>
        <v/>
      </c>
      <c r="F18" s="547">
        <f>IFERROR(IF(INDEX('Final Calculation Sheet'!$N$4:$N$40,$S8-3)="","",INDEX('Final Calculation Sheet'!$N$4:$N$40,$S8-3)),"")</f>
        <v/>
      </c>
      <c r="G18" s="548">
        <f>IFERROR(IF(INDEX('Final Calculation Sheet'!$N$4:$N$40,$S9-3)="","",INDEX('Final Calculation Sheet'!$N$4:$N$40,$S9-3)),"")</f>
        <v/>
      </c>
      <c r="H18" s="547">
        <f>IFERROR(IF(INDEX('Final Calculation Sheet'!$N$4:$N$40,$S10-3)="","",INDEX('Final Calculation Sheet'!$N$4:$N$40,$S10-3)),"")</f>
        <v/>
      </c>
      <c r="I18" s="548">
        <f>IFERROR(IF(INDEX('Final Calculation Sheet'!$N$4:$N$40,$S11-3)="","",INDEX('Final Calculation Sheet'!$N$4:$N$40,$S11-3)),"")</f>
        <v/>
      </c>
      <c r="J18" s="547">
        <f>IFERROR(IF(INDEX('Final Calculation Sheet'!$N$4:$N$40,$S12-3)="","",INDEX('Final Calculation Sheet'!$N$4:$N$40,$S12-3)),"")</f>
        <v/>
      </c>
      <c r="K18" s="548">
        <f>IFERROR(IF(INDEX('Final Calculation Sheet'!$N$4:$N$40,$S13-3)="","",INDEX('Final Calculation Sheet'!$N$4:$N$40,$S13-3)),"")</f>
        <v/>
      </c>
      <c r="L18" s="547">
        <f>IFERROR(IF(INDEX('Final Calculation Sheet'!$N$4:$N$40,$S14-3)="","",INDEX('Final Calculation Sheet'!$N$4:$N$40,$S14-3)),"")</f>
        <v/>
      </c>
      <c r="M18" s="548">
        <f>IFERROR(IF(INDEX('Final Calculation Sheet'!$N$4:$N$40,$S15-3)="","",INDEX('Final Calculation Sheet'!$N$4:$N$40,$S15-3)),"")</f>
        <v/>
      </c>
      <c r="N18" s="547">
        <f>IFERROR(IF(INDEX('Final Calculation Sheet'!$N$4:$N$40,$S16-3)="","",INDEX('Final Calculation Sheet'!$N$4:$N$40,$S16-3)),"")</f>
        <v/>
      </c>
      <c r="O18" s="414">
        <f>IF(COUNT(B18:N18)=0,"",SUM(B18:N18))</f>
        <v/>
      </c>
      <c r="Q18">
        <f>IF('Final Calculation Sheet'!$G18=$B$3,COUNTIF('Final Calculation Sheet'!$G$4:$G18,$B$3),"")</f>
        <v/>
      </c>
    </row>
    <row r="19" ht="15" customHeight="1">
      <c r="A19" s="540" t="inlineStr">
        <is>
          <t>Net Service Charge (post TDS 194H)</t>
        </is>
      </c>
      <c r="B19" s="544">
        <f>IFERROR(IF(INDEX('Final Calculation Sheet'!$O$4:$O$40,$S4-3)="","",INDEX('Final Calculation Sheet'!$O$4:$O$40,$S4-3)),"")</f>
        <v/>
      </c>
      <c r="C19" s="545">
        <f>IFERROR(IF(INDEX('Final Calculation Sheet'!$O$4:$O$40,$S5-3)="","",INDEX('Final Calculation Sheet'!$O$4:$O$40,$S5-3)),"")</f>
        <v/>
      </c>
      <c r="D19" s="544">
        <f>IFERROR(IF(INDEX('Final Calculation Sheet'!$O$4:$O$40,$S6-3)="","",INDEX('Final Calculation Sheet'!$O$4:$O$40,$S6-3)),"")</f>
        <v/>
      </c>
      <c r="E19" s="545">
        <f>IFERROR(IF(INDEX('Final Calculation Sheet'!$O$4:$O$40,$S7-3)="","",INDEX('Final Calculation Sheet'!$O$4:$O$40,$S7-3)),"")</f>
        <v/>
      </c>
      <c r="F19" s="544">
        <f>IFERROR(IF(INDEX('Final Calculation Sheet'!$O$4:$O$40,$S8-3)="","",INDEX('Final Calculation Sheet'!$O$4:$O$40,$S8-3)),"")</f>
        <v/>
      </c>
      <c r="G19" s="545">
        <f>IFERROR(IF(INDEX('Final Calculation Sheet'!$O$4:$O$40,$S9-3)="","",INDEX('Final Calculation Sheet'!$O$4:$O$40,$S9-3)),"")</f>
        <v/>
      </c>
      <c r="H19" s="544">
        <f>IFERROR(IF(INDEX('Final Calculation Sheet'!$O$4:$O$40,$S10-3)="","",INDEX('Final Calculation Sheet'!$O$4:$O$40,$S10-3)),"")</f>
        <v/>
      </c>
      <c r="I19" s="545">
        <f>IFERROR(IF(INDEX('Final Calculation Sheet'!$O$4:$O$40,$S11-3)="","",INDEX('Final Calculation Sheet'!$O$4:$O$40,$S11-3)),"")</f>
        <v/>
      </c>
      <c r="J19" s="544">
        <f>IFERROR(IF(INDEX('Final Calculation Sheet'!$O$4:$O$40,$S12-3)="","",INDEX('Final Calculation Sheet'!$O$4:$O$40,$S12-3)),"")</f>
        <v/>
      </c>
      <c r="K19" s="545">
        <f>IFERROR(IF(INDEX('Final Calculation Sheet'!$O$4:$O$40,$S13-3)="","",INDEX('Final Calculation Sheet'!$O$4:$O$40,$S13-3)),"")</f>
        <v/>
      </c>
      <c r="L19" s="544">
        <f>IFERROR(IF(INDEX('Final Calculation Sheet'!$O$4:$O$40,$S14-3)="","",INDEX('Final Calculation Sheet'!$O$4:$O$40,$S14-3)),"")</f>
        <v/>
      </c>
      <c r="M19" s="545">
        <f>IFERROR(IF(INDEX('Final Calculation Sheet'!$O$4:$O$40,$S15-3)="","",INDEX('Final Calculation Sheet'!$O$4:$O$40,$S15-3)),"")</f>
        <v/>
      </c>
      <c r="N19" s="544">
        <f>IFERROR(IF(INDEX('Final Calculation Sheet'!$O$4:$O$40,$S16-3)="","",INDEX('Final Calculation Sheet'!$O$4:$O$40,$S16-3)),"")</f>
        <v/>
      </c>
      <c r="O19" s="546">
        <f>IF(COUNT(B19:N19)=0,"",SUM(B19:N19))</f>
        <v/>
      </c>
      <c r="Q19">
        <f>IF('Final Calculation Sheet'!$G19=$B$3,COUNTIF('Final Calculation Sheet'!$G$4:$G19,$B$3),"")</f>
        <v/>
      </c>
    </row>
    <row r="20" ht="15" customHeight="1">
      <c r="A20" s="543" t="inlineStr">
        <is>
          <t>Service charge to MSTC</t>
        </is>
      </c>
      <c r="B20" s="544">
        <f>IFERROR(IF(INDEX('Final Calculation Sheet'!$P$4:$P$40,$S4-3)="","",INDEX('Final Calculation Sheet'!$P$4:$P$40,$S4-3)),"")</f>
        <v/>
      </c>
      <c r="C20" s="545">
        <f>IFERROR(IF(INDEX('Final Calculation Sheet'!$P$4:$P$40,$S5-3)="","",INDEX('Final Calculation Sheet'!$P$4:$P$40,$S5-3)),"")</f>
        <v/>
      </c>
      <c r="D20" s="544">
        <f>IFERROR(IF(INDEX('Final Calculation Sheet'!$P$4:$P$40,$S6-3)="","",INDEX('Final Calculation Sheet'!$P$4:$P$40,$S6-3)),"")</f>
        <v/>
      </c>
      <c r="E20" s="545">
        <f>IFERROR(IF(INDEX('Final Calculation Sheet'!$P$4:$P$40,$S7-3)="","",INDEX('Final Calculation Sheet'!$P$4:$P$40,$S7-3)),"")</f>
        <v/>
      </c>
      <c r="F20" s="544">
        <f>IFERROR(IF(INDEX('Final Calculation Sheet'!$P$4:$P$40,$S8-3)="","",INDEX('Final Calculation Sheet'!$P$4:$P$40,$S8-3)),"")</f>
        <v/>
      </c>
      <c r="G20" s="545">
        <f>IFERROR(IF(INDEX('Final Calculation Sheet'!$P$4:$P$40,$S9-3)="","",INDEX('Final Calculation Sheet'!$P$4:$P$40,$S9-3)),"")</f>
        <v/>
      </c>
      <c r="H20" s="544">
        <f>IFERROR(IF(INDEX('Final Calculation Sheet'!$P$4:$P$40,$S10-3)="","",INDEX('Final Calculation Sheet'!$P$4:$P$40,$S10-3)),"")</f>
        <v/>
      </c>
      <c r="I20" s="545">
        <f>IFERROR(IF(INDEX('Final Calculation Sheet'!$P$4:$P$40,$S11-3)="","",INDEX('Final Calculation Sheet'!$P$4:$P$40,$S11-3)),"")</f>
        <v/>
      </c>
      <c r="J20" s="544">
        <f>IFERROR(IF(INDEX('Final Calculation Sheet'!$P$4:$P$40,$S12-3)="","",INDEX('Final Calculation Sheet'!$P$4:$P$40,$S12-3)),"")</f>
        <v/>
      </c>
      <c r="K20" s="545">
        <f>IFERROR(IF(INDEX('Final Calculation Sheet'!$P$4:$P$40,$S13-3)="","",INDEX('Final Calculation Sheet'!$P$4:$P$40,$S13-3)),"")</f>
        <v/>
      </c>
      <c r="L20" s="544">
        <f>IFERROR(IF(INDEX('Final Calculation Sheet'!$P$4:$P$40,$S14-3)="","",INDEX('Final Calculation Sheet'!$P$4:$P$40,$S14-3)),"")</f>
        <v/>
      </c>
      <c r="M20" s="545">
        <f>IFERROR(IF(INDEX('Final Calculation Sheet'!$P$4:$P$40,$S15-3)="","",INDEX('Final Calculation Sheet'!$P$4:$P$40,$S15-3)),"")</f>
        <v/>
      </c>
      <c r="N20" s="544">
        <f>IFERROR(IF(INDEX('Final Calculation Sheet'!$P$4:$P$40,$S16-3)="","",INDEX('Final Calculation Sheet'!$P$4:$P$40,$S16-3)),"")</f>
        <v/>
      </c>
      <c r="O20" s="546">
        <f>IF(COUNT(B20:N20)=0,"",SUM(B20:N20))</f>
        <v/>
      </c>
      <c r="Q20">
        <f>IF('Final Calculation Sheet'!$G20=$B$3,COUNTIF('Final Calculation Sheet'!$G$4:$G20,$B$3),"")</f>
        <v/>
      </c>
    </row>
    <row r="21" ht="15" customHeight="1">
      <c r="A21" s="540" t="inlineStr">
        <is>
          <t>GST TDS Rate</t>
        </is>
      </c>
      <c r="B21" s="549">
        <f>IFERROR(IF(INDEX('Final Calculation Sheet'!$Q$4:$Q$40,$S4-3)="","",INDEX('Final Calculation Sheet'!$Q$4:$Q$40,$S4-3)),"")</f>
        <v/>
      </c>
      <c r="C21" s="550">
        <f>IFERROR(IF(INDEX('Final Calculation Sheet'!$Q$4:$Q$40,$S5-3)="","",INDEX('Final Calculation Sheet'!$Q$4:$Q$40,$S5-3)),"")</f>
        <v/>
      </c>
      <c r="D21" s="549">
        <f>IFERROR(IF(INDEX('Final Calculation Sheet'!$Q$4:$Q$40,$S6-3)="","",INDEX('Final Calculation Sheet'!$Q$4:$Q$40,$S6-3)),"")</f>
        <v/>
      </c>
      <c r="E21" s="550">
        <f>IFERROR(IF(INDEX('Final Calculation Sheet'!$Q$4:$Q$40,$S7-3)="","",INDEX('Final Calculation Sheet'!$Q$4:$Q$40,$S7-3)),"")</f>
        <v/>
      </c>
      <c r="F21" s="549">
        <f>IFERROR(IF(INDEX('Final Calculation Sheet'!$Q$4:$Q$40,$S8-3)="","",INDEX('Final Calculation Sheet'!$Q$4:$Q$40,$S8-3)),"")</f>
        <v/>
      </c>
      <c r="G21" s="550">
        <f>IFERROR(IF(INDEX('Final Calculation Sheet'!$Q$4:$Q$40,$S9-3)="","",INDEX('Final Calculation Sheet'!$Q$4:$Q$40,$S9-3)),"")</f>
        <v/>
      </c>
      <c r="H21" s="549">
        <f>IFERROR(IF(INDEX('Final Calculation Sheet'!$Q$4:$Q$40,$S10-3)="","",INDEX('Final Calculation Sheet'!$Q$4:$Q$40,$S10-3)),"")</f>
        <v/>
      </c>
      <c r="I21" s="550">
        <f>IFERROR(IF(INDEX('Final Calculation Sheet'!$Q$4:$Q$40,$S11-3)="","",INDEX('Final Calculation Sheet'!$Q$4:$Q$40,$S11-3)),"")</f>
        <v/>
      </c>
      <c r="J21" s="549">
        <f>IFERROR(IF(INDEX('Final Calculation Sheet'!$Q$4:$Q$40,$S12-3)="","",INDEX('Final Calculation Sheet'!$Q$4:$Q$40,$S12-3)),"")</f>
        <v/>
      </c>
      <c r="K21" s="550">
        <f>IFERROR(IF(INDEX('Final Calculation Sheet'!$Q$4:$Q$40,$S13-3)="","",INDEX('Final Calculation Sheet'!$Q$4:$Q$40,$S13-3)),"")</f>
        <v/>
      </c>
      <c r="L21" s="549">
        <f>IFERROR(IF(INDEX('Final Calculation Sheet'!$Q$4:$Q$40,$S14-3)="","",INDEX('Final Calculation Sheet'!$Q$4:$Q$40,$S14-3)),"")</f>
        <v/>
      </c>
      <c r="M21" s="550">
        <f>IFERROR(IF(INDEX('Final Calculation Sheet'!$Q$4:$Q$40,$S15-3)="","",INDEX('Final Calculation Sheet'!$Q$4:$Q$40,$S15-3)),"")</f>
        <v/>
      </c>
      <c r="N21" s="549">
        <f>IFERROR(IF(INDEX('Final Calculation Sheet'!$Q$4:$Q$40,$S16-3)="","",INDEX('Final Calculation Sheet'!$Q$4:$Q$40,$S16-3)),"")</f>
        <v/>
      </c>
      <c r="O21" s="605" t="inlineStr">
        <is>
          <t>–</t>
        </is>
      </c>
      <c r="Q21">
        <f>IF('Final Calculation Sheet'!$G21=$B$3,COUNTIF('Final Calculation Sheet'!$G$4:$G21,$B$3),"")</f>
        <v/>
      </c>
    </row>
    <row r="22" ht="15" customHeight="1">
      <c r="A22" s="543" t="inlineStr">
        <is>
          <t>GST TDS</t>
        </is>
      </c>
      <c r="B22" s="544">
        <f>IFERROR(IF(INDEX('Final Calculation Sheet'!$R$4:$R$40,$S4-3)="","",INDEX('Final Calculation Sheet'!$R$4:$R$40,$S4-3)),"")</f>
        <v/>
      </c>
      <c r="C22" s="545">
        <f>IFERROR(IF(INDEX('Final Calculation Sheet'!$R$4:$R$40,$S5-3)="","",INDEX('Final Calculation Sheet'!$R$4:$R$40,$S5-3)),"")</f>
        <v/>
      </c>
      <c r="D22" s="544">
        <f>IFERROR(IF(INDEX('Final Calculation Sheet'!$R$4:$R$40,$S6-3)="","",INDEX('Final Calculation Sheet'!$R$4:$R$40,$S6-3)),"")</f>
        <v/>
      </c>
      <c r="E22" s="545">
        <f>IFERROR(IF(INDEX('Final Calculation Sheet'!$R$4:$R$40,$S7-3)="","",INDEX('Final Calculation Sheet'!$R$4:$R$40,$S7-3)),"")</f>
        <v/>
      </c>
      <c r="F22" s="544">
        <f>IFERROR(IF(INDEX('Final Calculation Sheet'!$R$4:$R$40,$S8-3)="","",INDEX('Final Calculation Sheet'!$R$4:$R$40,$S8-3)),"")</f>
        <v/>
      </c>
      <c r="G22" s="545">
        <f>IFERROR(IF(INDEX('Final Calculation Sheet'!$R$4:$R$40,$S9-3)="","",INDEX('Final Calculation Sheet'!$R$4:$R$40,$S9-3)),"")</f>
        <v/>
      </c>
      <c r="H22" s="544">
        <f>IFERROR(IF(INDEX('Final Calculation Sheet'!$R$4:$R$40,$S10-3)="","",INDEX('Final Calculation Sheet'!$R$4:$R$40,$S10-3)),"")</f>
        <v/>
      </c>
      <c r="I22" s="545">
        <f>IFERROR(IF(INDEX('Final Calculation Sheet'!$R$4:$R$40,$S11-3)="","",INDEX('Final Calculation Sheet'!$R$4:$R$40,$S11-3)),"")</f>
        <v/>
      </c>
      <c r="J22" s="544">
        <f>IFERROR(IF(INDEX('Final Calculation Sheet'!$R$4:$R$40,$S12-3)="","",INDEX('Final Calculation Sheet'!$R$4:$R$40,$S12-3)),"")</f>
        <v/>
      </c>
      <c r="K22" s="545">
        <f>IFERROR(IF(INDEX('Final Calculation Sheet'!$R$4:$R$40,$S13-3)="","",INDEX('Final Calculation Sheet'!$R$4:$R$40,$S13-3)),"")</f>
        <v/>
      </c>
      <c r="L22" s="544">
        <f>IFERROR(IF(INDEX('Final Calculation Sheet'!$R$4:$R$40,$S14-3)="","",INDEX('Final Calculation Sheet'!$R$4:$R$40,$S14-3)),"")</f>
        <v/>
      </c>
      <c r="M22" s="545">
        <f>IFERROR(IF(INDEX('Final Calculation Sheet'!$R$4:$R$40,$S15-3)="","",INDEX('Final Calculation Sheet'!$R$4:$R$40,$S15-3)),"")</f>
        <v/>
      </c>
      <c r="N22" s="544">
        <f>IFERROR(IF(INDEX('Final Calculation Sheet'!$R$4:$R$40,$S16-3)="","",INDEX('Final Calculation Sheet'!$R$4:$R$40,$S16-3)),"")</f>
        <v/>
      </c>
      <c r="O22" s="546">
        <f>IF(COUNT(B22:N22)=0,"",SUM(B22:N22))</f>
        <v/>
      </c>
      <c r="Q22">
        <f>IF('Final Calculation Sheet'!$G22=$B$3,COUNTIF('Final Calculation Sheet'!$G$4:$G22,$B$3),"")</f>
        <v/>
      </c>
    </row>
    <row r="23" ht="15" customHeight="1">
      <c r="A23" s="540" t="inlineStr">
        <is>
          <t>Total Receivables in Cash</t>
        </is>
      </c>
      <c r="B23" s="544">
        <f>IFERROR(IF(INDEX('Final Calculation Sheet'!$S$4:$S$40,$S4-3)="","",INDEX('Final Calculation Sheet'!$S$4:$S$40,$S4-3)),"")</f>
        <v/>
      </c>
      <c r="C23" s="545">
        <f>IFERROR(IF(INDEX('Final Calculation Sheet'!$S$4:$S$40,$S5-3)="","",INDEX('Final Calculation Sheet'!$S$4:$S$40,$S5-3)),"")</f>
        <v/>
      </c>
      <c r="D23" s="544">
        <f>IFERROR(IF(INDEX('Final Calculation Sheet'!$S$4:$S$40,$S6-3)="","",INDEX('Final Calculation Sheet'!$S$4:$S$40,$S6-3)),"")</f>
        <v/>
      </c>
      <c r="E23" s="545">
        <f>IFERROR(IF(INDEX('Final Calculation Sheet'!$S$4:$S$40,$S7-3)="","",INDEX('Final Calculation Sheet'!$S$4:$S$40,$S7-3)),"")</f>
        <v/>
      </c>
      <c r="F23" s="544">
        <f>IFERROR(IF(INDEX('Final Calculation Sheet'!$S$4:$S$40,$S8-3)="","",INDEX('Final Calculation Sheet'!$S$4:$S$40,$S8-3)),"")</f>
        <v/>
      </c>
      <c r="G23" s="545">
        <f>IFERROR(IF(INDEX('Final Calculation Sheet'!$S$4:$S$40,$S9-3)="","",INDEX('Final Calculation Sheet'!$S$4:$S$40,$S9-3)),"")</f>
        <v/>
      </c>
      <c r="H23" s="544">
        <f>IFERROR(IF(INDEX('Final Calculation Sheet'!$S$4:$S$40,$S10-3)="","",INDEX('Final Calculation Sheet'!$S$4:$S$40,$S10-3)),"")</f>
        <v/>
      </c>
      <c r="I23" s="545">
        <f>IFERROR(IF(INDEX('Final Calculation Sheet'!$S$4:$S$40,$S11-3)="","",INDEX('Final Calculation Sheet'!$S$4:$S$40,$S11-3)),"")</f>
        <v/>
      </c>
      <c r="J23" s="544">
        <f>IFERROR(IF(INDEX('Final Calculation Sheet'!$S$4:$S$40,$S12-3)="","",INDEX('Final Calculation Sheet'!$S$4:$S$40,$S12-3)),"")</f>
        <v/>
      </c>
      <c r="K23" s="545">
        <f>IFERROR(IF(INDEX('Final Calculation Sheet'!$S$4:$S$40,$S13-3)="","",INDEX('Final Calculation Sheet'!$S$4:$S$40,$S13-3)),"")</f>
        <v/>
      </c>
      <c r="L23" s="544">
        <f>IFERROR(IF(INDEX('Final Calculation Sheet'!$S$4:$S$40,$S14-3)="","",INDEX('Final Calculation Sheet'!$S$4:$S$40,$S14-3)),"")</f>
        <v/>
      </c>
      <c r="M23" s="545">
        <f>IFERROR(IF(INDEX('Final Calculation Sheet'!$S$4:$S$40,$S15-3)="","",INDEX('Final Calculation Sheet'!$S$4:$S$40,$S15-3)),"")</f>
        <v/>
      </c>
      <c r="N23" s="544">
        <f>IFERROR(IF(INDEX('Final Calculation Sheet'!$S$4:$S$40,$S16-3)="","",INDEX('Final Calculation Sheet'!$S$4:$S$40,$S16-3)),"")</f>
        <v/>
      </c>
      <c r="O23" s="546">
        <f>IF(COUNT(B23:N23)=0,"",SUM(B23:N23))</f>
        <v/>
      </c>
      <c r="Q23">
        <f>IF('Final Calculation Sheet'!$G23=$B$3,COUNTIF('Final Calculation Sheet'!$G$4:$G23,$B$3),"")</f>
        <v/>
      </c>
    </row>
    <row r="24" ht="15" customHeight="1">
      <c r="A24" s="543" t="inlineStr">
        <is>
          <t>Security Deposit (Expected)</t>
        </is>
      </c>
      <c r="B24" s="544">
        <f>IFERROR(IF(INDEX('Final Calculation Sheet'!$T$4:$T$40,$S4-3)="","",INDEX('Final Calculation Sheet'!$T$4:$T$40,$S4-3)),"")</f>
        <v/>
      </c>
      <c r="C24" s="545">
        <f>IFERROR(IF(INDEX('Final Calculation Sheet'!$T$4:$T$40,$S5-3)="","",INDEX('Final Calculation Sheet'!$T$4:$T$40,$S5-3)),"")</f>
        <v/>
      </c>
      <c r="D24" s="544">
        <f>IFERROR(IF(INDEX('Final Calculation Sheet'!$T$4:$T$40,$S6-3)="","",INDEX('Final Calculation Sheet'!$T$4:$T$40,$S6-3)),"")</f>
        <v/>
      </c>
      <c r="E24" s="545">
        <f>IFERROR(IF(INDEX('Final Calculation Sheet'!$T$4:$T$40,$S7-3)="","",INDEX('Final Calculation Sheet'!$T$4:$T$40,$S7-3)),"")</f>
        <v/>
      </c>
      <c r="F24" s="544">
        <f>IFERROR(IF(INDEX('Final Calculation Sheet'!$T$4:$T$40,$S8-3)="","",INDEX('Final Calculation Sheet'!$T$4:$T$40,$S8-3)),"")</f>
        <v/>
      </c>
      <c r="G24" s="545">
        <f>IFERROR(IF(INDEX('Final Calculation Sheet'!$T$4:$T$40,$S9-3)="","",INDEX('Final Calculation Sheet'!$T$4:$T$40,$S9-3)),"")</f>
        <v/>
      </c>
      <c r="H24" s="544">
        <f>IFERROR(IF(INDEX('Final Calculation Sheet'!$T$4:$T$40,$S10-3)="","",INDEX('Final Calculation Sheet'!$T$4:$T$40,$S10-3)),"")</f>
        <v/>
      </c>
      <c r="I24" s="545">
        <f>IFERROR(IF(INDEX('Final Calculation Sheet'!$T$4:$T$40,$S11-3)="","",INDEX('Final Calculation Sheet'!$T$4:$T$40,$S11-3)),"")</f>
        <v/>
      </c>
      <c r="J24" s="544">
        <f>IFERROR(IF(INDEX('Final Calculation Sheet'!$T$4:$T$40,$S12-3)="","",INDEX('Final Calculation Sheet'!$T$4:$T$40,$S12-3)),"")</f>
        <v/>
      </c>
      <c r="K24" s="545">
        <f>IFERROR(IF(INDEX('Final Calculation Sheet'!$T$4:$T$40,$S13-3)="","",INDEX('Final Calculation Sheet'!$T$4:$T$40,$S13-3)),"")</f>
        <v/>
      </c>
      <c r="L24" s="544">
        <f>IFERROR(IF(INDEX('Final Calculation Sheet'!$T$4:$T$40,$S14-3)="","",INDEX('Final Calculation Sheet'!$T$4:$T$40,$S14-3)),"")</f>
        <v/>
      </c>
      <c r="M24" s="545">
        <f>IFERROR(IF(INDEX('Final Calculation Sheet'!$T$4:$T$40,$S15-3)="","",INDEX('Final Calculation Sheet'!$T$4:$T$40,$S15-3)),"")</f>
        <v/>
      </c>
      <c r="N24" s="544">
        <f>IFERROR(IF(INDEX('Final Calculation Sheet'!$T$4:$T$40,$S16-3)="","",INDEX('Final Calculation Sheet'!$T$4:$T$40,$S16-3)),"")</f>
        <v/>
      </c>
      <c r="O24" s="546">
        <f>IF(COUNT(B24:N24)=0,"",SUM(B24:N24))</f>
        <v/>
      </c>
      <c r="Q24">
        <f>IF('Final Calculation Sheet'!$G24=$B$3,COUNTIF('Final Calculation Sheet'!$G$4:$G24,$B$3),"")</f>
        <v/>
      </c>
    </row>
    <row r="25" ht="15" customHeight="1">
      <c r="A25" s="540" t="inlineStr">
        <is>
          <t>Security Deposit (Received)</t>
        </is>
      </c>
      <c r="B25" s="552">
        <f>IFERROR(IF(INDEX('Final Calculation Sheet'!$U$4:$U$40,$S4-3)="","",INDEX('Final Calculation Sheet'!$U$4:$U$40,$S4-3)),"")</f>
        <v/>
      </c>
      <c r="C25" s="553">
        <f>IFERROR(IF(INDEX('Final Calculation Sheet'!$U$4:$U$40,$S5-3)="","",INDEX('Final Calculation Sheet'!$U$4:$U$40,$S5-3)),"")</f>
        <v/>
      </c>
      <c r="D25" s="552">
        <f>IFERROR(IF(INDEX('Final Calculation Sheet'!$U$4:$U$40,$S6-3)="","",INDEX('Final Calculation Sheet'!$U$4:$U$40,$S6-3)),"")</f>
        <v/>
      </c>
      <c r="E25" s="553">
        <f>IFERROR(IF(INDEX('Final Calculation Sheet'!$U$4:$U$40,$S7-3)="","",INDEX('Final Calculation Sheet'!$U$4:$U$40,$S7-3)),"")</f>
        <v/>
      </c>
      <c r="F25" s="552">
        <f>IFERROR(IF(INDEX('Final Calculation Sheet'!$U$4:$U$40,$S8-3)="","",INDEX('Final Calculation Sheet'!$U$4:$U$40,$S8-3)),"")</f>
        <v/>
      </c>
      <c r="G25" s="553">
        <f>IFERROR(IF(INDEX('Final Calculation Sheet'!$U$4:$U$40,$S9-3)="","",INDEX('Final Calculation Sheet'!$U$4:$U$40,$S9-3)),"")</f>
        <v/>
      </c>
      <c r="H25" s="552">
        <f>IFERROR(IF(INDEX('Final Calculation Sheet'!$U$4:$U$40,$S10-3)="","",INDEX('Final Calculation Sheet'!$U$4:$U$40,$S10-3)),"")</f>
        <v/>
      </c>
      <c r="I25" s="553">
        <f>IFERROR(IF(INDEX('Final Calculation Sheet'!$U$4:$U$40,$S11-3)="","",INDEX('Final Calculation Sheet'!$U$4:$U$40,$S11-3)),"")</f>
        <v/>
      </c>
      <c r="J25" s="552">
        <f>IFERROR(IF(INDEX('Final Calculation Sheet'!$U$4:$U$40,$S12-3)="","",INDEX('Final Calculation Sheet'!$U$4:$U$40,$S12-3)),"")</f>
        <v/>
      </c>
      <c r="K25" s="553">
        <f>IFERROR(IF(INDEX('Final Calculation Sheet'!$U$4:$U$40,$S13-3)="","",INDEX('Final Calculation Sheet'!$U$4:$U$40,$S13-3)),"")</f>
        <v/>
      </c>
      <c r="L25" s="552">
        <f>IFERROR(IF(INDEX('Final Calculation Sheet'!$U$4:$U$40,$S14-3)="","",INDEX('Final Calculation Sheet'!$U$4:$U$40,$S14-3)),"")</f>
        <v/>
      </c>
      <c r="M25" s="553">
        <f>IFERROR(IF(INDEX('Final Calculation Sheet'!$U$4:$U$40,$S15-3)="","",INDEX('Final Calculation Sheet'!$U$4:$U$40,$S15-3)),"")</f>
        <v/>
      </c>
      <c r="N25" s="552">
        <f>IFERROR(IF(INDEX('Final Calculation Sheet'!$U$4:$U$40,$S16-3)="","",INDEX('Final Calculation Sheet'!$U$4:$U$40,$S16-3)),"")</f>
        <v/>
      </c>
      <c r="O25" s="554">
        <f>IF(COUNT(B25:N25)=0,"",SUM(B25:N25))</f>
        <v/>
      </c>
      <c r="Q25">
        <f>IF('Final Calculation Sheet'!$G25=$B$3,COUNTIF('Final Calculation Sheet'!$G$4:$G25,$B$3),"")</f>
        <v/>
      </c>
    </row>
    <row r="26" ht="15" customHeight="1">
      <c r="A26" s="543" t="inlineStr">
        <is>
          <t>Date of Receipt (col V)</t>
        </is>
      </c>
      <c r="B26" s="544">
        <f>IFERROR(IF(INDEX('Final Calculation Sheet'!$V$4:$V$40,$S4-3)="","",INDEX('Final Calculation Sheet'!$V$4:$V$40,$S4-3)),"")</f>
        <v/>
      </c>
      <c r="C26" s="545">
        <f>IFERROR(IF(INDEX('Final Calculation Sheet'!$V$4:$V$40,$S5-3)="","",INDEX('Final Calculation Sheet'!$V$4:$V$40,$S5-3)),"")</f>
        <v/>
      </c>
      <c r="D26" s="544">
        <f>IFERROR(IF(INDEX('Final Calculation Sheet'!$V$4:$V$40,$S6-3)="","",INDEX('Final Calculation Sheet'!$V$4:$V$40,$S6-3)),"")</f>
        <v/>
      </c>
      <c r="E26" s="545">
        <f>IFERROR(IF(INDEX('Final Calculation Sheet'!$V$4:$V$40,$S7-3)="","",INDEX('Final Calculation Sheet'!$V$4:$V$40,$S7-3)),"")</f>
        <v/>
      </c>
      <c r="F26" s="544">
        <f>IFERROR(IF(INDEX('Final Calculation Sheet'!$V$4:$V$40,$S8-3)="","",INDEX('Final Calculation Sheet'!$V$4:$V$40,$S8-3)),"")</f>
        <v/>
      </c>
      <c r="G26" s="545">
        <f>IFERROR(IF(INDEX('Final Calculation Sheet'!$V$4:$V$40,$S9-3)="","",INDEX('Final Calculation Sheet'!$V$4:$V$40,$S9-3)),"")</f>
        <v/>
      </c>
      <c r="H26" s="544">
        <f>IFERROR(IF(INDEX('Final Calculation Sheet'!$V$4:$V$40,$S10-3)="","",INDEX('Final Calculation Sheet'!$V$4:$V$40,$S10-3)),"")</f>
        <v/>
      </c>
      <c r="I26" s="545">
        <f>IFERROR(IF(INDEX('Final Calculation Sheet'!$V$4:$V$40,$S11-3)="","",INDEX('Final Calculation Sheet'!$V$4:$V$40,$S11-3)),"")</f>
        <v/>
      </c>
      <c r="J26" s="544">
        <f>IFERROR(IF(INDEX('Final Calculation Sheet'!$V$4:$V$40,$S12-3)="","",INDEX('Final Calculation Sheet'!$V$4:$V$40,$S12-3)),"")</f>
        <v/>
      </c>
      <c r="K26" s="545">
        <f>IFERROR(IF(INDEX('Final Calculation Sheet'!$V$4:$V$40,$S13-3)="","",INDEX('Final Calculation Sheet'!$V$4:$V$40,$S13-3)),"")</f>
        <v/>
      </c>
      <c r="L26" s="544">
        <f>IFERROR(IF(INDEX('Final Calculation Sheet'!$V$4:$V$40,$S14-3)="","",INDEX('Final Calculation Sheet'!$V$4:$V$40,$S14-3)),"")</f>
        <v/>
      </c>
      <c r="M26" s="545">
        <f>IFERROR(IF(INDEX('Final Calculation Sheet'!$V$4:$V$40,$S15-3)="","",INDEX('Final Calculation Sheet'!$V$4:$V$40,$S15-3)),"")</f>
        <v/>
      </c>
      <c r="N26" s="544">
        <f>IFERROR(IF(INDEX('Final Calculation Sheet'!$V$4:$V$40,$S16-3)="","",INDEX('Final Calculation Sheet'!$V$4:$V$40,$S16-3)),"")</f>
        <v/>
      </c>
      <c r="O26" s="605" t="inlineStr">
        <is>
          <t>–</t>
        </is>
      </c>
      <c r="Q26">
        <f>IF('Final Calculation Sheet'!$G26=$B$3,COUNTIF('Final Calculation Sheet'!$G$4:$G26,$B$3),"")</f>
        <v/>
      </c>
    </row>
    <row r="27" ht="15" customHeight="1">
      <c r="A27" s="540" t="inlineStr">
        <is>
          <t>Final Payment (Expected)</t>
        </is>
      </c>
      <c r="B27" s="544">
        <f>IFERROR(IF(INDEX('Final Calculation Sheet'!$W$4:$W$40,$S4-3)="","",INDEX('Final Calculation Sheet'!$W$4:$W$40,$S4-3)),"")</f>
        <v/>
      </c>
      <c r="C27" s="545">
        <f>IFERROR(IF(INDEX('Final Calculation Sheet'!$W$4:$W$40,$S5-3)="","",INDEX('Final Calculation Sheet'!$W$4:$W$40,$S5-3)),"")</f>
        <v/>
      </c>
      <c r="D27" s="544">
        <f>IFERROR(IF(INDEX('Final Calculation Sheet'!$W$4:$W$40,$S6-3)="","",INDEX('Final Calculation Sheet'!$W$4:$W$40,$S6-3)),"")</f>
        <v/>
      </c>
      <c r="E27" s="545">
        <f>IFERROR(IF(INDEX('Final Calculation Sheet'!$W$4:$W$40,$S7-3)="","",INDEX('Final Calculation Sheet'!$W$4:$W$40,$S7-3)),"")</f>
        <v/>
      </c>
      <c r="F27" s="544">
        <f>IFERROR(IF(INDEX('Final Calculation Sheet'!$W$4:$W$40,$S8-3)="","",INDEX('Final Calculation Sheet'!$W$4:$W$40,$S8-3)),"")</f>
        <v/>
      </c>
      <c r="G27" s="545">
        <f>IFERROR(IF(INDEX('Final Calculation Sheet'!$W$4:$W$40,$S9-3)="","",INDEX('Final Calculation Sheet'!$W$4:$W$40,$S9-3)),"")</f>
        <v/>
      </c>
      <c r="H27" s="544">
        <f>IFERROR(IF(INDEX('Final Calculation Sheet'!$W$4:$W$40,$S10-3)="","",INDEX('Final Calculation Sheet'!$W$4:$W$40,$S10-3)),"")</f>
        <v/>
      </c>
      <c r="I27" s="545">
        <f>IFERROR(IF(INDEX('Final Calculation Sheet'!$W$4:$W$40,$S11-3)="","",INDEX('Final Calculation Sheet'!$W$4:$W$40,$S11-3)),"")</f>
        <v/>
      </c>
      <c r="J27" s="544">
        <f>IFERROR(IF(INDEX('Final Calculation Sheet'!$W$4:$W$40,$S12-3)="","",INDEX('Final Calculation Sheet'!$W$4:$W$40,$S12-3)),"")</f>
        <v/>
      </c>
      <c r="K27" s="545">
        <f>IFERROR(IF(INDEX('Final Calculation Sheet'!$W$4:$W$40,$S13-3)="","",INDEX('Final Calculation Sheet'!$W$4:$W$40,$S13-3)),"")</f>
        <v/>
      </c>
      <c r="L27" s="544">
        <f>IFERROR(IF(INDEX('Final Calculation Sheet'!$W$4:$W$40,$S14-3)="","",INDEX('Final Calculation Sheet'!$W$4:$W$40,$S14-3)),"")</f>
        <v/>
      </c>
      <c r="M27" s="545">
        <f>IFERROR(IF(INDEX('Final Calculation Sheet'!$W$4:$W$40,$S15-3)="","",INDEX('Final Calculation Sheet'!$W$4:$W$40,$S15-3)),"")</f>
        <v/>
      </c>
      <c r="N27" s="544">
        <f>IFERROR(IF(INDEX('Final Calculation Sheet'!$W$4:$W$40,$S16-3)="","",INDEX('Final Calculation Sheet'!$W$4:$W$40,$S16-3)),"")</f>
        <v/>
      </c>
      <c r="O27" s="546">
        <f>IF(COUNT(B27:N27)=0,"",SUM(B27:N27))</f>
        <v/>
      </c>
      <c r="Q27">
        <f>IF('Final Calculation Sheet'!$G27=$B$3,COUNTIF('Final Calculation Sheet'!$G$4:$G27,$B$3),"")</f>
        <v/>
      </c>
    </row>
    <row r="28" ht="15" customHeight="1">
      <c r="A28" s="543" t="inlineStr">
        <is>
          <t>Final Payment (Received)</t>
        </is>
      </c>
      <c r="B28" s="544">
        <f>IFERROR(IF(INDEX('Final Calculation Sheet'!$X$4:$X$40,$S4-3)="","",INDEX('Final Calculation Sheet'!$X$4:$X$40,$S4-3)),"")</f>
        <v/>
      </c>
      <c r="C28" s="545">
        <f>IFERROR(IF(INDEX('Final Calculation Sheet'!$X$4:$X$40,$S5-3)="","",INDEX('Final Calculation Sheet'!$X$4:$X$40,$S5-3)),"")</f>
        <v/>
      </c>
      <c r="D28" s="544">
        <f>IFERROR(IF(INDEX('Final Calculation Sheet'!$X$4:$X$40,$S6-3)="","",INDEX('Final Calculation Sheet'!$X$4:$X$40,$S6-3)),"")</f>
        <v/>
      </c>
      <c r="E28" s="545">
        <f>IFERROR(IF(INDEX('Final Calculation Sheet'!$X$4:$X$40,$S7-3)="","",INDEX('Final Calculation Sheet'!$X$4:$X$40,$S7-3)),"")</f>
        <v/>
      </c>
      <c r="F28" s="544">
        <f>IFERROR(IF(INDEX('Final Calculation Sheet'!$X$4:$X$40,$S8-3)="","",INDEX('Final Calculation Sheet'!$X$4:$X$40,$S8-3)),"")</f>
        <v/>
      </c>
      <c r="G28" s="545">
        <f>IFERROR(IF(INDEX('Final Calculation Sheet'!$X$4:$X$40,$S9-3)="","",INDEX('Final Calculation Sheet'!$X$4:$X$40,$S9-3)),"")</f>
        <v/>
      </c>
      <c r="H28" s="544">
        <f>IFERROR(IF(INDEX('Final Calculation Sheet'!$X$4:$X$40,$S10-3)="","",INDEX('Final Calculation Sheet'!$X$4:$X$40,$S10-3)),"")</f>
        <v/>
      </c>
      <c r="I28" s="545">
        <f>IFERROR(IF(INDEX('Final Calculation Sheet'!$X$4:$X$40,$S11-3)="","",INDEX('Final Calculation Sheet'!$X$4:$X$40,$S11-3)),"")</f>
        <v/>
      </c>
      <c r="J28" s="544">
        <f>IFERROR(IF(INDEX('Final Calculation Sheet'!$X$4:$X$40,$S12-3)="","",INDEX('Final Calculation Sheet'!$X$4:$X$40,$S12-3)),"")</f>
        <v/>
      </c>
      <c r="K28" s="545">
        <f>IFERROR(IF(INDEX('Final Calculation Sheet'!$X$4:$X$40,$S13-3)="","",INDEX('Final Calculation Sheet'!$X$4:$X$40,$S13-3)),"")</f>
        <v/>
      </c>
      <c r="L28" s="544">
        <f>IFERROR(IF(INDEX('Final Calculation Sheet'!$X$4:$X$40,$S14-3)="","",INDEX('Final Calculation Sheet'!$X$4:$X$40,$S14-3)),"")</f>
        <v/>
      </c>
      <c r="M28" s="545">
        <f>IFERROR(IF(INDEX('Final Calculation Sheet'!$X$4:$X$40,$S15-3)="","",INDEX('Final Calculation Sheet'!$X$4:$X$40,$S15-3)),"")</f>
        <v/>
      </c>
      <c r="N28" s="544">
        <f>IFERROR(IF(INDEX('Final Calculation Sheet'!$X$4:$X$40,$S16-3)="","",INDEX('Final Calculation Sheet'!$X$4:$X$40,$S16-3)),"")</f>
        <v/>
      </c>
      <c r="O28" s="546">
        <f>IF(COUNT(B28:N28)=0,"",SUM(B28:N28))</f>
        <v/>
      </c>
      <c r="Q28">
        <f>IF('Final Calculation Sheet'!$G28=$B$3,COUNTIF('Final Calculation Sheet'!$G$4:$G28,$B$3),"")</f>
        <v/>
      </c>
    </row>
    <row r="29" ht="15" customHeight="1">
      <c r="A29" s="540" t="inlineStr">
        <is>
          <t>Date of Receipt (col Y)</t>
        </is>
      </c>
      <c r="B29" s="544">
        <f>IFERROR(IF(INDEX('Final Calculation Sheet'!$Y$4:$Y$40,$S4-3)="","",INDEX('Final Calculation Sheet'!$Y$4:$Y$40,$S4-3)),"")</f>
        <v/>
      </c>
      <c r="C29" s="545">
        <f>IFERROR(IF(INDEX('Final Calculation Sheet'!$Y$4:$Y$40,$S5-3)="","",INDEX('Final Calculation Sheet'!$Y$4:$Y$40,$S5-3)),"")</f>
        <v/>
      </c>
      <c r="D29" s="544">
        <f>IFERROR(IF(INDEX('Final Calculation Sheet'!$Y$4:$Y$40,$S6-3)="","",INDEX('Final Calculation Sheet'!$Y$4:$Y$40,$S6-3)),"")</f>
        <v/>
      </c>
      <c r="E29" s="545">
        <f>IFERROR(IF(INDEX('Final Calculation Sheet'!$Y$4:$Y$40,$S7-3)="","",INDEX('Final Calculation Sheet'!$Y$4:$Y$40,$S7-3)),"")</f>
        <v/>
      </c>
      <c r="F29" s="544">
        <f>IFERROR(IF(INDEX('Final Calculation Sheet'!$Y$4:$Y$40,$S8-3)="","",INDEX('Final Calculation Sheet'!$Y$4:$Y$40,$S8-3)),"")</f>
        <v/>
      </c>
      <c r="G29" s="545">
        <f>IFERROR(IF(INDEX('Final Calculation Sheet'!$Y$4:$Y$40,$S9-3)="","",INDEX('Final Calculation Sheet'!$Y$4:$Y$40,$S9-3)),"")</f>
        <v/>
      </c>
      <c r="H29" s="544">
        <f>IFERROR(IF(INDEX('Final Calculation Sheet'!$Y$4:$Y$40,$S10-3)="","",INDEX('Final Calculation Sheet'!$Y$4:$Y$40,$S10-3)),"")</f>
        <v/>
      </c>
      <c r="I29" s="545">
        <f>IFERROR(IF(INDEX('Final Calculation Sheet'!$Y$4:$Y$40,$S11-3)="","",INDEX('Final Calculation Sheet'!$Y$4:$Y$40,$S11-3)),"")</f>
        <v/>
      </c>
      <c r="J29" s="544">
        <f>IFERROR(IF(INDEX('Final Calculation Sheet'!$Y$4:$Y$40,$S12-3)="","",INDEX('Final Calculation Sheet'!$Y$4:$Y$40,$S12-3)),"")</f>
        <v/>
      </c>
      <c r="K29" s="545">
        <f>IFERROR(IF(INDEX('Final Calculation Sheet'!$Y$4:$Y$40,$S13-3)="","",INDEX('Final Calculation Sheet'!$Y$4:$Y$40,$S13-3)),"")</f>
        <v/>
      </c>
      <c r="L29" s="544">
        <f>IFERROR(IF(INDEX('Final Calculation Sheet'!$Y$4:$Y$40,$S14-3)="","",INDEX('Final Calculation Sheet'!$Y$4:$Y$40,$S14-3)),"")</f>
        <v/>
      </c>
      <c r="M29" s="545">
        <f>IFERROR(IF(INDEX('Final Calculation Sheet'!$Y$4:$Y$40,$S15-3)="","",INDEX('Final Calculation Sheet'!$Y$4:$Y$40,$S15-3)),"")</f>
        <v/>
      </c>
      <c r="N29" s="544">
        <f>IFERROR(IF(INDEX('Final Calculation Sheet'!$Y$4:$Y$40,$S16-3)="","",INDEX('Final Calculation Sheet'!$Y$4:$Y$40,$S16-3)),"")</f>
        <v/>
      </c>
      <c r="O29" s="605" t="inlineStr">
        <is>
          <t>–</t>
        </is>
      </c>
      <c r="Q29">
        <f>IF('Final Calculation Sheet'!$G29=$B$3,COUNTIF('Final Calculation Sheet'!$G$4:$G29,$B$3),"")</f>
        <v/>
      </c>
    </row>
    <row r="30" ht="15" customHeight="1">
      <c r="A30" s="543" t="inlineStr">
        <is>
          <t>LPP Expected</t>
        </is>
      </c>
      <c r="B30" s="544">
        <f>IFERROR(IF(INDEX('Final Calculation Sheet'!$Z$4:$Z$40,$S4-3)="","",INDEX('Final Calculation Sheet'!$Z$4:$Z$40,$S4-3)),"")</f>
        <v/>
      </c>
      <c r="C30" s="545">
        <f>IFERROR(IF(INDEX('Final Calculation Sheet'!$Z$4:$Z$40,$S5-3)="","",INDEX('Final Calculation Sheet'!$Z$4:$Z$40,$S5-3)),"")</f>
        <v/>
      </c>
      <c r="D30" s="544">
        <f>IFERROR(IF(INDEX('Final Calculation Sheet'!$Z$4:$Z$40,$S6-3)="","",INDEX('Final Calculation Sheet'!$Z$4:$Z$40,$S6-3)),"")</f>
        <v/>
      </c>
      <c r="E30" s="545">
        <f>IFERROR(IF(INDEX('Final Calculation Sheet'!$Z$4:$Z$40,$S7-3)="","",INDEX('Final Calculation Sheet'!$Z$4:$Z$40,$S7-3)),"")</f>
        <v/>
      </c>
      <c r="F30" s="544">
        <f>IFERROR(IF(INDEX('Final Calculation Sheet'!$Z$4:$Z$40,$S8-3)="","",INDEX('Final Calculation Sheet'!$Z$4:$Z$40,$S8-3)),"")</f>
        <v/>
      </c>
      <c r="G30" s="545">
        <f>IFERROR(IF(INDEX('Final Calculation Sheet'!$Z$4:$Z$40,$S9-3)="","",INDEX('Final Calculation Sheet'!$Z$4:$Z$40,$S9-3)),"")</f>
        <v/>
      </c>
      <c r="H30" s="544">
        <f>IFERROR(IF(INDEX('Final Calculation Sheet'!$Z$4:$Z$40,$S10-3)="","",INDEX('Final Calculation Sheet'!$Z$4:$Z$40,$S10-3)),"")</f>
        <v/>
      </c>
      <c r="I30" s="545">
        <f>IFERROR(IF(INDEX('Final Calculation Sheet'!$Z$4:$Z$40,$S11-3)="","",INDEX('Final Calculation Sheet'!$Z$4:$Z$40,$S11-3)),"")</f>
        <v/>
      </c>
      <c r="J30" s="544">
        <f>IFERROR(IF(INDEX('Final Calculation Sheet'!$Z$4:$Z$40,$S12-3)="","",INDEX('Final Calculation Sheet'!$Z$4:$Z$40,$S12-3)),"")</f>
        <v/>
      </c>
      <c r="K30" s="545">
        <f>IFERROR(IF(INDEX('Final Calculation Sheet'!$Z$4:$Z$40,$S13-3)="","",INDEX('Final Calculation Sheet'!$Z$4:$Z$40,$S13-3)),"")</f>
        <v/>
      </c>
      <c r="L30" s="544">
        <f>IFERROR(IF(INDEX('Final Calculation Sheet'!$Z$4:$Z$40,$S14-3)="","",INDEX('Final Calculation Sheet'!$Z$4:$Z$40,$S14-3)),"")</f>
        <v/>
      </c>
      <c r="M30" s="545">
        <f>IFERROR(IF(INDEX('Final Calculation Sheet'!$Z$4:$Z$40,$S15-3)="","",INDEX('Final Calculation Sheet'!$Z$4:$Z$40,$S15-3)),"")</f>
        <v/>
      </c>
      <c r="N30" s="544">
        <f>IFERROR(IF(INDEX('Final Calculation Sheet'!$Z$4:$Z$40,$S16-3)="","",INDEX('Final Calculation Sheet'!$Z$4:$Z$40,$S16-3)),"")</f>
        <v/>
      </c>
      <c r="O30" s="546">
        <f>IF(COUNT(B30:N30)=0,"",SUM(B30:N30))</f>
        <v/>
      </c>
      <c r="Q30">
        <f>IF('Final Calculation Sheet'!$G30=$B$3,COUNTIF('Final Calculation Sheet'!$G$4:$G30,$B$3),"")</f>
        <v/>
      </c>
    </row>
    <row r="31" ht="15" customHeight="1">
      <c r="A31" s="540" t="inlineStr">
        <is>
          <t>LPP Received</t>
        </is>
      </c>
      <c r="B31" s="544">
        <f>IFERROR(IF(INDEX('Final Calculation Sheet'!$AA$4:$AA$40,$S4-3)="","",INDEX('Final Calculation Sheet'!$AA$4:$AA$40,$S4-3)),"")</f>
        <v/>
      </c>
      <c r="C31" s="545">
        <f>IFERROR(IF(INDEX('Final Calculation Sheet'!$AA$4:$AA$40,$S5-3)="","",INDEX('Final Calculation Sheet'!$AA$4:$AA$40,$S5-3)),"")</f>
        <v/>
      </c>
      <c r="D31" s="544">
        <f>IFERROR(IF(INDEX('Final Calculation Sheet'!$AA$4:$AA$40,$S6-3)="","",INDEX('Final Calculation Sheet'!$AA$4:$AA$40,$S6-3)),"")</f>
        <v/>
      </c>
      <c r="E31" s="545">
        <f>IFERROR(IF(INDEX('Final Calculation Sheet'!$AA$4:$AA$40,$S7-3)="","",INDEX('Final Calculation Sheet'!$AA$4:$AA$40,$S7-3)),"")</f>
        <v/>
      </c>
      <c r="F31" s="544">
        <f>IFERROR(IF(INDEX('Final Calculation Sheet'!$AA$4:$AA$40,$S8-3)="","",INDEX('Final Calculation Sheet'!$AA$4:$AA$40,$S8-3)),"")</f>
        <v/>
      </c>
      <c r="G31" s="545">
        <f>IFERROR(IF(INDEX('Final Calculation Sheet'!$AA$4:$AA$40,$S9-3)="","",INDEX('Final Calculation Sheet'!$AA$4:$AA$40,$S9-3)),"")</f>
        <v/>
      </c>
      <c r="H31" s="544">
        <f>IFERROR(IF(INDEX('Final Calculation Sheet'!$AA$4:$AA$40,$S10-3)="","",INDEX('Final Calculation Sheet'!$AA$4:$AA$40,$S10-3)),"")</f>
        <v/>
      </c>
      <c r="I31" s="545">
        <f>IFERROR(IF(INDEX('Final Calculation Sheet'!$AA$4:$AA$40,$S11-3)="","",INDEX('Final Calculation Sheet'!$AA$4:$AA$40,$S11-3)),"")</f>
        <v/>
      </c>
      <c r="J31" s="544">
        <f>IFERROR(IF(INDEX('Final Calculation Sheet'!$AA$4:$AA$40,$S12-3)="","",INDEX('Final Calculation Sheet'!$AA$4:$AA$40,$S12-3)),"")</f>
        <v/>
      </c>
      <c r="K31" s="545">
        <f>IFERROR(IF(INDEX('Final Calculation Sheet'!$AA$4:$AA$40,$S13-3)="","",INDEX('Final Calculation Sheet'!$AA$4:$AA$40,$S13-3)),"")</f>
        <v/>
      </c>
      <c r="L31" s="544">
        <f>IFERROR(IF(INDEX('Final Calculation Sheet'!$AA$4:$AA$40,$S14-3)="","",INDEX('Final Calculation Sheet'!$AA$4:$AA$40,$S14-3)),"")</f>
        <v/>
      </c>
      <c r="M31" s="545">
        <f>IFERROR(IF(INDEX('Final Calculation Sheet'!$AA$4:$AA$40,$S15-3)="","",INDEX('Final Calculation Sheet'!$AA$4:$AA$40,$S15-3)),"")</f>
        <v/>
      </c>
      <c r="N31" s="544">
        <f>IFERROR(IF(INDEX('Final Calculation Sheet'!$AA$4:$AA$40,$S16-3)="","",INDEX('Final Calculation Sheet'!$AA$4:$AA$40,$S16-3)),"")</f>
        <v/>
      </c>
      <c r="O31" s="546">
        <f>IF(COUNT(B31:N31)=0,"",SUM(B31:N31))</f>
        <v/>
      </c>
      <c r="Q31">
        <f>IF('Final Calculation Sheet'!$G31=$B$3,COUNTIF('Final Calculation Sheet'!$G$4:$G31,$B$3),"")</f>
        <v/>
      </c>
    </row>
    <row r="32" ht="15" customHeight="1">
      <c r="A32" s="543" t="inlineStr">
        <is>
          <t>Date of Recepit of LPP</t>
        </is>
      </c>
      <c r="B32" s="544">
        <f>IFERROR(IF(INDEX('Final Calculation Sheet'!$AB$4:$AB$40,$S4-3)="","",INDEX('Final Calculation Sheet'!$AB$4:$AB$40,$S4-3)),"")</f>
        <v/>
      </c>
      <c r="C32" s="545">
        <f>IFERROR(IF(INDEX('Final Calculation Sheet'!$AB$4:$AB$40,$S5-3)="","",INDEX('Final Calculation Sheet'!$AB$4:$AB$40,$S5-3)),"")</f>
        <v/>
      </c>
      <c r="D32" s="544">
        <f>IFERROR(IF(INDEX('Final Calculation Sheet'!$AB$4:$AB$40,$S6-3)="","",INDEX('Final Calculation Sheet'!$AB$4:$AB$40,$S6-3)),"")</f>
        <v/>
      </c>
      <c r="E32" s="545">
        <f>IFERROR(IF(INDEX('Final Calculation Sheet'!$AB$4:$AB$40,$S7-3)="","",INDEX('Final Calculation Sheet'!$AB$4:$AB$40,$S7-3)),"")</f>
        <v/>
      </c>
      <c r="F32" s="544">
        <f>IFERROR(IF(INDEX('Final Calculation Sheet'!$AB$4:$AB$40,$S8-3)="","",INDEX('Final Calculation Sheet'!$AB$4:$AB$40,$S8-3)),"")</f>
        <v/>
      </c>
      <c r="G32" s="545">
        <f>IFERROR(IF(INDEX('Final Calculation Sheet'!$AB$4:$AB$40,$S9-3)="","",INDEX('Final Calculation Sheet'!$AB$4:$AB$40,$S9-3)),"")</f>
        <v/>
      </c>
      <c r="H32" s="544">
        <f>IFERROR(IF(INDEX('Final Calculation Sheet'!$AB$4:$AB$40,$S10-3)="","",INDEX('Final Calculation Sheet'!$AB$4:$AB$40,$S10-3)),"")</f>
        <v/>
      </c>
      <c r="I32" s="545">
        <f>IFERROR(IF(INDEX('Final Calculation Sheet'!$AB$4:$AB$40,$S11-3)="","",INDEX('Final Calculation Sheet'!$AB$4:$AB$40,$S11-3)),"")</f>
        <v/>
      </c>
      <c r="J32" s="544">
        <f>IFERROR(IF(INDEX('Final Calculation Sheet'!$AB$4:$AB$40,$S12-3)="","",INDEX('Final Calculation Sheet'!$AB$4:$AB$40,$S12-3)),"")</f>
        <v/>
      </c>
      <c r="K32" s="545">
        <f>IFERROR(IF(INDEX('Final Calculation Sheet'!$AB$4:$AB$40,$S13-3)="","",INDEX('Final Calculation Sheet'!$AB$4:$AB$40,$S13-3)),"")</f>
        <v/>
      </c>
      <c r="L32" s="544">
        <f>IFERROR(IF(INDEX('Final Calculation Sheet'!$AB$4:$AB$40,$S14-3)="","",INDEX('Final Calculation Sheet'!$AB$4:$AB$40,$S14-3)),"")</f>
        <v/>
      </c>
      <c r="M32" s="545">
        <f>IFERROR(IF(INDEX('Final Calculation Sheet'!$AB$4:$AB$40,$S15-3)="","",INDEX('Final Calculation Sheet'!$AB$4:$AB$40,$S15-3)),"")</f>
        <v/>
      </c>
      <c r="N32" s="544">
        <f>IFERROR(IF(INDEX('Final Calculation Sheet'!$AB$4:$AB$40,$S16-3)="","",INDEX('Final Calculation Sheet'!$AB$4:$AB$40,$S16-3)),"")</f>
        <v/>
      </c>
      <c r="O32" s="605" t="inlineStr">
        <is>
          <t>–</t>
        </is>
      </c>
      <c r="Q32">
        <f>IF('Final Calculation Sheet'!$G32=$B$3,COUNTIF('Final Calculation Sheet'!$G$4:$G32,$B$3),"")</f>
        <v/>
      </c>
    </row>
    <row r="33" ht="15" customHeight="1">
      <c r="A33" s="540" t="inlineStr">
        <is>
          <t>Total Received</t>
        </is>
      </c>
      <c r="B33" s="544">
        <f>IFERROR(IF(INDEX('Final Calculation Sheet'!$AC$4:$AC$40,$S4-3)="","",INDEX('Final Calculation Sheet'!$AC$4:$AC$40,$S4-3)),"")</f>
        <v/>
      </c>
      <c r="C33" s="545">
        <f>IFERROR(IF(INDEX('Final Calculation Sheet'!$AC$4:$AC$40,$S5-3)="","",INDEX('Final Calculation Sheet'!$AC$4:$AC$40,$S5-3)),"")</f>
        <v/>
      </c>
      <c r="D33" s="544">
        <f>IFERROR(IF(INDEX('Final Calculation Sheet'!$AC$4:$AC$40,$S6-3)="","",INDEX('Final Calculation Sheet'!$AC$4:$AC$40,$S6-3)),"")</f>
        <v/>
      </c>
      <c r="E33" s="545">
        <f>IFERROR(IF(INDEX('Final Calculation Sheet'!$AC$4:$AC$40,$S7-3)="","",INDEX('Final Calculation Sheet'!$AC$4:$AC$40,$S7-3)),"")</f>
        <v/>
      </c>
      <c r="F33" s="544">
        <f>IFERROR(IF(INDEX('Final Calculation Sheet'!$AC$4:$AC$40,$S8-3)="","",INDEX('Final Calculation Sheet'!$AC$4:$AC$40,$S8-3)),"")</f>
        <v/>
      </c>
      <c r="G33" s="545">
        <f>IFERROR(IF(INDEX('Final Calculation Sheet'!$AC$4:$AC$40,$S9-3)="","",INDEX('Final Calculation Sheet'!$AC$4:$AC$40,$S9-3)),"")</f>
        <v/>
      </c>
      <c r="H33" s="544">
        <f>IFERROR(IF(INDEX('Final Calculation Sheet'!$AC$4:$AC$40,$S10-3)="","",INDEX('Final Calculation Sheet'!$AC$4:$AC$40,$S10-3)),"")</f>
        <v/>
      </c>
      <c r="I33" s="545">
        <f>IFERROR(IF(INDEX('Final Calculation Sheet'!$AC$4:$AC$40,$S11-3)="","",INDEX('Final Calculation Sheet'!$AC$4:$AC$40,$S11-3)),"")</f>
        <v/>
      </c>
      <c r="J33" s="544">
        <f>IFERROR(IF(INDEX('Final Calculation Sheet'!$AC$4:$AC$40,$S12-3)="","",INDEX('Final Calculation Sheet'!$AC$4:$AC$40,$S12-3)),"")</f>
        <v/>
      </c>
      <c r="K33" s="545">
        <f>IFERROR(IF(INDEX('Final Calculation Sheet'!$AC$4:$AC$40,$S13-3)="","",INDEX('Final Calculation Sheet'!$AC$4:$AC$40,$S13-3)),"")</f>
        <v/>
      </c>
      <c r="L33" s="544">
        <f>IFERROR(IF(INDEX('Final Calculation Sheet'!$AC$4:$AC$40,$S14-3)="","",INDEX('Final Calculation Sheet'!$AC$4:$AC$40,$S14-3)),"")</f>
        <v/>
      </c>
      <c r="M33" s="545">
        <f>IFERROR(IF(INDEX('Final Calculation Sheet'!$AC$4:$AC$40,$S15-3)="","",INDEX('Final Calculation Sheet'!$AC$4:$AC$40,$S15-3)),"")</f>
        <v/>
      </c>
      <c r="N33" s="544">
        <f>IFERROR(IF(INDEX('Final Calculation Sheet'!$AC$4:$AC$40,$S16-3)="","",INDEX('Final Calculation Sheet'!$AC$4:$AC$40,$S16-3)),"")</f>
        <v/>
      </c>
      <c r="O33" s="546">
        <f>IF(COUNT(B33:N33)=0,"",SUM(B33:N33))</f>
        <v/>
      </c>
      <c r="Q33">
        <f>IF('Final Calculation Sheet'!$G33=$B$3,COUNTIF('Final Calculation Sheet'!$G$4:$G33,$B$3),"")</f>
        <v/>
      </c>
    </row>
    <row r="34" ht="15" customHeight="1">
      <c r="A34" s="543" t="inlineStr">
        <is>
          <t>Outstanding</t>
        </is>
      </c>
      <c r="B34" s="544">
        <f>IFERROR(IF(INDEX('Final Calculation Sheet'!$AD$4:$AD$40,$S4-3)="","",INDEX('Final Calculation Sheet'!$AD$4:$AD$40,$S4-3)),"")</f>
        <v/>
      </c>
      <c r="C34" s="545">
        <f>IFERROR(IF(INDEX('Final Calculation Sheet'!$AD$4:$AD$40,$S5-3)="","",INDEX('Final Calculation Sheet'!$AD$4:$AD$40,$S5-3)),"")</f>
        <v/>
      </c>
      <c r="D34" s="544">
        <f>IFERROR(IF(INDEX('Final Calculation Sheet'!$AD$4:$AD$40,$S6-3)="","",INDEX('Final Calculation Sheet'!$AD$4:$AD$40,$S6-3)),"")</f>
        <v/>
      </c>
      <c r="E34" s="545">
        <f>IFERROR(IF(INDEX('Final Calculation Sheet'!$AD$4:$AD$40,$S7-3)="","",INDEX('Final Calculation Sheet'!$AD$4:$AD$40,$S7-3)),"")</f>
        <v/>
      </c>
      <c r="F34" s="544">
        <f>IFERROR(IF(INDEX('Final Calculation Sheet'!$AD$4:$AD$40,$S8-3)="","",INDEX('Final Calculation Sheet'!$AD$4:$AD$40,$S8-3)),"")</f>
        <v/>
      </c>
      <c r="G34" s="545">
        <f>IFERROR(IF(INDEX('Final Calculation Sheet'!$AD$4:$AD$40,$S9-3)="","",INDEX('Final Calculation Sheet'!$AD$4:$AD$40,$S9-3)),"")</f>
        <v/>
      </c>
      <c r="H34" s="544">
        <f>IFERROR(IF(INDEX('Final Calculation Sheet'!$AD$4:$AD$40,$S10-3)="","",INDEX('Final Calculation Sheet'!$AD$4:$AD$40,$S10-3)),"")</f>
        <v/>
      </c>
      <c r="I34" s="545">
        <f>IFERROR(IF(INDEX('Final Calculation Sheet'!$AD$4:$AD$40,$S11-3)="","",INDEX('Final Calculation Sheet'!$AD$4:$AD$40,$S11-3)),"")</f>
        <v/>
      </c>
      <c r="J34" s="544">
        <f>IFERROR(IF(INDEX('Final Calculation Sheet'!$AD$4:$AD$40,$S12-3)="","",INDEX('Final Calculation Sheet'!$AD$4:$AD$40,$S12-3)),"")</f>
        <v/>
      </c>
      <c r="K34" s="545">
        <f>IFERROR(IF(INDEX('Final Calculation Sheet'!$AD$4:$AD$40,$S13-3)="","",INDEX('Final Calculation Sheet'!$AD$4:$AD$40,$S13-3)),"")</f>
        <v/>
      </c>
      <c r="L34" s="544">
        <f>IFERROR(IF(INDEX('Final Calculation Sheet'!$AD$4:$AD$40,$S14-3)="","",INDEX('Final Calculation Sheet'!$AD$4:$AD$40,$S14-3)),"")</f>
        <v/>
      </c>
      <c r="M34" s="545">
        <f>IFERROR(IF(INDEX('Final Calculation Sheet'!$AD$4:$AD$40,$S15-3)="","",INDEX('Final Calculation Sheet'!$AD$4:$AD$40,$S15-3)),"")</f>
        <v/>
      </c>
      <c r="N34" s="544">
        <f>IFERROR(IF(INDEX('Final Calculation Sheet'!$AD$4:$AD$40,$S16-3)="","",INDEX('Final Calculation Sheet'!$AD$4:$AD$40,$S16-3)),"")</f>
        <v/>
      </c>
      <c r="O34" s="546">
        <f>IF(COUNT(B34:N34)=0,"",SUM(B34:N34))</f>
        <v/>
      </c>
      <c r="Q34">
        <f>IF('Final Calculation Sheet'!$G34=$B$3,COUNTIF('Final Calculation Sheet'!$G$4:$G34,$B$3),"")</f>
        <v/>
      </c>
    </row>
    <row r="35" ht="15" customHeight="1">
      <c r="A35" s="540" t="inlineStr">
        <is>
          <t>Invoice No.</t>
        </is>
      </c>
      <c r="B35" s="544">
        <f>IFERROR(IF(INDEX('Final Calculation Sheet'!$AE$4:$AE$40,$S4-3)="","",INDEX('Final Calculation Sheet'!$AE$4:$AE$40,$S4-3)),"")</f>
        <v/>
      </c>
      <c r="C35" s="545">
        <f>IFERROR(IF(INDEX('Final Calculation Sheet'!$AE$4:$AE$40,$S5-3)="","",INDEX('Final Calculation Sheet'!$AE$4:$AE$40,$S5-3)),"")</f>
        <v/>
      </c>
      <c r="D35" s="544">
        <f>IFERROR(IF(INDEX('Final Calculation Sheet'!$AE$4:$AE$40,$S6-3)="","",INDEX('Final Calculation Sheet'!$AE$4:$AE$40,$S6-3)),"")</f>
        <v/>
      </c>
      <c r="E35" s="545">
        <f>IFERROR(IF(INDEX('Final Calculation Sheet'!$AE$4:$AE$40,$S7-3)="","",INDEX('Final Calculation Sheet'!$AE$4:$AE$40,$S7-3)),"")</f>
        <v/>
      </c>
      <c r="F35" s="544">
        <f>IFERROR(IF(INDEX('Final Calculation Sheet'!$AE$4:$AE$40,$S8-3)="","",INDEX('Final Calculation Sheet'!$AE$4:$AE$40,$S8-3)),"")</f>
        <v/>
      </c>
      <c r="G35" s="545">
        <f>IFERROR(IF(INDEX('Final Calculation Sheet'!$AE$4:$AE$40,$S9-3)="","",INDEX('Final Calculation Sheet'!$AE$4:$AE$40,$S9-3)),"")</f>
        <v/>
      </c>
      <c r="H35" s="544">
        <f>IFERROR(IF(INDEX('Final Calculation Sheet'!$AE$4:$AE$40,$S10-3)="","",INDEX('Final Calculation Sheet'!$AE$4:$AE$40,$S10-3)),"")</f>
        <v/>
      </c>
      <c r="I35" s="545">
        <f>IFERROR(IF(INDEX('Final Calculation Sheet'!$AE$4:$AE$40,$S11-3)="","",INDEX('Final Calculation Sheet'!$AE$4:$AE$40,$S11-3)),"")</f>
        <v/>
      </c>
      <c r="J35" s="544">
        <f>IFERROR(IF(INDEX('Final Calculation Sheet'!$AE$4:$AE$40,$S12-3)="","",INDEX('Final Calculation Sheet'!$AE$4:$AE$40,$S12-3)),"")</f>
        <v/>
      </c>
      <c r="K35" s="545">
        <f>IFERROR(IF(INDEX('Final Calculation Sheet'!$AE$4:$AE$40,$S13-3)="","",INDEX('Final Calculation Sheet'!$AE$4:$AE$40,$S13-3)),"")</f>
        <v/>
      </c>
      <c r="L35" s="544">
        <f>IFERROR(IF(INDEX('Final Calculation Sheet'!$AE$4:$AE$40,$S14-3)="","",INDEX('Final Calculation Sheet'!$AE$4:$AE$40,$S14-3)),"")</f>
        <v/>
      </c>
      <c r="M35" s="545">
        <f>IFERROR(IF(INDEX('Final Calculation Sheet'!$AE$4:$AE$40,$S15-3)="","",INDEX('Final Calculation Sheet'!$AE$4:$AE$40,$S15-3)),"")</f>
        <v/>
      </c>
      <c r="N35" s="544">
        <f>IFERROR(IF(INDEX('Final Calculation Sheet'!$AE$4:$AE$40,$S16-3)="","",INDEX('Final Calculation Sheet'!$AE$4:$AE$40,$S16-3)),"")</f>
        <v/>
      </c>
      <c r="O35" s="605" t="inlineStr">
        <is>
          <t>–</t>
        </is>
      </c>
      <c r="Q35">
        <f>IF('Final Calculation Sheet'!$G35=$B$3,COUNTIF('Final Calculation Sheet'!$G$4:$G35,$B$3),"")</f>
        <v/>
      </c>
    </row>
    <row r="36" ht="15" customHeight="1">
      <c r="A36" s="543" t="inlineStr">
        <is>
          <t>SAP Document</t>
        </is>
      </c>
      <c r="B36" s="555">
        <f>IFERROR(IF(INDEX('Final Calculation Sheet'!$AF$4:$AF$40,$S4-3)="","",INDEX('Final Calculation Sheet'!$AF$4:$AF$40,$S4-3)),"")</f>
        <v/>
      </c>
      <c r="C36" s="556">
        <f>IFERROR(IF(INDEX('Final Calculation Sheet'!$AF$4:$AF$40,$S5-3)="","",INDEX('Final Calculation Sheet'!$AF$4:$AF$40,$S5-3)),"")</f>
        <v/>
      </c>
      <c r="D36" s="555">
        <f>IFERROR(IF(INDEX('Final Calculation Sheet'!$AF$4:$AF$40,$S6-3)="","",INDEX('Final Calculation Sheet'!$AF$4:$AF$40,$S6-3)),"")</f>
        <v/>
      </c>
      <c r="E36" s="556">
        <f>IFERROR(IF(INDEX('Final Calculation Sheet'!$AF$4:$AF$40,$S7-3)="","",INDEX('Final Calculation Sheet'!$AF$4:$AF$40,$S7-3)),"")</f>
        <v/>
      </c>
      <c r="F36" s="555">
        <f>IFERROR(IF(INDEX('Final Calculation Sheet'!$AF$4:$AF$40,$S8-3)="","",INDEX('Final Calculation Sheet'!$AF$4:$AF$40,$S8-3)),"")</f>
        <v/>
      </c>
      <c r="G36" s="556">
        <f>IFERROR(IF(INDEX('Final Calculation Sheet'!$AF$4:$AF$40,$S9-3)="","",INDEX('Final Calculation Sheet'!$AF$4:$AF$40,$S9-3)),"")</f>
        <v/>
      </c>
      <c r="H36" s="555">
        <f>IFERROR(IF(INDEX('Final Calculation Sheet'!$AF$4:$AF$40,$S10-3)="","",INDEX('Final Calculation Sheet'!$AF$4:$AF$40,$S10-3)),"")</f>
        <v/>
      </c>
      <c r="I36" s="556">
        <f>IFERROR(IF(INDEX('Final Calculation Sheet'!$AF$4:$AF$40,$S11-3)="","",INDEX('Final Calculation Sheet'!$AF$4:$AF$40,$S11-3)),"")</f>
        <v/>
      </c>
      <c r="J36" s="555">
        <f>IFERROR(IF(INDEX('Final Calculation Sheet'!$AF$4:$AF$40,$S12-3)="","",INDEX('Final Calculation Sheet'!$AF$4:$AF$40,$S12-3)),"")</f>
        <v/>
      </c>
      <c r="K36" s="556">
        <f>IFERROR(IF(INDEX('Final Calculation Sheet'!$AF$4:$AF$40,$S13-3)="","",INDEX('Final Calculation Sheet'!$AF$4:$AF$40,$S13-3)),"")</f>
        <v/>
      </c>
      <c r="L36" s="555">
        <f>IFERROR(IF(INDEX('Final Calculation Sheet'!$AF$4:$AF$40,$S14-3)="","",INDEX('Final Calculation Sheet'!$AF$4:$AF$40,$S14-3)),"")</f>
        <v/>
      </c>
      <c r="M36" s="556">
        <f>IFERROR(IF(INDEX('Final Calculation Sheet'!$AF$4:$AF$40,$S15-3)="","",INDEX('Final Calculation Sheet'!$AF$4:$AF$40,$S15-3)),"")</f>
        <v/>
      </c>
      <c r="N36" s="555">
        <f>IFERROR(IF(INDEX('Final Calculation Sheet'!$AF$4:$AF$40,$S16-3)="","",INDEX('Final Calculation Sheet'!$AF$4:$AF$40,$S16-3)),"")</f>
        <v/>
      </c>
      <c r="O36" s="605" t="inlineStr">
        <is>
          <t>–</t>
        </is>
      </c>
      <c r="Q36">
        <f>IF('Final Calculation Sheet'!$G36=$B$3,COUNTIF('Final Calculation Sheet'!$G$4:$G36,$B$3),"")</f>
        <v/>
      </c>
    </row>
    <row r="37" ht="15" customHeight="1">
      <c r="A37" s="540" t="inlineStr">
        <is>
          <t>Doc./Invoice Date</t>
        </is>
      </c>
      <c r="B37" s="544">
        <f>IFERROR(IF(INDEX('Final Calculation Sheet'!$AG$4:$AG$40,$S4-3)="","",INDEX('Final Calculation Sheet'!$AG$4:$AG$40,$S4-3)),"")</f>
        <v/>
      </c>
      <c r="C37" s="545">
        <f>IFERROR(IF(INDEX('Final Calculation Sheet'!$AG$4:$AG$40,$S5-3)="","",INDEX('Final Calculation Sheet'!$AG$4:$AG$40,$S5-3)),"")</f>
        <v/>
      </c>
      <c r="D37" s="544">
        <f>IFERROR(IF(INDEX('Final Calculation Sheet'!$AG$4:$AG$40,$S6-3)="","",INDEX('Final Calculation Sheet'!$AG$4:$AG$40,$S6-3)),"")</f>
        <v/>
      </c>
      <c r="E37" s="545">
        <f>IFERROR(IF(INDEX('Final Calculation Sheet'!$AG$4:$AG$40,$S7-3)="","",INDEX('Final Calculation Sheet'!$AG$4:$AG$40,$S7-3)),"")</f>
        <v/>
      </c>
      <c r="F37" s="544">
        <f>IFERROR(IF(INDEX('Final Calculation Sheet'!$AG$4:$AG$40,$S8-3)="","",INDEX('Final Calculation Sheet'!$AG$4:$AG$40,$S8-3)),"")</f>
        <v/>
      </c>
      <c r="G37" s="545">
        <f>IFERROR(IF(INDEX('Final Calculation Sheet'!$AG$4:$AG$40,$S9-3)="","",INDEX('Final Calculation Sheet'!$AG$4:$AG$40,$S9-3)),"")</f>
        <v/>
      </c>
      <c r="H37" s="544">
        <f>IFERROR(IF(INDEX('Final Calculation Sheet'!$AG$4:$AG$40,$S10-3)="","",INDEX('Final Calculation Sheet'!$AG$4:$AG$40,$S10-3)),"")</f>
        <v/>
      </c>
      <c r="I37" s="545">
        <f>IFERROR(IF(INDEX('Final Calculation Sheet'!$AG$4:$AG$40,$S11-3)="","",INDEX('Final Calculation Sheet'!$AG$4:$AG$40,$S11-3)),"")</f>
        <v/>
      </c>
      <c r="J37" s="544">
        <f>IFERROR(IF(INDEX('Final Calculation Sheet'!$AG$4:$AG$40,$S12-3)="","",INDEX('Final Calculation Sheet'!$AG$4:$AG$40,$S12-3)),"")</f>
        <v/>
      </c>
      <c r="K37" s="545">
        <f>IFERROR(IF(INDEX('Final Calculation Sheet'!$AG$4:$AG$40,$S13-3)="","",INDEX('Final Calculation Sheet'!$AG$4:$AG$40,$S13-3)),"")</f>
        <v/>
      </c>
      <c r="L37" s="544">
        <f>IFERROR(IF(INDEX('Final Calculation Sheet'!$AG$4:$AG$40,$S14-3)="","",INDEX('Final Calculation Sheet'!$AG$4:$AG$40,$S14-3)),"")</f>
        <v/>
      </c>
      <c r="M37" s="545">
        <f>IFERROR(IF(INDEX('Final Calculation Sheet'!$AG$4:$AG$40,$S15-3)="","",INDEX('Final Calculation Sheet'!$AG$4:$AG$40,$S15-3)),"")</f>
        <v/>
      </c>
      <c r="N37" s="544">
        <f>IFERROR(IF(INDEX('Final Calculation Sheet'!$AG$4:$AG$40,$S16-3)="","",INDEX('Final Calculation Sheet'!$AG$4:$AG$40,$S16-3)),"")</f>
        <v/>
      </c>
      <c r="O37" s="605" t="inlineStr">
        <is>
          <t>–</t>
        </is>
      </c>
      <c r="Q37">
        <f>IF('Final Calculation Sheet'!$G37=$B$3,COUNTIF('Final Calculation Sheet'!$G$4:$G37,$B$3),"")</f>
        <v/>
      </c>
    </row>
    <row r="38">
      <c r="Q38">
        <f>IF('Final Calculation Sheet'!$G38=$B$3,COUNTIF('Final Calculation Sheet'!$G$4:$G38,$B$3),"")</f>
        <v/>
      </c>
    </row>
    <row r="39">
      <c r="Q39">
        <f>IF('Final Calculation Sheet'!$G39=$B$3,COUNTIF('Final Calculation Sheet'!$G$4:$G39,$B$3),"")</f>
        <v/>
      </c>
    </row>
    <row r="40">
      <c r="Q40">
        <f>IF('Final Calculation Sheet'!$G40=$B$3,COUNTIF('Final Calculation Sheet'!$G$4:$G40,$B$3),"")</f>
        <v/>
      </c>
    </row>
  </sheetData>
  <autoFilter ref="A4:A37"/>
  <mergeCells count="4">
    <mergeCell ref="A1:O1"/>
    <mergeCell ref="E3:O3"/>
    <mergeCell ref="B3:D3"/>
    <mergeCell ref="A2:O2"/>
  </mergeCells>
  <conditionalFormatting sqref="B34:N34">
    <cfRule type="cellIs" priority="1" operator="greaterThan" dxfId="1">
      <formula>0</formula>
    </cfRule>
    <cfRule type="cellIs" priority="2" operator="lessThanOrEqual" dxfId="4">
      <formula>0</formula>
    </cfRule>
  </conditionalFormatting>
  <dataValidations count="1">
    <dataValidation sqref="B3" showDropDown="0" showInputMessage="0" showErrorMessage="0" allowBlank="0" promptTitle="Buyer" prompt="Pick a buyer" type="list">
      <formula1>$U$4:$U$16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833C00"/>
    <outlinePr summaryBelow="1" summaryRight="1"/>
    <pageSetUpPr fitToPage="1"/>
  </sheetPr>
  <dimension ref="A1:BA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7" customWidth="1" min="39" max="39"/>
    <col hidden="1" width="12" customWidth="1" min="41" max="41"/>
    <col hidden="1" width="12" customWidth="1" min="42" max="42"/>
    <col hidden="1" width="12" customWidth="1" min="43" max="43"/>
    <col hidden="1" width="12" customWidth="1" min="44" max="44"/>
    <col hidden="1" width="12" customWidth="1" min="45" max="45"/>
    <col hidden="1" width="12" customWidth="1" min="46" max="46"/>
    <col hidden="1" width="12" customWidth="1" min="47" max="47"/>
    <col hidden="1" width="12" customWidth="1" min="48" max="48"/>
    <col hidden="1" width="12" customWidth="1" min="49" max="49"/>
    <col hidden="1" width="12" customWidth="1" min="50" max="50"/>
    <col hidden="1" width="12" customWidth="1" min="51" max="51"/>
    <col hidden="1" width="12" customWidth="1" min="52" max="52"/>
    <col hidden="1" width="12" customWidth="1" min="53" max="53"/>
  </cols>
  <sheetData>
    <row r="1" ht="30" customHeight="1">
      <c r="A1" s="59" t="inlineStr">
        <is>
          <t>MSTC LIMITED  •  TRANSPOSED, FILTERED BY A ROW'S VALUES   (pick a row, a test and a value → only the matching lots show)</t>
        </is>
      </c>
      <c r="AO1" s="596" t="n"/>
      <c r="AQ1" s="596" t="n"/>
      <c r="AS1" s="596" t="n"/>
      <c r="AU1" s="596" t="inlineStr">
        <is>
          <t>source column of the chosen row</t>
        </is>
      </c>
    </row>
    <row r="2" ht="56" customHeight="1">
      <c r="A2" s="61" t="inlineStr">
        <is>
          <t>HOW TO USE  ▶  an Excel filter arrow can only hide ROWS, so on this grid (lots across the columns) it cannot drop the lots that fail a test.  These four cells do it instead:  1 pick a buyer (or ALL),  2 pick the ROW whose values you want to test - Outstanding, Total Received, Buyer, Lot Name, anything -  3 pick the test,  4 type the value.  Only the lots that pass fill the columns, left to right; clear cell 2 back to '— no row filter —' to see them all.   •   the ▼ on the FIELD column still hides rows, and every figure is a live INDEX / MATCH into 'Final Calculation Sheet', so nothing here can drift from the source.   •   columns AO..BA are hidden helpers.</t>
        </is>
      </c>
      <c r="AU2">
        <f>IFERROR(MATCH($D$3,$AO$4:$AO$36,0),1)</f>
        <v/>
      </c>
    </row>
    <row r="3" ht="26" customHeight="1">
      <c r="A3" s="622" t="inlineStr">
        <is>
          <t>FILTER  ▸</t>
        </is>
      </c>
      <c r="B3" s="623" t="inlineStr">
        <is>
          <t>ALL BUYERS</t>
        </is>
      </c>
      <c r="C3" s="624" t="inlineStr">
        <is>
          <t>2  ▸  ROW (field)</t>
        </is>
      </c>
      <c r="D3" s="623" t="inlineStr">
        <is>
          <t>— no row filter —</t>
        </is>
      </c>
      <c r="E3" s="624" t="inlineStr">
        <is>
          <t>3  ▸  TEST</t>
        </is>
      </c>
      <c r="F3" s="623" t="inlineStr">
        <is>
          <t>=</t>
        </is>
      </c>
      <c r="G3" s="624" t="inlineStr">
        <is>
          <t>4  ▸  VALUE</t>
        </is>
      </c>
      <c r="H3" s="623" t="n">
        <v>0</v>
      </c>
      <c r="I3" s="600">
        <f>"showing "&amp;COUNT($B$4:$AM$4)&amp;" of "&amp;COUNT('Final Calculation Sheet'!$F$4:$F$40)&amp;" lots   •   buyer: "&amp;$B$3&amp;IF($D$3="— no row filter —","","   •   "&amp;$D$3&amp;" "&amp;$F$3&amp;IF(OR($F$3="is blank",$F$3="is not blank"),""," "&amp;$H$3))</f>
        <v/>
      </c>
      <c r="AO3" s="596" t="inlineStr">
        <is>
          <t>row (field) list for cell 2</t>
        </is>
      </c>
      <c r="AQ3" s="596" t="inlineStr">
        <is>
          <t>buyer list for cell 1</t>
        </is>
      </c>
      <c r="AS3" s="596" t="inlineStr">
        <is>
          <t>test list for cell 3</t>
        </is>
      </c>
      <c r="AU3" s="596" t="n"/>
      <c r="AW3" s="596" t="inlineStr">
        <is>
          <t>1 = this lot passes the filter</t>
        </is>
      </c>
      <c r="AY3" s="596" t="inlineStr">
        <is>
          <t>running count of the lots that pass</t>
        </is>
      </c>
      <c r="BA3" s="596" t="inlineStr">
        <is>
          <t>source row behind each lot column</t>
        </is>
      </c>
    </row>
    <row r="4" ht="30" customHeight="1">
      <c r="A4" s="424" t="inlineStr">
        <is>
          <t>FIELD (row 3 of the source)  ▸  |  MATCHING LOT →</t>
        </is>
      </c>
      <c r="B4" s="625">
        <f>IFERROR(INDEX('Final Calculation Sheet'!$F$4:$F$40,$BA4-3),"")</f>
        <v/>
      </c>
      <c r="C4" s="625">
        <f>IFERROR(INDEX('Final Calculation Sheet'!$F$4:$F$40,$BA5-3),"")</f>
        <v/>
      </c>
      <c r="D4" s="625">
        <f>IFERROR(INDEX('Final Calculation Sheet'!$F$4:$F$40,$BA6-3),"")</f>
        <v/>
      </c>
      <c r="E4" s="625">
        <f>IFERROR(INDEX('Final Calculation Sheet'!$F$4:$F$40,$BA7-3),"")</f>
        <v/>
      </c>
      <c r="F4" s="625">
        <f>IFERROR(INDEX('Final Calculation Sheet'!$F$4:$F$40,$BA8-3),"")</f>
        <v/>
      </c>
      <c r="G4" s="625">
        <f>IFERROR(INDEX('Final Calculation Sheet'!$F$4:$F$40,$BA9-3),"")</f>
        <v/>
      </c>
      <c r="H4" s="625">
        <f>IFERROR(INDEX('Final Calculation Sheet'!$F$4:$F$40,$BA10-3),"")</f>
        <v/>
      </c>
      <c r="I4" s="625">
        <f>IFERROR(INDEX('Final Calculation Sheet'!$F$4:$F$40,$BA11-3),"")</f>
        <v/>
      </c>
      <c r="J4" s="625">
        <f>IFERROR(INDEX('Final Calculation Sheet'!$F$4:$F$40,$BA12-3),"")</f>
        <v/>
      </c>
      <c r="K4" s="625">
        <f>IFERROR(INDEX('Final Calculation Sheet'!$F$4:$F$40,$BA13-3),"")</f>
        <v/>
      </c>
      <c r="L4" s="625">
        <f>IFERROR(INDEX('Final Calculation Sheet'!$F$4:$F$40,$BA14-3),"")</f>
        <v/>
      </c>
      <c r="M4" s="625">
        <f>IFERROR(INDEX('Final Calculation Sheet'!$F$4:$F$40,$BA15-3),"")</f>
        <v/>
      </c>
      <c r="N4" s="625">
        <f>IFERROR(INDEX('Final Calculation Sheet'!$F$4:$F$40,$BA16-3),"")</f>
        <v/>
      </c>
      <c r="O4" s="625">
        <f>IFERROR(INDEX('Final Calculation Sheet'!$F$4:$F$40,$BA17-3),"")</f>
        <v/>
      </c>
      <c r="P4" s="625">
        <f>IFERROR(INDEX('Final Calculation Sheet'!$F$4:$F$40,$BA18-3),"")</f>
        <v/>
      </c>
      <c r="Q4" s="625">
        <f>IFERROR(INDEX('Final Calculation Sheet'!$F$4:$F$40,$BA19-3),"")</f>
        <v/>
      </c>
      <c r="R4" s="625">
        <f>IFERROR(INDEX('Final Calculation Sheet'!$F$4:$F$40,$BA20-3),"")</f>
        <v/>
      </c>
      <c r="S4" s="625">
        <f>IFERROR(INDEX('Final Calculation Sheet'!$F$4:$F$40,$BA21-3),"")</f>
        <v/>
      </c>
      <c r="T4" s="625">
        <f>IFERROR(INDEX('Final Calculation Sheet'!$F$4:$F$40,$BA22-3),"")</f>
        <v/>
      </c>
      <c r="U4" s="625">
        <f>IFERROR(INDEX('Final Calculation Sheet'!$F$4:$F$40,$BA23-3),"")</f>
        <v/>
      </c>
      <c r="V4" s="625">
        <f>IFERROR(INDEX('Final Calculation Sheet'!$F$4:$F$40,$BA24-3),"")</f>
        <v/>
      </c>
      <c r="W4" s="625">
        <f>IFERROR(INDEX('Final Calculation Sheet'!$F$4:$F$40,$BA25-3),"")</f>
        <v/>
      </c>
      <c r="X4" s="625">
        <f>IFERROR(INDEX('Final Calculation Sheet'!$F$4:$F$40,$BA26-3),"")</f>
        <v/>
      </c>
      <c r="Y4" s="625">
        <f>IFERROR(INDEX('Final Calculation Sheet'!$F$4:$F$40,$BA27-3),"")</f>
        <v/>
      </c>
      <c r="Z4" s="625">
        <f>IFERROR(INDEX('Final Calculation Sheet'!$F$4:$F$40,$BA28-3),"")</f>
        <v/>
      </c>
      <c r="AA4" s="625">
        <f>IFERROR(INDEX('Final Calculation Sheet'!$F$4:$F$40,$BA29-3),"")</f>
        <v/>
      </c>
      <c r="AB4" s="625">
        <f>IFERROR(INDEX('Final Calculation Sheet'!$F$4:$F$40,$BA30-3),"")</f>
        <v/>
      </c>
      <c r="AC4" s="625">
        <f>IFERROR(INDEX('Final Calculation Sheet'!$F$4:$F$40,$BA31-3),"")</f>
        <v/>
      </c>
      <c r="AD4" s="625">
        <f>IFERROR(INDEX('Final Calculation Sheet'!$F$4:$F$40,$BA32-3),"")</f>
        <v/>
      </c>
      <c r="AE4" s="625">
        <f>IFERROR(INDEX('Final Calculation Sheet'!$F$4:$F$40,$BA33-3),"")</f>
        <v/>
      </c>
      <c r="AF4" s="625">
        <f>IFERROR(INDEX('Final Calculation Sheet'!$F$4:$F$40,$BA34-3),"")</f>
        <v/>
      </c>
      <c r="AG4" s="625">
        <f>IFERROR(INDEX('Final Calculation Sheet'!$F$4:$F$40,$BA35-3),"")</f>
        <v/>
      </c>
      <c r="AH4" s="625">
        <f>IFERROR(INDEX('Final Calculation Sheet'!$F$4:$F$40,$BA36-3),"")</f>
        <v/>
      </c>
      <c r="AI4" s="625">
        <f>IFERROR(INDEX('Final Calculation Sheet'!$F$4:$F$40,$BA37-3),"")</f>
        <v/>
      </c>
      <c r="AJ4" s="625">
        <f>IFERROR(INDEX('Final Calculation Sheet'!$F$4:$F$40,$BA38-3),"")</f>
        <v/>
      </c>
      <c r="AK4" s="625">
        <f>IFERROR(INDEX('Final Calculation Sheet'!$F$4:$F$40,$BA39-3),"")</f>
        <v/>
      </c>
      <c r="AL4" s="625">
        <f>IFERROR(INDEX('Final Calculation Sheet'!$F$4:$F$40,$BA40-3),"")</f>
        <v/>
      </c>
      <c r="AM4" s="490">
        <f>"TOTAL  (matching lots)"</f>
        <v/>
      </c>
      <c r="AO4" t="inlineStr">
        <is>
          <t>Quantity</t>
        </is>
      </c>
      <c r="AQ4" t="inlineStr">
        <is>
          <t>ALL BUYERS</t>
        </is>
      </c>
      <c r="AS4" t="inlineStr">
        <is>
          <t>=</t>
        </is>
      </c>
      <c r="AW4">
        <f>IF(OR($B$3="ALL BUYERS",'Final Calculation Sheet'!$G4=$B$3),IF($D$3="— no row filter —",1,IF($F$3="is blank",IF(INDEX('Final Calculation Sheet'!$A$4:$AG$40,4-3,$AU$2)="",1,0),IF($F$3="is not blank",IF(INDEX('Final Calculation Sheet'!$A$4:$AG$40,4-3,$AU$2)="",0,1),IF($F$3="contains",IF(ISNUMBER(SEARCH($H$3,INDEX('Final Calculation Sheet'!$A$4:$AG$40,4-3,$AU$2))),1,0),IF($F$3="=",IF(INDEX('Final Calculation Sheet'!$A$4:$AG$40,4-3,$AU$2)=$H$3,1,0),IF($F$3="&lt;&gt;",IF(INDEX('Final Calculation Sheet'!$A$4:$AG$40,4-3,$AU$2)=$H$3,0,1),IF($F$3="&gt;",IF(N(INDEX('Final Calculation Sheet'!$A$4:$AG$40,4-3,$AU$2))&gt;N($H$3),1,0),IF($F$3="&gt;=",IF(N(INDEX('Final Calculation Sheet'!$A$4:$AG$40,4-3,$AU$2))&gt;=N($H$3),1,0),IF($F$3="&lt;",IF(N(INDEX('Final Calculation Sheet'!$A$4:$AG$40,4-3,$AU$2))&lt;N($H$3),1,0),IF($F$3="&lt;=",IF(N(INDEX('Final Calculation Sheet'!$A$4:$AG$40,4-3,$AU$2))&lt;=N($H$3),1,0),0)))))))))),0)</f>
        <v/>
      </c>
      <c r="AY4">
        <f>IF(AW4=1,SUM($AW$4:AW4),"")</f>
        <v/>
      </c>
      <c r="BA4">
        <f>IFERROR(MATCH(1,$AY$4:$AY$40,0)+3,"")</f>
        <v/>
      </c>
    </row>
    <row r="5" ht="15" customHeight="1">
      <c r="A5" s="540" t="inlineStr">
        <is>
          <t>Quantity</t>
        </is>
      </c>
      <c r="B5" s="69">
        <f>IFERROR(IF(INDEX('Final Calculation Sheet'!$A$4:$A$40,$BA4-3)="","",INDEX('Final Calculation Sheet'!$A$4:$A$40,$BA4-3)),"")</f>
        <v/>
      </c>
      <c r="C5" s="541">
        <f>IFERROR(IF(INDEX('Final Calculation Sheet'!$A$4:$A$40,$BA5-3)="","",INDEX('Final Calculation Sheet'!$A$4:$A$40,$BA5-3)),"")</f>
        <v/>
      </c>
      <c r="D5" s="69">
        <f>IFERROR(IF(INDEX('Final Calculation Sheet'!$A$4:$A$40,$BA6-3)="","",INDEX('Final Calculation Sheet'!$A$4:$A$40,$BA6-3)),"")</f>
        <v/>
      </c>
      <c r="E5" s="541">
        <f>IFERROR(IF(INDEX('Final Calculation Sheet'!$A$4:$A$40,$BA7-3)="","",INDEX('Final Calculation Sheet'!$A$4:$A$40,$BA7-3)),"")</f>
        <v/>
      </c>
      <c r="F5" s="69">
        <f>IFERROR(IF(INDEX('Final Calculation Sheet'!$A$4:$A$40,$BA8-3)="","",INDEX('Final Calculation Sheet'!$A$4:$A$40,$BA8-3)),"")</f>
        <v/>
      </c>
      <c r="G5" s="541">
        <f>IFERROR(IF(INDEX('Final Calculation Sheet'!$A$4:$A$40,$BA9-3)="","",INDEX('Final Calculation Sheet'!$A$4:$A$40,$BA9-3)),"")</f>
        <v/>
      </c>
      <c r="H5" s="69">
        <f>IFERROR(IF(INDEX('Final Calculation Sheet'!$A$4:$A$40,$BA10-3)="","",INDEX('Final Calculation Sheet'!$A$4:$A$40,$BA10-3)),"")</f>
        <v/>
      </c>
      <c r="I5" s="541">
        <f>IFERROR(IF(INDEX('Final Calculation Sheet'!$A$4:$A$40,$BA11-3)="","",INDEX('Final Calculation Sheet'!$A$4:$A$40,$BA11-3)),"")</f>
        <v/>
      </c>
      <c r="J5" s="69">
        <f>IFERROR(IF(INDEX('Final Calculation Sheet'!$A$4:$A$40,$BA12-3)="","",INDEX('Final Calculation Sheet'!$A$4:$A$40,$BA12-3)),"")</f>
        <v/>
      </c>
      <c r="K5" s="541">
        <f>IFERROR(IF(INDEX('Final Calculation Sheet'!$A$4:$A$40,$BA13-3)="","",INDEX('Final Calculation Sheet'!$A$4:$A$40,$BA13-3)),"")</f>
        <v/>
      </c>
      <c r="L5" s="69">
        <f>IFERROR(IF(INDEX('Final Calculation Sheet'!$A$4:$A$40,$BA14-3)="","",INDEX('Final Calculation Sheet'!$A$4:$A$40,$BA14-3)),"")</f>
        <v/>
      </c>
      <c r="M5" s="541">
        <f>IFERROR(IF(INDEX('Final Calculation Sheet'!$A$4:$A$40,$BA15-3)="","",INDEX('Final Calculation Sheet'!$A$4:$A$40,$BA15-3)),"")</f>
        <v/>
      </c>
      <c r="N5" s="69">
        <f>IFERROR(IF(INDEX('Final Calculation Sheet'!$A$4:$A$40,$BA16-3)="","",INDEX('Final Calculation Sheet'!$A$4:$A$40,$BA16-3)),"")</f>
        <v/>
      </c>
      <c r="O5" s="541">
        <f>IFERROR(IF(INDEX('Final Calculation Sheet'!$A$4:$A$40,$BA17-3)="","",INDEX('Final Calculation Sheet'!$A$4:$A$40,$BA17-3)),"")</f>
        <v/>
      </c>
      <c r="P5" s="69">
        <f>IFERROR(IF(INDEX('Final Calculation Sheet'!$A$4:$A$40,$BA18-3)="","",INDEX('Final Calculation Sheet'!$A$4:$A$40,$BA18-3)),"")</f>
        <v/>
      </c>
      <c r="Q5" s="541">
        <f>IFERROR(IF(INDEX('Final Calculation Sheet'!$A$4:$A$40,$BA19-3)="","",INDEX('Final Calculation Sheet'!$A$4:$A$40,$BA19-3)),"")</f>
        <v/>
      </c>
      <c r="R5" s="69">
        <f>IFERROR(IF(INDEX('Final Calculation Sheet'!$A$4:$A$40,$BA20-3)="","",INDEX('Final Calculation Sheet'!$A$4:$A$40,$BA20-3)),"")</f>
        <v/>
      </c>
      <c r="S5" s="541">
        <f>IFERROR(IF(INDEX('Final Calculation Sheet'!$A$4:$A$40,$BA21-3)="","",INDEX('Final Calculation Sheet'!$A$4:$A$40,$BA21-3)),"")</f>
        <v/>
      </c>
      <c r="T5" s="69">
        <f>IFERROR(IF(INDEX('Final Calculation Sheet'!$A$4:$A$40,$BA22-3)="","",INDEX('Final Calculation Sheet'!$A$4:$A$40,$BA22-3)),"")</f>
        <v/>
      </c>
      <c r="U5" s="541">
        <f>IFERROR(IF(INDEX('Final Calculation Sheet'!$A$4:$A$40,$BA23-3)="","",INDEX('Final Calculation Sheet'!$A$4:$A$40,$BA23-3)),"")</f>
        <v/>
      </c>
      <c r="V5" s="69">
        <f>IFERROR(IF(INDEX('Final Calculation Sheet'!$A$4:$A$40,$BA24-3)="","",INDEX('Final Calculation Sheet'!$A$4:$A$40,$BA24-3)),"")</f>
        <v/>
      </c>
      <c r="W5" s="541">
        <f>IFERROR(IF(INDEX('Final Calculation Sheet'!$A$4:$A$40,$BA25-3)="","",INDEX('Final Calculation Sheet'!$A$4:$A$40,$BA25-3)),"")</f>
        <v/>
      </c>
      <c r="X5" s="69">
        <f>IFERROR(IF(INDEX('Final Calculation Sheet'!$A$4:$A$40,$BA26-3)="","",INDEX('Final Calculation Sheet'!$A$4:$A$40,$BA26-3)),"")</f>
        <v/>
      </c>
      <c r="Y5" s="541">
        <f>IFERROR(IF(INDEX('Final Calculation Sheet'!$A$4:$A$40,$BA27-3)="","",INDEX('Final Calculation Sheet'!$A$4:$A$40,$BA27-3)),"")</f>
        <v/>
      </c>
      <c r="Z5" s="69">
        <f>IFERROR(IF(INDEX('Final Calculation Sheet'!$A$4:$A$40,$BA28-3)="","",INDEX('Final Calculation Sheet'!$A$4:$A$40,$BA28-3)),"")</f>
        <v/>
      </c>
      <c r="AA5" s="541">
        <f>IFERROR(IF(INDEX('Final Calculation Sheet'!$A$4:$A$40,$BA29-3)="","",INDEX('Final Calculation Sheet'!$A$4:$A$40,$BA29-3)),"")</f>
        <v/>
      </c>
      <c r="AB5" s="69">
        <f>IFERROR(IF(INDEX('Final Calculation Sheet'!$A$4:$A$40,$BA30-3)="","",INDEX('Final Calculation Sheet'!$A$4:$A$40,$BA30-3)),"")</f>
        <v/>
      </c>
      <c r="AC5" s="541">
        <f>IFERROR(IF(INDEX('Final Calculation Sheet'!$A$4:$A$40,$BA31-3)="","",INDEX('Final Calculation Sheet'!$A$4:$A$40,$BA31-3)),"")</f>
        <v/>
      </c>
      <c r="AD5" s="69">
        <f>IFERROR(IF(INDEX('Final Calculation Sheet'!$A$4:$A$40,$BA32-3)="","",INDEX('Final Calculation Sheet'!$A$4:$A$40,$BA32-3)),"")</f>
        <v/>
      </c>
      <c r="AE5" s="541">
        <f>IFERROR(IF(INDEX('Final Calculation Sheet'!$A$4:$A$40,$BA33-3)="","",INDEX('Final Calculation Sheet'!$A$4:$A$40,$BA33-3)),"")</f>
        <v/>
      </c>
      <c r="AF5" s="69">
        <f>IFERROR(IF(INDEX('Final Calculation Sheet'!$A$4:$A$40,$BA34-3)="","",INDEX('Final Calculation Sheet'!$A$4:$A$40,$BA34-3)),"")</f>
        <v/>
      </c>
      <c r="AG5" s="541">
        <f>IFERROR(IF(INDEX('Final Calculation Sheet'!$A$4:$A$40,$BA35-3)="","",INDEX('Final Calculation Sheet'!$A$4:$A$40,$BA35-3)),"")</f>
        <v/>
      </c>
      <c r="AH5" s="69">
        <f>IFERROR(IF(INDEX('Final Calculation Sheet'!$A$4:$A$40,$BA36-3)="","",INDEX('Final Calculation Sheet'!$A$4:$A$40,$BA36-3)),"")</f>
        <v/>
      </c>
      <c r="AI5" s="541">
        <f>IFERROR(IF(INDEX('Final Calculation Sheet'!$A$4:$A$40,$BA37-3)="","",INDEX('Final Calculation Sheet'!$A$4:$A$40,$BA37-3)),"")</f>
        <v/>
      </c>
      <c r="AJ5" s="69">
        <f>IFERROR(IF(INDEX('Final Calculation Sheet'!$A$4:$A$40,$BA38-3)="","",INDEX('Final Calculation Sheet'!$A$4:$A$40,$BA38-3)),"")</f>
        <v/>
      </c>
      <c r="AK5" s="541">
        <f>IFERROR(IF(INDEX('Final Calculation Sheet'!$A$4:$A$40,$BA39-3)="","",INDEX('Final Calculation Sheet'!$A$4:$A$40,$BA39-3)),"")</f>
        <v/>
      </c>
      <c r="AL5" s="69">
        <f>IFERROR(IF(INDEX('Final Calculation Sheet'!$A$4:$A$40,$BA40-3)="","",INDEX('Final Calculation Sheet'!$A$4:$A$40,$BA40-3)),"")</f>
        <v/>
      </c>
      <c r="AM5" s="542">
        <f>IF(COUNT(B5:AL5)=0,"",SUM(B5:AL5))</f>
        <v/>
      </c>
      <c r="AO5" t="inlineStr">
        <is>
          <t>Lot Name</t>
        </is>
      </c>
      <c r="AQ5" t="inlineStr">
        <is>
          <t>AL HAMD TRADE CORPORATION</t>
        </is>
      </c>
      <c r="AS5" t="inlineStr">
        <is>
          <t>&lt;&gt;</t>
        </is>
      </c>
      <c r="AW5">
        <f>IF(OR($B$3="ALL BUYERS",'Final Calculation Sheet'!$G5=$B$3),IF($D$3="— no row filter —",1,IF($F$3="is blank",IF(INDEX('Final Calculation Sheet'!$A$4:$AG$40,5-3,$AU$2)="",1,0),IF($F$3="is not blank",IF(INDEX('Final Calculation Sheet'!$A$4:$AG$40,5-3,$AU$2)="",0,1),IF($F$3="contains",IF(ISNUMBER(SEARCH($H$3,INDEX('Final Calculation Sheet'!$A$4:$AG$40,5-3,$AU$2))),1,0),IF($F$3="=",IF(INDEX('Final Calculation Sheet'!$A$4:$AG$40,5-3,$AU$2)=$H$3,1,0),IF($F$3="&lt;&gt;",IF(INDEX('Final Calculation Sheet'!$A$4:$AG$40,5-3,$AU$2)=$H$3,0,1),IF($F$3="&gt;",IF(N(INDEX('Final Calculation Sheet'!$A$4:$AG$40,5-3,$AU$2))&gt;N($H$3),1,0),IF($F$3="&gt;=",IF(N(INDEX('Final Calculation Sheet'!$A$4:$AG$40,5-3,$AU$2))&gt;=N($H$3),1,0),IF($F$3="&lt;",IF(N(INDEX('Final Calculation Sheet'!$A$4:$AG$40,5-3,$AU$2))&lt;N($H$3),1,0),IF($F$3="&lt;=",IF(N(INDEX('Final Calculation Sheet'!$A$4:$AG$40,5-3,$AU$2))&lt;=N($H$3),1,0),0)))))))))),0)</f>
        <v/>
      </c>
      <c r="AY5">
        <f>IF(AW5=1,SUM($AW$4:AW5),"")</f>
        <v/>
      </c>
      <c r="BA5">
        <f>IFERROR(MATCH(2,$AY$4:$AY$40,0)+3,"")</f>
        <v/>
      </c>
    </row>
    <row r="6" ht="15" customHeight="1">
      <c r="A6" s="543" t="inlineStr">
        <is>
          <t>Lot Name</t>
        </is>
      </c>
      <c r="B6" s="69">
        <f>IFERROR(IF(INDEX('Final Calculation Sheet'!$B$4:$B$40,$BA4-3)="","",INDEX('Final Calculation Sheet'!$B$4:$B$40,$BA4-3)),"")</f>
        <v/>
      </c>
      <c r="C6" s="541">
        <f>IFERROR(IF(INDEX('Final Calculation Sheet'!$B$4:$B$40,$BA5-3)="","",INDEX('Final Calculation Sheet'!$B$4:$B$40,$BA5-3)),"")</f>
        <v/>
      </c>
      <c r="D6" s="69">
        <f>IFERROR(IF(INDEX('Final Calculation Sheet'!$B$4:$B$40,$BA6-3)="","",INDEX('Final Calculation Sheet'!$B$4:$B$40,$BA6-3)),"")</f>
        <v/>
      </c>
      <c r="E6" s="541">
        <f>IFERROR(IF(INDEX('Final Calculation Sheet'!$B$4:$B$40,$BA7-3)="","",INDEX('Final Calculation Sheet'!$B$4:$B$40,$BA7-3)),"")</f>
        <v/>
      </c>
      <c r="F6" s="69">
        <f>IFERROR(IF(INDEX('Final Calculation Sheet'!$B$4:$B$40,$BA8-3)="","",INDEX('Final Calculation Sheet'!$B$4:$B$40,$BA8-3)),"")</f>
        <v/>
      </c>
      <c r="G6" s="541">
        <f>IFERROR(IF(INDEX('Final Calculation Sheet'!$B$4:$B$40,$BA9-3)="","",INDEX('Final Calculation Sheet'!$B$4:$B$40,$BA9-3)),"")</f>
        <v/>
      </c>
      <c r="H6" s="69">
        <f>IFERROR(IF(INDEX('Final Calculation Sheet'!$B$4:$B$40,$BA10-3)="","",INDEX('Final Calculation Sheet'!$B$4:$B$40,$BA10-3)),"")</f>
        <v/>
      </c>
      <c r="I6" s="541">
        <f>IFERROR(IF(INDEX('Final Calculation Sheet'!$B$4:$B$40,$BA11-3)="","",INDEX('Final Calculation Sheet'!$B$4:$B$40,$BA11-3)),"")</f>
        <v/>
      </c>
      <c r="J6" s="69">
        <f>IFERROR(IF(INDEX('Final Calculation Sheet'!$B$4:$B$40,$BA12-3)="","",INDEX('Final Calculation Sheet'!$B$4:$B$40,$BA12-3)),"")</f>
        <v/>
      </c>
      <c r="K6" s="541">
        <f>IFERROR(IF(INDEX('Final Calculation Sheet'!$B$4:$B$40,$BA13-3)="","",INDEX('Final Calculation Sheet'!$B$4:$B$40,$BA13-3)),"")</f>
        <v/>
      </c>
      <c r="L6" s="69">
        <f>IFERROR(IF(INDEX('Final Calculation Sheet'!$B$4:$B$40,$BA14-3)="","",INDEX('Final Calculation Sheet'!$B$4:$B$40,$BA14-3)),"")</f>
        <v/>
      </c>
      <c r="M6" s="541">
        <f>IFERROR(IF(INDEX('Final Calculation Sheet'!$B$4:$B$40,$BA15-3)="","",INDEX('Final Calculation Sheet'!$B$4:$B$40,$BA15-3)),"")</f>
        <v/>
      </c>
      <c r="N6" s="69">
        <f>IFERROR(IF(INDEX('Final Calculation Sheet'!$B$4:$B$40,$BA16-3)="","",INDEX('Final Calculation Sheet'!$B$4:$B$40,$BA16-3)),"")</f>
        <v/>
      </c>
      <c r="O6" s="541">
        <f>IFERROR(IF(INDEX('Final Calculation Sheet'!$B$4:$B$40,$BA17-3)="","",INDEX('Final Calculation Sheet'!$B$4:$B$40,$BA17-3)),"")</f>
        <v/>
      </c>
      <c r="P6" s="69">
        <f>IFERROR(IF(INDEX('Final Calculation Sheet'!$B$4:$B$40,$BA18-3)="","",INDEX('Final Calculation Sheet'!$B$4:$B$40,$BA18-3)),"")</f>
        <v/>
      </c>
      <c r="Q6" s="541">
        <f>IFERROR(IF(INDEX('Final Calculation Sheet'!$B$4:$B$40,$BA19-3)="","",INDEX('Final Calculation Sheet'!$B$4:$B$40,$BA19-3)),"")</f>
        <v/>
      </c>
      <c r="R6" s="69">
        <f>IFERROR(IF(INDEX('Final Calculation Sheet'!$B$4:$B$40,$BA20-3)="","",INDEX('Final Calculation Sheet'!$B$4:$B$40,$BA20-3)),"")</f>
        <v/>
      </c>
      <c r="S6" s="541">
        <f>IFERROR(IF(INDEX('Final Calculation Sheet'!$B$4:$B$40,$BA21-3)="","",INDEX('Final Calculation Sheet'!$B$4:$B$40,$BA21-3)),"")</f>
        <v/>
      </c>
      <c r="T6" s="69">
        <f>IFERROR(IF(INDEX('Final Calculation Sheet'!$B$4:$B$40,$BA22-3)="","",INDEX('Final Calculation Sheet'!$B$4:$B$40,$BA22-3)),"")</f>
        <v/>
      </c>
      <c r="U6" s="541">
        <f>IFERROR(IF(INDEX('Final Calculation Sheet'!$B$4:$B$40,$BA23-3)="","",INDEX('Final Calculation Sheet'!$B$4:$B$40,$BA23-3)),"")</f>
        <v/>
      </c>
      <c r="V6" s="69">
        <f>IFERROR(IF(INDEX('Final Calculation Sheet'!$B$4:$B$40,$BA24-3)="","",INDEX('Final Calculation Sheet'!$B$4:$B$40,$BA24-3)),"")</f>
        <v/>
      </c>
      <c r="W6" s="541">
        <f>IFERROR(IF(INDEX('Final Calculation Sheet'!$B$4:$B$40,$BA25-3)="","",INDEX('Final Calculation Sheet'!$B$4:$B$40,$BA25-3)),"")</f>
        <v/>
      </c>
      <c r="X6" s="69">
        <f>IFERROR(IF(INDEX('Final Calculation Sheet'!$B$4:$B$40,$BA26-3)="","",INDEX('Final Calculation Sheet'!$B$4:$B$40,$BA26-3)),"")</f>
        <v/>
      </c>
      <c r="Y6" s="541">
        <f>IFERROR(IF(INDEX('Final Calculation Sheet'!$B$4:$B$40,$BA27-3)="","",INDEX('Final Calculation Sheet'!$B$4:$B$40,$BA27-3)),"")</f>
        <v/>
      </c>
      <c r="Z6" s="69">
        <f>IFERROR(IF(INDEX('Final Calculation Sheet'!$B$4:$B$40,$BA28-3)="","",INDEX('Final Calculation Sheet'!$B$4:$B$40,$BA28-3)),"")</f>
        <v/>
      </c>
      <c r="AA6" s="541">
        <f>IFERROR(IF(INDEX('Final Calculation Sheet'!$B$4:$B$40,$BA29-3)="","",INDEX('Final Calculation Sheet'!$B$4:$B$40,$BA29-3)),"")</f>
        <v/>
      </c>
      <c r="AB6" s="69">
        <f>IFERROR(IF(INDEX('Final Calculation Sheet'!$B$4:$B$40,$BA30-3)="","",INDEX('Final Calculation Sheet'!$B$4:$B$40,$BA30-3)),"")</f>
        <v/>
      </c>
      <c r="AC6" s="541">
        <f>IFERROR(IF(INDEX('Final Calculation Sheet'!$B$4:$B$40,$BA31-3)="","",INDEX('Final Calculation Sheet'!$B$4:$B$40,$BA31-3)),"")</f>
        <v/>
      </c>
      <c r="AD6" s="69">
        <f>IFERROR(IF(INDEX('Final Calculation Sheet'!$B$4:$B$40,$BA32-3)="","",INDEX('Final Calculation Sheet'!$B$4:$B$40,$BA32-3)),"")</f>
        <v/>
      </c>
      <c r="AE6" s="541">
        <f>IFERROR(IF(INDEX('Final Calculation Sheet'!$B$4:$B$40,$BA33-3)="","",INDEX('Final Calculation Sheet'!$B$4:$B$40,$BA33-3)),"")</f>
        <v/>
      </c>
      <c r="AF6" s="69">
        <f>IFERROR(IF(INDEX('Final Calculation Sheet'!$B$4:$B$40,$BA34-3)="","",INDEX('Final Calculation Sheet'!$B$4:$B$40,$BA34-3)),"")</f>
        <v/>
      </c>
      <c r="AG6" s="541">
        <f>IFERROR(IF(INDEX('Final Calculation Sheet'!$B$4:$B$40,$BA35-3)="","",INDEX('Final Calculation Sheet'!$B$4:$B$40,$BA35-3)),"")</f>
        <v/>
      </c>
      <c r="AH6" s="69">
        <f>IFERROR(IF(INDEX('Final Calculation Sheet'!$B$4:$B$40,$BA36-3)="","",INDEX('Final Calculation Sheet'!$B$4:$B$40,$BA36-3)),"")</f>
        <v/>
      </c>
      <c r="AI6" s="541">
        <f>IFERROR(IF(INDEX('Final Calculation Sheet'!$B$4:$B$40,$BA37-3)="","",INDEX('Final Calculation Sheet'!$B$4:$B$40,$BA37-3)),"")</f>
        <v/>
      </c>
      <c r="AJ6" s="69">
        <f>IFERROR(IF(INDEX('Final Calculation Sheet'!$B$4:$B$40,$BA38-3)="","",INDEX('Final Calculation Sheet'!$B$4:$B$40,$BA38-3)),"")</f>
        <v/>
      </c>
      <c r="AK6" s="541">
        <f>IFERROR(IF(INDEX('Final Calculation Sheet'!$B$4:$B$40,$BA39-3)="","",INDEX('Final Calculation Sheet'!$B$4:$B$40,$BA39-3)),"")</f>
        <v/>
      </c>
      <c r="AL6" s="69">
        <f>IFERROR(IF(INDEX('Final Calculation Sheet'!$B$4:$B$40,$BA40-3)="","",INDEX('Final Calculation Sheet'!$B$4:$B$40,$BA40-3)),"")</f>
        <v/>
      </c>
      <c r="AM6" s="542" t="inlineStr">
        <is>
          <t>–</t>
        </is>
      </c>
      <c r="AO6" t="inlineStr">
        <is>
          <t>Rate</t>
        </is>
      </c>
      <c r="AQ6" t="inlineStr">
        <is>
          <t>F R KHANS ENTERPRISES</t>
        </is>
      </c>
      <c r="AS6" t="inlineStr">
        <is>
          <t>&gt;</t>
        </is>
      </c>
      <c r="AW6">
        <f>IF(OR($B$3="ALL BUYERS",'Final Calculation Sheet'!$G6=$B$3),IF($D$3="— no row filter —",1,IF($F$3="is blank",IF(INDEX('Final Calculation Sheet'!$A$4:$AG$40,6-3,$AU$2)="",1,0),IF($F$3="is not blank",IF(INDEX('Final Calculation Sheet'!$A$4:$AG$40,6-3,$AU$2)="",0,1),IF($F$3="contains",IF(ISNUMBER(SEARCH($H$3,INDEX('Final Calculation Sheet'!$A$4:$AG$40,6-3,$AU$2))),1,0),IF($F$3="=",IF(INDEX('Final Calculation Sheet'!$A$4:$AG$40,6-3,$AU$2)=$H$3,1,0),IF($F$3="&lt;&gt;",IF(INDEX('Final Calculation Sheet'!$A$4:$AG$40,6-3,$AU$2)=$H$3,0,1),IF($F$3="&gt;",IF(N(INDEX('Final Calculation Sheet'!$A$4:$AG$40,6-3,$AU$2))&gt;N($H$3),1,0),IF($F$3="&gt;=",IF(N(INDEX('Final Calculation Sheet'!$A$4:$AG$40,6-3,$AU$2))&gt;=N($H$3),1,0),IF($F$3="&lt;",IF(N(INDEX('Final Calculation Sheet'!$A$4:$AG$40,6-3,$AU$2))&lt;N($H$3),1,0),IF($F$3="&lt;=",IF(N(INDEX('Final Calculation Sheet'!$A$4:$AG$40,6-3,$AU$2))&lt;=N($H$3),1,0),0)))))))))),0)</f>
        <v/>
      </c>
      <c r="AY6">
        <f>IF(AW6=1,SUM($AW$4:AW6),"")</f>
        <v/>
      </c>
      <c r="BA6">
        <f>IFERROR(MATCH(3,$AY$4:$AY$40,0)+3,"")</f>
        <v/>
      </c>
    </row>
    <row r="7" ht="15" customHeight="1">
      <c r="A7" s="540" t="inlineStr">
        <is>
          <t>Rate</t>
        </is>
      </c>
      <c r="B7" s="544">
        <f>IFERROR(IF(INDEX('Final Calculation Sheet'!$C$4:$C$40,$BA4-3)="","",INDEX('Final Calculation Sheet'!$C$4:$C$40,$BA4-3)),"")</f>
        <v/>
      </c>
      <c r="C7" s="545">
        <f>IFERROR(IF(INDEX('Final Calculation Sheet'!$C$4:$C$40,$BA5-3)="","",INDEX('Final Calculation Sheet'!$C$4:$C$40,$BA5-3)),"")</f>
        <v/>
      </c>
      <c r="D7" s="544">
        <f>IFERROR(IF(INDEX('Final Calculation Sheet'!$C$4:$C$40,$BA6-3)="","",INDEX('Final Calculation Sheet'!$C$4:$C$40,$BA6-3)),"")</f>
        <v/>
      </c>
      <c r="E7" s="545">
        <f>IFERROR(IF(INDEX('Final Calculation Sheet'!$C$4:$C$40,$BA7-3)="","",INDEX('Final Calculation Sheet'!$C$4:$C$40,$BA7-3)),"")</f>
        <v/>
      </c>
      <c r="F7" s="544">
        <f>IFERROR(IF(INDEX('Final Calculation Sheet'!$C$4:$C$40,$BA8-3)="","",INDEX('Final Calculation Sheet'!$C$4:$C$40,$BA8-3)),"")</f>
        <v/>
      </c>
      <c r="G7" s="545">
        <f>IFERROR(IF(INDEX('Final Calculation Sheet'!$C$4:$C$40,$BA9-3)="","",INDEX('Final Calculation Sheet'!$C$4:$C$40,$BA9-3)),"")</f>
        <v/>
      </c>
      <c r="H7" s="544">
        <f>IFERROR(IF(INDEX('Final Calculation Sheet'!$C$4:$C$40,$BA10-3)="","",INDEX('Final Calculation Sheet'!$C$4:$C$40,$BA10-3)),"")</f>
        <v/>
      </c>
      <c r="I7" s="545">
        <f>IFERROR(IF(INDEX('Final Calculation Sheet'!$C$4:$C$40,$BA11-3)="","",INDEX('Final Calculation Sheet'!$C$4:$C$40,$BA11-3)),"")</f>
        <v/>
      </c>
      <c r="J7" s="544">
        <f>IFERROR(IF(INDEX('Final Calculation Sheet'!$C$4:$C$40,$BA12-3)="","",INDEX('Final Calculation Sheet'!$C$4:$C$40,$BA12-3)),"")</f>
        <v/>
      </c>
      <c r="K7" s="545">
        <f>IFERROR(IF(INDEX('Final Calculation Sheet'!$C$4:$C$40,$BA13-3)="","",INDEX('Final Calculation Sheet'!$C$4:$C$40,$BA13-3)),"")</f>
        <v/>
      </c>
      <c r="L7" s="544">
        <f>IFERROR(IF(INDEX('Final Calculation Sheet'!$C$4:$C$40,$BA14-3)="","",INDEX('Final Calculation Sheet'!$C$4:$C$40,$BA14-3)),"")</f>
        <v/>
      </c>
      <c r="M7" s="545">
        <f>IFERROR(IF(INDEX('Final Calculation Sheet'!$C$4:$C$40,$BA15-3)="","",INDEX('Final Calculation Sheet'!$C$4:$C$40,$BA15-3)),"")</f>
        <v/>
      </c>
      <c r="N7" s="544">
        <f>IFERROR(IF(INDEX('Final Calculation Sheet'!$C$4:$C$40,$BA16-3)="","",INDEX('Final Calculation Sheet'!$C$4:$C$40,$BA16-3)),"")</f>
        <v/>
      </c>
      <c r="O7" s="545">
        <f>IFERROR(IF(INDEX('Final Calculation Sheet'!$C$4:$C$40,$BA17-3)="","",INDEX('Final Calculation Sheet'!$C$4:$C$40,$BA17-3)),"")</f>
        <v/>
      </c>
      <c r="P7" s="544">
        <f>IFERROR(IF(INDEX('Final Calculation Sheet'!$C$4:$C$40,$BA18-3)="","",INDEX('Final Calculation Sheet'!$C$4:$C$40,$BA18-3)),"")</f>
        <v/>
      </c>
      <c r="Q7" s="545">
        <f>IFERROR(IF(INDEX('Final Calculation Sheet'!$C$4:$C$40,$BA19-3)="","",INDEX('Final Calculation Sheet'!$C$4:$C$40,$BA19-3)),"")</f>
        <v/>
      </c>
      <c r="R7" s="544">
        <f>IFERROR(IF(INDEX('Final Calculation Sheet'!$C$4:$C$40,$BA20-3)="","",INDEX('Final Calculation Sheet'!$C$4:$C$40,$BA20-3)),"")</f>
        <v/>
      </c>
      <c r="S7" s="545">
        <f>IFERROR(IF(INDEX('Final Calculation Sheet'!$C$4:$C$40,$BA21-3)="","",INDEX('Final Calculation Sheet'!$C$4:$C$40,$BA21-3)),"")</f>
        <v/>
      </c>
      <c r="T7" s="544">
        <f>IFERROR(IF(INDEX('Final Calculation Sheet'!$C$4:$C$40,$BA22-3)="","",INDEX('Final Calculation Sheet'!$C$4:$C$40,$BA22-3)),"")</f>
        <v/>
      </c>
      <c r="U7" s="545">
        <f>IFERROR(IF(INDEX('Final Calculation Sheet'!$C$4:$C$40,$BA23-3)="","",INDEX('Final Calculation Sheet'!$C$4:$C$40,$BA23-3)),"")</f>
        <v/>
      </c>
      <c r="V7" s="544">
        <f>IFERROR(IF(INDEX('Final Calculation Sheet'!$C$4:$C$40,$BA24-3)="","",INDEX('Final Calculation Sheet'!$C$4:$C$40,$BA24-3)),"")</f>
        <v/>
      </c>
      <c r="W7" s="545">
        <f>IFERROR(IF(INDEX('Final Calculation Sheet'!$C$4:$C$40,$BA25-3)="","",INDEX('Final Calculation Sheet'!$C$4:$C$40,$BA25-3)),"")</f>
        <v/>
      </c>
      <c r="X7" s="544">
        <f>IFERROR(IF(INDEX('Final Calculation Sheet'!$C$4:$C$40,$BA26-3)="","",INDEX('Final Calculation Sheet'!$C$4:$C$40,$BA26-3)),"")</f>
        <v/>
      </c>
      <c r="Y7" s="545">
        <f>IFERROR(IF(INDEX('Final Calculation Sheet'!$C$4:$C$40,$BA27-3)="","",INDEX('Final Calculation Sheet'!$C$4:$C$40,$BA27-3)),"")</f>
        <v/>
      </c>
      <c r="Z7" s="544">
        <f>IFERROR(IF(INDEX('Final Calculation Sheet'!$C$4:$C$40,$BA28-3)="","",INDEX('Final Calculation Sheet'!$C$4:$C$40,$BA28-3)),"")</f>
        <v/>
      </c>
      <c r="AA7" s="545">
        <f>IFERROR(IF(INDEX('Final Calculation Sheet'!$C$4:$C$40,$BA29-3)="","",INDEX('Final Calculation Sheet'!$C$4:$C$40,$BA29-3)),"")</f>
        <v/>
      </c>
      <c r="AB7" s="544">
        <f>IFERROR(IF(INDEX('Final Calculation Sheet'!$C$4:$C$40,$BA30-3)="","",INDEX('Final Calculation Sheet'!$C$4:$C$40,$BA30-3)),"")</f>
        <v/>
      </c>
      <c r="AC7" s="545">
        <f>IFERROR(IF(INDEX('Final Calculation Sheet'!$C$4:$C$40,$BA31-3)="","",INDEX('Final Calculation Sheet'!$C$4:$C$40,$BA31-3)),"")</f>
        <v/>
      </c>
      <c r="AD7" s="544">
        <f>IFERROR(IF(INDEX('Final Calculation Sheet'!$C$4:$C$40,$BA32-3)="","",INDEX('Final Calculation Sheet'!$C$4:$C$40,$BA32-3)),"")</f>
        <v/>
      </c>
      <c r="AE7" s="545">
        <f>IFERROR(IF(INDEX('Final Calculation Sheet'!$C$4:$C$40,$BA33-3)="","",INDEX('Final Calculation Sheet'!$C$4:$C$40,$BA33-3)),"")</f>
        <v/>
      </c>
      <c r="AF7" s="544">
        <f>IFERROR(IF(INDEX('Final Calculation Sheet'!$C$4:$C$40,$BA34-3)="","",INDEX('Final Calculation Sheet'!$C$4:$C$40,$BA34-3)),"")</f>
        <v/>
      </c>
      <c r="AG7" s="545">
        <f>IFERROR(IF(INDEX('Final Calculation Sheet'!$C$4:$C$40,$BA35-3)="","",INDEX('Final Calculation Sheet'!$C$4:$C$40,$BA35-3)),"")</f>
        <v/>
      </c>
      <c r="AH7" s="544">
        <f>IFERROR(IF(INDEX('Final Calculation Sheet'!$C$4:$C$40,$BA36-3)="","",INDEX('Final Calculation Sheet'!$C$4:$C$40,$BA36-3)),"")</f>
        <v/>
      </c>
      <c r="AI7" s="545">
        <f>IFERROR(IF(INDEX('Final Calculation Sheet'!$C$4:$C$40,$BA37-3)="","",INDEX('Final Calculation Sheet'!$C$4:$C$40,$BA37-3)),"")</f>
        <v/>
      </c>
      <c r="AJ7" s="544">
        <f>IFERROR(IF(INDEX('Final Calculation Sheet'!$C$4:$C$40,$BA38-3)="","",INDEX('Final Calculation Sheet'!$C$4:$C$40,$BA38-3)),"")</f>
        <v/>
      </c>
      <c r="AK7" s="545">
        <f>IFERROR(IF(INDEX('Final Calculation Sheet'!$C$4:$C$40,$BA39-3)="","",INDEX('Final Calculation Sheet'!$C$4:$C$40,$BA39-3)),"")</f>
        <v/>
      </c>
      <c r="AL7" s="544">
        <f>IFERROR(IF(INDEX('Final Calculation Sheet'!$C$4:$C$40,$BA40-3)="","",INDEX('Final Calculation Sheet'!$C$4:$C$40,$BA40-3)),"")</f>
        <v/>
      </c>
      <c r="AM7" s="605" t="inlineStr">
        <is>
          <t>–</t>
        </is>
      </c>
      <c r="AO7" t="inlineStr">
        <is>
          <t>Bid Sheet</t>
        </is>
      </c>
      <c r="AQ7" t="inlineStr">
        <is>
          <t>HIND TRADERS</t>
        </is>
      </c>
      <c r="AS7" t="inlineStr">
        <is>
          <t>&gt;=</t>
        </is>
      </c>
      <c r="AW7">
        <f>IF(OR($B$3="ALL BUYERS",'Final Calculation Sheet'!$G7=$B$3),IF($D$3="— no row filter —",1,IF($F$3="is blank",IF(INDEX('Final Calculation Sheet'!$A$4:$AG$40,7-3,$AU$2)="",1,0),IF($F$3="is not blank",IF(INDEX('Final Calculation Sheet'!$A$4:$AG$40,7-3,$AU$2)="",0,1),IF($F$3="contains",IF(ISNUMBER(SEARCH($H$3,INDEX('Final Calculation Sheet'!$A$4:$AG$40,7-3,$AU$2))),1,0),IF($F$3="=",IF(INDEX('Final Calculation Sheet'!$A$4:$AG$40,7-3,$AU$2)=$H$3,1,0),IF($F$3="&lt;&gt;",IF(INDEX('Final Calculation Sheet'!$A$4:$AG$40,7-3,$AU$2)=$H$3,0,1),IF($F$3="&gt;",IF(N(INDEX('Final Calculation Sheet'!$A$4:$AG$40,7-3,$AU$2))&gt;N($H$3),1,0),IF($F$3="&gt;=",IF(N(INDEX('Final Calculation Sheet'!$A$4:$AG$40,7-3,$AU$2))&gt;=N($H$3),1,0),IF($F$3="&lt;",IF(N(INDEX('Final Calculation Sheet'!$A$4:$AG$40,7-3,$AU$2))&lt;N($H$3),1,0),IF($F$3="&lt;=",IF(N(INDEX('Final Calculation Sheet'!$A$4:$AG$40,7-3,$AU$2))&lt;=N($H$3),1,0),0)))))))))),0)</f>
        <v/>
      </c>
      <c r="AY7">
        <f>IF(AW7=1,SUM($AW$4:AW7),"")</f>
        <v/>
      </c>
      <c r="BA7">
        <f>IFERROR(MATCH(4,$AY$4:$AY$40,0)+3,"")</f>
        <v/>
      </c>
    </row>
    <row r="8" ht="15" customHeight="1">
      <c r="A8" s="543" t="inlineStr">
        <is>
          <t>Bid Sheet</t>
        </is>
      </c>
      <c r="B8" s="69">
        <f>IFERROR(IF(INDEX('Final Calculation Sheet'!$D$4:$D$40,$BA4-3)="","",INDEX('Final Calculation Sheet'!$D$4:$D$40,$BA4-3)),"")</f>
        <v/>
      </c>
      <c r="C8" s="541">
        <f>IFERROR(IF(INDEX('Final Calculation Sheet'!$D$4:$D$40,$BA5-3)="","",INDEX('Final Calculation Sheet'!$D$4:$D$40,$BA5-3)),"")</f>
        <v/>
      </c>
      <c r="D8" s="69">
        <f>IFERROR(IF(INDEX('Final Calculation Sheet'!$D$4:$D$40,$BA6-3)="","",INDEX('Final Calculation Sheet'!$D$4:$D$40,$BA6-3)),"")</f>
        <v/>
      </c>
      <c r="E8" s="541">
        <f>IFERROR(IF(INDEX('Final Calculation Sheet'!$D$4:$D$40,$BA7-3)="","",INDEX('Final Calculation Sheet'!$D$4:$D$40,$BA7-3)),"")</f>
        <v/>
      </c>
      <c r="F8" s="69">
        <f>IFERROR(IF(INDEX('Final Calculation Sheet'!$D$4:$D$40,$BA8-3)="","",INDEX('Final Calculation Sheet'!$D$4:$D$40,$BA8-3)),"")</f>
        <v/>
      </c>
      <c r="G8" s="541">
        <f>IFERROR(IF(INDEX('Final Calculation Sheet'!$D$4:$D$40,$BA9-3)="","",INDEX('Final Calculation Sheet'!$D$4:$D$40,$BA9-3)),"")</f>
        <v/>
      </c>
      <c r="H8" s="69">
        <f>IFERROR(IF(INDEX('Final Calculation Sheet'!$D$4:$D$40,$BA10-3)="","",INDEX('Final Calculation Sheet'!$D$4:$D$40,$BA10-3)),"")</f>
        <v/>
      </c>
      <c r="I8" s="541">
        <f>IFERROR(IF(INDEX('Final Calculation Sheet'!$D$4:$D$40,$BA11-3)="","",INDEX('Final Calculation Sheet'!$D$4:$D$40,$BA11-3)),"")</f>
        <v/>
      </c>
      <c r="J8" s="69">
        <f>IFERROR(IF(INDEX('Final Calculation Sheet'!$D$4:$D$40,$BA12-3)="","",INDEX('Final Calculation Sheet'!$D$4:$D$40,$BA12-3)),"")</f>
        <v/>
      </c>
      <c r="K8" s="541">
        <f>IFERROR(IF(INDEX('Final Calculation Sheet'!$D$4:$D$40,$BA13-3)="","",INDEX('Final Calculation Sheet'!$D$4:$D$40,$BA13-3)),"")</f>
        <v/>
      </c>
      <c r="L8" s="69">
        <f>IFERROR(IF(INDEX('Final Calculation Sheet'!$D$4:$D$40,$BA14-3)="","",INDEX('Final Calculation Sheet'!$D$4:$D$40,$BA14-3)),"")</f>
        <v/>
      </c>
      <c r="M8" s="541">
        <f>IFERROR(IF(INDEX('Final Calculation Sheet'!$D$4:$D$40,$BA15-3)="","",INDEX('Final Calculation Sheet'!$D$4:$D$40,$BA15-3)),"")</f>
        <v/>
      </c>
      <c r="N8" s="69">
        <f>IFERROR(IF(INDEX('Final Calculation Sheet'!$D$4:$D$40,$BA16-3)="","",INDEX('Final Calculation Sheet'!$D$4:$D$40,$BA16-3)),"")</f>
        <v/>
      </c>
      <c r="O8" s="541">
        <f>IFERROR(IF(INDEX('Final Calculation Sheet'!$D$4:$D$40,$BA17-3)="","",INDEX('Final Calculation Sheet'!$D$4:$D$40,$BA17-3)),"")</f>
        <v/>
      </c>
      <c r="P8" s="69">
        <f>IFERROR(IF(INDEX('Final Calculation Sheet'!$D$4:$D$40,$BA18-3)="","",INDEX('Final Calculation Sheet'!$D$4:$D$40,$BA18-3)),"")</f>
        <v/>
      </c>
      <c r="Q8" s="541">
        <f>IFERROR(IF(INDEX('Final Calculation Sheet'!$D$4:$D$40,$BA19-3)="","",INDEX('Final Calculation Sheet'!$D$4:$D$40,$BA19-3)),"")</f>
        <v/>
      </c>
      <c r="R8" s="69">
        <f>IFERROR(IF(INDEX('Final Calculation Sheet'!$D$4:$D$40,$BA20-3)="","",INDEX('Final Calculation Sheet'!$D$4:$D$40,$BA20-3)),"")</f>
        <v/>
      </c>
      <c r="S8" s="541">
        <f>IFERROR(IF(INDEX('Final Calculation Sheet'!$D$4:$D$40,$BA21-3)="","",INDEX('Final Calculation Sheet'!$D$4:$D$40,$BA21-3)),"")</f>
        <v/>
      </c>
      <c r="T8" s="69">
        <f>IFERROR(IF(INDEX('Final Calculation Sheet'!$D$4:$D$40,$BA22-3)="","",INDEX('Final Calculation Sheet'!$D$4:$D$40,$BA22-3)),"")</f>
        <v/>
      </c>
      <c r="U8" s="541">
        <f>IFERROR(IF(INDEX('Final Calculation Sheet'!$D$4:$D$40,$BA23-3)="","",INDEX('Final Calculation Sheet'!$D$4:$D$40,$BA23-3)),"")</f>
        <v/>
      </c>
      <c r="V8" s="69">
        <f>IFERROR(IF(INDEX('Final Calculation Sheet'!$D$4:$D$40,$BA24-3)="","",INDEX('Final Calculation Sheet'!$D$4:$D$40,$BA24-3)),"")</f>
        <v/>
      </c>
      <c r="W8" s="541">
        <f>IFERROR(IF(INDEX('Final Calculation Sheet'!$D$4:$D$40,$BA25-3)="","",INDEX('Final Calculation Sheet'!$D$4:$D$40,$BA25-3)),"")</f>
        <v/>
      </c>
      <c r="X8" s="69">
        <f>IFERROR(IF(INDEX('Final Calculation Sheet'!$D$4:$D$40,$BA26-3)="","",INDEX('Final Calculation Sheet'!$D$4:$D$40,$BA26-3)),"")</f>
        <v/>
      </c>
      <c r="Y8" s="541">
        <f>IFERROR(IF(INDEX('Final Calculation Sheet'!$D$4:$D$40,$BA27-3)="","",INDEX('Final Calculation Sheet'!$D$4:$D$40,$BA27-3)),"")</f>
        <v/>
      </c>
      <c r="Z8" s="69">
        <f>IFERROR(IF(INDEX('Final Calculation Sheet'!$D$4:$D$40,$BA28-3)="","",INDEX('Final Calculation Sheet'!$D$4:$D$40,$BA28-3)),"")</f>
        <v/>
      </c>
      <c r="AA8" s="541">
        <f>IFERROR(IF(INDEX('Final Calculation Sheet'!$D$4:$D$40,$BA29-3)="","",INDEX('Final Calculation Sheet'!$D$4:$D$40,$BA29-3)),"")</f>
        <v/>
      </c>
      <c r="AB8" s="69">
        <f>IFERROR(IF(INDEX('Final Calculation Sheet'!$D$4:$D$40,$BA30-3)="","",INDEX('Final Calculation Sheet'!$D$4:$D$40,$BA30-3)),"")</f>
        <v/>
      </c>
      <c r="AC8" s="541">
        <f>IFERROR(IF(INDEX('Final Calculation Sheet'!$D$4:$D$40,$BA31-3)="","",INDEX('Final Calculation Sheet'!$D$4:$D$40,$BA31-3)),"")</f>
        <v/>
      </c>
      <c r="AD8" s="69">
        <f>IFERROR(IF(INDEX('Final Calculation Sheet'!$D$4:$D$40,$BA32-3)="","",INDEX('Final Calculation Sheet'!$D$4:$D$40,$BA32-3)),"")</f>
        <v/>
      </c>
      <c r="AE8" s="541">
        <f>IFERROR(IF(INDEX('Final Calculation Sheet'!$D$4:$D$40,$BA33-3)="","",INDEX('Final Calculation Sheet'!$D$4:$D$40,$BA33-3)),"")</f>
        <v/>
      </c>
      <c r="AF8" s="69">
        <f>IFERROR(IF(INDEX('Final Calculation Sheet'!$D$4:$D$40,$BA34-3)="","",INDEX('Final Calculation Sheet'!$D$4:$D$40,$BA34-3)),"")</f>
        <v/>
      </c>
      <c r="AG8" s="541">
        <f>IFERROR(IF(INDEX('Final Calculation Sheet'!$D$4:$D$40,$BA35-3)="","",INDEX('Final Calculation Sheet'!$D$4:$D$40,$BA35-3)),"")</f>
        <v/>
      </c>
      <c r="AH8" s="69">
        <f>IFERROR(IF(INDEX('Final Calculation Sheet'!$D$4:$D$40,$BA36-3)="","",INDEX('Final Calculation Sheet'!$D$4:$D$40,$BA36-3)),"")</f>
        <v/>
      </c>
      <c r="AI8" s="541">
        <f>IFERROR(IF(INDEX('Final Calculation Sheet'!$D$4:$D$40,$BA37-3)="","",INDEX('Final Calculation Sheet'!$D$4:$D$40,$BA37-3)),"")</f>
        <v/>
      </c>
      <c r="AJ8" s="69">
        <f>IFERROR(IF(INDEX('Final Calculation Sheet'!$D$4:$D$40,$BA38-3)="","",INDEX('Final Calculation Sheet'!$D$4:$D$40,$BA38-3)),"")</f>
        <v/>
      </c>
      <c r="AK8" s="541">
        <f>IFERROR(IF(INDEX('Final Calculation Sheet'!$D$4:$D$40,$BA39-3)="","",INDEX('Final Calculation Sheet'!$D$4:$D$40,$BA39-3)),"")</f>
        <v/>
      </c>
      <c r="AL8" s="69">
        <f>IFERROR(IF(INDEX('Final Calculation Sheet'!$D$4:$D$40,$BA40-3)="","",INDEX('Final Calculation Sheet'!$D$4:$D$40,$BA40-3)),"")</f>
        <v/>
      </c>
      <c r="AM8" s="542" t="inlineStr">
        <is>
          <t>–</t>
        </is>
      </c>
      <c r="AO8" t="inlineStr">
        <is>
          <t>Unit</t>
        </is>
      </c>
      <c r="AQ8" t="inlineStr">
        <is>
          <t>KASHYAP TRADING CO</t>
        </is>
      </c>
      <c r="AS8" t="inlineStr">
        <is>
          <t>&lt;</t>
        </is>
      </c>
      <c r="AW8">
        <f>IF(OR($B$3="ALL BUYERS",'Final Calculation Sheet'!$G8=$B$3),IF($D$3="— no row filter —",1,IF($F$3="is blank",IF(INDEX('Final Calculation Sheet'!$A$4:$AG$40,8-3,$AU$2)="",1,0),IF($F$3="is not blank",IF(INDEX('Final Calculation Sheet'!$A$4:$AG$40,8-3,$AU$2)="",0,1),IF($F$3="contains",IF(ISNUMBER(SEARCH($H$3,INDEX('Final Calculation Sheet'!$A$4:$AG$40,8-3,$AU$2))),1,0),IF($F$3="=",IF(INDEX('Final Calculation Sheet'!$A$4:$AG$40,8-3,$AU$2)=$H$3,1,0),IF($F$3="&lt;&gt;",IF(INDEX('Final Calculation Sheet'!$A$4:$AG$40,8-3,$AU$2)=$H$3,0,1),IF($F$3="&gt;",IF(N(INDEX('Final Calculation Sheet'!$A$4:$AG$40,8-3,$AU$2))&gt;N($H$3),1,0),IF($F$3="&gt;=",IF(N(INDEX('Final Calculation Sheet'!$A$4:$AG$40,8-3,$AU$2))&gt;=N($H$3),1,0),IF($F$3="&lt;",IF(N(INDEX('Final Calculation Sheet'!$A$4:$AG$40,8-3,$AU$2))&lt;N($H$3),1,0),IF($F$3="&lt;=",IF(N(INDEX('Final Calculation Sheet'!$A$4:$AG$40,8-3,$AU$2))&lt;=N($H$3),1,0),0)))))))))),0)</f>
        <v/>
      </c>
      <c r="AY8">
        <f>IF(AW8=1,SUM($AW$4:AW8),"")</f>
        <v/>
      </c>
      <c r="BA8">
        <f>IFERROR(MATCH(5,$AY$4:$AY$40,0)+3,"")</f>
        <v/>
      </c>
    </row>
    <row r="9" ht="15" customHeight="1">
      <c r="A9" s="540" t="inlineStr">
        <is>
          <t>Unit</t>
        </is>
      </c>
      <c r="B9" s="69">
        <f>IFERROR(IF(INDEX('Final Calculation Sheet'!$E$4:$E$40,$BA4-3)="","",INDEX('Final Calculation Sheet'!$E$4:$E$40,$BA4-3)),"")</f>
        <v/>
      </c>
      <c r="C9" s="541">
        <f>IFERROR(IF(INDEX('Final Calculation Sheet'!$E$4:$E$40,$BA5-3)="","",INDEX('Final Calculation Sheet'!$E$4:$E$40,$BA5-3)),"")</f>
        <v/>
      </c>
      <c r="D9" s="69">
        <f>IFERROR(IF(INDEX('Final Calculation Sheet'!$E$4:$E$40,$BA6-3)="","",INDEX('Final Calculation Sheet'!$E$4:$E$40,$BA6-3)),"")</f>
        <v/>
      </c>
      <c r="E9" s="541">
        <f>IFERROR(IF(INDEX('Final Calculation Sheet'!$E$4:$E$40,$BA7-3)="","",INDEX('Final Calculation Sheet'!$E$4:$E$40,$BA7-3)),"")</f>
        <v/>
      </c>
      <c r="F9" s="69">
        <f>IFERROR(IF(INDEX('Final Calculation Sheet'!$E$4:$E$40,$BA8-3)="","",INDEX('Final Calculation Sheet'!$E$4:$E$40,$BA8-3)),"")</f>
        <v/>
      </c>
      <c r="G9" s="541">
        <f>IFERROR(IF(INDEX('Final Calculation Sheet'!$E$4:$E$40,$BA9-3)="","",INDEX('Final Calculation Sheet'!$E$4:$E$40,$BA9-3)),"")</f>
        <v/>
      </c>
      <c r="H9" s="69">
        <f>IFERROR(IF(INDEX('Final Calculation Sheet'!$E$4:$E$40,$BA10-3)="","",INDEX('Final Calculation Sheet'!$E$4:$E$40,$BA10-3)),"")</f>
        <v/>
      </c>
      <c r="I9" s="541">
        <f>IFERROR(IF(INDEX('Final Calculation Sheet'!$E$4:$E$40,$BA11-3)="","",INDEX('Final Calculation Sheet'!$E$4:$E$40,$BA11-3)),"")</f>
        <v/>
      </c>
      <c r="J9" s="69">
        <f>IFERROR(IF(INDEX('Final Calculation Sheet'!$E$4:$E$40,$BA12-3)="","",INDEX('Final Calculation Sheet'!$E$4:$E$40,$BA12-3)),"")</f>
        <v/>
      </c>
      <c r="K9" s="541">
        <f>IFERROR(IF(INDEX('Final Calculation Sheet'!$E$4:$E$40,$BA13-3)="","",INDEX('Final Calculation Sheet'!$E$4:$E$40,$BA13-3)),"")</f>
        <v/>
      </c>
      <c r="L9" s="69">
        <f>IFERROR(IF(INDEX('Final Calculation Sheet'!$E$4:$E$40,$BA14-3)="","",INDEX('Final Calculation Sheet'!$E$4:$E$40,$BA14-3)),"")</f>
        <v/>
      </c>
      <c r="M9" s="541">
        <f>IFERROR(IF(INDEX('Final Calculation Sheet'!$E$4:$E$40,$BA15-3)="","",INDEX('Final Calculation Sheet'!$E$4:$E$40,$BA15-3)),"")</f>
        <v/>
      </c>
      <c r="N9" s="69">
        <f>IFERROR(IF(INDEX('Final Calculation Sheet'!$E$4:$E$40,$BA16-3)="","",INDEX('Final Calculation Sheet'!$E$4:$E$40,$BA16-3)),"")</f>
        <v/>
      </c>
      <c r="O9" s="541">
        <f>IFERROR(IF(INDEX('Final Calculation Sheet'!$E$4:$E$40,$BA17-3)="","",INDEX('Final Calculation Sheet'!$E$4:$E$40,$BA17-3)),"")</f>
        <v/>
      </c>
      <c r="P9" s="69">
        <f>IFERROR(IF(INDEX('Final Calculation Sheet'!$E$4:$E$40,$BA18-3)="","",INDEX('Final Calculation Sheet'!$E$4:$E$40,$BA18-3)),"")</f>
        <v/>
      </c>
      <c r="Q9" s="541">
        <f>IFERROR(IF(INDEX('Final Calculation Sheet'!$E$4:$E$40,$BA19-3)="","",INDEX('Final Calculation Sheet'!$E$4:$E$40,$BA19-3)),"")</f>
        <v/>
      </c>
      <c r="R9" s="69">
        <f>IFERROR(IF(INDEX('Final Calculation Sheet'!$E$4:$E$40,$BA20-3)="","",INDEX('Final Calculation Sheet'!$E$4:$E$40,$BA20-3)),"")</f>
        <v/>
      </c>
      <c r="S9" s="541">
        <f>IFERROR(IF(INDEX('Final Calculation Sheet'!$E$4:$E$40,$BA21-3)="","",INDEX('Final Calculation Sheet'!$E$4:$E$40,$BA21-3)),"")</f>
        <v/>
      </c>
      <c r="T9" s="69">
        <f>IFERROR(IF(INDEX('Final Calculation Sheet'!$E$4:$E$40,$BA22-3)="","",INDEX('Final Calculation Sheet'!$E$4:$E$40,$BA22-3)),"")</f>
        <v/>
      </c>
      <c r="U9" s="541">
        <f>IFERROR(IF(INDEX('Final Calculation Sheet'!$E$4:$E$40,$BA23-3)="","",INDEX('Final Calculation Sheet'!$E$4:$E$40,$BA23-3)),"")</f>
        <v/>
      </c>
      <c r="V9" s="69">
        <f>IFERROR(IF(INDEX('Final Calculation Sheet'!$E$4:$E$40,$BA24-3)="","",INDEX('Final Calculation Sheet'!$E$4:$E$40,$BA24-3)),"")</f>
        <v/>
      </c>
      <c r="W9" s="541">
        <f>IFERROR(IF(INDEX('Final Calculation Sheet'!$E$4:$E$40,$BA25-3)="","",INDEX('Final Calculation Sheet'!$E$4:$E$40,$BA25-3)),"")</f>
        <v/>
      </c>
      <c r="X9" s="69">
        <f>IFERROR(IF(INDEX('Final Calculation Sheet'!$E$4:$E$40,$BA26-3)="","",INDEX('Final Calculation Sheet'!$E$4:$E$40,$BA26-3)),"")</f>
        <v/>
      </c>
      <c r="Y9" s="541">
        <f>IFERROR(IF(INDEX('Final Calculation Sheet'!$E$4:$E$40,$BA27-3)="","",INDEX('Final Calculation Sheet'!$E$4:$E$40,$BA27-3)),"")</f>
        <v/>
      </c>
      <c r="Z9" s="69">
        <f>IFERROR(IF(INDEX('Final Calculation Sheet'!$E$4:$E$40,$BA28-3)="","",INDEX('Final Calculation Sheet'!$E$4:$E$40,$BA28-3)),"")</f>
        <v/>
      </c>
      <c r="AA9" s="541">
        <f>IFERROR(IF(INDEX('Final Calculation Sheet'!$E$4:$E$40,$BA29-3)="","",INDEX('Final Calculation Sheet'!$E$4:$E$40,$BA29-3)),"")</f>
        <v/>
      </c>
      <c r="AB9" s="69">
        <f>IFERROR(IF(INDEX('Final Calculation Sheet'!$E$4:$E$40,$BA30-3)="","",INDEX('Final Calculation Sheet'!$E$4:$E$40,$BA30-3)),"")</f>
        <v/>
      </c>
      <c r="AC9" s="541">
        <f>IFERROR(IF(INDEX('Final Calculation Sheet'!$E$4:$E$40,$BA31-3)="","",INDEX('Final Calculation Sheet'!$E$4:$E$40,$BA31-3)),"")</f>
        <v/>
      </c>
      <c r="AD9" s="69">
        <f>IFERROR(IF(INDEX('Final Calculation Sheet'!$E$4:$E$40,$BA32-3)="","",INDEX('Final Calculation Sheet'!$E$4:$E$40,$BA32-3)),"")</f>
        <v/>
      </c>
      <c r="AE9" s="541">
        <f>IFERROR(IF(INDEX('Final Calculation Sheet'!$E$4:$E$40,$BA33-3)="","",INDEX('Final Calculation Sheet'!$E$4:$E$40,$BA33-3)),"")</f>
        <v/>
      </c>
      <c r="AF9" s="69">
        <f>IFERROR(IF(INDEX('Final Calculation Sheet'!$E$4:$E$40,$BA34-3)="","",INDEX('Final Calculation Sheet'!$E$4:$E$40,$BA34-3)),"")</f>
        <v/>
      </c>
      <c r="AG9" s="541">
        <f>IFERROR(IF(INDEX('Final Calculation Sheet'!$E$4:$E$40,$BA35-3)="","",INDEX('Final Calculation Sheet'!$E$4:$E$40,$BA35-3)),"")</f>
        <v/>
      </c>
      <c r="AH9" s="69">
        <f>IFERROR(IF(INDEX('Final Calculation Sheet'!$E$4:$E$40,$BA36-3)="","",INDEX('Final Calculation Sheet'!$E$4:$E$40,$BA36-3)),"")</f>
        <v/>
      </c>
      <c r="AI9" s="541">
        <f>IFERROR(IF(INDEX('Final Calculation Sheet'!$E$4:$E$40,$BA37-3)="","",INDEX('Final Calculation Sheet'!$E$4:$E$40,$BA37-3)),"")</f>
        <v/>
      </c>
      <c r="AJ9" s="69">
        <f>IFERROR(IF(INDEX('Final Calculation Sheet'!$E$4:$E$40,$BA38-3)="","",INDEX('Final Calculation Sheet'!$E$4:$E$40,$BA38-3)),"")</f>
        <v/>
      </c>
      <c r="AK9" s="541">
        <f>IFERROR(IF(INDEX('Final Calculation Sheet'!$E$4:$E$40,$BA39-3)="","",INDEX('Final Calculation Sheet'!$E$4:$E$40,$BA39-3)),"")</f>
        <v/>
      </c>
      <c r="AL9" s="69">
        <f>IFERROR(IF(INDEX('Final Calculation Sheet'!$E$4:$E$40,$BA40-3)="","",INDEX('Final Calculation Sheet'!$E$4:$E$40,$BA40-3)),"")</f>
        <v/>
      </c>
      <c r="AM9" s="542" t="inlineStr">
        <is>
          <t>–</t>
        </is>
      </c>
      <c r="AO9" t="inlineStr">
        <is>
          <t>Lot No.</t>
        </is>
      </c>
      <c r="AQ9" t="inlineStr">
        <is>
          <t>M I SCRAP TRADERS</t>
        </is>
      </c>
      <c r="AS9" t="inlineStr">
        <is>
          <t>&lt;=</t>
        </is>
      </c>
      <c r="AW9">
        <f>IF(OR($B$3="ALL BUYERS",'Final Calculation Sheet'!$G9=$B$3),IF($D$3="— no row filter —",1,IF($F$3="is blank",IF(INDEX('Final Calculation Sheet'!$A$4:$AG$40,9-3,$AU$2)="",1,0),IF($F$3="is not blank",IF(INDEX('Final Calculation Sheet'!$A$4:$AG$40,9-3,$AU$2)="",0,1),IF($F$3="contains",IF(ISNUMBER(SEARCH($H$3,INDEX('Final Calculation Sheet'!$A$4:$AG$40,9-3,$AU$2))),1,0),IF($F$3="=",IF(INDEX('Final Calculation Sheet'!$A$4:$AG$40,9-3,$AU$2)=$H$3,1,0),IF($F$3="&lt;&gt;",IF(INDEX('Final Calculation Sheet'!$A$4:$AG$40,9-3,$AU$2)=$H$3,0,1),IF($F$3="&gt;",IF(N(INDEX('Final Calculation Sheet'!$A$4:$AG$40,9-3,$AU$2))&gt;N($H$3),1,0),IF($F$3="&gt;=",IF(N(INDEX('Final Calculation Sheet'!$A$4:$AG$40,9-3,$AU$2))&gt;=N($H$3),1,0),IF($F$3="&lt;",IF(N(INDEX('Final Calculation Sheet'!$A$4:$AG$40,9-3,$AU$2))&lt;N($H$3),1,0),IF($F$3="&lt;=",IF(N(INDEX('Final Calculation Sheet'!$A$4:$AG$40,9-3,$AU$2))&lt;=N($H$3),1,0),0)))))))))),0)</f>
        <v/>
      </c>
      <c r="AY9">
        <f>IF(AW9=1,SUM($AW$4:AW9),"")</f>
        <v/>
      </c>
      <c r="BA9">
        <f>IFERROR(MATCH(6,$AY$4:$AY$40,0)+3,"")</f>
        <v/>
      </c>
    </row>
    <row r="10" ht="15" customHeight="1">
      <c r="A10" s="543" t="inlineStr">
        <is>
          <t>Lot No.</t>
        </is>
      </c>
      <c r="B10" s="69">
        <f>IFERROR(IF(INDEX('Final Calculation Sheet'!$F$4:$F$40,$BA4-3)="","",INDEX('Final Calculation Sheet'!$F$4:$F$40,$BA4-3)),"")</f>
        <v/>
      </c>
      <c r="C10" s="541">
        <f>IFERROR(IF(INDEX('Final Calculation Sheet'!$F$4:$F$40,$BA5-3)="","",INDEX('Final Calculation Sheet'!$F$4:$F$40,$BA5-3)),"")</f>
        <v/>
      </c>
      <c r="D10" s="69">
        <f>IFERROR(IF(INDEX('Final Calculation Sheet'!$F$4:$F$40,$BA6-3)="","",INDEX('Final Calculation Sheet'!$F$4:$F$40,$BA6-3)),"")</f>
        <v/>
      </c>
      <c r="E10" s="541">
        <f>IFERROR(IF(INDEX('Final Calculation Sheet'!$F$4:$F$40,$BA7-3)="","",INDEX('Final Calculation Sheet'!$F$4:$F$40,$BA7-3)),"")</f>
        <v/>
      </c>
      <c r="F10" s="69">
        <f>IFERROR(IF(INDEX('Final Calculation Sheet'!$F$4:$F$40,$BA8-3)="","",INDEX('Final Calculation Sheet'!$F$4:$F$40,$BA8-3)),"")</f>
        <v/>
      </c>
      <c r="G10" s="541">
        <f>IFERROR(IF(INDEX('Final Calculation Sheet'!$F$4:$F$40,$BA9-3)="","",INDEX('Final Calculation Sheet'!$F$4:$F$40,$BA9-3)),"")</f>
        <v/>
      </c>
      <c r="H10" s="69">
        <f>IFERROR(IF(INDEX('Final Calculation Sheet'!$F$4:$F$40,$BA10-3)="","",INDEX('Final Calculation Sheet'!$F$4:$F$40,$BA10-3)),"")</f>
        <v/>
      </c>
      <c r="I10" s="541">
        <f>IFERROR(IF(INDEX('Final Calculation Sheet'!$F$4:$F$40,$BA11-3)="","",INDEX('Final Calculation Sheet'!$F$4:$F$40,$BA11-3)),"")</f>
        <v/>
      </c>
      <c r="J10" s="69">
        <f>IFERROR(IF(INDEX('Final Calculation Sheet'!$F$4:$F$40,$BA12-3)="","",INDEX('Final Calculation Sheet'!$F$4:$F$40,$BA12-3)),"")</f>
        <v/>
      </c>
      <c r="K10" s="541">
        <f>IFERROR(IF(INDEX('Final Calculation Sheet'!$F$4:$F$40,$BA13-3)="","",INDEX('Final Calculation Sheet'!$F$4:$F$40,$BA13-3)),"")</f>
        <v/>
      </c>
      <c r="L10" s="69">
        <f>IFERROR(IF(INDEX('Final Calculation Sheet'!$F$4:$F$40,$BA14-3)="","",INDEX('Final Calculation Sheet'!$F$4:$F$40,$BA14-3)),"")</f>
        <v/>
      </c>
      <c r="M10" s="541">
        <f>IFERROR(IF(INDEX('Final Calculation Sheet'!$F$4:$F$40,$BA15-3)="","",INDEX('Final Calculation Sheet'!$F$4:$F$40,$BA15-3)),"")</f>
        <v/>
      </c>
      <c r="N10" s="69">
        <f>IFERROR(IF(INDEX('Final Calculation Sheet'!$F$4:$F$40,$BA16-3)="","",INDEX('Final Calculation Sheet'!$F$4:$F$40,$BA16-3)),"")</f>
        <v/>
      </c>
      <c r="O10" s="541">
        <f>IFERROR(IF(INDEX('Final Calculation Sheet'!$F$4:$F$40,$BA17-3)="","",INDEX('Final Calculation Sheet'!$F$4:$F$40,$BA17-3)),"")</f>
        <v/>
      </c>
      <c r="P10" s="69">
        <f>IFERROR(IF(INDEX('Final Calculation Sheet'!$F$4:$F$40,$BA18-3)="","",INDEX('Final Calculation Sheet'!$F$4:$F$40,$BA18-3)),"")</f>
        <v/>
      </c>
      <c r="Q10" s="541">
        <f>IFERROR(IF(INDEX('Final Calculation Sheet'!$F$4:$F$40,$BA19-3)="","",INDEX('Final Calculation Sheet'!$F$4:$F$40,$BA19-3)),"")</f>
        <v/>
      </c>
      <c r="R10" s="69">
        <f>IFERROR(IF(INDEX('Final Calculation Sheet'!$F$4:$F$40,$BA20-3)="","",INDEX('Final Calculation Sheet'!$F$4:$F$40,$BA20-3)),"")</f>
        <v/>
      </c>
      <c r="S10" s="541">
        <f>IFERROR(IF(INDEX('Final Calculation Sheet'!$F$4:$F$40,$BA21-3)="","",INDEX('Final Calculation Sheet'!$F$4:$F$40,$BA21-3)),"")</f>
        <v/>
      </c>
      <c r="T10" s="69">
        <f>IFERROR(IF(INDEX('Final Calculation Sheet'!$F$4:$F$40,$BA22-3)="","",INDEX('Final Calculation Sheet'!$F$4:$F$40,$BA22-3)),"")</f>
        <v/>
      </c>
      <c r="U10" s="541">
        <f>IFERROR(IF(INDEX('Final Calculation Sheet'!$F$4:$F$40,$BA23-3)="","",INDEX('Final Calculation Sheet'!$F$4:$F$40,$BA23-3)),"")</f>
        <v/>
      </c>
      <c r="V10" s="69">
        <f>IFERROR(IF(INDEX('Final Calculation Sheet'!$F$4:$F$40,$BA24-3)="","",INDEX('Final Calculation Sheet'!$F$4:$F$40,$BA24-3)),"")</f>
        <v/>
      </c>
      <c r="W10" s="541">
        <f>IFERROR(IF(INDEX('Final Calculation Sheet'!$F$4:$F$40,$BA25-3)="","",INDEX('Final Calculation Sheet'!$F$4:$F$40,$BA25-3)),"")</f>
        <v/>
      </c>
      <c r="X10" s="69">
        <f>IFERROR(IF(INDEX('Final Calculation Sheet'!$F$4:$F$40,$BA26-3)="","",INDEX('Final Calculation Sheet'!$F$4:$F$40,$BA26-3)),"")</f>
        <v/>
      </c>
      <c r="Y10" s="541">
        <f>IFERROR(IF(INDEX('Final Calculation Sheet'!$F$4:$F$40,$BA27-3)="","",INDEX('Final Calculation Sheet'!$F$4:$F$40,$BA27-3)),"")</f>
        <v/>
      </c>
      <c r="Z10" s="69">
        <f>IFERROR(IF(INDEX('Final Calculation Sheet'!$F$4:$F$40,$BA28-3)="","",INDEX('Final Calculation Sheet'!$F$4:$F$40,$BA28-3)),"")</f>
        <v/>
      </c>
      <c r="AA10" s="541">
        <f>IFERROR(IF(INDEX('Final Calculation Sheet'!$F$4:$F$40,$BA29-3)="","",INDEX('Final Calculation Sheet'!$F$4:$F$40,$BA29-3)),"")</f>
        <v/>
      </c>
      <c r="AB10" s="69">
        <f>IFERROR(IF(INDEX('Final Calculation Sheet'!$F$4:$F$40,$BA30-3)="","",INDEX('Final Calculation Sheet'!$F$4:$F$40,$BA30-3)),"")</f>
        <v/>
      </c>
      <c r="AC10" s="541">
        <f>IFERROR(IF(INDEX('Final Calculation Sheet'!$F$4:$F$40,$BA31-3)="","",INDEX('Final Calculation Sheet'!$F$4:$F$40,$BA31-3)),"")</f>
        <v/>
      </c>
      <c r="AD10" s="69">
        <f>IFERROR(IF(INDEX('Final Calculation Sheet'!$F$4:$F$40,$BA32-3)="","",INDEX('Final Calculation Sheet'!$F$4:$F$40,$BA32-3)),"")</f>
        <v/>
      </c>
      <c r="AE10" s="541">
        <f>IFERROR(IF(INDEX('Final Calculation Sheet'!$F$4:$F$40,$BA33-3)="","",INDEX('Final Calculation Sheet'!$F$4:$F$40,$BA33-3)),"")</f>
        <v/>
      </c>
      <c r="AF10" s="69">
        <f>IFERROR(IF(INDEX('Final Calculation Sheet'!$F$4:$F$40,$BA34-3)="","",INDEX('Final Calculation Sheet'!$F$4:$F$40,$BA34-3)),"")</f>
        <v/>
      </c>
      <c r="AG10" s="541">
        <f>IFERROR(IF(INDEX('Final Calculation Sheet'!$F$4:$F$40,$BA35-3)="","",INDEX('Final Calculation Sheet'!$F$4:$F$40,$BA35-3)),"")</f>
        <v/>
      </c>
      <c r="AH10" s="69">
        <f>IFERROR(IF(INDEX('Final Calculation Sheet'!$F$4:$F$40,$BA36-3)="","",INDEX('Final Calculation Sheet'!$F$4:$F$40,$BA36-3)),"")</f>
        <v/>
      </c>
      <c r="AI10" s="541">
        <f>IFERROR(IF(INDEX('Final Calculation Sheet'!$F$4:$F$40,$BA37-3)="","",INDEX('Final Calculation Sheet'!$F$4:$F$40,$BA37-3)),"")</f>
        <v/>
      </c>
      <c r="AJ10" s="69">
        <f>IFERROR(IF(INDEX('Final Calculation Sheet'!$F$4:$F$40,$BA38-3)="","",INDEX('Final Calculation Sheet'!$F$4:$F$40,$BA38-3)),"")</f>
        <v/>
      </c>
      <c r="AK10" s="541">
        <f>IFERROR(IF(INDEX('Final Calculation Sheet'!$F$4:$F$40,$BA39-3)="","",INDEX('Final Calculation Sheet'!$F$4:$F$40,$BA39-3)),"")</f>
        <v/>
      </c>
      <c r="AL10" s="69">
        <f>IFERROR(IF(INDEX('Final Calculation Sheet'!$F$4:$F$40,$BA40-3)="","",INDEX('Final Calculation Sheet'!$F$4:$F$40,$BA40-3)),"")</f>
        <v/>
      </c>
      <c r="AM10" s="542" t="inlineStr">
        <is>
          <t>–</t>
        </is>
      </c>
      <c r="AO10" t="inlineStr">
        <is>
          <t>Buyer</t>
        </is>
      </c>
      <c r="AQ10" t="inlineStr">
        <is>
          <t>NATIONAL ENTERPRISES</t>
        </is>
      </c>
      <c r="AS10" t="inlineStr">
        <is>
          <t>contains</t>
        </is>
      </c>
      <c r="AW10">
        <f>IF(OR($B$3="ALL BUYERS",'Final Calculation Sheet'!$G10=$B$3),IF($D$3="— no row filter —",1,IF($F$3="is blank",IF(INDEX('Final Calculation Sheet'!$A$4:$AG$40,10-3,$AU$2)="",1,0),IF($F$3="is not blank",IF(INDEX('Final Calculation Sheet'!$A$4:$AG$40,10-3,$AU$2)="",0,1),IF($F$3="contains",IF(ISNUMBER(SEARCH($H$3,INDEX('Final Calculation Sheet'!$A$4:$AG$40,10-3,$AU$2))),1,0),IF($F$3="=",IF(INDEX('Final Calculation Sheet'!$A$4:$AG$40,10-3,$AU$2)=$H$3,1,0),IF($F$3="&lt;&gt;",IF(INDEX('Final Calculation Sheet'!$A$4:$AG$40,10-3,$AU$2)=$H$3,0,1),IF($F$3="&gt;",IF(N(INDEX('Final Calculation Sheet'!$A$4:$AG$40,10-3,$AU$2))&gt;N($H$3),1,0),IF($F$3="&gt;=",IF(N(INDEX('Final Calculation Sheet'!$A$4:$AG$40,10-3,$AU$2))&gt;=N($H$3),1,0),IF($F$3="&lt;",IF(N(INDEX('Final Calculation Sheet'!$A$4:$AG$40,10-3,$AU$2))&lt;N($H$3),1,0),IF($F$3="&lt;=",IF(N(INDEX('Final Calculation Sheet'!$A$4:$AG$40,10-3,$AU$2))&lt;=N($H$3),1,0),0)))))))))),0)</f>
        <v/>
      </c>
      <c r="AY10">
        <f>IF(AW10=1,SUM($AW$4:AW10),"")</f>
        <v/>
      </c>
      <c r="BA10">
        <f>IFERROR(MATCH(7,$AY$4:$AY$40,0)+3,"")</f>
        <v/>
      </c>
    </row>
    <row r="11" ht="15" customHeight="1">
      <c r="A11" s="540" t="inlineStr">
        <is>
          <t>Buyer</t>
        </is>
      </c>
      <c r="B11" s="69">
        <f>IFERROR(IF(INDEX('Final Calculation Sheet'!$G$4:$G$40,$BA4-3)="","",INDEX('Final Calculation Sheet'!$G$4:$G$40,$BA4-3)),"")</f>
        <v/>
      </c>
      <c r="C11" s="541">
        <f>IFERROR(IF(INDEX('Final Calculation Sheet'!$G$4:$G$40,$BA5-3)="","",INDEX('Final Calculation Sheet'!$G$4:$G$40,$BA5-3)),"")</f>
        <v/>
      </c>
      <c r="D11" s="69">
        <f>IFERROR(IF(INDEX('Final Calculation Sheet'!$G$4:$G$40,$BA6-3)="","",INDEX('Final Calculation Sheet'!$G$4:$G$40,$BA6-3)),"")</f>
        <v/>
      </c>
      <c r="E11" s="541">
        <f>IFERROR(IF(INDEX('Final Calculation Sheet'!$G$4:$G$40,$BA7-3)="","",INDEX('Final Calculation Sheet'!$G$4:$G$40,$BA7-3)),"")</f>
        <v/>
      </c>
      <c r="F11" s="69">
        <f>IFERROR(IF(INDEX('Final Calculation Sheet'!$G$4:$G$40,$BA8-3)="","",INDEX('Final Calculation Sheet'!$G$4:$G$40,$BA8-3)),"")</f>
        <v/>
      </c>
      <c r="G11" s="541">
        <f>IFERROR(IF(INDEX('Final Calculation Sheet'!$G$4:$G$40,$BA9-3)="","",INDEX('Final Calculation Sheet'!$G$4:$G$40,$BA9-3)),"")</f>
        <v/>
      </c>
      <c r="H11" s="69">
        <f>IFERROR(IF(INDEX('Final Calculation Sheet'!$G$4:$G$40,$BA10-3)="","",INDEX('Final Calculation Sheet'!$G$4:$G$40,$BA10-3)),"")</f>
        <v/>
      </c>
      <c r="I11" s="541">
        <f>IFERROR(IF(INDEX('Final Calculation Sheet'!$G$4:$G$40,$BA11-3)="","",INDEX('Final Calculation Sheet'!$G$4:$G$40,$BA11-3)),"")</f>
        <v/>
      </c>
      <c r="J11" s="69">
        <f>IFERROR(IF(INDEX('Final Calculation Sheet'!$G$4:$G$40,$BA12-3)="","",INDEX('Final Calculation Sheet'!$G$4:$G$40,$BA12-3)),"")</f>
        <v/>
      </c>
      <c r="K11" s="541">
        <f>IFERROR(IF(INDEX('Final Calculation Sheet'!$G$4:$G$40,$BA13-3)="","",INDEX('Final Calculation Sheet'!$G$4:$G$40,$BA13-3)),"")</f>
        <v/>
      </c>
      <c r="L11" s="69">
        <f>IFERROR(IF(INDEX('Final Calculation Sheet'!$G$4:$G$40,$BA14-3)="","",INDEX('Final Calculation Sheet'!$G$4:$G$40,$BA14-3)),"")</f>
        <v/>
      </c>
      <c r="M11" s="541">
        <f>IFERROR(IF(INDEX('Final Calculation Sheet'!$G$4:$G$40,$BA15-3)="","",INDEX('Final Calculation Sheet'!$G$4:$G$40,$BA15-3)),"")</f>
        <v/>
      </c>
      <c r="N11" s="69">
        <f>IFERROR(IF(INDEX('Final Calculation Sheet'!$G$4:$G$40,$BA16-3)="","",INDEX('Final Calculation Sheet'!$G$4:$G$40,$BA16-3)),"")</f>
        <v/>
      </c>
      <c r="O11" s="541">
        <f>IFERROR(IF(INDEX('Final Calculation Sheet'!$G$4:$G$40,$BA17-3)="","",INDEX('Final Calculation Sheet'!$G$4:$G$40,$BA17-3)),"")</f>
        <v/>
      </c>
      <c r="P11" s="69">
        <f>IFERROR(IF(INDEX('Final Calculation Sheet'!$G$4:$G$40,$BA18-3)="","",INDEX('Final Calculation Sheet'!$G$4:$G$40,$BA18-3)),"")</f>
        <v/>
      </c>
      <c r="Q11" s="541">
        <f>IFERROR(IF(INDEX('Final Calculation Sheet'!$G$4:$G$40,$BA19-3)="","",INDEX('Final Calculation Sheet'!$G$4:$G$40,$BA19-3)),"")</f>
        <v/>
      </c>
      <c r="R11" s="69">
        <f>IFERROR(IF(INDEX('Final Calculation Sheet'!$G$4:$G$40,$BA20-3)="","",INDEX('Final Calculation Sheet'!$G$4:$G$40,$BA20-3)),"")</f>
        <v/>
      </c>
      <c r="S11" s="541">
        <f>IFERROR(IF(INDEX('Final Calculation Sheet'!$G$4:$G$40,$BA21-3)="","",INDEX('Final Calculation Sheet'!$G$4:$G$40,$BA21-3)),"")</f>
        <v/>
      </c>
      <c r="T11" s="69">
        <f>IFERROR(IF(INDEX('Final Calculation Sheet'!$G$4:$G$40,$BA22-3)="","",INDEX('Final Calculation Sheet'!$G$4:$G$40,$BA22-3)),"")</f>
        <v/>
      </c>
      <c r="U11" s="541">
        <f>IFERROR(IF(INDEX('Final Calculation Sheet'!$G$4:$G$40,$BA23-3)="","",INDEX('Final Calculation Sheet'!$G$4:$G$40,$BA23-3)),"")</f>
        <v/>
      </c>
      <c r="V11" s="69">
        <f>IFERROR(IF(INDEX('Final Calculation Sheet'!$G$4:$G$40,$BA24-3)="","",INDEX('Final Calculation Sheet'!$G$4:$G$40,$BA24-3)),"")</f>
        <v/>
      </c>
      <c r="W11" s="541">
        <f>IFERROR(IF(INDEX('Final Calculation Sheet'!$G$4:$G$40,$BA25-3)="","",INDEX('Final Calculation Sheet'!$G$4:$G$40,$BA25-3)),"")</f>
        <v/>
      </c>
      <c r="X11" s="69">
        <f>IFERROR(IF(INDEX('Final Calculation Sheet'!$G$4:$G$40,$BA26-3)="","",INDEX('Final Calculation Sheet'!$G$4:$G$40,$BA26-3)),"")</f>
        <v/>
      </c>
      <c r="Y11" s="541">
        <f>IFERROR(IF(INDEX('Final Calculation Sheet'!$G$4:$G$40,$BA27-3)="","",INDEX('Final Calculation Sheet'!$G$4:$G$40,$BA27-3)),"")</f>
        <v/>
      </c>
      <c r="Z11" s="69">
        <f>IFERROR(IF(INDEX('Final Calculation Sheet'!$G$4:$G$40,$BA28-3)="","",INDEX('Final Calculation Sheet'!$G$4:$G$40,$BA28-3)),"")</f>
        <v/>
      </c>
      <c r="AA11" s="541">
        <f>IFERROR(IF(INDEX('Final Calculation Sheet'!$G$4:$G$40,$BA29-3)="","",INDEX('Final Calculation Sheet'!$G$4:$G$40,$BA29-3)),"")</f>
        <v/>
      </c>
      <c r="AB11" s="69">
        <f>IFERROR(IF(INDEX('Final Calculation Sheet'!$G$4:$G$40,$BA30-3)="","",INDEX('Final Calculation Sheet'!$G$4:$G$40,$BA30-3)),"")</f>
        <v/>
      </c>
      <c r="AC11" s="541">
        <f>IFERROR(IF(INDEX('Final Calculation Sheet'!$G$4:$G$40,$BA31-3)="","",INDEX('Final Calculation Sheet'!$G$4:$G$40,$BA31-3)),"")</f>
        <v/>
      </c>
      <c r="AD11" s="69">
        <f>IFERROR(IF(INDEX('Final Calculation Sheet'!$G$4:$G$40,$BA32-3)="","",INDEX('Final Calculation Sheet'!$G$4:$G$40,$BA32-3)),"")</f>
        <v/>
      </c>
      <c r="AE11" s="541">
        <f>IFERROR(IF(INDEX('Final Calculation Sheet'!$G$4:$G$40,$BA33-3)="","",INDEX('Final Calculation Sheet'!$G$4:$G$40,$BA33-3)),"")</f>
        <v/>
      </c>
      <c r="AF11" s="69">
        <f>IFERROR(IF(INDEX('Final Calculation Sheet'!$G$4:$G$40,$BA34-3)="","",INDEX('Final Calculation Sheet'!$G$4:$G$40,$BA34-3)),"")</f>
        <v/>
      </c>
      <c r="AG11" s="541">
        <f>IFERROR(IF(INDEX('Final Calculation Sheet'!$G$4:$G$40,$BA35-3)="","",INDEX('Final Calculation Sheet'!$G$4:$G$40,$BA35-3)),"")</f>
        <v/>
      </c>
      <c r="AH11" s="69">
        <f>IFERROR(IF(INDEX('Final Calculation Sheet'!$G$4:$G$40,$BA36-3)="","",INDEX('Final Calculation Sheet'!$G$4:$G$40,$BA36-3)),"")</f>
        <v/>
      </c>
      <c r="AI11" s="541">
        <f>IFERROR(IF(INDEX('Final Calculation Sheet'!$G$4:$G$40,$BA37-3)="","",INDEX('Final Calculation Sheet'!$G$4:$G$40,$BA37-3)),"")</f>
        <v/>
      </c>
      <c r="AJ11" s="69">
        <f>IFERROR(IF(INDEX('Final Calculation Sheet'!$G$4:$G$40,$BA38-3)="","",INDEX('Final Calculation Sheet'!$G$4:$G$40,$BA38-3)),"")</f>
        <v/>
      </c>
      <c r="AK11" s="541">
        <f>IFERROR(IF(INDEX('Final Calculation Sheet'!$G$4:$G$40,$BA39-3)="","",INDEX('Final Calculation Sheet'!$G$4:$G$40,$BA39-3)),"")</f>
        <v/>
      </c>
      <c r="AL11" s="69">
        <f>IFERROR(IF(INDEX('Final Calculation Sheet'!$G$4:$G$40,$BA40-3)="","",INDEX('Final Calculation Sheet'!$G$4:$G$40,$BA40-3)),"")</f>
        <v/>
      </c>
      <c r="AM11" s="542" t="inlineStr">
        <is>
          <t>–</t>
        </is>
      </c>
      <c r="AO11" t="inlineStr">
        <is>
          <t>Mat. Value</t>
        </is>
      </c>
      <c r="AQ11" t="inlineStr">
        <is>
          <t>NATIONAL SCRAP AND BUILDING MATERIAL SUPPLIER</t>
        </is>
      </c>
      <c r="AS11" t="inlineStr">
        <is>
          <t>is blank</t>
        </is>
      </c>
      <c r="AW11">
        <f>IF(OR($B$3="ALL BUYERS",'Final Calculation Sheet'!$G11=$B$3),IF($D$3="— no row filter —",1,IF($F$3="is blank",IF(INDEX('Final Calculation Sheet'!$A$4:$AG$40,11-3,$AU$2)="",1,0),IF($F$3="is not blank",IF(INDEX('Final Calculation Sheet'!$A$4:$AG$40,11-3,$AU$2)="",0,1),IF($F$3="contains",IF(ISNUMBER(SEARCH($H$3,INDEX('Final Calculation Sheet'!$A$4:$AG$40,11-3,$AU$2))),1,0),IF($F$3="=",IF(INDEX('Final Calculation Sheet'!$A$4:$AG$40,11-3,$AU$2)=$H$3,1,0),IF($F$3="&lt;&gt;",IF(INDEX('Final Calculation Sheet'!$A$4:$AG$40,11-3,$AU$2)=$H$3,0,1),IF($F$3="&gt;",IF(N(INDEX('Final Calculation Sheet'!$A$4:$AG$40,11-3,$AU$2))&gt;N($H$3),1,0),IF($F$3="&gt;=",IF(N(INDEX('Final Calculation Sheet'!$A$4:$AG$40,11-3,$AU$2))&gt;=N($H$3),1,0),IF($F$3="&lt;",IF(N(INDEX('Final Calculation Sheet'!$A$4:$AG$40,11-3,$AU$2))&lt;N($H$3),1,0),IF($F$3="&lt;=",IF(N(INDEX('Final Calculation Sheet'!$A$4:$AG$40,11-3,$AU$2))&lt;=N($H$3),1,0),0)))))))))),0)</f>
        <v/>
      </c>
      <c r="AY11">
        <f>IF(AW11=1,SUM($AW$4:AW11),"")</f>
        <v/>
      </c>
      <c r="BA11">
        <f>IFERROR(MATCH(8,$AY$4:$AY$40,0)+3,"")</f>
        <v/>
      </c>
    </row>
    <row r="12" ht="15" customHeight="1">
      <c r="A12" s="543" t="inlineStr">
        <is>
          <t>Mat. Value</t>
        </is>
      </c>
      <c r="B12" s="544">
        <f>IFERROR(IF(INDEX('Final Calculation Sheet'!$H$4:$H$40,$BA4-3)="","",INDEX('Final Calculation Sheet'!$H$4:$H$40,$BA4-3)),"")</f>
        <v/>
      </c>
      <c r="C12" s="545">
        <f>IFERROR(IF(INDEX('Final Calculation Sheet'!$H$4:$H$40,$BA5-3)="","",INDEX('Final Calculation Sheet'!$H$4:$H$40,$BA5-3)),"")</f>
        <v/>
      </c>
      <c r="D12" s="544">
        <f>IFERROR(IF(INDEX('Final Calculation Sheet'!$H$4:$H$40,$BA6-3)="","",INDEX('Final Calculation Sheet'!$H$4:$H$40,$BA6-3)),"")</f>
        <v/>
      </c>
      <c r="E12" s="545">
        <f>IFERROR(IF(INDEX('Final Calculation Sheet'!$H$4:$H$40,$BA7-3)="","",INDEX('Final Calculation Sheet'!$H$4:$H$40,$BA7-3)),"")</f>
        <v/>
      </c>
      <c r="F12" s="544">
        <f>IFERROR(IF(INDEX('Final Calculation Sheet'!$H$4:$H$40,$BA8-3)="","",INDEX('Final Calculation Sheet'!$H$4:$H$40,$BA8-3)),"")</f>
        <v/>
      </c>
      <c r="G12" s="545">
        <f>IFERROR(IF(INDEX('Final Calculation Sheet'!$H$4:$H$40,$BA9-3)="","",INDEX('Final Calculation Sheet'!$H$4:$H$40,$BA9-3)),"")</f>
        <v/>
      </c>
      <c r="H12" s="544">
        <f>IFERROR(IF(INDEX('Final Calculation Sheet'!$H$4:$H$40,$BA10-3)="","",INDEX('Final Calculation Sheet'!$H$4:$H$40,$BA10-3)),"")</f>
        <v/>
      </c>
      <c r="I12" s="545">
        <f>IFERROR(IF(INDEX('Final Calculation Sheet'!$H$4:$H$40,$BA11-3)="","",INDEX('Final Calculation Sheet'!$H$4:$H$40,$BA11-3)),"")</f>
        <v/>
      </c>
      <c r="J12" s="544">
        <f>IFERROR(IF(INDEX('Final Calculation Sheet'!$H$4:$H$40,$BA12-3)="","",INDEX('Final Calculation Sheet'!$H$4:$H$40,$BA12-3)),"")</f>
        <v/>
      </c>
      <c r="K12" s="545">
        <f>IFERROR(IF(INDEX('Final Calculation Sheet'!$H$4:$H$40,$BA13-3)="","",INDEX('Final Calculation Sheet'!$H$4:$H$40,$BA13-3)),"")</f>
        <v/>
      </c>
      <c r="L12" s="544">
        <f>IFERROR(IF(INDEX('Final Calculation Sheet'!$H$4:$H$40,$BA14-3)="","",INDEX('Final Calculation Sheet'!$H$4:$H$40,$BA14-3)),"")</f>
        <v/>
      </c>
      <c r="M12" s="545">
        <f>IFERROR(IF(INDEX('Final Calculation Sheet'!$H$4:$H$40,$BA15-3)="","",INDEX('Final Calculation Sheet'!$H$4:$H$40,$BA15-3)),"")</f>
        <v/>
      </c>
      <c r="N12" s="544">
        <f>IFERROR(IF(INDEX('Final Calculation Sheet'!$H$4:$H$40,$BA16-3)="","",INDEX('Final Calculation Sheet'!$H$4:$H$40,$BA16-3)),"")</f>
        <v/>
      </c>
      <c r="O12" s="545">
        <f>IFERROR(IF(INDEX('Final Calculation Sheet'!$H$4:$H$40,$BA17-3)="","",INDEX('Final Calculation Sheet'!$H$4:$H$40,$BA17-3)),"")</f>
        <v/>
      </c>
      <c r="P12" s="544">
        <f>IFERROR(IF(INDEX('Final Calculation Sheet'!$H$4:$H$40,$BA18-3)="","",INDEX('Final Calculation Sheet'!$H$4:$H$40,$BA18-3)),"")</f>
        <v/>
      </c>
      <c r="Q12" s="545">
        <f>IFERROR(IF(INDEX('Final Calculation Sheet'!$H$4:$H$40,$BA19-3)="","",INDEX('Final Calculation Sheet'!$H$4:$H$40,$BA19-3)),"")</f>
        <v/>
      </c>
      <c r="R12" s="544">
        <f>IFERROR(IF(INDEX('Final Calculation Sheet'!$H$4:$H$40,$BA20-3)="","",INDEX('Final Calculation Sheet'!$H$4:$H$40,$BA20-3)),"")</f>
        <v/>
      </c>
      <c r="S12" s="545">
        <f>IFERROR(IF(INDEX('Final Calculation Sheet'!$H$4:$H$40,$BA21-3)="","",INDEX('Final Calculation Sheet'!$H$4:$H$40,$BA21-3)),"")</f>
        <v/>
      </c>
      <c r="T12" s="544">
        <f>IFERROR(IF(INDEX('Final Calculation Sheet'!$H$4:$H$40,$BA22-3)="","",INDEX('Final Calculation Sheet'!$H$4:$H$40,$BA22-3)),"")</f>
        <v/>
      </c>
      <c r="U12" s="545">
        <f>IFERROR(IF(INDEX('Final Calculation Sheet'!$H$4:$H$40,$BA23-3)="","",INDEX('Final Calculation Sheet'!$H$4:$H$40,$BA23-3)),"")</f>
        <v/>
      </c>
      <c r="V12" s="544">
        <f>IFERROR(IF(INDEX('Final Calculation Sheet'!$H$4:$H$40,$BA24-3)="","",INDEX('Final Calculation Sheet'!$H$4:$H$40,$BA24-3)),"")</f>
        <v/>
      </c>
      <c r="W12" s="545">
        <f>IFERROR(IF(INDEX('Final Calculation Sheet'!$H$4:$H$40,$BA25-3)="","",INDEX('Final Calculation Sheet'!$H$4:$H$40,$BA25-3)),"")</f>
        <v/>
      </c>
      <c r="X12" s="544">
        <f>IFERROR(IF(INDEX('Final Calculation Sheet'!$H$4:$H$40,$BA26-3)="","",INDEX('Final Calculation Sheet'!$H$4:$H$40,$BA26-3)),"")</f>
        <v/>
      </c>
      <c r="Y12" s="545">
        <f>IFERROR(IF(INDEX('Final Calculation Sheet'!$H$4:$H$40,$BA27-3)="","",INDEX('Final Calculation Sheet'!$H$4:$H$40,$BA27-3)),"")</f>
        <v/>
      </c>
      <c r="Z12" s="544">
        <f>IFERROR(IF(INDEX('Final Calculation Sheet'!$H$4:$H$40,$BA28-3)="","",INDEX('Final Calculation Sheet'!$H$4:$H$40,$BA28-3)),"")</f>
        <v/>
      </c>
      <c r="AA12" s="545">
        <f>IFERROR(IF(INDEX('Final Calculation Sheet'!$H$4:$H$40,$BA29-3)="","",INDEX('Final Calculation Sheet'!$H$4:$H$40,$BA29-3)),"")</f>
        <v/>
      </c>
      <c r="AB12" s="544">
        <f>IFERROR(IF(INDEX('Final Calculation Sheet'!$H$4:$H$40,$BA30-3)="","",INDEX('Final Calculation Sheet'!$H$4:$H$40,$BA30-3)),"")</f>
        <v/>
      </c>
      <c r="AC12" s="545">
        <f>IFERROR(IF(INDEX('Final Calculation Sheet'!$H$4:$H$40,$BA31-3)="","",INDEX('Final Calculation Sheet'!$H$4:$H$40,$BA31-3)),"")</f>
        <v/>
      </c>
      <c r="AD12" s="544">
        <f>IFERROR(IF(INDEX('Final Calculation Sheet'!$H$4:$H$40,$BA32-3)="","",INDEX('Final Calculation Sheet'!$H$4:$H$40,$BA32-3)),"")</f>
        <v/>
      </c>
      <c r="AE12" s="545">
        <f>IFERROR(IF(INDEX('Final Calculation Sheet'!$H$4:$H$40,$BA33-3)="","",INDEX('Final Calculation Sheet'!$H$4:$H$40,$BA33-3)),"")</f>
        <v/>
      </c>
      <c r="AF12" s="544">
        <f>IFERROR(IF(INDEX('Final Calculation Sheet'!$H$4:$H$40,$BA34-3)="","",INDEX('Final Calculation Sheet'!$H$4:$H$40,$BA34-3)),"")</f>
        <v/>
      </c>
      <c r="AG12" s="545">
        <f>IFERROR(IF(INDEX('Final Calculation Sheet'!$H$4:$H$40,$BA35-3)="","",INDEX('Final Calculation Sheet'!$H$4:$H$40,$BA35-3)),"")</f>
        <v/>
      </c>
      <c r="AH12" s="544">
        <f>IFERROR(IF(INDEX('Final Calculation Sheet'!$H$4:$H$40,$BA36-3)="","",INDEX('Final Calculation Sheet'!$H$4:$H$40,$BA36-3)),"")</f>
        <v/>
      </c>
      <c r="AI12" s="545">
        <f>IFERROR(IF(INDEX('Final Calculation Sheet'!$H$4:$H$40,$BA37-3)="","",INDEX('Final Calculation Sheet'!$H$4:$H$40,$BA37-3)),"")</f>
        <v/>
      </c>
      <c r="AJ12" s="544">
        <f>IFERROR(IF(INDEX('Final Calculation Sheet'!$H$4:$H$40,$BA38-3)="","",INDEX('Final Calculation Sheet'!$H$4:$H$40,$BA38-3)),"")</f>
        <v/>
      </c>
      <c r="AK12" s="545">
        <f>IFERROR(IF(INDEX('Final Calculation Sheet'!$H$4:$H$40,$BA39-3)="","",INDEX('Final Calculation Sheet'!$H$4:$H$40,$BA39-3)),"")</f>
        <v/>
      </c>
      <c r="AL12" s="544">
        <f>IFERROR(IF(INDEX('Final Calculation Sheet'!$H$4:$H$40,$BA40-3)="","",INDEX('Final Calculation Sheet'!$H$4:$H$40,$BA40-3)),"")</f>
        <v/>
      </c>
      <c r="AM12" s="546">
        <f>IF(COUNT(B12:AL12)=0,"",SUM(B12:AL12))</f>
        <v/>
      </c>
      <c r="AO12" t="inlineStr">
        <is>
          <t>GST</t>
        </is>
      </c>
      <c r="AQ12" t="inlineStr">
        <is>
          <t>OMKAR STEELS</t>
        </is>
      </c>
      <c r="AS12" t="inlineStr">
        <is>
          <t>is not blank</t>
        </is>
      </c>
      <c r="AW12">
        <f>IF(OR($B$3="ALL BUYERS",'Final Calculation Sheet'!$G12=$B$3),IF($D$3="— no row filter —",1,IF($F$3="is blank",IF(INDEX('Final Calculation Sheet'!$A$4:$AG$40,12-3,$AU$2)="",1,0),IF($F$3="is not blank",IF(INDEX('Final Calculation Sheet'!$A$4:$AG$40,12-3,$AU$2)="",0,1),IF($F$3="contains",IF(ISNUMBER(SEARCH($H$3,INDEX('Final Calculation Sheet'!$A$4:$AG$40,12-3,$AU$2))),1,0),IF($F$3="=",IF(INDEX('Final Calculation Sheet'!$A$4:$AG$40,12-3,$AU$2)=$H$3,1,0),IF($F$3="&lt;&gt;",IF(INDEX('Final Calculation Sheet'!$A$4:$AG$40,12-3,$AU$2)=$H$3,0,1),IF($F$3="&gt;",IF(N(INDEX('Final Calculation Sheet'!$A$4:$AG$40,12-3,$AU$2))&gt;N($H$3),1,0),IF($F$3="&gt;=",IF(N(INDEX('Final Calculation Sheet'!$A$4:$AG$40,12-3,$AU$2))&gt;=N($H$3),1,0),IF($F$3="&lt;",IF(N(INDEX('Final Calculation Sheet'!$A$4:$AG$40,12-3,$AU$2))&lt;N($H$3),1,0),IF($F$3="&lt;=",IF(N(INDEX('Final Calculation Sheet'!$A$4:$AG$40,12-3,$AU$2))&lt;=N($H$3),1,0),0)))))))))),0)</f>
        <v/>
      </c>
      <c r="AY12">
        <f>IF(AW12=1,SUM($AW$4:AW12),"")</f>
        <v/>
      </c>
      <c r="BA12">
        <f>IFERROR(MATCH(9,$AY$4:$AY$40,0)+3,"")</f>
        <v/>
      </c>
    </row>
    <row r="13" ht="15" customHeight="1">
      <c r="A13" s="540" t="inlineStr">
        <is>
          <t>GST</t>
        </is>
      </c>
      <c r="B13" s="544">
        <f>IFERROR(IF(INDEX('Final Calculation Sheet'!$I$4:$I$40,$BA4-3)="","",INDEX('Final Calculation Sheet'!$I$4:$I$40,$BA4-3)),"")</f>
        <v/>
      </c>
      <c r="C13" s="545">
        <f>IFERROR(IF(INDEX('Final Calculation Sheet'!$I$4:$I$40,$BA5-3)="","",INDEX('Final Calculation Sheet'!$I$4:$I$40,$BA5-3)),"")</f>
        <v/>
      </c>
      <c r="D13" s="544">
        <f>IFERROR(IF(INDEX('Final Calculation Sheet'!$I$4:$I$40,$BA6-3)="","",INDEX('Final Calculation Sheet'!$I$4:$I$40,$BA6-3)),"")</f>
        <v/>
      </c>
      <c r="E13" s="545">
        <f>IFERROR(IF(INDEX('Final Calculation Sheet'!$I$4:$I$40,$BA7-3)="","",INDEX('Final Calculation Sheet'!$I$4:$I$40,$BA7-3)),"")</f>
        <v/>
      </c>
      <c r="F13" s="544">
        <f>IFERROR(IF(INDEX('Final Calculation Sheet'!$I$4:$I$40,$BA8-3)="","",INDEX('Final Calculation Sheet'!$I$4:$I$40,$BA8-3)),"")</f>
        <v/>
      </c>
      <c r="G13" s="545">
        <f>IFERROR(IF(INDEX('Final Calculation Sheet'!$I$4:$I$40,$BA9-3)="","",INDEX('Final Calculation Sheet'!$I$4:$I$40,$BA9-3)),"")</f>
        <v/>
      </c>
      <c r="H13" s="544">
        <f>IFERROR(IF(INDEX('Final Calculation Sheet'!$I$4:$I$40,$BA10-3)="","",INDEX('Final Calculation Sheet'!$I$4:$I$40,$BA10-3)),"")</f>
        <v/>
      </c>
      <c r="I13" s="545">
        <f>IFERROR(IF(INDEX('Final Calculation Sheet'!$I$4:$I$40,$BA11-3)="","",INDEX('Final Calculation Sheet'!$I$4:$I$40,$BA11-3)),"")</f>
        <v/>
      </c>
      <c r="J13" s="544">
        <f>IFERROR(IF(INDEX('Final Calculation Sheet'!$I$4:$I$40,$BA12-3)="","",INDEX('Final Calculation Sheet'!$I$4:$I$40,$BA12-3)),"")</f>
        <v/>
      </c>
      <c r="K13" s="545">
        <f>IFERROR(IF(INDEX('Final Calculation Sheet'!$I$4:$I$40,$BA13-3)="","",INDEX('Final Calculation Sheet'!$I$4:$I$40,$BA13-3)),"")</f>
        <v/>
      </c>
      <c r="L13" s="544">
        <f>IFERROR(IF(INDEX('Final Calculation Sheet'!$I$4:$I$40,$BA14-3)="","",INDEX('Final Calculation Sheet'!$I$4:$I$40,$BA14-3)),"")</f>
        <v/>
      </c>
      <c r="M13" s="545">
        <f>IFERROR(IF(INDEX('Final Calculation Sheet'!$I$4:$I$40,$BA15-3)="","",INDEX('Final Calculation Sheet'!$I$4:$I$40,$BA15-3)),"")</f>
        <v/>
      </c>
      <c r="N13" s="544">
        <f>IFERROR(IF(INDEX('Final Calculation Sheet'!$I$4:$I$40,$BA16-3)="","",INDEX('Final Calculation Sheet'!$I$4:$I$40,$BA16-3)),"")</f>
        <v/>
      </c>
      <c r="O13" s="545">
        <f>IFERROR(IF(INDEX('Final Calculation Sheet'!$I$4:$I$40,$BA17-3)="","",INDEX('Final Calculation Sheet'!$I$4:$I$40,$BA17-3)),"")</f>
        <v/>
      </c>
      <c r="P13" s="544">
        <f>IFERROR(IF(INDEX('Final Calculation Sheet'!$I$4:$I$40,$BA18-3)="","",INDEX('Final Calculation Sheet'!$I$4:$I$40,$BA18-3)),"")</f>
        <v/>
      </c>
      <c r="Q13" s="545">
        <f>IFERROR(IF(INDEX('Final Calculation Sheet'!$I$4:$I$40,$BA19-3)="","",INDEX('Final Calculation Sheet'!$I$4:$I$40,$BA19-3)),"")</f>
        <v/>
      </c>
      <c r="R13" s="544">
        <f>IFERROR(IF(INDEX('Final Calculation Sheet'!$I$4:$I$40,$BA20-3)="","",INDEX('Final Calculation Sheet'!$I$4:$I$40,$BA20-3)),"")</f>
        <v/>
      </c>
      <c r="S13" s="545">
        <f>IFERROR(IF(INDEX('Final Calculation Sheet'!$I$4:$I$40,$BA21-3)="","",INDEX('Final Calculation Sheet'!$I$4:$I$40,$BA21-3)),"")</f>
        <v/>
      </c>
      <c r="T13" s="544">
        <f>IFERROR(IF(INDEX('Final Calculation Sheet'!$I$4:$I$40,$BA22-3)="","",INDEX('Final Calculation Sheet'!$I$4:$I$40,$BA22-3)),"")</f>
        <v/>
      </c>
      <c r="U13" s="545">
        <f>IFERROR(IF(INDEX('Final Calculation Sheet'!$I$4:$I$40,$BA23-3)="","",INDEX('Final Calculation Sheet'!$I$4:$I$40,$BA23-3)),"")</f>
        <v/>
      </c>
      <c r="V13" s="544">
        <f>IFERROR(IF(INDEX('Final Calculation Sheet'!$I$4:$I$40,$BA24-3)="","",INDEX('Final Calculation Sheet'!$I$4:$I$40,$BA24-3)),"")</f>
        <v/>
      </c>
      <c r="W13" s="545">
        <f>IFERROR(IF(INDEX('Final Calculation Sheet'!$I$4:$I$40,$BA25-3)="","",INDEX('Final Calculation Sheet'!$I$4:$I$40,$BA25-3)),"")</f>
        <v/>
      </c>
      <c r="X13" s="544">
        <f>IFERROR(IF(INDEX('Final Calculation Sheet'!$I$4:$I$40,$BA26-3)="","",INDEX('Final Calculation Sheet'!$I$4:$I$40,$BA26-3)),"")</f>
        <v/>
      </c>
      <c r="Y13" s="545">
        <f>IFERROR(IF(INDEX('Final Calculation Sheet'!$I$4:$I$40,$BA27-3)="","",INDEX('Final Calculation Sheet'!$I$4:$I$40,$BA27-3)),"")</f>
        <v/>
      </c>
      <c r="Z13" s="544">
        <f>IFERROR(IF(INDEX('Final Calculation Sheet'!$I$4:$I$40,$BA28-3)="","",INDEX('Final Calculation Sheet'!$I$4:$I$40,$BA28-3)),"")</f>
        <v/>
      </c>
      <c r="AA13" s="545">
        <f>IFERROR(IF(INDEX('Final Calculation Sheet'!$I$4:$I$40,$BA29-3)="","",INDEX('Final Calculation Sheet'!$I$4:$I$40,$BA29-3)),"")</f>
        <v/>
      </c>
      <c r="AB13" s="544">
        <f>IFERROR(IF(INDEX('Final Calculation Sheet'!$I$4:$I$40,$BA30-3)="","",INDEX('Final Calculation Sheet'!$I$4:$I$40,$BA30-3)),"")</f>
        <v/>
      </c>
      <c r="AC13" s="545">
        <f>IFERROR(IF(INDEX('Final Calculation Sheet'!$I$4:$I$40,$BA31-3)="","",INDEX('Final Calculation Sheet'!$I$4:$I$40,$BA31-3)),"")</f>
        <v/>
      </c>
      <c r="AD13" s="544">
        <f>IFERROR(IF(INDEX('Final Calculation Sheet'!$I$4:$I$40,$BA32-3)="","",INDEX('Final Calculation Sheet'!$I$4:$I$40,$BA32-3)),"")</f>
        <v/>
      </c>
      <c r="AE13" s="545">
        <f>IFERROR(IF(INDEX('Final Calculation Sheet'!$I$4:$I$40,$BA33-3)="","",INDEX('Final Calculation Sheet'!$I$4:$I$40,$BA33-3)),"")</f>
        <v/>
      </c>
      <c r="AF13" s="544">
        <f>IFERROR(IF(INDEX('Final Calculation Sheet'!$I$4:$I$40,$BA34-3)="","",INDEX('Final Calculation Sheet'!$I$4:$I$40,$BA34-3)),"")</f>
        <v/>
      </c>
      <c r="AG13" s="545">
        <f>IFERROR(IF(INDEX('Final Calculation Sheet'!$I$4:$I$40,$BA35-3)="","",INDEX('Final Calculation Sheet'!$I$4:$I$40,$BA35-3)),"")</f>
        <v/>
      </c>
      <c r="AH13" s="544">
        <f>IFERROR(IF(INDEX('Final Calculation Sheet'!$I$4:$I$40,$BA36-3)="","",INDEX('Final Calculation Sheet'!$I$4:$I$40,$BA36-3)),"")</f>
        <v/>
      </c>
      <c r="AI13" s="545">
        <f>IFERROR(IF(INDEX('Final Calculation Sheet'!$I$4:$I$40,$BA37-3)="","",INDEX('Final Calculation Sheet'!$I$4:$I$40,$BA37-3)),"")</f>
        <v/>
      </c>
      <c r="AJ13" s="544">
        <f>IFERROR(IF(INDEX('Final Calculation Sheet'!$I$4:$I$40,$BA38-3)="","",INDEX('Final Calculation Sheet'!$I$4:$I$40,$BA38-3)),"")</f>
        <v/>
      </c>
      <c r="AK13" s="545">
        <f>IFERROR(IF(INDEX('Final Calculation Sheet'!$I$4:$I$40,$BA39-3)="","",INDEX('Final Calculation Sheet'!$I$4:$I$40,$BA39-3)),"")</f>
        <v/>
      </c>
      <c r="AL13" s="544">
        <f>IFERROR(IF(INDEX('Final Calculation Sheet'!$I$4:$I$40,$BA40-3)="","",INDEX('Final Calculation Sheet'!$I$4:$I$40,$BA40-3)),"")</f>
        <v/>
      </c>
      <c r="AM13" s="546">
        <f>IF(COUNT(B13:AL13)=0,"",SUM(B13:AL13))</f>
        <v/>
      </c>
      <c r="AO13" t="inlineStr">
        <is>
          <t>Mat. Value + GST</t>
        </is>
      </c>
      <c r="AQ13" t="inlineStr">
        <is>
          <t>S M ENTERPRISES</t>
        </is>
      </c>
      <c r="AW13">
        <f>IF(OR($B$3="ALL BUYERS",'Final Calculation Sheet'!$G13=$B$3),IF($D$3="— no row filter —",1,IF($F$3="is blank",IF(INDEX('Final Calculation Sheet'!$A$4:$AG$40,13-3,$AU$2)="",1,0),IF($F$3="is not blank",IF(INDEX('Final Calculation Sheet'!$A$4:$AG$40,13-3,$AU$2)="",0,1),IF($F$3="contains",IF(ISNUMBER(SEARCH($H$3,INDEX('Final Calculation Sheet'!$A$4:$AG$40,13-3,$AU$2))),1,0),IF($F$3="=",IF(INDEX('Final Calculation Sheet'!$A$4:$AG$40,13-3,$AU$2)=$H$3,1,0),IF($F$3="&lt;&gt;",IF(INDEX('Final Calculation Sheet'!$A$4:$AG$40,13-3,$AU$2)=$H$3,0,1),IF($F$3="&gt;",IF(N(INDEX('Final Calculation Sheet'!$A$4:$AG$40,13-3,$AU$2))&gt;N($H$3),1,0),IF($F$3="&gt;=",IF(N(INDEX('Final Calculation Sheet'!$A$4:$AG$40,13-3,$AU$2))&gt;=N($H$3),1,0),IF($F$3="&lt;",IF(N(INDEX('Final Calculation Sheet'!$A$4:$AG$40,13-3,$AU$2))&lt;N($H$3),1,0),IF($F$3="&lt;=",IF(N(INDEX('Final Calculation Sheet'!$A$4:$AG$40,13-3,$AU$2))&lt;=N($H$3),1,0),0)))))))))),0)</f>
        <v/>
      </c>
      <c r="AY13">
        <f>IF(AW13=1,SUM($AW$4:AW13),"")</f>
        <v/>
      </c>
      <c r="BA13">
        <f>IFERROR(MATCH(10,$AY$4:$AY$40,0)+3,"")</f>
        <v/>
      </c>
    </row>
    <row r="14" ht="15" customHeight="1">
      <c r="A14" s="543" t="inlineStr">
        <is>
          <t>Mat. Value + GST</t>
        </is>
      </c>
      <c r="B14" s="544">
        <f>IFERROR(IF(INDEX('Final Calculation Sheet'!$J$4:$J$40,$BA4-3)="","",INDEX('Final Calculation Sheet'!$J$4:$J$40,$BA4-3)),"")</f>
        <v/>
      </c>
      <c r="C14" s="545">
        <f>IFERROR(IF(INDEX('Final Calculation Sheet'!$J$4:$J$40,$BA5-3)="","",INDEX('Final Calculation Sheet'!$J$4:$J$40,$BA5-3)),"")</f>
        <v/>
      </c>
      <c r="D14" s="544">
        <f>IFERROR(IF(INDEX('Final Calculation Sheet'!$J$4:$J$40,$BA6-3)="","",INDEX('Final Calculation Sheet'!$J$4:$J$40,$BA6-3)),"")</f>
        <v/>
      </c>
      <c r="E14" s="545">
        <f>IFERROR(IF(INDEX('Final Calculation Sheet'!$J$4:$J$40,$BA7-3)="","",INDEX('Final Calculation Sheet'!$J$4:$J$40,$BA7-3)),"")</f>
        <v/>
      </c>
      <c r="F14" s="544">
        <f>IFERROR(IF(INDEX('Final Calculation Sheet'!$J$4:$J$40,$BA8-3)="","",INDEX('Final Calculation Sheet'!$J$4:$J$40,$BA8-3)),"")</f>
        <v/>
      </c>
      <c r="G14" s="545">
        <f>IFERROR(IF(INDEX('Final Calculation Sheet'!$J$4:$J$40,$BA9-3)="","",INDEX('Final Calculation Sheet'!$J$4:$J$40,$BA9-3)),"")</f>
        <v/>
      </c>
      <c r="H14" s="544">
        <f>IFERROR(IF(INDEX('Final Calculation Sheet'!$J$4:$J$40,$BA10-3)="","",INDEX('Final Calculation Sheet'!$J$4:$J$40,$BA10-3)),"")</f>
        <v/>
      </c>
      <c r="I14" s="545">
        <f>IFERROR(IF(INDEX('Final Calculation Sheet'!$J$4:$J$40,$BA11-3)="","",INDEX('Final Calculation Sheet'!$J$4:$J$40,$BA11-3)),"")</f>
        <v/>
      </c>
      <c r="J14" s="544">
        <f>IFERROR(IF(INDEX('Final Calculation Sheet'!$J$4:$J$40,$BA12-3)="","",INDEX('Final Calculation Sheet'!$J$4:$J$40,$BA12-3)),"")</f>
        <v/>
      </c>
      <c r="K14" s="545">
        <f>IFERROR(IF(INDEX('Final Calculation Sheet'!$J$4:$J$40,$BA13-3)="","",INDEX('Final Calculation Sheet'!$J$4:$J$40,$BA13-3)),"")</f>
        <v/>
      </c>
      <c r="L14" s="544">
        <f>IFERROR(IF(INDEX('Final Calculation Sheet'!$J$4:$J$40,$BA14-3)="","",INDEX('Final Calculation Sheet'!$J$4:$J$40,$BA14-3)),"")</f>
        <v/>
      </c>
      <c r="M14" s="545">
        <f>IFERROR(IF(INDEX('Final Calculation Sheet'!$J$4:$J$40,$BA15-3)="","",INDEX('Final Calculation Sheet'!$J$4:$J$40,$BA15-3)),"")</f>
        <v/>
      </c>
      <c r="N14" s="544">
        <f>IFERROR(IF(INDEX('Final Calculation Sheet'!$J$4:$J$40,$BA16-3)="","",INDEX('Final Calculation Sheet'!$J$4:$J$40,$BA16-3)),"")</f>
        <v/>
      </c>
      <c r="O14" s="545">
        <f>IFERROR(IF(INDEX('Final Calculation Sheet'!$J$4:$J$40,$BA17-3)="","",INDEX('Final Calculation Sheet'!$J$4:$J$40,$BA17-3)),"")</f>
        <v/>
      </c>
      <c r="P14" s="544">
        <f>IFERROR(IF(INDEX('Final Calculation Sheet'!$J$4:$J$40,$BA18-3)="","",INDEX('Final Calculation Sheet'!$J$4:$J$40,$BA18-3)),"")</f>
        <v/>
      </c>
      <c r="Q14" s="545">
        <f>IFERROR(IF(INDEX('Final Calculation Sheet'!$J$4:$J$40,$BA19-3)="","",INDEX('Final Calculation Sheet'!$J$4:$J$40,$BA19-3)),"")</f>
        <v/>
      </c>
      <c r="R14" s="544">
        <f>IFERROR(IF(INDEX('Final Calculation Sheet'!$J$4:$J$40,$BA20-3)="","",INDEX('Final Calculation Sheet'!$J$4:$J$40,$BA20-3)),"")</f>
        <v/>
      </c>
      <c r="S14" s="545">
        <f>IFERROR(IF(INDEX('Final Calculation Sheet'!$J$4:$J$40,$BA21-3)="","",INDEX('Final Calculation Sheet'!$J$4:$J$40,$BA21-3)),"")</f>
        <v/>
      </c>
      <c r="T14" s="544">
        <f>IFERROR(IF(INDEX('Final Calculation Sheet'!$J$4:$J$40,$BA22-3)="","",INDEX('Final Calculation Sheet'!$J$4:$J$40,$BA22-3)),"")</f>
        <v/>
      </c>
      <c r="U14" s="545">
        <f>IFERROR(IF(INDEX('Final Calculation Sheet'!$J$4:$J$40,$BA23-3)="","",INDEX('Final Calculation Sheet'!$J$4:$J$40,$BA23-3)),"")</f>
        <v/>
      </c>
      <c r="V14" s="544">
        <f>IFERROR(IF(INDEX('Final Calculation Sheet'!$J$4:$J$40,$BA24-3)="","",INDEX('Final Calculation Sheet'!$J$4:$J$40,$BA24-3)),"")</f>
        <v/>
      </c>
      <c r="W14" s="545">
        <f>IFERROR(IF(INDEX('Final Calculation Sheet'!$J$4:$J$40,$BA25-3)="","",INDEX('Final Calculation Sheet'!$J$4:$J$40,$BA25-3)),"")</f>
        <v/>
      </c>
      <c r="X14" s="544">
        <f>IFERROR(IF(INDEX('Final Calculation Sheet'!$J$4:$J$40,$BA26-3)="","",INDEX('Final Calculation Sheet'!$J$4:$J$40,$BA26-3)),"")</f>
        <v/>
      </c>
      <c r="Y14" s="545">
        <f>IFERROR(IF(INDEX('Final Calculation Sheet'!$J$4:$J$40,$BA27-3)="","",INDEX('Final Calculation Sheet'!$J$4:$J$40,$BA27-3)),"")</f>
        <v/>
      </c>
      <c r="Z14" s="544">
        <f>IFERROR(IF(INDEX('Final Calculation Sheet'!$J$4:$J$40,$BA28-3)="","",INDEX('Final Calculation Sheet'!$J$4:$J$40,$BA28-3)),"")</f>
        <v/>
      </c>
      <c r="AA14" s="545">
        <f>IFERROR(IF(INDEX('Final Calculation Sheet'!$J$4:$J$40,$BA29-3)="","",INDEX('Final Calculation Sheet'!$J$4:$J$40,$BA29-3)),"")</f>
        <v/>
      </c>
      <c r="AB14" s="544">
        <f>IFERROR(IF(INDEX('Final Calculation Sheet'!$J$4:$J$40,$BA30-3)="","",INDEX('Final Calculation Sheet'!$J$4:$J$40,$BA30-3)),"")</f>
        <v/>
      </c>
      <c r="AC14" s="545">
        <f>IFERROR(IF(INDEX('Final Calculation Sheet'!$J$4:$J$40,$BA31-3)="","",INDEX('Final Calculation Sheet'!$J$4:$J$40,$BA31-3)),"")</f>
        <v/>
      </c>
      <c r="AD14" s="544">
        <f>IFERROR(IF(INDEX('Final Calculation Sheet'!$J$4:$J$40,$BA32-3)="","",INDEX('Final Calculation Sheet'!$J$4:$J$40,$BA32-3)),"")</f>
        <v/>
      </c>
      <c r="AE14" s="545">
        <f>IFERROR(IF(INDEX('Final Calculation Sheet'!$J$4:$J$40,$BA33-3)="","",INDEX('Final Calculation Sheet'!$J$4:$J$40,$BA33-3)),"")</f>
        <v/>
      </c>
      <c r="AF14" s="544">
        <f>IFERROR(IF(INDEX('Final Calculation Sheet'!$J$4:$J$40,$BA34-3)="","",INDEX('Final Calculation Sheet'!$J$4:$J$40,$BA34-3)),"")</f>
        <v/>
      </c>
      <c r="AG14" s="545">
        <f>IFERROR(IF(INDEX('Final Calculation Sheet'!$J$4:$J$40,$BA35-3)="","",INDEX('Final Calculation Sheet'!$J$4:$J$40,$BA35-3)),"")</f>
        <v/>
      </c>
      <c r="AH14" s="544">
        <f>IFERROR(IF(INDEX('Final Calculation Sheet'!$J$4:$J$40,$BA36-3)="","",INDEX('Final Calculation Sheet'!$J$4:$J$40,$BA36-3)),"")</f>
        <v/>
      </c>
      <c r="AI14" s="545">
        <f>IFERROR(IF(INDEX('Final Calculation Sheet'!$J$4:$J$40,$BA37-3)="","",INDEX('Final Calculation Sheet'!$J$4:$J$40,$BA37-3)),"")</f>
        <v/>
      </c>
      <c r="AJ14" s="544">
        <f>IFERROR(IF(INDEX('Final Calculation Sheet'!$J$4:$J$40,$BA38-3)="","",INDEX('Final Calculation Sheet'!$J$4:$J$40,$BA38-3)),"")</f>
        <v/>
      </c>
      <c r="AK14" s="545">
        <f>IFERROR(IF(INDEX('Final Calculation Sheet'!$J$4:$J$40,$BA39-3)="","",INDEX('Final Calculation Sheet'!$J$4:$J$40,$BA39-3)),"")</f>
        <v/>
      </c>
      <c r="AL14" s="544">
        <f>IFERROR(IF(INDEX('Final Calculation Sheet'!$J$4:$J$40,$BA40-3)="","",INDEX('Final Calculation Sheet'!$J$4:$J$40,$BA40-3)),"")</f>
        <v/>
      </c>
      <c r="AM14" s="546">
        <f>IF(COUNT(B14:AL14)=0,"",SUM(B14:AL14))</f>
        <v/>
      </c>
      <c r="AO14" t="inlineStr">
        <is>
          <t>TCS</t>
        </is>
      </c>
      <c r="AQ14" t="inlineStr">
        <is>
          <t>SAHARA ENTERPRISES</t>
        </is>
      </c>
      <c r="AW14">
        <f>IF(OR($B$3="ALL BUYERS",'Final Calculation Sheet'!$G14=$B$3),IF($D$3="— no row filter —",1,IF($F$3="is blank",IF(INDEX('Final Calculation Sheet'!$A$4:$AG$40,14-3,$AU$2)="",1,0),IF($F$3="is not blank",IF(INDEX('Final Calculation Sheet'!$A$4:$AG$40,14-3,$AU$2)="",0,1),IF($F$3="contains",IF(ISNUMBER(SEARCH($H$3,INDEX('Final Calculation Sheet'!$A$4:$AG$40,14-3,$AU$2))),1,0),IF($F$3="=",IF(INDEX('Final Calculation Sheet'!$A$4:$AG$40,14-3,$AU$2)=$H$3,1,0),IF($F$3="&lt;&gt;",IF(INDEX('Final Calculation Sheet'!$A$4:$AG$40,14-3,$AU$2)=$H$3,0,1),IF($F$3="&gt;",IF(N(INDEX('Final Calculation Sheet'!$A$4:$AG$40,14-3,$AU$2))&gt;N($H$3),1,0),IF($F$3="&gt;=",IF(N(INDEX('Final Calculation Sheet'!$A$4:$AG$40,14-3,$AU$2))&gt;=N($H$3),1,0),IF($F$3="&lt;",IF(N(INDEX('Final Calculation Sheet'!$A$4:$AG$40,14-3,$AU$2))&lt;N($H$3),1,0),IF($F$3="&lt;=",IF(N(INDEX('Final Calculation Sheet'!$A$4:$AG$40,14-3,$AU$2))&lt;=N($H$3),1,0),0)))))))))),0)</f>
        <v/>
      </c>
      <c r="AY14">
        <f>IF(AW14=1,SUM($AW$4:AW14),"")</f>
        <v/>
      </c>
      <c r="BA14">
        <f>IFERROR(MATCH(11,$AY$4:$AY$40,0)+3,"")</f>
        <v/>
      </c>
    </row>
    <row r="15" ht="15" customHeight="1">
      <c r="A15" s="540" t="inlineStr">
        <is>
          <t>TCS</t>
        </is>
      </c>
      <c r="B15" s="544">
        <f>IFERROR(IF(INDEX('Final Calculation Sheet'!$K$4:$K$40,$BA4-3)="","",INDEX('Final Calculation Sheet'!$K$4:$K$40,$BA4-3)),"")</f>
        <v/>
      </c>
      <c r="C15" s="545">
        <f>IFERROR(IF(INDEX('Final Calculation Sheet'!$K$4:$K$40,$BA5-3)="","",INDEX('Final Calculation Sheet'!$K$4:$K$40,$BA5-3)),"")</f>
        <v/>
      </c>
      <c r="D15" s="544">
        <f>IFERROR(IF(INDEX('Final Calculation Sheet'!$K$4:$K$40,$BA6-3)="","",INDEX('Final Calculation Sheet'!$K$4:$K$40,$BA6-3)),"")</f>
        <v/>
      </c>
      <c r="E15" s="545">
        <f>IFERROR(IF(INDEX('Final Calculation Sheet'!$K$4:$K$40,$BA7-3)="","",INDEX('Final Calculation Sheet'!$K$4:$K$40,$BA7-3)),"")</f>
        <v/>
      </c>
      <c r="F15" s="544">
        <f>IFERROR(IF(INDEX('Final Calculation Sheet'!$K$4:$K$40,$BA8-3)="","",INDEX('Final Calculation Sheet'!$K$4:$K$40,$BA8-3)),"")</f>
        <v/>
      </c>
      <c r="G15" s="545">
        <f>IFERROR(IF(INDEX('Final Calculation Sheet'!$K$4:$K$40,$BA9-3)="","",INDEX('Final Calculation Sheet'!$K$4:$K$40,$BA9-3)),"")</f>
        <v/>
      </c>
      <c r="H15" s="544">
        <f>IFERROR(IF(INDEX('Final Calculation Sheet'!$K$4:$K$40,$BA10-3)="","",INDEX('Final Calculation Sheet'!$K$4:$K$40,$BA10-3)),"")</f>
        <v/>
      </c>
      <c r="I15" s="545">
        <f>IFERROR(IF(INDEX('Final Calculation Sheet'!$K$4:$K$40,$BA11-3)="","",INDEX('Final Calculation Sheet'!$K$4:$K$40,$BA11-3)),"")</f>
        <v/>
      </c>
      <c r="J15" s="544">
        <f>IFERROR(IF(INDEX('Final Calculation Sheet'!$K$4:$K$40,$BA12-3)="","",INDEX('Final Calculation Sheet'!$K$4:$K$40,$BA12-3)),"")</f>
        <v/>
      </c>
      <c r="K15" s="545">
        <f>IFERROR(IF(INDEX('Final Calculation Sheet'!$K$4:$K$40,$BA13-3)="","",INDEX('Final Calculation Sheet'!$K$4:$K$40,$BA13-3)),"")</f>
        <v/>
      </c>
      <c r="L15" s="544">
        <f>IFERROR(IF(INDEX('Final Calculation Sheet'!$K$4:$K$40,$BA14-3)="","",INDEX('Final Calculation Sheet'!$K$4:$K$40,$BA14-3)),"")</f>
        <v/>
      </c>
      <c r="M15" s="545">
        <f>IFERROR(IF(INDEX('Final Calculation Sheet'!$K$4:$K$40,$BA15-3)="","",INDEX('Final Calculation Sheet'!$K$4:$K$40,$BA15-3)),"")</f>
        <v/>
      </c>
      <c r="N15" s="544">
        <f>IFERROR(IF(INDEX('Final Calculation Sheet'!$K$4:$K$40,$BA16-3)="","",INDEX('Final Calculation Sheet'!$K$4:$K$40,$BA16-3)),"")</f>
        <v/>
      </c>
      <c r="O15" s="545">
        <f>IFERROR(IF(INDEX('Final Calculation Sheet'!$K$4:$K$40,$BA17-3)="","",INDEX('Final Calculation Sheet'!$K$4:$K$40,$BA17-3)),"")</f>
        <v/>
      </c>
      <c r="P15" s="544">
        <f>IFERROR(IF(INDEX('Final Calculation Sheet'!$K$4:$K$40,$BA18-3)="","",INDEX('Final Calculation Sheet'!$K$4:$K$40,$BA18-3)),"")</f>
        <v/>
      </c>
      <c r="Q15" s="545">
        <f>IFERROR(IF(INDEX('Final Calculation Sheet'!$K$4:$K$40,$BA19-3)="","",INDEX('Final Calculation Sheet'!$K$4:$K$40,$BA19-3)),"")</f>
        <v/>
      </c>
      <c r="R15" s="544">
        <f>IFERROR(IF(INDEX('Final Calculation Sheet'!$K$4:$K$40,$BA20-3)="","",INDEX('Final Calculation Sheet'!$K$4:$K$40,$BA20-3)),"")</f>
        <v/>
      </c>
      <c r="S15" s="545">
        <f>IFERROR(IF(INDEX('Final Calculation Sheet'!$K$4:$K$40,$BA21-3)="","",INDEX('Final Calculation Sheet'!$K$4:$K$40,$BA21-3)),"")</f>
        <v/>
      </c>
      <c r="T15" s="544">
        <f>IFERROR(IF(INDEX('Final Calculation Sheet'!$K$4:$K$40,$BA22-3)="","",INDEX('Final Calculation Sheet'!$K$4:$K$40,$BA22-3)),"")</f>
        <v/>
      </c>
      <c r="U15" s="545">
        <f>IFERROR(IF(INDEX('Final Calculation Sheet'!$K$4:$K$40,$BA23-3)="","",INDEX('Final Calculation Sheet'!$K$4:$K$40,$BA23-3)),"")</f>
        <v/>
      </c>
      <c r="V15" s="544">
        <f>IFERROR(IF(INDEX('Final Calculation Sheet'!$K$4:$K$40,$BA24-3)="","",INDEX('Final Calculation Sheet'!$K$4:$K$40,$BA24-3)),"")</f>
        <v/>
      </c>
      <c r="W15" s="545">
        <f>IFERROR(IF(INDEX('Final Calculation Sheet'!$K$4:$K$40,$BA25-3)="","",INDEX('Final Calculation Sheet'!$K$4:$K$40,$BA25-3)),"")</f>
        <v/>
      </c>
      <c r="X15" s="544">
        <f>IFERROR(IF(INDEX('Final Calculation Sheet'!$K$4:$K$40,$BA26-3)="","",INDEX('Final Calculation Sheet'!$K$4:$K$40,$BA26-3)),"")</f>
        <v/>
      </c>
      <c r="Y15" s="545">
        <f>IFERROR(IF(INDEX('Final Calculation Sheet'!$K$4:$K$40,$BA27-3)="","",INDEX('Final Calculation Sheet'!$K$4:$K$40,$BA27-3)),"")</f>
        <v/>
      </c>
      <c r="Z15" s="544">
        <f>IFERROR(IF(INDEX('Final Calculation Sheet'!$K$4:$K$40,$BA28-3)="","",INDEX('Final Calculation Sheet'!$K$4:$K$40,$BA28-3)),"")</f>
        <v/>
      </c>
      <c r="AA15" s="545">
        <f>IFERROR(IF(INDEX('Final Calculation Sheet'!$K$4:$K$40,$BA29-3)="","",INDEX('Final Calculation Sheet'!$K$4:$K$40,$BA29-3)),"")</f>
        <v/>
      </c>
      <c r="AB15" s="544">
        <f>IFERROR(IF(INDEX('Final Calculation Sheet'!$K$4:$K$40,$BA30-3)="","",INDEX('Final Calculation Sheet'!$K$4:$K$40,$BA30-3)),"")</f>
        <v/>
      </c>
      <c r="AC15" s="545">
        <f>IFERROR(IF(INDEX('Final Calculation Sheet'!$K$4:$K$40,$BA31-3)="","",INDEX('Final Calculation Sheet'!$K$4:$K$40,$BA31-3)),"")</f>
        <v/>
      </c>
      <c r="AD15" s="544">
        <f>IFERROR(IF(INDEX('Final Calculation Sheet'!$K$4:$K$40,$BA32-3)="","",INDEX('Final Calculation Sheet'!$K$4:$K$40,$BA32-3)),"")</f>
        <v/>
      </c>
      <c r="AE15" s="545">
        <f>IFERROR(IF(INDEX('Final Calculation Sheet'!$K$4:$K$40,$BA33-3)="","",INDEX('Final Calculation Sheet'!$K$4:$K$40,$BA33-3)),"")</f>
        <v/>
      </c>
      <c r="AF15" s="544">
        <f>IFERROR(IF(INDEX('Final Calculation Sheet'!$K$4:$K$40,$BA34-3)="","",INDEX('Final Calculation Sheet'!$K$4:$K$40,$BA34-3)),"")</f>
        <v/>
      </c>
      <c r="AG15" s="545">
        <f>IFERROR(IF(INDEX('Final Calculation Sheet'!$K$4:$K$40,$BA35-3)="","",INDEX('Final Calculation Sheet'!$K$4:$K$40,$BA35-3)),"")</f>
        <v/>
      </c>
      <c r="AH15" s="544">
        <f>IFERROR(IF(INDEX('Final Calculation Sheet'!$K$4:$K$40,$BA36-3)="","",INDEX('Final Calculation Sheet'!$K$4:$K$40,$BA36-3)),"")</f>
        <v/>
      </c>
      <c r="AI15" s="545">
        <f>IFERROR(IF(INDEX('Final Calculation Sheet'!$K$4:$K$40,$BA37-3)="","",INDEX('Final Calculation Sheet'!$K$4:$K$40,$BA37-3)),"")</f>
        <v/>
      </c>
      <c r="AJ15" s="544">
        <f>IFERROR(IF(INDEX('Final Calculation Sheet'!$K$4:$K$40,$BA38-3)="","",INDEX('Final Calculation Sheet'!$K$4:$K$40,$BA38-3)),"")</f>
        <v/>
      </c>
      <c r="AK15" s="545">
        <f>IFERROR(IF(INDEX('Final Calculation Sheet'!$K$4:$K$40,$BA39-3)="","",INDEX('Final Calculation Sheet'!$K$4:$K$40,$BA39-3)),"")</f>
        <v/>
      </c>
      <c r="AL15" s="544">
        <f>IFERROR(IF(INDEX('Final Calculation Sheet'!$K$4:$K$40,$BA40-3)="","",INDEX('Final Calculation Sheet'!$K$4:$K$40,$BA40-3)),"")</f>
        <v/>
      </c>
      <c r="AM15" s="546">
        <f>IF(COUNT(B15:AL15)=0,"",SUM(B15:AL15))</f>
        <v/>
      </c>
      <c r="AO15" t="inlineStr">
        <is>
          <t>TDS u/s 194(O)</t>
        </is>
      </c>
      <c r="AQ15" t="inlineStr">
        <is>
          <t>SHAR JAHAN TRADERS</t>
        </is>
      </c>
      <c r="AW15">
        <f>IF(OR($B$3="ALL BUYERS",'Final Calculation Sheet'!$G15=$B$3),IF($D$3="— no row filter —",1,IF($F$3="is blank",IF(INDEX('Final Calculation Sheet'!$A$4:$AG$40,15-3,$AU$2)="",1,0),IF($F$3="is not blank",IF(INDEX('Final Calculation Sheet'!$A$4:$AG$40,15-3,$AU$2)="",0,1),IF($F$3="contains",IF(ISNUMBER(SEARCH($H$3,INDEX('Final Calculation Sheet'!$A$4:$AG$40,15-3,$AU$2))),1,0),IF($F$3="=",IF(INDEX('Final Calculation Sheet'!$A$4:$AG$40,15-3,$AU$2)=$H$3,1,0),IF($F$3="&lt;&gt;",IF(INDEX('Final Calculation Sheet'!$A$4:$AG$40,15-3,$AU$2)=$H$3,0,1),IF($F$3="&gt;",IF(N(INDEX('Final Calculation Sheet'!$A$4:$AG$40,15-3,$AU$2))&gt;N($H$3),1,0),IF($F$3="&gt;=",IF(N(INDEX('Final Calculation Sheet'!$A$4:$AG$40,15-3,$AU$2))&gt;=N($H$3),1,0),IF($F$3="&lt;",IF(N(INDEX('Final Calculation Sheet'!$A$4:$AG$40,15-3,$AU$2))&lt;N($H$3),1,0),IF($F$3="&lt;=",IF(N(INDEX('Final Calculation Sheet'!$A$4:$AG$40,15-3,$AU$2))&lt;=N($H$3),1,0),0)))))))))),0)</f>
        <v/>
      </c>
      <c r="AY15">
        <f>IF(AW15=1,SUM($AW$4:AW15),"")</f>
        <v/>
      </c>
      <c r="BA15">
        <f>IFERROR(MATCH(12,$AY$4:$AY$40,0)+3,"")</f>
        <v/>
      </c>
    </row>
    <row r="16" ht="15" customHeight="1">
      <c r="A16" s="543" t="inlineStr">
        <is>
          <t>TDS u/s 194(O)</t>
        </is>
      </c>
      <c r="B16" s="544">
        <f>IFERROR(IF(INDEX('Final Calculation Sheet'!$L$4:$L$40,$BA4-3)="","",INDEX('Final Calculation Sheet'!$L$4:$L$40,$BA4-3)),"")</f>
        <v/>
      </c>
      <c r="C16" s="545">
        <f>IFERROR(IF(INDEX('Final Calculation Sheet'!$L$4:$L$40,$BA5-3)="","",INDEX('Final Calculation Sheet'!$L$4:$L$40,$BA5-3)),"")</f>
        <v/>
      </c>
      <c r="D16" s="544">
        <f>IFERROR(IF(INDEX('Final Calculation Sheet'!$L$4:$L$40,$BA6-3)="","",INDEX('Final Calculation Sheet'!$L$4:$L$40,$BA6-3)),"")</f>
        <v/>
      </c>
      <c r="E16" s="545">
        <f>IFERROR(IF(INDEX('Final Calculation Sheet'!$L$4:$L$40,$BA7-3)="","",INDEX('Final Calculation Sheet'!$L$4:$L$40,$BA7-3)),"")</f>
        <v/>
      </c>
      <c r="F16" s="544">
        <f>IFERROR(IF(INDEX('Final Calculation Sheet'!$L$4:$L$40,$BA8-3)="","",INDEX('Final Calculation Sheet'!$L$4:$L$40,$BA8-3)),"")</f>
        <v/>
      </c>
      <c r="G16" s="545">
        <f>IFERROR(IF(INDEX('Final Calculation Sheet'!$L$4:$L$40,$BA9-3)="","",INDEX('Final Calculation Sheet'!$L$4:$L$40,$BA9-3)),"")</f>
        <v/>
      </c>
      <c r="H16" s="544">
        <f>IFERROR(IF(INDEX('Final Calculation Sheet'!$L$4:$L$40,$BA10-3)="","",INDEX('Final Calculation Sheet'!$L$4:$L$40,$BA10-3)),"")</f>
        <v/>
      </c>
      <c r="I16" s="545">
        <f>IFERROR(IF(INDEX('Final Calculation Sheet'!$L$4:$L$40,$BA11-3)="","",INDEX('Final Calculation Sheet'!$L$4:$L$40,$BA11-3)),"")</f>
        <v/>
      </c>
      <c r="J16" s="544">
        <f>IFERROR(IF(INDEX('Final Calculation Sheet'!$L$4:$L$40,$BA12-3)="","",INDEX('Final Calculation Sheet'!$L$4:$L$40,$BA12-3)),"")</f>
        <v/>
      </c>
      <c r="K16" s="545">
        <f>IFERROR(IF(INDEX('Final Calculation Sheet'!$L$4:$L$40,$BA13-3)="","",INDEX('Final Calculation Sheet'!$L$4:$L$40,$BA13-3)),"")</f>
        <v/>
      </c>
      <c r="L16" s="544">
        <f>IFERROR(IF(INDEX('Final Calculation Sheet'!$L$4:$L$40,$BA14-3)="","",INDEX('Final Calculation Sheet'!$L$4:$L$40,$BA14-3)),"")</f>
        <v/>
      </c>
      <c r="M16" s="545">
        <f>IFERROR(IF(INDEX('Final Calculation Sheet'!$L$4:$L$40,$BA15-3)="","",INDEX('Final Calculation Sheet'!$L$4:$L$40,$BA15-3)),"")</f>
        <v/>
      </c>
      <c r="N16" s="544">
        <f>IFERROR(IF(INDEX('Final Calculation Sheet'!$L$4:$L$40,$BA16-3)="","",INDEX('Final Calculation Sheet'!$L$4:$L$40,$BA16-3)),"")</f>
        <v/>
      </c>
      <c r="O16" s="545">
        <f>IFERROR(IF(INDEX('Final Calculation Sheet'!$L$4:$L$40,$BA17-3)="","",INDEX('Final Calculation Sheet'!$L$4:$L$40,$BA17-3)),"")</f>
        <v/>
      </c>
      <c r="P16" s="544">
        <f>IFERROR(IF(INDEX('Final Calculation Sheet'!$L$4:$L$40,$BA18-3)="","",INDEX('Final Calculation Sheet'!$L$4:$L$40,$BA18-3)),"")</f>
        <v/>
      </c>
      <c r="Q16" s="545">
        <f>IFERROR(IF(INDEX('Final Calculation Sheet'!$L$4:$L$40,$BA19-3)="","",INDEX('Final Calculation Sheet'!$L$4:$L$40,$BA19-3)),"")</f>
        <v/>
      </c>
      <c r="R16" s="544">
        <f>IFERROR(IF(INDEX('Final Calculation Sheet'!$L$4:$L$40,$BA20-3)="","",INDEX('Final Calculation Sheet'!$L$4:$L$40,$BA20-3)),"")</f>
        <v/>
      </c>
      <c r="S16" s="545">
        <f>IFERROR(IF(INDEX('Final Calculation Sheet'!$L$4:$L$40,$BA21-3)="","",INDEX('Final Calculation Sheet'!$L$4:$L$40,$BA21-3)),"")</f>
        <v/>
      </c>
      <c r="T16" s="544">
        <f>IFERROR(IF(INDEX('Final Calculation Sheet'!$L$4:$L$40,$BA22-3)="","",INDEX('Final Calculation Sheet'!$L$4:$L$40,$BA22-3)),"")</f>
        <v/>
      </c>
      <c r="U16" s="545">
        <f>IFERROR(IF(INDEX('Final Calculation Sheet'!$L$4:$L$40,$BA23-3)="","",INDEX('Final Calculation Sheet'!$L$4:$L$40,$BA23-3)),"")</f>
        <v/>
      </c>
      <c r="V16" s="544">
        <f>IFERROR(IF(INDEX('Final Calculation Sheet'!$L$4:$L$40,$BA24-3)="","",INDEX('Final Calculation Sheet'!$L$4:$L$40,$BA24-3)),"")</f>
        <v/>
      </c>
      <c r="W16" s="545">
        <f>IFERROR(IF(INDEX('Final Calculation Sheet'!$L$4:$L$40,$BA25-3)="","",INDEX('Final Calculation Sheet'!$L$4:$L$40,$BA25-3)),"")</f>
        <v/>
      </c>
      <c r="X16" s="544">
        <f>IFERROR(IF(INDEX('Final Calculation Sheet'!$L$4:$L$40,$BA26-3)="","",INDEX('Final Calculation Sheet'!$L$4:$L$40,$BA26-3)),"")</f>
        <v/>
      </c>
      <c r="Y16" s="545">
        <f>IFERROR(IF(INDEX('Final Calculation Sheet'!$L$4:$L$40,$BA27-3)="","",INDEX('Final Calculation Sheet'!$L$4:$L$40,$BA27-3)),"")</f>
        <v/>
      </c>
      <c r="Z16" s="544">
        <f>IFERROR(IF(INDEX('Final Calculation Sheet'!$L$4:$L$40,$BA28-3)="","",INDEX('Final Calculation Sheet'!$L$4:$L$40,$BA28-3)),"")</f>
        <v/>
      </c>
      <c r="AA16" s="545">
        <f>IFERROR(IF(INDEX('Final Calculation Sheet'!$L$4:$L$40,$BA29-3)="","",INDEX('Final Calculation Sheet'!$L$4:$L$40,$BA29-3)),"")</f>
        <v/>
      </c>
      <c r="AB16" s="544">
        <f>IFERROR(IF(INDEX('Final Calculation Sheet'!$L$4:$L$40,$BA30-3)="","",INDEX('Final Calculation Sheet'!$L$4:$L$40,$BA30-3)),"")</f>
        <v/>
      </c>
      <c r="AC16" s="545">
        <f>IFERROR(IF(INDEX('Final Calculation Sheet'!$L$4:$L$40,$BA31-3)="","",INDEX('Final Calculation Sheet'!$L$4:$L$40,$BA31-3)),"")</f>
        <v/>
      </c>
      <c r="AD16" s="544">
        <f>IFERROR(IF(INDEX('Final Calculation Sheet'!$L$4:$L$40,$BA32-3)="","",INDEX('Final Calculation Sheet'!$L$4:$L$40,$BA32-3)),"")</f>
        <v/>
      </c>
      <c r="AE16" s="545">
        <f>IFERROR(IF(INDEX('Final Calculation Sheet'!$L$4:$L$40,$BA33-3)="","",INDEX('Final Calculation Sheet'!$L$4:$L$40,$BA33-3)),"")</f>
        <v/>
      </c>
      <c r="AF16" s="544">
        <f>IFERROR(IF(INDEX('Final Calculation Sheet'!$L$4:$L$40,$BA34-3)="","",INDEX('Final Calculation Sheet'!$L$4:$L$40,$BA34-3)),"")</f>
        <v/>
      </c>
      <c r="AG16" s="545">
        <f>IFERROR(IF(INDEX('Final Calculation Sheet'!$L$4:$L$40,$BA35-3)="","",INDEX('Final Calculation Sheet'!$L$4:$L$40,$BA35-3)),"")</f>
        <v/>
      </c>
      <c r="AH16" s="544">
        <f>IFERROR(IF(INDEX('Final Calculation Sheet'!$L$4:$L$40,$BA36-3)="","",INDEX('Final Calculation Sheet'!$L$4:$L$40,$BA36-3)),"")</f>
        <v/>
      </c>
      <c r="AI16" s="545">
        <f>IFERROR(IF(INDEX('Final Calculation Sheet'!$L$4:$L$40,$BA37-3)="","",INDEX('Final Calculation Sheet'!$L$4:$L$40,$BA37-3)),"")</f>
        <v/>
      </c>
      <c r="AJ16" s="544">
        <f>IFERROR(IF(INDEX('Final Calculation Sheet'!$L$4:$L$40,$BA38-3)="","",INDEX('Final Calculation Sheet'!$L$4:$L$40,$BA38-3)),"")</f>
        <v/>
      </c>
      <c r="AK16" s="545">
        <f>IFERROR(IF(INDEX('Final Calculation Sheet'!$L$4:$L$40,$BA39-3)="","",INDEX('Final Calculation Sheet'!$L$4:$L$40,$BA39-3)),"")</f>
        <v/>
      </c>
      <c r="AL16" s="544">
        <f>IFERROR(IF(INDEX('Final Calculation Sheet'!$L$4:$L$40,$BA40-3)="","",INDEX('Final Calculation Sheet'!$L$4:$L$40,$BA40-3)),"")</f>
        <v/>
      </c>
      <c r="AM16" s="546">
        <f>IF(COUNT(B16:AL16)=0,"",SUM(B16:AL16))</f>
        <v/>
      </c>
      <c r="AO16" t="inlineStr">
        <is>
          <t>Service Charge to MSTC</t>
        </is>
      </c>
      <c r="AQ16" t="inlineStr">
        <is>
          <t>STERLING ENTERPRISES</t>
        </is>
      </c>
      <c r="AW16">
        <f>IF(OR($B$3="ALL BUYERS",'Final Calculation Sheet'!$G16=$B$3),IF($D$3="— no row filter —",1,IF($F$3="is blank",IF(INDEX('Final Calculation Sheet'!$A$4:$AG$40,16-3,$AU$2)="",1,0),IF($F$3="is not blank",IF(INDEX('Final Calculation Sheet'!$A$4:$AG$40,16-3,$AU$2)="",0,1),IF($F$3="contains",IF(ISNUMBER(SEARCH($H$3,INDEX('Final Calculation Sheet'!$A$4:$AG$40,16-3,$AU$2))),1,0),IF($F$3="=",IF(INDEX('Final Calculation Sheet'!$A$4:$AG$40,16-3,$AU$2)=$H$3,1,0),IF($F$3="&lt;&gt;",IF(INDEX('Final Calculation Sheet'!$A$4:$AG$40,16-3,$AU$2)=$H$3,0,1),IF($F$3="&gt;",IF(N(INDEX('Final Calculation Sheet'!$A$4:$AG$40,16-3,$AU$2))&gt;N($H$3),1,0),IF($F$3="&gt;=",IF(N(INDEX('Final Calculation Sheet'!$A$4:$AG$40,16-3,$AU$2))&gt;=N($H$3),1,0),IF($F$3="&lt;",IF(N(INDEX('Final Calculation Sheet'!$A$4:$AG$40,16-3,$AU$2))&lt;N($H$3),1,0),IF($F$3="&lt;=",IF(N(INDEX('Final Calculation Sheet'!$A$4:$AG$40,16-3,$AU$2))&lt;=N($H$3),1,0),0)))))))))),0)</f>
        <v/>
      </c>
      <c r="AY16">
        <f>IF(AW16=1,SUM($AW$4:AW16),"")</f>
        <v/>
      </c>
      <c r="BA16">
        <f>IFERROR(MATCH(13,$AY$4:$AY$40,0)+3,"")</f>
        <v/>
      </c>
    </row>
    <row r="17" ht="15" customHeight="1">
      <c r="A17" s="540" t="inlineStr">
        <is>
          <t>Service Charge to MSTC</t>
        </is>
      </c>
      <c r="B17" s="544">
        <f>IFERROR(IF(INDEX('Final Calculation Sheet'!$M$4:$M$40,$BA4-3)="","",INDEX('Final Calculation Sheet'!$M$4:$M$40,$BA4-3)),"")</f>
        <v/>
      </c>
      <c r="C17" s="545">
        <f>IFERROR(IF(INDEX('Final Calculation Sheet'!$M$4:$M$40,$BA5-3)="","",INDEX('Final Calculation Sheet'!$M$4:$M$40,$BA5-3)),"")</f>
        <v/>
      </c>
      <c r="D17" s="544">
        <f>IFERROR(IF(INDEX('Final Calculation Sheet'!$M$4:$M$40,$BA6-3)="","",INDEX('Final Calculation Sheet'!$M$4:$M$40,$BA6-3)),"")</f>
        <v/>
      </c>
      <c r="E17" s="545">
        <f>IFERROR(IF(INDEX('Final Calculation Sheet'!$M$4:$M$40,$BA7-3)="","",INDEX('Final Calculation Sheet'!$M$4:$M$40,$BA7-3)),"")</f>
        <v/>
      </c>
      <c r="F17" s="544">
        <f>IFERROR(IF(INDEX('Final Calculation Sheet'!$M$4:$M$40,$BA8-3)="","",INDEX('Final Calculation Sheet'!$M$4:$M$40,$BA8-3)),"")</f>
        <v/>
      </c>
      <c r="G17" s="545">
        <f>IFERROR(IF(INDEX('Final Calculation Sheet'!$M$4:$M$40,$BA9-3)="","",INDEX('Final Calculation Sheet'!$M$4:$M$40,$BA9-3)),"")</f>
        <v/>
      </c>
      <c r="H17" s="544">
        <f>IFERROR(IF(INDEX('Final Calculation Sheet'!$M$4:$M$40,$BA10-3)="","",INDEX('Final Calculation Sheet'!$M$4:$M$40,$BA10-3)),"")</f>
        <v/>
      </c>
      <c r="I17" s="545">
        <f>IFERROR(IF(INDEX('Final Calculation Sheet'!$M$4:$M$40,$BA11-3)="","",INDEX('Final Calculation Sheet'!$M$4:$M$40,$BA11-3)),"")</f>
        <v/>
      </c>
      <c r="J17" s="544">
        <f>IFERROR(IF(INDEX('Final Calculation Sheet'!$M$4:$M$40,$BA12-3)="","",INDEX('Final Calculation Sheet'!$M$4:$M$40,$BA12-3)),"")</f>
        <v/>
      </c>
      <c r="K17" s="545">
        <f>IFERROR(IF(INDEX('Final Calculation Sheet'!$M$4:$M$40,$BA13-3)="","",INDEX('Final Calculation Sheet'!$M$4:$M$40,$BA13-3)),"")</f>
        <v/>
      </c>
      <c r="L17" s="544">
        <f>IFERROR(IF(INDEX('Final Calculation Sheet'!$M$4:$M$40,$BA14-3)="","",INDEX('Final Calculation Sheet'!$M$4:$M$40,$BA14-3)),"")</f>
        <v/>
      </c>
      <c r="M17" s="545">
        <f>IFERROR(IF(INDEX('Final Calculation Sheet'!$M$4:$M$40,$BA15-3)="","",INDEX('Final Calculation Sheet'!$M$4:$M$40,$BA15-3)),"")</f>
        <v/>
      </c>
      <c r="N17" s="544">
        <f>IFERROR(IF(INDEX('Final Calculation Sheet'!$M$4:$M$40,$BA16-3)="","",INDEX('Final Calculation Sheet'!$M$4:$M$40,$BA16-3)),"")</f>
        <v/>
      </c>
      <c r="O17" s="545">
        <f>IFERROR(IF(INDEX('Final Calculation Sheet'!$M$4:$M$40,$BA17-3)="","",INDEX('Final Calculation Sheet'!$M$4:$M$40,$BA17-3)),"")</f>
        <v/>
      </c>
      <c r="P17" s="544">
        <f>IFERROR(IF(INDEX('Final Calculation Sheet'!$M$4:$M$40,$BA18-3)="","",INDEX('Final Calculation Sheet'!$M$4:$M$40,$BA18-3)),"")</f>
        <v/>
      </c>
      <c r="Q17" s="545">
        <f>IFERROR(IF(INDEX('Final Calculation Sheet'!$M$4:$M$40,$BA19-3)="","",INDEX('Final Calculation Sheet'!$M$4:$M$40,$BA19-3)),"")</f>
        <v/>
      </c>
      <c r="R17" s="544">
        <f>IFERROR(IF(INDEX('Final Calculation Sheet'!$M$4:$M$40,$BA20-3)="","",INDEX('Final Calculation Sheet'!$M$4:$M$40,$BA20-3)),"")</f>
        <v/>
      </c>
      <c r="S17" s="545">
        <f>IFERROR(IF(INDEX('Final Calculation Sheet'!$M$4:$M$40,$BA21-3)="","",INDEX('Final Calculation Sheet'!$M$4:$M$40,$BA21-3)),"")</f>
        <v/>
      </c>
      <c r="T17" s="544">
        <f>IFERROR(IF(INDEX('Final Calculation Sheet'!$M$4:$M$40,$BA22-3)="","",INDEX('Final Calculation Sheet'!$M$4:$M$40,$BA22-3)),"")</f>
        <v/>
      </c>
      <c r="U17" s="545">
        <f>IFERROR(IF(INDEX('Final Calculation Sheet'!$M$4:$M$40,$BA23-3)="","",INDEX('Final Calculation Sheet'!$M$4:$M$40,$BA23-3)),"")</f>
        <v/>
      </c>
      <c r="V17" s="544">
        <f>IFERROR(IF(INDEX('Final Calculation Sheet'!$M$4:$M$40,$BA24-3)="","",INDEX('Final Calculation Sheet'!$M$4:$M$40,$BA24-3)),"")</f>
        <v/>
      </c>
      <c r="W17" s="545">
        <f>IFERROR(IF(INDEX('Final Calculation Sheet'!$M$4:$M$40,$BA25-3)="","",INDEX('Final Calculation Sheet'!$M$4:$M$40,$BA25-3)),"")</f>
        <v/>
      </c>
      <c r="X17" s="544">
        <f>IFERROR(IF(INDEX('Final Calculation Sheet'!$M$4:$M$40,$BA26-3)="","",INDEX('Final Calculation Sheet'!$M$4:$M$40,$BA26-3)),"")</f>
        <v/>
      </c>
      <c r="Y17" s="545">
        <f>IFERROR(IF(INDEX('Final Calculation Sheet'!$M$4:$M$40,$BA27-3)="","",INDEX('Final Calculation Sheet'!$M$4:$M$40,$BA27-3)),"")</f>
        <v/>
      </c>
      <c r="Z17" s="544">
        <f>IFERROR(IF(INDEX('Final Calculation Sheet'!$M$4:$M$40,$BA28-3)="","",INDEX('Final Calculation Sheet'!$M$4:$M$40,$BA28-3)),"")</f>
        <v/>
      </c>
      <c r="AA17" s="545">
        <f>IFERROR(IF(INDEX('Final Calculation Sheet'!$M$4:$M$40,$BA29-3)="","",INDEX('Final Calculation Sheet'!$M$4:$M$40,$BA29-3)),"")</f>
        <v/>
      </c>
      <c r="AB17" s="544">
        <f>IFERROR(IF(INDEX('Final Calculation Sheet'!$M$4:$M$40,$BA30-3)="","",INDEX('Final Calculation Sheet'!$M$4:$M$40,$BA30-3)),"")</f>
        <v/>
      </c>
      <c r="AC17" s="545">
        <f>IFERROR(IF(INDEX('Final Calculation Sheet'!$M$4:$M$40,$BA31-3)="","",INDEX('Final Calculation Sheet'!$M$4:$M$40,$BA31-3)),"")</f>
        <v/>
      </c>
      <c r="AD17" s="544">
        <f>IFERROR(IF(INDEX('Final Calculation Sheet'!$M$4:$M$40,$BA32-3)="","",INDEX('Final Calculation Sheet'!$M$4:$M$40,$BA32-3)),"")</f>
        <v/>
      </c>
      <c r="AE17" s="545">
        <f>IFERROR(IF(INDEX('Final Calculation Sheet'!$M$4:$M$40,$BA33-3)="","",INDEX('Final Calculation Sheet'!$M$4:$M$40,$BA33-3)),"")</f>
        <v/>
      </c>
      <c r="AF17" s="544">
        <f>IFERROR(IF(INDEX('Final Calculation Sheet'!$M$4:$M$40,$BA34-3)="","",INDEX('Final Calculation Sheet'!$M$4:$M$40,$BA34-3)),"")</f>
        <v/>
      </c>
      <c r="AG17" s="545">
        <f>IFERROR(IF(INDEX('Final Calculation Sheet'!$M$4:$M$40,$BA35-3)="","",INDEX('Final Calculation Sheet'!$M$4:$M$40,$BA35-3)),"")</f>
        <v/>
      </c>
      <c r="AH17" s="544">
        <f>IFERROR(IF(INDEX('Final Calculation Sheet'!$M$4:$M$40,$BA36-3)="","",INDEX('Final Calculation Sheet'!$M$4:$M$40,$BA36-3)),"")</f>
        <v/>
      </c>
      <c r="AI17" s="545">
        <f>IFERROR(IF(INDEX('Final Calculation Sheet'!$M$4:$M$40,$BA37-3)="","",INDEX('Final Calculation Sheet'!$M$4:$M$40,$BA37-3)),"")</f>
        <v/>
      </c>
      <c r="AJ17" s="544">
        <f>IFERROR(IF(INDEX('Final Calculation Sheet'!$M$4:$M$40,$BA38-3)="","",INDEX('Final Calculation Sheet'!$M$4:$M$40,$BA38-3)),"")</f>
        <v/>
      </c>
      <c r="AK17" s="545">
        <f>IFERROR(IF(INDEX('Final Calculation Sheet'!$M$4:$M$40,$BA39-3)="","",INDEX('Final Calculation Sheet'!$M$4:$M$40,$BA39-3)),"")</f>
        <v/>
      </c>
      <c r="AL17" s="544">
        <f>IFERROR(IF(INDEX('Final Calculation Sheet'!$M$4:$M$40,$BA40-3)="","",INDEX('Final Calculation Sheet'!$M$4:$M$40,$BA40-3)),"")</f>
        <v/>
      </c>
      <c r="AM17" s="546">
        <f>IF(COUNT(B17:AL17)=0,"",SUM(B17:AL17))</f>
        <v/>
      </c>
      <c r="AO17" t="inlineStr">
        <is>
          <t>TDS u/s 194(H)</t>
        </is>
      </c>
      <c r="AQ17" t="inlineStr">
        <is>
          <t>WATAN SCRAP TRADERS</t>
        </is>
      </c>
      <c r="AW17">
        <f>IF(OR($B$3="ALL BUYERS",'Final Calculation Sheet'!$G17=$B$3),IF($D$3="— no row filter —",1,IF($F$3="is blank",IF(INDEX('Final Calculation Sheet'!$A$4:$AG$40,17-3,$AU$2)="",1,0),IF($F$3="is not blank",IF(INDEX('Final Calculation Sheet'!$A$4:$AG$40,17-3,$AU$2)="",0,1),IF($F$3="contains",IF(ISNUMBER(SEARCH($H$3,INDEX('Final Calculation Sheet'!$A$4:$AG$40,17-3,$AU$2))),1,0),IF($F$3="=",IF(INDEX('Final Calculation Sheet'!$A$4:$AG$40,17-3,$AU$2)=$H$3,1,0),IF($F$3="&lt;&gt;",IF(INDEX('Final Calculation Sheet'!$A$4:$AG$40,17-3,$AU$2)=$H$3,0,1),IF($F$3="&gt;",IF(N(INDEX('Final Calculation Sheet'!$A$4:$AG$40,17-3,$AU$2))&gt;N($H$3),1,0),IF($F$3="&gt;=",IF(N(INDEX('Final Calculation Sheet'!$A$4:$AG$40,17-3,$AU$2))&gt;=N($H$3),1,0),IF($F$3="&lt;",IF(N(INDEX('Final Calculation Sheet'!$A$4:$AG$40,17-3,$AU$2))&lt;N($H$3),1,0),IF($F$3="&lt;=",IF(N(INDEX('Final Calculation Sheet'!$A$4:$AG$40,17-3,$AU$2))&lt;=N($H$3),1,0),0)))))))))),0)</f>
        <v/>
      </c>
      <c r="AY17">
        <f>IF(AW17=1,SUM($AW$4:AW17),"")</f>
        <v/>
      </c>
      <c r="BA17">
        <f>IFERROR(MATCH(14,$AY$4:$AY$40,0)+3,"")</f>
        <v/>
      </c>
    </row>
    <row r="18" ht="15" customHeight="1">
      <c r="A18" s="543" t="inlineStr">
        <is>
          <t>TDS u/s 194(H)</t>
        </is>
      </c>
      <c r="B18" s="547">
        <f>IFERROR(IF(INDEX('Final Calculation Sheet'!$N$4:$N$40,$BA4-3)="","",INDEX('Final Calculation Sheet'!$N$4:$N$40,$BA4-3)),"")</f>
        <v/>
      </c>
      <c r="C18" s="548">
        <f>IFERROR(IF(INDEX('Final Calculation Sheet'!$N$4:$N$40,$BA5-3)="","",INDEX('Final Calculation Sheet'!$N$4:$N$40,$BA5-3)),"")</f>
        <v/>
      </c>
      <c r="D18" s="547">
        <f>IFERROR(IF(INDEX('Final Calculation Sheet'!$N$4:$N$40,$BA6-3)="","",INDEX('Final Calculation Sheet'!$N$4:$N$40,$BA6-3)),"")</f>
        <v/>
      </c>
      <c r="E18" s="548">
        <f>IFERROR(IF(INDEX('Final Calculation Sheet'!$N$4:$N$40,$BA7-3)="","",INDEX('Final Calculation Sheet'!$N$4:$N$40,$BA7-3)),"")</f>
        <v/>
      </c>
      <c r="F18" s="547">
        <f>IFERROR(IF(INDEX('Final Calculation Sheet'!$N$4:$N$40,$BA8-3)="","",INDEX('Final Calculation Sheet'!$N$4:$N$40,$BA8-3)),"")</f>
        <v/>
      </c>
      <c r="G18" s="548">
        <f>IFERROR(IF(INDEX('Final Calculation Sheet'!$N$4:$N$40,$BA9-3)="","",INDEX('Final Calculation Sheet'!$N$4:$N$40,$BA9-3)),"")</f>
        <v/>
      </c>
      <c r="H18" s="547">
        <f>IFERROR(IF(INDEX('Final Calculation Sheet'!$N$4:$N$40,$BA10-3)="","",INDEX('Final Calculation Sheet'!$N$4:$N$40,$BA10-3)),"")</f>
        <v/>
      </c>
      <c r="I18" s="548">
        <f>IFERROR(IF(INDEX('Final Calculation Sheet'!$N$4:$N$40,$BA11-3)="","",INDEX('Final Calculation Sheet'!$N$4:$N$40,$BA11-3)),"")</f>
        <v/>
      </c>
      <c r="J18" s="547">
        <f>IFERROR(IF(INDEX('Final Calculation Sheet'!$N$4:$N$40,$BA12-3)="","",INDEX('Final Calculation Sheet'!$N$4:$N$40,$BA12-3)),"")</f>
        <v/>
      </c>
      <c r="K18" s="548">
        <f>IFERROR(IF(INDEX('Final Calculation Sheet'!$N$4:$N$40,$BA13-3)="","",INDEX('Final Calculation Sheet'!$N$4:$N$40,$BA13-3)),"")</f>
        <v/>
      </c>
      <c r="L18" s="547">
        <f>IFERROR(IF(INDEX('Final Calculation Sheet'!$N$4:$N$40,$BA14-3)="","",INDEX('Final Calculation Sheet'!$N$4:$N$40,$BA14-3)),"")</f>
        <v/>
      </c>
      <c r="M18" s="548">
        <f>IFERROR(IF(INDEX('Final Calculation Sheet'!$N$4:$N$40,$BA15-3)="","",INDEX('Final Calculation Sheet'!$N$4:$N$40,$BA15-3)),"")</f>
        <v/>
      </c>
      <c r="N18" s="547">
        <f>IFERROR(IF(INDEX('Final Calculation Sheet'!$N$4:$N$40,$BA16-3)="","",INDEX('Final Calculation Sheet'!$N$4:$N$40,$BA16-3)),"")</f>
        <v/>
      </c>
      <c r="O18" s="548">
        <f>IFERROR(IF(INDEX('Final Calculation Sheet'!$N$4:$N$40,$BA17-3)="","",INDEX('Final Calculation Sheet'!$N$4:$N$40,$BA17-3)),"")</f>
        <v/>
      </c>
      <c r="P18" s="547">
        <f>IFERROR(IF(INDEX('Final Calculation Sheet'!$N$4:$N$40,$BA18-3)="","",INDEX('Final Calculation Sheet'!$N$4:$N$40,$BA18-3)),"")</f>
        <v/>
      </c>
      <c r="Q18" s="548">
        <f>IFERROR(IF(INDEX('Final Calculation Sheet'!$N$4:$N$40,$BA19-3)="","",INDEX('Final Calculation Sheet'!$N$4:$N$40,$BA19-3)),"")</f>
        <v/>
      </c>
      <c r="R18" s="547">
        <f>IFERROR(IF(INDEX('Final Calculation Sheet'!$N$4:$N$40,$BA20-3)="","",INDEX('Final Calculation Sheet'!$N$4:$N$40,$BA20-3)),"")</f>
        <v/>
      </c>
      <c r="S18" s="548">
        <f>IFERROR(IF(INDEX('Final Calculation Sheet'!$N$4:$N$40,$BA21-3)="","",INDEX('Final Calculation Sheet'!$N$4:$N$40,$BA21-3)),"")</f>
        <v/>
      </c>
      <c r="T18" s="547">
        <f>IFERROR(IF(INDEX('Final Calculation Sheet'!$N$4:$N$40,$BA22-3)="","",INDEX('Final Calculation Sheet'!$N$4:$N$40,$BA22-3)),"")</f>
        <v/>
      </c>
      <c r="U18" s="548">
        <f>IFERROR(IF(INDEX('Final Calculation Sheet'!$N$4:$N$40,$BA23-3)="","",INDEX('Final Calculation Sheet'!$N$4:$N$40,$BA23-3)),"")</f>
        <v/>
      </c>
      <c r="V18" s="547">
        <f>IFERROR(IF(INDEX('Final Calculation Sheet'!$N$4:$N$40,$BA24-3)="","",INDEX('Final Calculation Sheet'!$N$4:$N$40,$BA24-3)),"")</f>
        <v/>
      </c>
      <c r="W18" s="548">
        <f>IFERROR(IF(INDEX('Final Calculation Sheet'!$N$4:$N$40,$BA25-3)="","",INDEX('Final Calculation Sheet'!$N$4:$N$40,$BA25-3)),"")</f>
        <v/>
      </c>
      <c r="X18" s="547">
        <f>IFERROR(IF(INDEX('Final Calculation Sheet'!$N$4:$N$40,$BA26-3)="","",INDEX('Final Calculation Sheet'!$N$4:$N$40,$BA26-3)),"")</f>
        <v/>
      </c>
      <c r="Y18" s="548">
        <f>IFERROR(IF(INDEX('Final Calculation Sheet'!$N$4:$N$40,$BA27-3)="","",INDEX('Final Calculation Sheet'!$N$4:$N$40,$BA27-3)),"")</f>
        <v/>
      </c>
      <c r="Z18" s="547">
        <f>IFERROR(IF(INDEX('Final Calculation Sheet'!$N$4:$N$40,$BA28-3)="","",INDEX('Final Calculation Sheet'!$N$4:$N$40,$BA28-3)),"")</f>
        <v/>
      </c>
      <c r="AA18" s="548">
        <f>IFERROR(IF(INDEX('Final Calculation Sheet'!$N$4:$N$40,$BA29-3)="","",INDEX('Final Calculation Sheet'!$N$4:$N$40,$BA29-3)),"")</f>
        <v/>
      </c>
      <c r="AB18" s="547">
        <f>IFERROR(IF(INDEX('Final Calculation Sheet'!$N$4:$N$40,$BA30-3)="","",INDEX('Final Calculation Sheet'!$N$4:$N$40,$BA30-3)),"")</f>
        <v/>
      </c>
      <c r="AC18" s="548">
        <f>IFERROR(IF(INDEX('Final Calculation Sheet'!$N$4:$N$40,$BA31-3)="","",INDEX('Final Calculation Sheet'!$N$4:$N$40,$BA31-3)),"")</f>
        <v/>
      </c>
      <c r="AD18" s="547">
        <f>IFERROR(IF(INDEX('Final Calculation Sheet'!$N$4:$N$40,$BA32-3)="","",INDEX('Final Calculation Sheet'!$N$4:$N$40,$BA32-3)),"")</f>
        <v/>
      </c>
      <c r="AE18" s="548">
        <f>IFERROR(IF(INDEX('Final Calculation Sheet'!$N$4:$N$40,$BA33-3)="","",INDEX('Final Calculation Sheet'!$N$4:$N$40,$BA33-3)),"")</f>
        <v/>
      </c>
      <c r="AF18" s="547">
        <f>IFERROR(IF(INDEX('Final Calculation Sheet'!$N$4:$N$40,$BA34-3)="","",INDEX('Final Calculation Sheet'!$N$4:$N$40,$BA34-3)),"")</f>
        <v/>
      </c>
      <c r="AG18" s="548">
        <f>IFERROR(IF(INDEX('Final Calculation Sheet'!$N$4:$N$40,$BA35-3)="","",INDEX('Final Calculation Sheet'!$N$4:$N$40,$BA35-3)),"")</f>
        <v/>
      </c>
      <c r="AH18" s="547">
        <f>IFERROR(IF(INDEX('Final Calculation Sheet'!$N$4:$N$40,$BA36-3)="","",INDEX('Final Calculation Sheet'!$N$4:$N$40,$BA36-3)),"")</f>
        <v/>
      </c>
      <c r="AI18" s="548">
        <f>IFERROR(IF(INDEX('Final Calculation Sheet'!$N$4:$N$40,$BA37-3)="","",INDEX('Final Calculation Sheet'!$N$4:$N$40,$BA37-3)),"")</f>
        <v/>
      </c>
      <c r="AJ18" s="547">
        <f>IFERROR(IF(INDEX('Final Calculation Sheet'!$N$4:$N$40,$BA38-3)="","",INDEX('Final Calculation Sheet'!$N$4:$N$40,$BA38-3)),"")</f>
        <v/>
      </c>
      <c r="AK18" s="548">
        <f>IFERROR(IF(INDEX('Final Calculation Sheet'!$N$4:$N$40,$BA39-3)="","",INDEX('Final Calculation Sheet'!$N$4:$N$40,$BA39-3)),"")</f>
        <v/>
      </c>
      <c r="AL18" s="547">
        <f>IFERROR(IF(INDEX('Final Calculation Sheet'!$N$4:$N$40,$BA40-3)="","",INDEX('Final Calculation Sheet'!$N$4:$N$40,$BA40-3)),"")</f>
        <v/>
      </c>
      <c r="AM18" s="414">
        <f>IF(COUNT(B18:AL18)=0,"",SUM(B18:AL18))</f>
        <v/>
      </c>
      <c r="AO18" t="inlineStr">
        <is>
          <t>Net Service Charge (post TDS 194H)</t>
        </is>
      </c>
      <c r="AW18">
        <f>IF(OR($B$3="ALL BUYERS",'Final Calculation Sheet'!$G18=$B$3),IF($D$3="— no row filter —",1,IF($F$3="is blank",IF(INDEX('Final Calculation Sheet'!$A$4:$AG$40,18-3,$AU$2)="",1,0),IF($F$3="is not blank",IF(INDEX('Final Calculation Sheet'!$A$4:$AG$40,18-3,$AU$2)="",0,1),IF($F$3="contains",IF(ISNUMBER(SEARCH($H$3,INDEX('Final Calculation Sheet'!$A$4:$AG$40,18-3,$AU$2))),1,0),IF($F$3="=",IF(INDEX('Final Calculation Sheet'!$A$4:$AG$40,18-3,$AU$2)=$H$3,1,0),IF($F$3="&lt;&gt;",IF(INDEX('Final Calculation Sheet'!$A$4:$AG$40,18-3,$AU$2)=$H$3,0,1),IF($F$3="&gt;",IF(N(INDEX('Final Calculation Sheet'!$A$4:$AG$40,18-3,$AU$2))&gt;N($H$3),1,0),IF($F$3="&gt;=",IF(N(INDEX('Final Calculation Sheet'!$A$4:$AG$40,18-3,$AU$2))&gt;=N($H$3),1,0),IF($F$3="&lt;",IF(N(INDEX('Final Calculation Sheet'!$A$4:$AG$40,18-3,$AU$2))&lt;N($H$3),1,0),IF($F$3="&lt;=",IF(N(INDEX('Final Calculation Sheet'!$A$4:$AG$40,18-3,$AU$2))&lt;=N($H$3),1,0),0)))))))))),0)</f>
        <v/>
      </c>
      <c r="AY18">
        <f>IF(AW18=1,SUM($AW$4:AW18),"")</f>
        <v/>
      </c>
      <c r="BA18">
        <f>IFERROR(MATCH(15,$AY$4:$AY$40,0)+3,"")</f>
        <v/>
      </c>
    </row>
    <row r="19" ht="15" customHeight="1">
      <c r="A19" s="540" t="inlineStr">
        <is>
          <t>Net Service Charge (post TDS 194H)</t>
        </is>
      </c>
      <c r="B19" s="544">
        <f>IFERROR(IF(INDEX('Final Calculation Sheet'!$O$4:$O$40,$BA4-3)="","",INDEX('Final Calculation Sheet'!$O$4:$O$40,$BA4-3)),"")</f>
        <v/>
      </c>
      <c r="C19" s="545">
        <f>IFERROR(IF(INDEX('Final Calculation Sheet'!$O$4:$O$40,$BA5-3)="","",INDEX('Final Calculation Sheet'!$O$4:$O$40,$BA5-3)),"")</f>
        <v/>
      </c>
      <c r="D19" s="544">
        <f>IFERROR(IF(INDEX('Final Calculation Sheet'!$O$4:$O$40,$BA6-3)="","",INDEX('Final Calculation Sheet'!$O$4:$O$40,$BA6-3)),"")</f>
        <v/>
      </c>
      <c r="E19" s="545">
        <f>IFERROR(IF(INDEX('Final Calculation Sheet'!$O$4:$O$40,$BA7-3)="","",INDEX('Final Calculation Sheet'!$O$4:$O$40,$BA7-3)),"")</f>
        <v/>
      </c>
      <c r="F19" s="544">
        <f>IFERROR(IF(INDEX('Final Calculation Sheet'!$O$4:$O$40,$BA8-3)="","",INDEX('Final Calculation Sheet'!$O$4:$O$40,$BA8-3)),"")</f>
        <v/>
      </c>
      <c r="G19" s="545">
        <f>IFERROR(IF(INDEX('Final Calculation Sheet'!$O$4:$O$40,$BA9-3)="","",INDEX('Final Calculation Sheet'!$O$4:$O$40,$BA9-3)),"")</f>
        <v/>
      </c>
      <c r="H19" s="544">
        <f>IFERROR(IF(INDEX('Final Calculation Sheet'!$O$4:$O$40,$BA10-3)="","",INDEX('Final Calculation Sheet'!$O$4:$O$40,$BA10-3)),"")</f>
        <v/>
      </c>
      <c r="I19" s="545">
        <f>IFERROR(IF(INDEX('Final Calculation Sheet'!$O$4:$O$40,$BA11-3)="","",INDEX('Final Calculation Sheet'!$O$4:$O$40,$BA11-3)),"")</f>
        <v/>
      </c>
      <c r="J19" s="544">
        <f>IFERROR(IF(INDEX('Final Calculation Sheet'!$O$4:$O$40,$BA12-3)="","",INDEX('Final Calculation Sheet'!$O$4:$O$40,$BA12-3)),"")</f>
        <v/>
      </c>
      <c r="K19" s="545">
        <f>IFERROR(IF(INDEX('Final Calculation Sheet'!$O$4:$O$40,$BA13-3)="","",INDEX('Final Calculation Sheet'!$O$4:$O$40,$BA13-3)),"")</f>
        <v/>
      </c>
      <c r="L19" s="544">
        <f>IFERROR(IF(INDEX('Final Calculation Sheet'!$O$4:$O$40,$BA14-3)="","",INDEX('Final Calculation Sheet'!$O$4:$O$40,$BA14-3)),"")</f>
        <v/>
      </c>
      <c r="M19" s="545">
        <f>IFERROR(IF(INDEX('Final Calculation Sheet'!$O$4:$O$40,$BA15-3)="","",INDEX('Final Calculation Sheet'!$O$4:$O$40,$BA15-3)),"")</f>
        <v/>
      </c>
      <c r="N19" s="544">
        <f>IFERROR(IF(INDEX('Final Calculation Sheet'!$O$4:$O$40,$BA16-3)="","",INDEX('Final Calculation Sheet'!$O$4:$O$40,$BA16-3)),"")</f>
        <v/>
      </c>
      <c r="O19" s="545">
        <f>IFERROR(IF(INDEX('Final Calculation Sheet'!$O$4:$O$40,$BA17-3)="","",INDEX('Final Calculation Sheet'!$O$4:$O$40,$BA17-3)),"")</f>
        <v/>
      </c>
      <c r="P19" s="544">
        <f>IFERROR(IF(INDEX('Final Calculation Sheet'!$O$4:$O$40,$BA18-3)="","",INDEX('Final Calculation Sheet'!$O$4:$O$40,$BA18-3)),"")</f>
        <v/>
      </c>
      <c r="Q19" s="545">
        <f>IFERROR(IF(INDEX('Final Calculation Sheet'!$O$4:$O$40,$BA19-3)="","",INDEX('Final Calculation Sheet'!$O$4:$O$40,$BA19-3)),"")</f>
        <v/>
      </c>
      <c r="R19" s="544">
        <f>IFERROR(IF(INDEX('Final Calculation Sheet'!$O$4:$O$40,$BA20-3)="","",INDEX('Final Calculation Sheet'!$O$4:$O$40,$BA20-3)),"")</f>
        <v/>
      </c>
      <c r="S19" s="545">
        <f>IFERROR(IF(INDEX('Final Calculation Sheet'!$O$4:$O$40,$BA21-3)="","",INDEX('Final Calculation Sheet'!$O$4:$O$40,$BA21-3)),"")</f>
        <v/>
      </c>
      <c r="T19" s="544">
        <f>IFERROR(IF(INDEX('Final Calculation Sheet'!$O$4:$O$40,$BA22-3)="","",INDEX('Final Calculation Sheet'!$O$4:$O$40,$BA22-3)),"")</f>
        <v/>
      </c>
      <c r="U19" s="545">
        <f>IFERROR(IF(INDEX('Final Calculation Sheet'!$O$4:$O$40,$BA23-3)="","",INDEX('Final Calculation Sheet'!$O$4:$O$40,$BA23-3)),"")</f>
        <v/>
      </c>
      <c r="V19" s="544">
        <f>IFERROR(IF(INDEX('Final Calculation Sheet'!$O$4:$O$40,$BA24-3)="","",INDEX('Final Calculation Sheet'!$O$4:$O$40,$BA24-3)),"")</f>
        <v/>
      </c>
      <c r="W19" s="545">
        <f>IFERROR(IF(INDEX('Final Calculation Sheet'!$O$4:$O$40,$BA25-3)="","",INDEX('Final Calculation Sheet'!$O$4:$O$40,$BA25-3)),"")</f>
        <v/>
      </c>
      <c r="X19" s="544">
        <f>IFERROR(IF(INDEX('Final Calculation Sheet'!$O$4:$O$40,$BA26-3)="","",INDEX('Final Calculation Sheet'!$O$4:$O$40,$BA26-3)),"")</f>
        <v/>
      </c>
      <c r="Y19" s="545">
        <f>IFERROR(IF(INDEX('Final Calculation Sheet'!$O$4:$O$40,$BA27-3)="","",INDEX('Final Calculation Sheet'!$O$4:$O$40,$BA27-3)),"")</f>
        <v/>
      </c>
      <c r="Z19" s="544">
        <f>IFERROR(IF(INDEX('Final Calculation Sheet'!$O$4:$O$40,$BA28-3)="","",INDEX('Final Calculation Sheet'!$O$4:$O$40,$BA28-3)),"")</f>
        <v/>
      </c>
      <c r="AA19" s="545">
        <f>IFERROR(IF(INDEX('Final Calculation Sheet'!$O$4:$O$40,$BA29-3)="","",INDEX('Final Calculation Sheet'!$O$4:$O$40,$BA29-3)),"")</f>
        <v/>
      </c>
      <c r="AB19" s="544">
        <f>IFERROR(IF(INDEX('Final Calculation Sheet'!$O$4:$O$40,$BA30-3)="","",INDEX('Final Calculation Sheet'!$O$4:$O$40,$BA30-3)),"")</f>
        <v/>
      </c>
      <c r="AC19" s="545">
        <f>IFERROR(IF(INDEX('Final Calculation Sheet'!$O$4:$O$40,$BA31-3)="","",INDEX('Final Calculation Sheet'!$O$4:$O$40,$BA31-3)),"")</f>
        <v/>
      </c>
      <c r="AD19" s="544">
        <f>IFERROR(IF(INDEX('Final Calculation Sheet'!$O$4:$O$40,$BA32-3)="","",INDEX('Final Calculation Sheet'!$O$4:$O$40,$BA32-3)),"")</f>
        <v/>
      </c>
      <c r="AE19" s="545">
        <f>IFERROR(IF(INDEX('Final Calculation Sheet'!$O$4:$O$40,$BA33-3)="","",INDEX('Final Calculation Sheet'!$O$4:$O$40,$BA33-3)),"")</f>
        <v/>
      </c>
      <c r="AF19" s="544">
        <f>IFERROR(IF(INDEX('Final Calculation Sheet'!$O$4:$O$40,$BA34-3)="","",INDEX('Final Calculation Sheet'!$O$4:$O$40,$BA34-3)),"")</f>
        <v/>
      </c>
      <c r="AG19" s="545">
        <f>IFERROR(IF(INDEX('Final Calculation Sheet'!$O$4:$O$40,$BA35-3)="","",INDEX('Final Calculation Sheet'!$O$4:$O$40,$BA35-3)),"")</f>
        <v/>
      </c>
      <c r="AH19" s="544">
        <f>IFERROR(IF(INDEX('Final Calculation Sheet'!$O$4:$O$40,$BA36-3)="","",INDEX('Final Calculation Sheet'!$O$4:$O$40,$BA36-3)),"")</f>
        <v/>
      </c>
      <c r="AI19" s="545">
        <f>IFERROR(IF(INDEX('Final Calculation Sheet'!$O$4:$O$40,$BA37-3)="","",INDEX('Final Calculation Sheet'!$O$4:$O$40,$BA37-3)),"")</f>
        <v/>
      </c>
      <c r="AJ19" s="544">
        <f>IFERROR(IF(INDEX('Final Calculation Sheet'!$O$4:$O$40,$BA38-3)="","",INDEX('Final Calculation Sheet'!$O$4:$O$40,$BA38-3)),"")</f>
        <v/>
      </c>
      <c r="AK19" s="545">
        <f>IFERROR(IF(INDEX('Final Calculation Sheet'!$O$4:$O$40,$BA39-3)="","",INDEX('Final Calculation Sheet'!$O$4:$O$40,$BA39-3)),"")</f>
        <v/>
      </c>
      <c r="AL19" s="544">
        <f>IFERROR(IF(INDEX('Final Calculation Sheet'!$O$4:$O$40,$BA40-3)="","",INDEX('Final Calculation Sheet'!$O$4:$O$40,$BA40-3)),"")</f>
        <v/>
      </c>
      <c r="AM19" s="546">
        <f>IF(COUNT(B19:AL19)=0,"",SUM(B19:AL19))</f>
        <v/>
      </c>
      <c r="AO19" t="inlineStr">
        <is>
          <t>Service charge to MSTC</t>
        </is>
      </c>
      <c r="AW19">
        <f>IF(OR($B$3="ALL BUYERS",'Final Calculation Sheet'!$G19=$B$3),IF($D$3="— no row filter —",1,IF($F$3="is blank",IF(INDEX('Final Calculation Sheet'!$A$4:$AG$40,19-3,$AU$2)="",1,0),IF($F$3="is not blank",IF(INDEX('Final Calculation Sheet'!$A$4:$AG$40,19-3,$AU$2)="",0,1),IF($F$3="contains",IF(ISNUMBER(SEARCH($H$3,INDEX('Final Calculation Sheet'!$A$4:$AG$40,19-3,$AU$2))),1,0),IF($F$3="=",IF(INDEX('Final Calculation Sheet'!$A$4:$AG$40,19-3,$AU$2)=$H$3,1,0),IF($F$3="&lt;&gt;",IF(INDEX('Final Calculation Sheet'!$A$4:$AG$40,19-3,$AU$2)=$H$3,0,1),IF($F$3="&gt;",IF(N(INDEX('Final Calculation Sheet'!$A$4:$AG$40,19-3,$AU$2))&gt;N($H$3),1,0),IF($F$3="&gt;=",IF(N(INDEX('Final Calculation Sheet'!$A$4:$AG$40,19-3,$AU$2))&gt;=N($H$3),1,0),IF($F$3="&lt;",IF(N(INDEX('Final Calculation Sheet'!$A$4:$AG$40,19-3,$AU$2))&lt;N($H$3),1,0),IF($F$3="&lt;=",IF(N(INDEX('Final Calculation Sheet'!$A$4:$AG$40,19-3,$AU$2))&lt;=N($H$3),1,0),0)))))))))),0)</f>
        <v/>
      </c>
      <c r="AY19">
        <f>IF(AW19=1,SUM($AW$4:AW19),"")</f>
        <v/>
      </c>
      <c r="BA19">
        <f>IFERROR(MATCH(16,$AY$4:$AY$40,0)+3,"")</f>
        <v/>
      </c>
    </row>
    <row r="20" ht="15" customHeight="1">
      <c r="A20" s="543" t="inlineStr">
        <is>
          <t>Service charge to MSTC</t>
        </is>
      </c>
      <c r="B20" s="544">
        <f>IFERROR(IF(INDEX('Final Calculation Sheet'!$P$4:$P$40,$BA4-3)="","",INDEX('Final Calculation Sheet'!$P$4:$P$40,$BA4-3)),"")</f>
        <v/>
      </c>
      <c r="C20" s="545">
        <f>IFERROR(IF(INDEX('Final Calculation Sheet'!$P$4:$P$40,$BA5-3)="","",INDEX('Final Calculation Sheet'!$P$4:$P$40,$BA5-3)),"")</f>
        <v/>
      </c>
      <c r="D20" s="544">
        <f>IFERROR(IF(INDEX('Final Calculation Sheet'!$P$4:$P$40,$BA6-3)="","",INDEX('Final Calculation Sheet'!$P$4:$P$40,$BA6-3)),"")</f>
        <v/>
      </c>
      <c r="E20" s="545">
        <f>IFERROR(IF(INDEX('Final Calculation Sheet'!$P$4:$P$40,$BA7-3)="","",INDEX('Final Calculation Sheet'!$P$4:$P$40,$BA7-3)),"")</f>
        <v/>
      </c>
      <c r="F20" s="544">
        <f>IFERROR(IF(INDEX('Final Calculation Sheet'!$P$4:$P$40,$BA8-3)="","",INDEX('Final Calculation Sheet'!$P$4:$P$40,$BA8-3)),"")</f>
        <v/>
      </c>
      <c r="G20" s="545">
        <f>IFERROR(IF(INDEX('Final Calculation Sheet'!$P$4:$P$40,$BA9-3)="","",INDEX('Final Calculation Sheet'!$P$4:$P$40,$BA9-3)),"")</f>
        <v/>
      </c>
      <c r="H20" s="544">
        <f>IFERROR(IF(INDEX('Final Calculation Sheet'!$P$4:$P$40,$BA10-3)="","",INDEX('Final Calculation Sheet'!$P$4:$P$40,$BA10-3)),"")</f>
        <v/>
      </c>
      <c r="I20" s="545">
        <f>IFERROR(IF(INDEX('Final Calculation Sheet'!$P$4:$P$40,$BA11-3)="","",INDEX('Final Calculation Sheet'!$P$4:$P$40,$BA11-3)),"")</f>
        <v/>
      </c>
      <c r="J20" s="544">
        <f>IFERROR(IF(INDEX('Final Calculation Sheet'!$P$4:$P$40,$BA12-3)="","",INDEX('Final Calculation Sheet'!$P$4:$P$40,$BA12-3)),"")</f>
        <v/>
      </c>
      <c r="K20" s="545">
        <f>IFERROR(IF(INDEX('Final Calculation Sheet'!$P$4:$P$40,$BA13-3)="","",INDEX('Final Calculation Sheet'!$P$4:$P$40,$BA13-3)),"")</f>
        <v/>
      </c>
      <c r="L20" s="544">
        <f>IFERROR(IF(INDEX('Final Calculation Sheet'!$P$4:$P$40,$BA14-3)="","",INDEX('Final Calculation Sheet'!$P$4:$P$40,$BA14-3)),"")</f>
        <v/>
      </c>
      <c r="M20" s="545">
        <f>IFERROR(IF(INDEX('Final Calculation Sheet'!$P$4:$P$40,$BA15-3)="","",INDEX('Final Calculation Sheet'!$P$4:$P$40,$BA15-3)),"")</f>
        <v/>
      </c>
      <c r="N20" s="544">
        <f>IFERROR(IF(INDEX('Final Calculation Sheet'!$P$4:$P$40,$BA16-3)="","",INDEX('Final Calculation Sheet'!$P$4:$P$40,$BA16-3)),"")</f>
        <v/>
      </c>
      <c r="O20" s="545">
        <f>IFERROR(IF(INDEX('Final Calculation Sheet'!$P$4:$P$40,$BA17-3)="","",INDEX('Final Calculation Sheet'!$P$4:$P$40,$BA17-3)),"")</f>
        <v/>
      </c>
      <c r="P20" s="544">
        <f>IFERROR(IF(INDEX('Final Calculation Sheet'!$P$4:$P$40,$BA18-3)="","",INDEX('Final Calculation Sheet'!$P$4:$P$40,$BA18-3)),"")</f>
        <v/>
      </c>
      <c r="Q20" s="545">
        <f>IFERROR(IF(INDEX('Final Calculation Sheet'!$P$4:$P$40,$BA19-3)="","",INDEX('Final Calculation Sheet'!$P$4:$P$40,$BA19-3)),"")</f>
        <v/>
      </c>
      <c r="R20" s="544">
        <f>IFERROR(IF(INDEX('Final Calculation Sheet'!$P$4:$P$40,$BA20-3)="","",INDEX('Final Calculation Sheet'!$P$4:$P$40,$BA20-3)),"")</f>
        <v/>
      </c>
      <c r="S20" s="545">
        <f>IFERROR(IF(INDEX('Final Calculation Sheet'!$P$4:$P$40,$BA21-3)="","",INDEX('Final Calculation Sheet'!$P$4:$P$40,$BA21-3)),"")</f>
        <v/>
      </c>
      <c r="T20" s="544">
        <f>IFERROR(IF(INDEX('Final Calculation Sheet'!$P$4:$P$40,$BA22-3)="","",INDEX('Final Calculation Sheet'!$P$4:$P$40,$BA22-3)),"")</f>
        <v/>
      </c>
      <c r="U20" s="545">
        <f>IFERROR(IF(INDEX('Final Calculation Sheet'!$P$4:$P$40,$BA23-3)="","",INDEX('Final Calculation Sheet'!$P$4:$P$40,$BA23-3)),"")</f>
        <v/>
      </c>
      <c r="V20" s="544">
        <f>IFERROR(IF(INDEX('Final Calculation Sheet'!$P$4:$P$40,$BA24-3)="","",INDEX('Final Calculation Sheet'!$P$4:$P$40,$BA24-3)),"")</f>
        <v/>
      </c>
      <c r="W20" s="545">
        <f>IFERROR(IF(INDEX('Final Calculation Sheet'!$P$4:$P$40,$BA25-3)="","",INDEX('Final Calculation Sheet'!$P$4:$P$40,$BA25-3)),"")</f>
        <v/>
      </c>
      <c r="X20" s="544">
        <f>IFERROR(IF(INDEX('Final Calculation Sheet'!$P$4:$P$40,$BA26-3)="","",INDEX('Final Calculation Sheet'!$P$4:$P$40,$BA26-3)),"")</f>
        <v/>
      </c>
      <c r="Y20" s="545">
        <f>IFERROR(IF(INDEX('Final Calculation Sheet'!$P$4:$P$40,$BA27-3)="","",INDEX('Final Calculation Sheet'!$P$4:$P$40,$BA27-3)),"")</f>
        <v/>
      </c>
      <c r="Z20" s="544">
        <f>IFERROR(IF(INDEX('Final Calculation Sheet'!$P$4:$P$40,$BA28-3)="","",INDEX('Final Calculation Sheet'!$P$4:$P$40,$BA28-3)),"")</f>
        <v/>
      </c>
      <c r="AA20" s="545">
        <f>IFERROR(IF(INDEX('Final Calculation Sheet'!$P$4:$P$40,$BA29-3)="","",INDEX('Final Calculation Sheet'!$P$4:$P$40,$BA29-3)),"")</f>
        <v/>
      </c>
      <c r="AB20" s="544">
        <f>IFERROR(IF(INDEX('Final Calculation Sheet'!$P$4:$P$40,$BA30-3)="","",INDEX('Final Calculation Sheet'!$P$4:$P$40,$BA30-3)),"")</f>
        <v/>
      </c>
      <c r="AC20" s="545">
        <f>IFERROR(IF(INDEX('Final Calculation Sheet'!$P$4:$P$40,$BA31-3)="","",INDEX('Final Calculation Sheet'!$P$4:$P$40,$BA31-3)),"")</f>
        <v/>
      </c>
      <c r="AD20" s="544">
        <f>IFERROR(IF(INDEX('Final Calculation Sheet'!$P$4:$P$40,$BA32-3)="","",INDEX('Final Calculation Sheet'!$P$4:$P$40,$BA32-3)),"")</f>
        <v/>
      </c>
      <c r="AE20" s="545">
        <f>IFERROR(IF(INDEX('Final Calculation Sheet'!$P$4:$P$40,$BA33-3)="","",INDEX('Final Calculation Sheet'!$P$4:$P$40,$BA33-3)),"")</f>
        <v/>
      </c>
      <c r="AF20" s="544">
        <f>IFERROR(IF(INDEX('Final Calculation Sheet'!$P$4:$P$40,$BA34-3)="","",INDEX('Final Calculation Sheet'!$P$4:$P$40,$BA34-3)),"")</f>
        <v/>
      </c>
      <c r="AG20" s="545">
        <f>IFERROR(IF(INDEX('Final Calculation Sheet'!$P$4:$P$40,$BA35-3)="","",INDEX('Final Calculation Sheet'!$P$4:$P$40,$BA35-3)),"")</f>
        <v/>
      </c>
      <c r="AH20" s="544">
        <f>IFERROR(IF(INDEX('Final Calculation Sheet'!$P$4:$P$40,$BA36-3)="","",INDEX('Final Calculation Sheet'!$P$4:$P$40,$BA36-3)),"")</f>
        <v/>
      </c>
      <c r="AI20" s="545">
        <f>IFERROR(IF(INDEX('Final Calculation Sheet'!$P$4:$P$40,$BA37-3)="","",INDEX('Final Calculation Sheet'!$P$4:$P$40,$BA37-3)),"")</f>
        <v/>
      </c>
      <c r="AJ20" s="544">
        <f>IFERROR(IF(INDEX('Final Calculation Sheet'!$P$4:$P$40,$BA38-3)="","",INDEX('Final Calculation Sheet'!$P$4:$P$40,$BA38-3)),"")</f>
        <v/>
      </c>
      <c r="AK20" s="545">
        <f>IFERROR(IF(INDEX('Final Calculation Sheet'!$P$4:$P$40,$BA39-3)="","",INDEX('Final Calculation Sheet'!$P$4:$P$40,$BA39-3)),"")</f>
        <v/>
      </c>
      <c r="AL20" s="544">
        <f>IFERROR(IF(INDEX('Final Calculation Sheet'!$P$4:$P$40,$BA40-3)="","",INDEX('Final Calculation Sheet'!$P$4:$P$40,$BA40-3)),"")</f>
        <v/>
      </c>
      <c r="AM20" s="546">
        <f>IF(COUNT(B20:AL20)=0,"",SUM(B20:AL20))</f>
        <v/>
      </c>
      <c r="AO20" t="inlineStr">
        <is>
          <t>GST TDS Rate</t>
        </is>
      </c>
      <c r="AW20">
        <f>IF(OR($B$3="ALL BUYERS",'Final Calculation Sheet'!$G20=$B$3),IF($D$3="— no row filter —",1,IF($F$3="is blank",IF(INDEX('Final Calculation Sheet'!$A$4:$AG$40,20-3,$AU$2)="",1,0),IF($F$3="is not blank",IF(INDEX('Final Calculation Sheet'!$A$4:$AG$40,20-3,$AU$2)="",0,1),IF($F$3="contains",IF(ISNUMBER(SEARCH($H$3,INDEX('Final Calculation Sheet'!$A$4:$AG$40,20-3,$AU$2))),1,0),IF($F$3="=",IF(INDEX('Final Calculation Sheet'!$A$4:$AG$40,20-3,$AU$2)=$H$3,1,0),IF($F$3="&lt;&gt;",IF(INDEX('Final Calculation Sheet'!$A$4:$AG$40,20-3,$AU$2)=$H$3,0,1),IF($F$3="&gt;",IF(N(INDEX('Final Calculation Sheet'!$A$4:$AG$40,20-3,$AU$2))&gt;N($H$3),1,0),IF($F$3="&gt;=",IF(N(INDEX('Final Calculation Sheet'!$A$4:$AG$40,20-3,$AU$2))&gt;=N($H$3),1,0),IF($F$3="&lt;",IF(N(INDEX('Final Calculation Sheet'!$A$4:$AG$40,20-3,$AU$2))&lt;N($H$3),1,0),IF($F$3="&lt;=",IF(N(INDEX('Final Calculation Sheet'!$A$4:$AG$40,20-3,$AU$2))&lt;=N($H$3),1,0),0)))))))))),0)</f>
        <v/>
      </c>
      <c r="AY20">
        <f>IF(AW20=1,SUM($AW$4:AW20),"")</f>
        <v/>
      </c>
      <c r="BA20">
        <f>IFERROR(MATCH(17,$AY$4:$AY$40,0)+3,"")</f>
        <v/>
      </c>
    </row>
    <row r="21" ht="15" customHeight="1">
      <c r="A21" s="540" t="inlineStr">
        <is>
          <t>GST TDS Rate</t>
        </is>
      </c>
      <c r="B21" s="549">
        <f>IFERROR(IF(INDEX('Final Calculation Sheet'!$Q$4:$Q$40,$BA4-3)="","",INDEX('Final Calculation Sheet'!$Q$4:$Q$40,$BA4-3)),"")</f>
        <v/>
      </c>
      <c r="C21" s="550">
        <f>IFERROR(IF(INDEX('Final Calculation Sheet'!$Q$4:$Q$40,$BA5-3)="","",INDEX('Final Calculation Sheet'!$Q$4:$Q$40,$BA5-3)),"")</f>
        <v/>
      </c>
      <c r="D21" s="549">
        <f>IFERROR(IF(INDEX('Final Calculation Sheet'!$Q$4:$Q$40,$BA6-3)="","",INDEX('Final Calculation Sheet'!$Q$4:$Q$40,$BA6-3)),"")</f>
        <v/>
      </c>
      <c r="E21" s="550">
        <f>IFERROR(IF(INDEX('Final Calculation Sheet'!$Q$4:$Q$40,$BA7-3)="","",INDEX('Final Calculation Sheet'!$Q$4:$Q$40,$BA7-3)),"")</f>
        <v/>
      </c>
      <c r="F21" s="549">
        <f>IFERROR(IF(INDEX('Final Calculation Sheet'!$Q$4:$Q$40,$BA8-3)="","",INDEX('Final Calculation Sheet'!$Q$4:$Q$40,$BA8-3)),"")</f>
        <v/>
      </c>
      <c r="G21" s="550">
        <f>IFERROR(IF(INDEX('Final Calculation Sheet'!$Q$4:$Q$40,$BA9-3)="","",INDEX('Final Calculation Sheet'!$Q$4:$Q$40,$BA9-3)),"")</f>
        <v/>
      </c>
      <c r="H21" s="549">
        <f>IFERROR(IF(INDEX('Final Calculation Sheet'!$Q$4:$Q$40,$BA10-3)="","",INDEX('Final Calculation Sheet'!$Q$4:$Q$40,$BA10-3)),"")</f>
        <v/>
      </c>
      <c r="I21" s="550">
        <f>IFERROR(IF(INDEX('Final Calculation Sheet'!$Q$4:$Q$40,$BA11-3)="","",INDEX('Final Calculation Sheet'!$Q$4:$Q$40,$BA11-3)),"")</f>
        <v/>
      </c>
      <c r="J21" s="549">
        <f>IFERROR(IF(INDEX('Final Calculation Sheet'!$Q$4:$Q$40,$BA12-3)="","",INDEX('Final Calculation Sheet'!$Q$4:$Q$40,$BA12-3)),"")</f>
        <v/>
      </c>
      <c r="K21" s="550">
        <f>IFERROR(IF(INDEX('Final Calculation Sheet'!$Q$4:$Q$40,$BA13-3)="","",INDEX('Final Calculation Sheet'!$Q$4:$Q$40,$BA13-3)),"")</f>
        <v/>
      </c>
      <c r="L21" s="549">
        <f>IFERROR(IF(INDEX('Final Calculation Sheet'!$Q$4:$Q$40,$BA14-3)="","",INDEX('Final Calculation Sheet'!$Q$4:$Q$40,$BA14-3)),"")</f>
        <v/>
      </c>
      <c r="M21" s="550">
        <f>IFERROR(IF(INDEX('Final Calculation Sheet'!$Q$4:$Q$40,$BA15-3)="","",INDEX('Final Calculation Sheet'!$Q$4:$Q$40,$BA15-3)),"")</f>
        <v/>
      </c>
      <c r="N21" s="549">
        <f>IFERROR(IF(INDEX('Final Calculation Sheet'!$Q$4:$Q$40,$BA16-3)="","",INDEX('Final Calculation Sheet'!$Q$4:$Q$40,$BA16-3)),"")</f>
        <v/>
      </c>
      <c r="O21" s="550">
        <f>IFERROR(IF(INDEX('Final Calculation Sheet'!$Q$4:$Q$40,$BA17-3)="","",INDEX('Final Calculation Sheet'!$Q$4:$Q$40,$BA17-3)),"")</f>
        <v/>
      </c>
      <c r="P21" s="549">
        <f>IFERROR(IF(INDEX('Final Calculation Sheet'!$Q$4:$Q$40,$BA18-3)="","",INDEX('Final Calculation Sheet'!$Q$4:$Q$40,$BA18-3)),"")</f>
        <v/>
      </c>
      <c r="Q21" s="550">
        <f>IFERROR(IF(INDEX('Final Calculation Sheet'!$Q$4:$Q$40,$BA19-3)="","",INDEX('Final Calculation Sheet'!$Q$4:$Q$40,$BA19-3)),"")</f>
        <v/>
      </c>
      <c r="R21" s="549">
        <f>IFERROR(IF(INDEX('Final Calculation Sheet'!$Q$4:$Q$40,$BA20-3)="","",INDEX('Final Calculation Sheet'!$Q$4:$Q$40,$BA20-3)),"")</f>
        <v/>
      </c>
      <c r="S21" s="550">
        <f>IFERROR(IF(INDEX('Final Calculation Sheet'!$Q$4:$Q$40,$BA21-3)="","",INDEX('Final Calculation Sheet'!$Q$4:$Q$40,$BA21-3)),"")</f>
        <v/>
      </c>
      <c r="T21" s="549">
        <f>IFERROR(IF(INDEX('Final Calculation Sheet'!$Q$4:$Q$40,$BA22-3)="","",INDEX('Final Calculation Sheet'!$Q$4:$Q$40,$BA22-3)),"")</f>
        <v/>
      </c>
      <c r="U21" s="550">
        <f>IFERROR(IF(INDEX('Final Calculation Sheet'!$Q$4:$Q$40,$BA23-3)="","",INDEX('Final Calculation Sheet'!$Q$4:$Q$40,$BA23-3)),"")</f>
        <v/>
      </c>
      <c r="V21" s="549">
        <f>IFERROR(IF(INDEX('Final Calculation Sheet'!$Q$4:$Q$40,$BA24-3)="","",INDEX('Final Calculation Sheet'!$Q$4:$Q$40,$BA24-3)),"")</f>
        <v/>
      </c>
      <c r="W21" s="550">
        <f>IFERROR(IF(INDEX('Final Calculation Sheet'!$Q$4:$Q$40,$BA25-3)="","",INDEX('Final Calculation Sheet'!$Q$4:$Q$40,$BA25-3)),"")</f>
        <v/>
      </c>
      <c r="X21" s="549">
        <f>IFERROR(IF(INDEX('Final Calculation Sheet'!$Q$4:$Q$40,$BA26-3)="","",INDEX('Final Calculation Sheet'!$Q$4:$Q$40,$BA26-3)),"")</f>
        <v/>
      </c>
      <c r="Y21" s="550">
        <f>IFERROR(IF(INDEX('Final Calculation Sheet'!$Q$4:$Q$40,$BA27-3)="","",INDEX('Final Calculation Sheet'!$Q$4:$Q$40,$BA27-3)),"")</f>
        <v/>
      </c>
      <c r="Z21" s="549">
        <f>IFERROR(IF(INDEX('Final Calculation Sheet'!$Q$4:$Q$40,$BA28-3)="","",INDEX('Final Calculation Sheet'!$Q$4:$Q$40,$BA28-3)),"")</f>
        <v/>
      </c>
      <c r="AA21" s="550">
        <f>IFERROR(IF(INDEX('Final Calculation Sheet'!$Q$4:$Q$40,$BA29-3)="","",INDEX('Final Calculation Sheet'!$Q$4:$Q$40,$BA29-3)),"")</f>
        <v/>
      </c>
      <c r="AB21" s="549">
        <f>IFERROR(IF(INDEX('Final Calculation Sheet'!$Q$4:$Q$40,$BA30-3)="","",INDEX('Final Calculation Sheet'!$Q$4:$Q$40,$BA30-3)),"")</f>
        <v/>
      </c>
      <c r="AC21" s="550">
        <f>IFERROR(IF(INDEX('Final Calculation Sheet'!$Q$4:$Q$40,$BA31-3)="","",INDEX('Final Calculation Sheet'!$Q$4:$Q$40,$BA31-3)),"")</f>
        <v/>
      </c>
      <c r="AD21" s="549">
        <f>IFERROR(IF(INDEX('Final Calculation Sheet'!$Q$4:$Q$40,$BA32-3)="","",INDEX('Final Calculation Sheet'!$Q$4:$Q$40,$BA32-3)),"")</f>
        <v/>
      </c>
      <c r="AE21" s="550">
        <f>IFERROR(IF(INDEX('Final Calculation Sheet'!$Q$4:$Q$40,$BA33-3)="","",INDEX('Final Calculation Sheet'!$Q$4:$Q$40,$BA33-3)),"")</f>
        <v/>
      </c>
      <c r="AF21" s="549">
        <f>IFERROR(IF(INDEX('Final Calculation Sheet'!$Q$4:$Q$40,$BA34-3)="","",INDEX('Final Calculation Sheet'!$Q$4:$Q$40,$BA34-3)),"")</f>
        <v/>
      </c>
      <c r="AG21" s="550">
        <f>IFERROR(IF(INDEX('Final Calculation Sheet'!$Q$4:$Q$40,$BA35-3)="","",INDEX('Final Calculation Sheet'!$Q$4:$Q$40,$BA35-3)),"")</f>
        <v/>
      </c>
      <c r="AH21" s="549">
        <f>IFERROR(IF(INDEX('Final Calculation Sheet'!$Q$4:$Q$40,$BA36-3)="","",INDEX('Final Calculation Sheet'!$Q$4:$Q$40,$BA36-3)),"")</f>
        <v/>
      </c>
      <c r="AI21" s="550">
        <f>IFERROR(IF(INDEX('Final Calculation Sheet'!$Q$4:$Q$40,$BA37-3)="","",INDEX('Final Calculation Sheet'!$Q$4:$Q$40,$BA37-3)),"")</f>
        <v/>
      </c>
      <c r="AJ21" s="549">
        <f>IFERROR(IF(INDEX('Final Calculation Sheet'!$Q$4:$Q$40,$BA38-3)="","",INDEX('Final Calculation Sheet'!$Q$4:$Q$40,$BA38-3)),"")</f>
        <v/>
      </c>
      <c r="AK21" s="550">
        <f>IFERROR(IF(INDEX('Final Calculation Sheet'!$Q$4:$Q$40,$BA39-3)="","",INDEX('Final Calculation Sheet'!$Q$4:$Q$40,$BA39-3)),"")</f>
        <v/>
      </c>
      <c r="AL21" s="549">
        <f>IFERROR(IF(INDEX('Final Calculation Sheet'!$Q$4:$Q$40,$BA40-3)="","",INDEX('Final Calculation Sheet'!$Q$4:$Q$40,$BA40-3)),"")</f>
        <v/>
      </c>
      <c r="AM21" s="605" t="inlineStr">
        <is>
          <t>–</t>
        </is>
      </c>
      <c r="AO21" t="inlineStr">
        <is>
          <t>GST TDS</t>
        </is>
      </c>
      <c r="AW21">
        <f>IF(OR($B$3="ALL BUYERS",'Final Calculation Sheet'!$G21=$B$3),IF($D$3="— no row filter —",1,IF($F$3="is blank",IF(INDEX('Final Calculation Sheet'!$A$4:$AG$40,21-3,$AU$2)="",1,0),IF($F$3="is not blank",IF(INDEX('Final Calculation Sheet'!$A$4:$AG$40,21-3,$AU$2)="",0,1),IF($F$3="contains",IF(ISNUMBER(SEARCH($H$3,INDEX('Final Calculation Sheet'!$A$4:$AG$40,21-3,$AU$2))),1,0),IF($F$3="=",IF(INDEX('Final Calculation Sheet'!$A$4:$AG$40,21-3,$AU$2)=$H$3,1,0),IF($F$3="&lt;&gt;",IF(INDEX('Final Calculation Sheet'!$A$4:$AG$40,21-3,$AU$2)=$H$3,0,1),IF($F$3="&gt;",IF(N(INDEX('Final Calculation Sheet'!$A$4:$AG$40,21-3,$AU$2))&gt;N($H$3),1,0),IF($F$3="&gt;=",IF(N(INDEX('Final Calculation Sheet'!$A$4:$AG$40,21-3,$AU$2))&gt;=N($H$3),1,0),IF($F$3="&lt;",IF(N(INDEX('Final Calculation Sheet'!$A$4:$AG$40,21-3,$AU$2))&lt;N($H$3),1,0),IF($F$3="&lt;=",IF(N(INDEX('Final Calculation Sheet'!$A$4:$AG$40,21-3,$AU$2))&lt;=N($H$3),1,0),0)))))))))),0)</f>
        <v/>
      </c>
      <c r="AY21">
        <f>IF(AW21=1,SUM($AW$4:AW21),"")</f>
        <v/>
      </c>
      <c r="BA21">
        <f>IFERROR(MATCH(18,$AY$4:$AY$40,0)+3,"")</f>
        <v/>
      </c>
    </row>
    <row r="22" ht="15" customHeight="1">
      <c r="A22" s="543" t="inlineStr">
        <is>
          <t>GST TDS</t>
        </is>
      </c>
      <c r="B22" s="544">
        <f>IFERROR(IF(INDEX('Final Calculation Sheet'!$R$4:$R$40,$BA4-3)="","",INDEX('Final Calculation Sheet'!$R$4:$R$40,$BA4-3)),"")</f>
        <v/>
      </c>
      <c r="C22" s="545">
        <f>IFERROR(IF(INDEX('Final Calculation Sheet'!$R$4:$R$40,$BA5-3)="","",INDEX('Final Calculation Sheet'!$R$4:$R$40,$BA5-3)),"")</f>
        <v/>
      </c>
      <c r="D22" s="544">
        <f>IFERROR(IF(INDEX('Final Calculation Sheet'!$R$4:$R$40,$BA6-3)="","",INDEX('Final Calculation Sheet'!$R$4:$R$40,$BA6-3)),"")</f>
        <v/>
      </c>
      <c r="E22" s="545">
        <f>IFERROR(IF(INDEX('Final Calculation Sheet'!$R$4:$R$40,$BA7-3)="","",INDEX('Final Calculation Sheet'!$R$4:$R$40,$BA7-3)),"")</f>
        <v/>
      </c>
      <c r="F22" s="544">
        <f>IFERROR(IF(INDEX('Final Calculation Sheet'!$R$4:$R$40,$BA8-3)="","",INDEX('Final Calculation Sheet'!$R$4:$R$40,$BA8-3)),"")</f>
        <v/>
      </c>
      <c r="G22" s="545">
        <f>IFERROR(IF(INDEX('Final Calculation Sheet'!$R$4:$R$40,$BA9-3)="","",INDEX('Final Calculation Sheet'!$R$4:$R$40,$BA9-3)),"")</f>
        <v/>
      </c>
      <c r="H22" s="544">
        <f>IFERROR(IF(INDEX('Final Calculation Sheet'!$R$4:$R$40,$BA10-3)="","",INDEX('Final Calculation Sheet'!$R$4:$R$40,$BA10-3)),"")</f>
        <v/>
      </c>
      <c r="I22" s="545">
        <f>IFERROR(IF(INDEX('Final Calculation Sheet'!$R$4:$R$40,$BA11-3)="","",INDEX('Final Calculation Sheet'!$R$4:$R$40,$BA11-3)),"")</f>
        <v/>
      </c>
      <c r="J22" s="544">
        <f>IFERROR(IF(INDEX('Final Calculation Sheet'!$R$4:$R$40,$BA12-3)="","",INDEX('Final Calculation Sheet'!$R$4:$R$40,$BA12-3)),"")</f>
        <v/>
      </c>
      <c r="K22" s="545">
        <f>IFERROR(IF(INDEX('Final Calculation Sheet'!$R$4:$R$40,$BA13-3)="","",INDEX('Final Calculation Sheet'!$R$4:$R$40,$BA13-3)),"")</f>
        <v/>
      </c>
      <c r="L22" s="544">
        <f>IFERROR(IF(INDEX('Final Calculation Sheet'!$R$4:$R$40,$BA14-3)="","",INDEX('Final Calculation Sheet'!$R$4:$R$40,$BA14-3)),"")</f>
        <v/>
      </c>
      <c r="M22" s="545">
        <f>IFERROR(IF(INDEX('Final Calculation Sheet'!$R$4:$R$40,$BA15-3)="","",INDEX('Final Calculation Sheet'!$R$4:$R$40,$BA15-3)),"")</f>
        <v/>
      </c>
      <c r="N22" s="544">
        <f>IFERROR(IF(INDEX('Final Calculation Sheet'!$R$4:$R$40,$BA16-3)="","",INDEX('Final Calculation Sheet'!$R$4:$R$40,$BA16-3)),"")</f>
        <v/>
      </c>
      <c r="O22" s="545">
        <f>IFERROR(IF(INDEX('Final Calculation Sheet'!$R$4:$R$40,$BA17-3)="","",INDEX('Final Calculation Sheet'!$R$4:$R$40,$BA17-3)),"")</f>
        <v/>
      </c>
      <c r="P22" s="544">
        <f>IFERROR(IF(INDEX('Final Calculation Sheet'!$R$4:$R$40,$BA18-3)="","",INDEX('Final Calculation Sheet'!$R$4:$R$40,$BA18-3)),"")</f>
        <v/>
      </c>
      <c r="Q22" s="545">
        <f>IFERROR(IF(INDEX('Final Calculation Sheet'!$R$4:$R$40,$BA19-3)="","",INDEX('Final Calculation Sheet'!$R$4:$R$40,$BA19-3)),"")</f>
        <v/>
      </c>
      <c r="R22" s="544">
        <f>IFERROR(IF(INDEX('Final Calculation Sheet'!$R$4:$R$40,$BA20-3)="","",INDEX('Final Calculation Sheet'!$R$4:$R$40,$BA20-3)),"")</f>
        <v/>
      </c>
      <c r="S22" s="545">
        <f>IFERROR(IF(INDEX('Final Calculation Sheet'!$R$4:$R$40,$BA21-3)="","",INDEX('Final Calculation Sheet'!$R$4:$R$40,$BA21-3)),"")</f>
        <v/>
      </c>
      <c r="T22" s="544">
        <f>IFERROR(IF(INDEX('Final Calculation Sheet'!$R$4:$R$40,$BA22-3)="","",INDEX('Final Calculation Sheet'!$R$4:$R$40,$BA22-3)),"")</f>
        <v/>
      </c>
      <c r="U22" s="545">
        <f>IFERROR(IF(INDEX('Final Calculation Sheet'!$R$4:$R$40,$BA23-3)="","",INDEX('Final Calculation Sheet'!$R$4:$R$40,$BA23-3)),"")</f>
        <v/>
      </c>
      <c r="V22" s="544">
        <f>IFERROR(IF(INDEX('Final Calculation Sheet'!$R$4:$R$40,$BA24-3)="","",INDEX('Final Calculation Sheet'!$R$4:$R$40,$BA24-3)),"")</f>
        <v/>
      </c>
      <c r="W22" s="545">
        <f>IFERROR(IF(INDEX('Final Calculation Sheet'!$R$4:$R$40,$BA25-3)="","",INDEX('Final Calculation Sheet'!$R$4:$R$40,$BA25-3)),"")</f>
        <v/>
      </c>
      <c r="X22" s="544">
        <f>IFERROR(IF(INDEX('Final Calculation Sheet'!$R$4:$R$40,$BA26-3)="","",INDEX('Final Calculation Sheet'!$R$4:$R$40,$BA26-3)),"")</f>
        <v/>
      </c>
      <c r="Y22" s="545">
        <f>IFERROR(IF(INDEX('Final Calculation Sheet'!$R$4:$R$40,$BA27-3)="","",INDEX('Final Calculation Sheet'!$R$4:$R$40,$BA27-3)),"")</f>
        <v/>
      </c>
      <c r="Z22" s="544">
        <f>IFERROR(IF(INDEX('Final Calculation Sheet'!$R$4:$R$40,$BA28-3)="","",INDEX('Final Calculation Sheet'!$R$4:$R$40,$BA28-3)),"")</f>
        <v/>
      </c>
      <c r="AA22" s="545">
        <f>IFERROR(IF(INDEX('Final Calculation Sheet'!$R$4:$R$40,$BA29-3)="","",INDEX('Final Calculation Sheet'!$R$4:$R$40,$BA29-3)),"")</f>
        <v/>
      </c>
      <c r="AB22" s="544">
        <f>IFERROR(IF(INDEX('Final Calculation Sheet'!$R$4:$R$40,$BA30-3)="","",INDEX('Final Calculation Sheet'!$R$4:$R$40,$BA30-3)),"")</f>
        <v/>
      </c>
      <c r="AC22" s="545">
        <f>IFERROR(IF(INDEX('Final Calculation Sheet'!$R$4:$R$40,$BA31-3)="","",INDEX('Final Calculation Sheet'!$R$4:$R$40,$BA31-3)),"")</f>
        <v/>
      </c>
      <c r="AD22" s="544">
        <f>IFERROR(IF(INDEX('Final Calculation Sheet'!$R$4:$R$40,$BA32-3)="","",INDEX('Final Calculation Sheet'!$R$4:$R$40,$BA32-3)),"")</f>
        <v/>
      </c>
      <c r="AE22" s="545">
        <f>IFERROR(IF(INDEX('Final Calculation Sheet'!$R$4:$R$40,$BA33-3)="","",INDEX('Final Calculation Sheet'!$R$4:$R$40,$BA33-3)),"")</f>
        <v/>
      </c>
      <c r="AF22" s="544">
        <f>IFERROR(IF(INDEX('Final Calculation Sheet'!$R$4:$R$40,$BA34-3)="","",INDEX('Final Calculation Sheet'!$R$4:$R$40,$BA34-3)),"")</f>
        <v/>
      </c>
      <c r="AG22" s="545">
        <f>IFERROR(IF(INDEX('Final Calculation Sheet'!$R$4:$R$40,$BA35-3)="","",INDEX('Final Calculation Sheet'!$R$4:$R$40,$BA35-3)),"")</f>
        <v/>
      </c>
      <c r="AH22" s="544">
        <f>IFERROR(IF(INDEX('Final Calculation Sheet'!$R$4:$R$40,$BA36-3)="","",INDEX('Final Calculation Sheet'!$R$4:$R$40,$BA36-3)),"")</f>
        <v/>
      </c>
      <c r="AI22" s="545">
        <f>IFERROR(IF(INDEX('Final Calculation Sheet'!$R$4:$R$40,$BA37-3)="","",INDEX('Final Calculation Sheet'!$R$4:$R$40,$BA37-3)),"")</f>
        <v/>
      </c>
      <c r="AJ22" s="544">
        <f>IFERROR(IF(INDEX('Final Calculation Sheet'!$R$4:$R$40,$BA38-3)="","",INDEX('Final Calculation Sheet'!$R$4:$R$40,$BA38-3)),"")</f>
        <v/>
      </c>
      <c r="AK22" s="545">
        <f>IFERROR(IF(INDEX('Final Calculation Sheet'!$R$4:$R$40,$BA39-3)="","",INDEX('Final Calculation Sheet'!$R$4:$R$40,$BA39-3)),"")</f>
        <v/>
      </c>
      <c r="AL22" s="544">
        <f>IFERROR(IF(INDEX('Final Calculation Sheet'!$R$4:$R$40,$BA40-3)="","",INDEX('Final Calculation Sheet'!$R$4:$R$40,$BA40-3)),"")</f>
        <v/>
      </c>
      <c r="AM22" s="546">
        <f>IF(COUNT(B22:AL22)=0,"",SUM(B22:AL22))</f>
        <v/>
      </c>
      <c r="AO22" t="inlineStr">
        <is>
          <t>Total Receivables in Cash</t>
        </is>
      </c>
      <c r="AW22">
        <f>IF(OR($B$3="ALL BUYERS",'Final Calculation Sheet'!$G22=$B$3),IF($D$3="— no row filter —",1,IF($F$3="is blank",IF(INDEX('Final Calculation Sheet'!$A$4:$AG$40,22-3,$AU$2)="",1,0),IF($F$3="is not blank",IF(INDEX('Final Calculation Sheet'!$A$4:$AG$40,22-3,$AU$2)="",0,1),IF($F$3="contains",IF(ISNUMBER(SEARCH($H$3,INDEX('Final Calculation Sheet'!$A$4:$AG$40,22-3,$AU$2))),1,0),IF($F$3="=",IF(INDEX('Final Calculation Sheet'!$A$4:$AG$40,22-3,$AU$2)=$H$3,1,0),IF($F$3="&lt;&gt;",IF(INDEX('Final Calculation Sheet'!$A$4:$AG$40,22-3,$AU$2)=$H$3,0,1),IF($F$3="&gt;",IF(N(INDEX('Final Calculation Sheet'!$A$4:$AG$40,22-3,$AU$2))&gt;N($H$3),1,0),IF($F$3="&gt;=",IF(N(INDEX('Final Calculation Sheet'!$A$4:$AG$40,22-3,$AU$2))&gt;=N($H$3),1,0),IF($F$3="&lt;",IF(N(INDEX('Final Calculation Sheet'!$A$4:$AG$40,22-3,$AU$2))&lt;N($H$3),1,0),IF($F$3="&lt;=",IF(N(INDEX('Final Calculation Sheet'!$A$4:$AG$40,22-3,$AU$2))&lt;=N($H$3),1,0),0)))))))))),0)</f>
        <v/>
      </c>
      <c r="AY22">
        <f>IF(AW22=1,SUM($AW$4:AW22),"")</f>
        <v/>
      </c>
      <c r="BA22">
        <f>IFERROR(MATCH(19,$AY$4:$AY$40,0)+3,"")</f>
        <v/>
      </c>
    </row>
    <row r="23" ht="15" customHeight="1">
      <c r="A23" s="540" t="inlineStr">
        <is>
          <t>Total Receivables in Cash</t>
        </is>
      </c>
      <c r="B23" s="544">
        <f>IFERROR(IF(INDEX('Final Calculation Sheet'!$S$4:$S$40,$BA4-3)="","",INDEX('Final Calculation Sheet'!$S$4:$S$40,$BA4-3)),"")</f>
        <v/>
      </c>
      <c r="C23" s="545">
        <f>IFERROR(IF(INDEX('Final Calculation Sheet'!$S$4:$S$40,$BA5-3)="","",INDEX('Final Calculation Sheet'!$S$4:$S$40,$BA5-3)),"")</f>
        <v/>
      </c>
      <c r="D23" s="544">
        <f>IFERROR(IF(INDEX('Final Calculation Sheet'!$S$4:$S$40,$BA6-3)="","",INDEX('Final Calculation Sheet'!$S$4:$S$40,$BA6-3)),"")</f>
        <v/>
      </c>
      <c r="E23" s="545">
        <f>IFERROR(IF(INDEX('Final Calculation Sheet'!$S$4:$S$40,$BA7-3)="","",INDEX('Final Calculation Sheet'!$S$4:$S$40,$BA7-3)),"")</f>
        <v/>
      </c>
      <c r="F23" s="544">
        <f>IFERROR(IF(INDEX('Final Calculation Sheet'!$S$4:$S$40,$BA8-3)="","",INDEX('Final Calculation Sheet'!$S$4:$S$40,$BA8-3)),"")</f>
        <v/>
      </c>
      <c r="G23" s="545">
        <f>IFERROR(IF(INDEX('Final Calculation Sheet'!$S$4:$S$40,$BA9-3)="","",INDEX('Final Calculation Sheet'!$S$4:$S$40,$BA9-3)),"")</f>
        <v/>
      </c>
      <c r="H23" s="544">
        <f>IFERROR(IF(INDEX('Final Calculation Sheet'!$S$4:$S$40,$BA10-3)="","",INDEX('Final Calculation Sheet'!$S$4:$S$40,$BA10-3)),"")</f>
        <v/>
      </c>
      <c r="I23" s="545">
        <f>IFERROR(IF(INDEX('Final Calculation Sheet'!$S$4:$S$40,$BA11-3)="","",INDEX('Final Calculation Sheet'!$S$4:$S$40,$BA11-3)),"")</f>
        <v/>
      </c>
      <c r="J23" s="544">
        <f>IFERROR(IF(INDEX('Final Calculation Sheet'!$S$4:$S$40,$BA12-3)="","",INDEX('Final Calculation Sheet'!$S$4:$S$40,$BA12-3)),"")</f>
        <v/>
      </c>
      <c r="K23" s="545">
        <f>IFERROR(IF(INDEX('Final Calculation Sheet'!$S$4:$S$40,$BA13-3)="","",INDEX('Final Calculation Sheet'!$S$4:$S$40,$BA13-3)),"")</f>
        <v/>
      </c>
      <c r="L23" s="544">
        <f>IFERROR(IF(INDEX('Final Calculation Sheet'!$S$4:$S$40,$BA14-3)="","",INDEX('Final Calculation Sheet'!$S$4:$S$40,$BA14-3)),"")</f>
        <v/>
      </c>
      <c r="M23" s="545">
        <f>IFERROR(IF(INDEX('Final Calculation Sheet'!$S$4:$S$40,$BA15-3)="","",INDEX('Final Calculation Sheet'!$S$4:$S$40,$BA15-3)),"")</f>
        <v/>
      </c>
      <c r="N23" s="544">
        <f>IFERROR(IF(INDEX('Final Calculation Sheet'!$S$4:$S$40,$BA16-3)="","",INDEX('Final Calculation Sheet'!$S$4:$S$40,$BA16-3)),"")</f>
        <v/>
      </c>
      <c r="O23" s="545">
        <f>IFERROR(IF(INDEX('Final Calculation Sheet'!$S$4:$S$40,$BA17-3)="","",INDEX('Final Calculation Sheet'!$S$4:$S$40,$BA17-3)),"")</f>
        <v/>
      </c>
      <c r="P23" s="544">
        <f>IFERROR(IF(INDEX('Final Calculation Sheet'!$S$4:$S$40,$BA18-3)="","",INDEX('Final Calculation Sheet'!$S$4:$S$40,$BA18-3)),"")</f>
        <v/>
      </c>
      <c r="Q23" s="545">
        <f>IFERROR(IF(INDEX('Final Calculation Sheet'!$S$4:$S$40,$BA19-3)="","",INDEX('Final Calculation Sheet'!$S$4:$S$40,$BA19-3)),"")</f>
        <v/>
      </c>
      <c r="R23" s="544">
        <f>IFERROR(IF(INDEX('Final Calculation Sheet'!$S$4:$S$40,$BA20-3)="","",INDEX('Final Calculation Sheet'!$S$4:$S$40,$BA20-3)),"")</f>
        <v/>
      </c>
      <c r="S23" s="545">
        <f>IFERROR(IF(INDEX('Final Calculation Sheet'!$S$4:$S$40,$BA21-3)="","",INDEX('Final Calculation Sheet'!$S$4:$S$40,$BA21-3)),"")</f>
        <v/>
      </c>
      <c r="T23" s="544">
        <f>IFERROR(IF(INDEX('Final Calculation Sheet'!$S$4:$S$40,$BA22-3)="","",INDEX('Final Calculation Sheet'!$S$4:$S$40,$BA22-3)),"")</f>
        <v/>
      </c>
      <c r="U23" s="545">
        <f>IFERROR(IF(INDEX('Final Calculation Sheet'!$S$4:$S$40,$BA23-3)="","",INDEX('Final Calculation Sheet'!$S$4:$S$40,$BA23-3)),"")</f>
        <v/>
      </c>
      <c r="V23" s="544">
        <f>IFERROR(IF(INDEX('Final Calculation Sheet'!$S$4:$S$40,$BA24-3)="","",INDEX('Final Calculation Sheet'!$S$4:$S$40,$BA24-3)),"")</f>
        <v/>
      </c>
      <c r="W23" s="545">
        <f>IFERROR(IF(INDEX('Final Calculation Sheet'!$S$4:$S$40,$BA25-3)="","",INDEX('Final Calculation Sheet'!$S$4:$S$40,$BA25-3)),"")</f>
        <v/>
      </c>
      <c r="X23" s="544">
        <f>IFERROR(IF(INDEX('Final Calculation Sheet'!$S$4:$S$40,$BA26-3)="","",INDEX('Final Calculation Sheet'!$S$4:$S$40,$BA26-3)),"")</f>
        <v/>
      </c>
      <c r="Y23" s="545">
        <f>IFERROR(IF(INDEX('Final Calculation Sheet'!$S$4:$S$40,$BA27-3)="","",INDEX('Final Calculation Sheet'!$S$4:$S$40,$BA27-3)),"")</f>
        <v/>
      </c>
      <c r="Z23" s="544">
        <f>IFERROR(IF(INDEX('Final Calculation Sheet'!$S$4:$S$40,$BA28-3)="","",INDEX('Final Calculation Sheet'!$S$4:$S$40,$BA28-3)),"")</f>
        <v/>
      </c>
      <c r="AA23" s="545">
        <f>IFERROR(IF(INDEX('Final Calculation Sheet'!$S$4:$S$40,$BA29-3)="","",INDEX('Final Calculation Sheet'!$S$4:$S$40,$BA29-3)),"")</f>
        <v/>
      </c>
      <c r="AB23" s="544">
        <f>IFERROR(IF(INDEX('Final Calculation Sheet'!$S$4:$S$40,$BA30-3)="","",INDEX('Final Calculation Sheet'!$S$4:$S$40,$BA30-3)),"")</f>
        <v/>
      </c>
      <c r="AC23" s="545">
        <f>IFERROR(IF(INDEX('Final Calculation Sheet'!$S$4:$S$40,$BA31-3)="","",INDEX('Final Calculation Sheet'!$S$4:$S$40,$BA31-3)),"")</f>
        <v/>
      </c>
      <c r="AD23" s="544">
        <f>IFERROR(IF(INDEX('Final Calculation Sheet'!$S$4:$S$40,$BA32-3)="","",INDEX('Final Calculation Sheet'!$S$4:$S$40,$BA32-3)),"")</f>
        <v/>
      </c>
      <c r="AE23" s="545">
        <f>IFERROR(IF(INDEX('Final Calculation Sheet'!$S$4:$S$40,$BA33-3)="","",INDEX('Final Calculation Sheet'!$S$4:$S$40,$BA33-3)),"")</f>
        <v/>
      </c>
      <c r="AF23" s="544">
        <f>IFERROR(IF(INDEX('Final Calculation Sheet'!$S$4:$S$40,$BA34-3)="","",INDEX('Final Calculation Sheet'!$S$4:$S$40,$BA34-3)),"")</f>
        <v/>
      </c>
      <c r="AG23" s="545">
        <f>IFERROR(IF(INDEX('Final Calculation Sheet'!$S$4:$S$40,$BA35-3)="","",INDEX('Final Calculation Sheet'!$S$4:$S$40,$BA35-3)),"")</f>
        <v/>
      </c>
      <c r="AH23" s="544">
        <f>IFERROR(IF(INDEX('Final Calculation Sheet'!$S$4:$S$40,$BA36-3)="","",INDEX('Final Calculation Sheet'!$S$4:$S$40,$BA36-3)),"")</f>
        <v/>
      </c>
      <c r="AI23" s="545">
        <f>IFERROR(IF(INDEX('Final Calculation Sheet'!$S$4:$S$40,$BA37-3)="","",INDEX('Final Calculation Sheet'!$S$4:$S$40,$BA37-3)),"")</f>
        <v/>
      </c>
      <c r="AJ23" s="544">
        <f>IFERROR(IF(INDEX('Final Calculation Sheet'!$S$4:$S$40,$BA38-3)="","",INDEX('Final Calculation Sheet'!$S$4:$S$40,$BA38-3)),"")</f>
        <v/>
      </c>
      <c r="AK23" s="545">
        <f>IFERROR(IF(INDEX('Final Calculation Sheet'!$S$4:$S$40,$BA39-3)="","",INDEX('Final Calculation Sheet'!$S$4:$S$40,$BA39-3)),"")</f>
        <v/>
      </c>
      <c r="AL23" s="544">
        <f>IFERROR(IF(INDEX('Final Calculation Sheet'!$S$4:$S$40,$BA40-3)="","",INDEX('Final Calculation Sheet'!$S$4:$S$40,$BA40-3)),"")</f>
        <v/>
      </c>
      <c r="AM23" s="546">
        <f>IF(COUNT(B23:AL23)=0,"",SUM(B23:AL23))</f>
        <v/>
      </c>
      <c r="AO23" t="inlineStr">
        <is>
          <t>Security Deposit (Expected)</t>
        </is>
      </c>
      <c r="AW23">
        <f>IF(OR($B$3="ALL BUYERS",'Final Calculation Sheet'!$G23=$B$3),IF($D$3="— no row filter —",1,IF($F$3="is blank",IF(INDEX('Final Calculation Sheet'!$A$4:$AG$40,23-3,$AU$2)="",1,0),IF($F$3="is not blank",IF(INDEX('Final Calculation Sheet'!$A$4:$AG$40,23-3,$AU$2)="",0,1),IF($F$3="contains",IF(ISNUMBER(SEARCH($H$3,INDEX('Final Calculation Sheet'!$A$4:$AG$40,23-3,$AU$2))),1,0),IF($F$3="=",IF(INDEX('Final Calculation Sheet'!$A$4:$AG$40,23-3,$AU$2)=$H$3,1,0),IF($F$3="&lt;&gt;",IF(INDEX('Final Calculation Sheet'!$A$4:$AG$40,23-3,$AU$2)=$H$3,0,1),IF($F$3="&gt;",IF(N(INDEX('Final Calculation Sheet'!$A$4:$AG$40,23-3,$AU$2))&gt;N($H$3),1,0),IF($F$3="&gt;=",IF(N(INDEX('Final Calculation Sheet'!$A$4:$AG$40,23-3,$AU$2))&gt;=N($H$3),1,0),IF($F$3="&lt;",IF(N(INDEX('Final Calculation Sheet'!$A$4:$AG$40,23-3,$AU$2))&lt;N($H$3),1,0),IF($F$3="&lt;=",IF(N(INDEX('Final Calculation Sheet'!$A$4:$AG$40,23-3,$AU$2))&lt;=N($H$3),1,0),0)))))))))),0)</f>
        <v/>
      </c>
      <c r="AY23">
        <f>IF(AW23=1,SUM($AW$4:AW23),"")</f>
        <v/>
      </c>
      <c r="BA23">
        <f>IFERROR(MATCH(20,$AY$4:$AY$40,0)+3,"")</f>
        <v/>
      </c>
    </row>
    <row r="24" ht="15" customHeight="1">
      <c r="A24" s="543" t="inlineStr">
        <is>
          <t>Security Deposit (Expected)</t>
        </is>
      </c>
      <c r="B24" s="544">
        <f>IFERROR(IF(INDEX('Final Calculation Sheet'!$T$4:$T$40,$BA4-3)="","",INDEX('Final Calculation Sheet'!$T$4:$T$40,$BA4-3)),"")</f>
        <v/>
      </c>
      <c r="C24" s="545">
        <f>IFERROR(IF(INDEX('Final Calculation Sheet'!$T$4:$T$40,$BA5-3)="","",INDEX('Final Calculation Sheet'!$T$4:$T$40,$BA5-3)),"")</f>
        <v/>
      </c>
      <c r="D24" s="544">
        <f>IFERROR(IF(INDEX('Final Calculation Sheet'!$T$4:$T$40,$BA6-3)="","",INDEX('Final Calculation Sheet'!$T$4:$T$40,$BA6-3)),"")</f>
        <v/>
      </c>
      <c r="E24" s="545">
        <f>IFERROR(IF(INDEX('Final Calculation Sheet'!$T$4:$T$40,$BA7-3)="","",INDEX('Final Calculation Sheet'!$T$4:$T$40,$BA7-3)),"")</f>
        <v/>
      </c>
      <c r="F24" s="544">
        <f>IFERROR(IF(INDEX('Final Calculation Sheet'!$T$4:$T$40,$BA8-3)="","",INDEX('Final Calculation Sheet'!$T$4:$T$40,$BA8-3)),"")</f>
        <v/>
      </c>
      <c r="G24" s="545">
        <f>IFERROR(IF(INDEX('Final Calculation Sheet'!$T$4:$T$40,$BA9-3)="","",INDEX('Final Calculation Sheet'!$T$4:$T$40,$BA9-3)),"")</f>
        <v/>
      </c>
      <c r="H24" s="544">
        <f>IFERROR(IF(INDEX('Final Calculation Sheet'!$T$4:$T$40,$BA10-3)="","",INDEX('Final Calculation Sheet'!$T$4:$T$40,$BA10-3)),"")</f>
        <v/>
      </c>
      <c r="I24" s="545">
        <f>IFERROR(IF(INDEX('Final Calculation Sheet'!$T$4:$T$40,$BA11-3)="","",INDEX('Final Calculation Sheet'!$T$4:$T$40,$BA11-3)),"")</f>
        <v/>
      </c>
      <c r="J24" s="544">
        <f>IFERROR(IF(INDEX('Final Calculation Sheet'!$T$4:$T$40,$BA12-3)="","",INDEX('Final Calculation Sheet'!$T$4:$T$40,$BA12-3)),"")</f>
        <v/>
      </c>
      <c r="K24" s="545">
        <f>IFERROR(IF(INDEX('Final Calculation Sheet'!$T$4:$T$40,$BA13-3)="","",INDEX('Final Calculation Sheet'!$T$4:$T$40,$BA13-3)),"")</f>
        <v/>
      </c>
      <c r="L24" s="544">
        <f>IFERROR(IF(INDEX('Final Calculation Sheet'!$T$4:$T$40,$BA14-3)="","",INDEX('Final Calculation Sheet'!$T$4:$T$40,$BA14-3)),"")</f>
        <v/>
      </c>
      <c r="M24" s="545">
        <f>IFERROR(IF(INDEX('Final Calculation Sheet'!$T$4:$T$40,$BA15-3)="","",INDEX('Final Calculation Sheet'!$T$4:$T$40,$BA15-3)),"")</f>
        <v/>
      </c>
      <c r="N24" s="544">
        <f>IFERROR(IF(INDEX('Final Calculation Sheet'!$T$4:$T$40,$BA16-3)="","",INDEX('Final Calculation Sheet'!$T$4:$T$40,$BA16-3)),"")</f>
        <v/>
      </c>
      <c r="O24" s="545">
        <f>IFERROR(IF(INDEX('Final Calculation Sheet'!$T$4:$T$40,$BA17-3)="","",INDEX('Final Calculation Sheet'!$T$4:$T$40,$BA17-3)),"")</f>
        <v/>
      </c>
      <c r="P24" s="544">
        <f>IFERROR(IF(INDEX('Final Calculation Sheet'!$T$4:$T$40,$BA18-3)="","",INDEX('Final Calculation Sheet'!$T$4:$T$40,$BA18-3)),"")</f>
        <v/>
      </c>
      <c r="Q24" s="545">
        <f>IFERROR(IF(INDEX('Final Calculation Sheet'!$T$4:$T$40,$BA19-3)="","",INDEX('Final Calculation Sheet'!$T$4:$T$40,$BA19-3)),"")</f>
        <v/>
      </c>
      <c r="R24" s="544">
        <f>IFERROR(IF(INDEX('Final Calculation Sheet'!$T$4:$T$40,$BA20-3)="","",INDEX('Final Calculation Sheet'!$T$4:$T$40,$BA20-3)),"")</f>
        <v/>
      </c>
      <c r="S24" s="545">
        <f>IFERROR(IF(INDEX('Final Calculation Sheet'!$T$4:$T$40,$BA21-3)="","",INDEX('Final Calculation Sheet'!$T$4:$T$40,$BA21-3)),"")</f>
        <v/>
      </c>
      <c r="T24" s="544">
        <f>IFERROR(IF(INDEX('Final Calculation Sheet'!$T$4:$T$40,$BA22-3)="","",INDEX('Final Calculation Sheet'!$T$4:$T$40,$BA22-3)),"")</f>
        <v/>
      </c>
      <c r="U24" s="545">
        <f>IFERROR(IF(INDEX('Final Calculation Sheet'!$T$4:$T$40,$BA23-3)="","",INDEX('Final Calculation Sheet'!$T$4:$T$40,$BA23-3)),"")</f>
        <v/>
      </c>
      <c r="V24" s="544">
        <f>IFERROR(IF(INDEX('Final Calculation Sheet'!$T$4:$T$40,$BA24-3)="","",INDEX('Final Calculation Sheet'!$T$4:$T$40,$BA24-3)),"")</f>
        <v/>
      </c>
      <c r="W24" s="545">
        <f>IFERROR(IF(INDEX('Final Calculation Sheet'!$T$4:$T$40,$BA25-3)="","",INDEX('Final Calculation Sheet'!$T$4:$T$40,$BA25-3)),"")</f>
        <v/>
      </c>
      <c r="X24" s="544">
        <f>IFERROR(IF(INDEX('Final Calculation Sheet'!$T$4:$T$40,$BA26-3)="","",INDEX('Final Calculation Sheet'!$T$4:$T$40,$BA26-3)),"")</f>
        <v/>
      </c>
      <c r="Y24" s="545">
        <f>IFERROR(IF(INDEX('Final Calculation Sheet'!$T$4:$T$40,$BA27-3)="","",INDEX('Final Calculation Sheet'!$T$4:$T$40,$BA27-3)),"")</f>
        <v/>
      </c>
      <c r="Z24" s="544">
        <f>IFERROR(IF(INDEX('Final Calculation Sheet'!$T$4:$T$40,$BA28-3)="","",INDEX('Final Calculation Sheet'!$T$4:$T$40,$BA28-3)),"")</f>
        <v/>
      </c>
      <c r="AA24" s="545">
        <f>IFERROR(IF(INDEX('Final Calculation Sheet'!$T$4:$T$40,$BA29-3)="","",INDEX('Final Calculation Sheet'!$T$4:$T$40,$BA29-3)),"")</f>
        <v/>
      </c>
      <c r="AB24" s="544">
        <f>IFERROR(IF(INDEX('Final Calculation Sheet'!$T$4:$T$40,$BA30-3)="","",INDEX('Final Calculation Sheet'!$T$4:$T$40,$BA30-3)),"")</f>
        <v/>
      </c>
      <c r="AC24" s="545">
        <f>IFERROR(IF(INDEX('Final Calculation Sheet'!$T$4:$T$40,$BA31-3)="","",INDEX('Final Calculation Sheet'!$T$4:$T$40,$BA31-3)),"")</f>
        <v/>
      </c>
      <c r="AD24" s="544">
        <f>IFERROR(IF(INDEX('Final Calculation Sheet'!$T$4:$T$40,$BA32-3)="","",INDEX('Final Calculation Sheet'!$T$4:$T$40,$BA32-3)),"")</f>
        <v/>
      </c>
      <c r="AE24" s="545">
        <f>IFERROR(IF(INDEX('Final Calculation Sheet'!$T$4:$T$40,$BA33-3)="","",INDEX('Final Calculation Sheet'!$T$4:$T$40,$BA33-3)),"")</f>
        <v/>
      </c>
      <c r="AF24" s="544">
        <f>IFERROR(IF(INDEX('Final Calculation Sheet'!$T$4:$T$40,$BA34-3)="","",INDEX('Final Calculation Sheet'!$T$4:$T$40,$BA34-3)),"")</f>
        <v/>
      </c>
      <c r="AG24" s="545">
        <f>IFERROR(IF(INDEX('Final Calculation Sheet'!$T$4:$T$40,$BA35-3)="","",INDEX('Final Calculation Sheet'!$T$4:$T$40,$BA35-3)),"")</f>
        <v/>
      </c>
      <c r="AH24" s="544">
        <f>IFERROR(IF(INDEX('Final Calculation Sheet'!$T$4:$T$40,$BA36-3)="","",INDEX('Final Calculation Sheet'!$T$4:$T$40,$BA36-3)),"")</f>
        <v/>
      </c>
      <c r="AI24" s="545">
        <f>IFERROR(IF(INDEX('Final Calculation Sheet'!$T$4:$T$40,$BA37-3)="","",INDEX('Final Calculation Sheet'!$T$4:$T$40,$BA37-3)),"")</f>
        <v/>
      </c>
      <c r="AJ24" s="544">
        <f>IFERROR(IF(INDEX('Final Calculation Sheet'!$T$4:$T$40,$BA38-3)="","",INDEX('Final Calculation Sheet'!$T$4:$T$40,$BA38-3)),"")</f>
        <v/>
      </c>
      <c r="AK24" s="545">
        <f>IFERROR(IF(INDEX('Final Calculation Sheet'!$T$4:$T$40,$BA39-3)="","",INDEX('Final Calculation Sheet'!$T$4:$T$40,$BA39-3)),"")</f>
        <v/>
      </c>
      <c r="AL24" s="544">
        <f>IFERROR(IF(INDEX('Final Calculation Sheet'!$T$4:$T$40,$BA40-3)="","",INDEX('Final Calculation Sheet'!$T$4:$T$40,$BA40-3)),"")</f>
        <v/>
      </c>
      <c r="AM24" s="546">
        <f>IF(COUNT(B24:AL24)=0,"",SUM(B24:AL24))</f>
        <v/>
      </c>
      <c r="AO24" t="inlineStr">
        <is>
          <t>Security Deposit (Received)</t>
        </is>
      </c>
      <c r="AW24">
        <f>IF(OR($B$3="ALL BUYERS",'Final Calculation Sheet'!$G24=$B$3),IF($D$3="— no row filter —",1,IF($F$3="is blank",IF(INDEX('Final Calculation Sheet'!$A$4:$AG$40,24-3,$AU$2)="",1,0),IF($F$3="is not blank",IF(INDEX('Final Calculation Sheet'!$A$4:$AG$40,24-3,$AU$2)="",0,1),IF($F$3="contains",IF(ISNUMBER(SEARCH($H$3,INDEX('Final Calculation Sheet'!$A$4:$AG$40,24-3,$AU$2))),1,0),IF($F$3="=",IF(INDEX('Final Calculation Sheet'!$A$4:$AG$40,24-3,$AU$2)=$H$3,1,0),IF($F$3="&lt;&gt;",IF(INDEX('Final Calculation Sheet'!$A$4:$AG$40,24-3,$AU$2)=$H$3,0,1),IF($F$3="&gt;",IF(N(INDEX('Final Calculation Sheet'!$A$4:$AG$40,24-3,$AU$2))&gt;N($H$3),1,0),IF($F$3="&gt;=",IF(N(INDEX('Final Calculation Sheet'!$A$4:$AG$40,24-3,$AU$2))&gt;=N($H$3),1,0),IF($F$3="&lt;",IF(N(INDEX('Final Calculation Sheet'!$A$4:$AG$40,24-3,$AU$2))&lt;N($H$3),1,0),IF($F$3="&lt;=",IF(N(INDEX('Final Calculation Sheet'!$A$4:$AG$40,24-3,$AU$2))&lt;=N($H$3),1,0),0)))))))))),0)</f>
        <v/>
      </c>
      <c r="AY24">
        <f>IF(AW24=1,SUM($AW$4:AW24),"")</f>
        <v/>
      </c>
      <c r="BA24">
        <f>IFERROR(MATCH(21,$AY$4:$AY$40,0)+3,"")</f>
        <v/>
      </c>
    </row>
    <row r="25" ht="15" customHeight="1">
      <c r="A25" s="540" t="inlineStr">
        <is>
          <t>Security Deposit (Received)</t>
        </is>
      </c>
      <c r="B25" s="552">
        <f>IFERROR(IF(INDEX('Final Calculation Sheet'!$U$4:$U$40,$BA4-3)="","",INDEX('Final Calculation Sheet'!$U$4:$U$40,$BA4-3)),"")</f>
        <v/>
      </c>
      <c r="C25" s="553">
        <f>IFERROR(IF(INDEX('Final Calculation Sheet'!$U$4:$U$40,$BA5-3)="","",INDEX('Final Calculation Sheet'!$U$4:$U$40,$BA5-3)),"")</f>
        <v/>
      </c>
      <c r="D25" s="552">
        <f>IFERROR(IF(INDEX('Final Calculation Sheet'!$U$4:$U$40,$BA6-3)="","",INDEX('Final Calculation Sheet'!$U$4:$U$40,$BA6-3)),"")</f>
        <v/>
      </c>
      <c r="E25" s="553">
        <f>IFERROR(IF(INDEX('Final Calculation Sheet'!$U$4:$U$40,$BA7-3)="","",INDEX('Final Calculation Sheet'!$U$4:$U$40,$BA7-3)),"")</f>
        <v/>
      </c>
      <c r="F25" s="552">
        <f>IFERROR(IF(INDEX('Final Calculation Sheet'!$U$4:$U$40,$BA8-3)="","",INDEX('Final Calculation Sheet'!$U$4:$U$40,$BA8-3)),"")</f>
        <v/>
      </c>
      <c r="G25" s="553">
        <f>IFERROR(IF(INDEX('Final Calculation Sheet'!$U$4:$U$40,$BA9-3)="","",INDEX('Final Calculation Sheet'!$U$4:$U$40,$BA9-3)),"")</f>
        <v/>
      </c>
      <c r="H25" s="552">
        <f>IFERROR(IF(INDEX('Final Calculation Sheet'!$U$4:$U$40,$BA10-3)="","",INDEX('Final Calculation Sheet'!$U$4:$U$40,$BA10-3)),"")</f>
        <v/>
      </c>
      <c r="I25" s="553">
        <f>IFERROR(IF(INDEX('Final Calculation Sheet'!$U$4:$U$40,$BA11-3)="","",INDEX('Final Calculation Sheet'!$U$4:$U$40,$BA11-3)),"")</f>
        <v/>
      </c>
      <c r="J25" s="552">
        <f>IFERROR(IF(INDEX('Final Calculation Sheet'!$U$4:$U$40,$BA12-3)="","",INDEX('Final Calculation Sheet'!$U$4:$U$40,$BA12-3)),"")</f>
        <v/>
      </c>
      <c r="K25" s="553">
        <f>IFERROR(IF(INDEX('Final Calculation Sheet'!$U$4:$U$40,$BA13-3)="","",INDEX('Final Calculation Sheet'!$U$4:$U$40,$BA13-3)),"")</f>
        <v/>
      </c>
      <c r="L25" s="552">
        <f>IFERROR(IF(INDEX('Final Calculation Sheet'!$U$4:$U$40,$BA14-3)="","",INDEX('Final Calculation Sheet'!$U$4:$U$40,$BA14-3)),"")</f>
        <v/>
      </c>
      <c r="M25" s="553">
        <f>IFERROR(IF(INDEX('Final Calculation Sheet'!$U$4:$U$40,$BA15-3)="","",INDEX('Final Calculation Sheet'!$U$4:$U$40,$BA15-3)),"")</f>
        <v/>
      </c>
      <c r="N25" s="552">
        <f>IFERROR(IF(INDEX('Final Calculation Sheet'!$U$4:$U$40,$BA16-3)="","",INDEX('Final Calculation Sheet'!$U$4:$U$40,$BA16-3)),"")</f>
        <v/>
      </c>
      <c r="O25" s="553">
        <f>IFERROR(IF(INDEX('Final Calculation Sheet'!$U$4:$U$40,$BA17-3)="","",INDEX('Final Calculation Sheet'!$U$4:$U$40,$BA17-3)),"")</f>
        <v/>
      </c>
      <c r="P25" s="552">
        <f>IFERROR(IF(INDEX('Final Calculation Sheet'!$U$4:$U$40,$BA18-3)="","",INDEX('Final Calculation Sheet'!$U$4:$U$40,$BA18-3)),"")</f>
        <v/>
      </c>
      <c r="Q25" s="553">
        <f>IFERROR(IF(INDEX('Final Calculation Sheet'!$U$4:$U$40,$BA19-3)="","",INDEX('Final Calculation Sheet'!$U$4:$U$40,$BA19-3)),"")</f>
        <v/>
      </c>
      <c r="R25" s="552">
        <f>IFERROR(IF(INDEX('Final Calculation Sheet'!$U$4:$U$40,$BA20-3)="","",INDEX('Final Calculation Sheet'!$U$4:$U$40,$BA20-3)),"")</f>
        <v/>
      </c>
      <c r="S25" s="553">
        <f>IFERROR(IF(INDEX('Final Calculation Sheet'!$U$4:$U$40,$BA21-3)="","",INDEX('Final Calculation Sheet'!$U$4:$U$40,$BA21-3)),"")</f>
        <v/>
      </c>
      <c r="T25" s="552">
        <f>IFERROR(IF(INDEX('Final Calculation Sheet'!$U$4:$U$40,$BA22-3)="","",INDEX('Final Calculation Sheet'!$U$4:$U$40,$BA22-3)),"")</f>
        <v/>
      </c>
      <c r="U25" s="553">
        <f>IFERROR(IF(INDEX('Final Calculation Sheet'!$U$4:$U$40,$BA23-3)="","",INDEX('Final Calculation Sheet'!$U$4:$U$40,$BA23-3)),"")</f>
        <v/>
      </c>
      <c r="V25" s="552">
        <f>IFERROR(IF(INDEX('Final Calculation Sheet'!$U$4:$U$40,$BA24-3)="","",INDEX('Final Calculation Sheet'!$U$4:$U$40,$BA24-3)),"")</f>
        <v/>
      </c>
      <c r="W25" s="553">
        <f>IFERROR(IF(INDEX('Final Calculation Sheet'!$U$4:$U$40,$BA25-3)="","",INDEX('Final Calculation Sheet'!$U$4:$U$40,$BA25-3)),"")</f>
        <v/>
      </c>
      <c r="X25" s="552">
        <f>IFERROR(IF(INDEX('Final Calculation Sheet'!$U$4:$U$40,$BA26-3)="","",INDEX('Final Calculation Sheet'!$U$4:$U$40,$BA26-3)),"")</f>
        <v/>
      </c>
      <c r="Y25" s="553">
        <f>IFERROR(IF(INDEX('Final Calculation Sheet'!$U$4:$U$40,$BA27-3)="","",INDEX('Final Calculation Sheet'!$U$4:$U$40,$BA27-3)),"")</f>
        <v/>
      </c>
      <c r="Z25" s="552">
        <f>IFERROR(IF(INDEX('Final Calculation Sheet'!$U$4:$U$40,$BA28-3)="","",INDEX('Final Calculation Sheet'!$U$4:$U$40,$BA28-3)),"")</f>
        <v/>
      </c>
      <c r="AA25" s="553">
        <f>IFERROR(IF(INDEX('Final Calculation Sheet'!$U$4:$U$40,$BA29-3)="","",INDEX('Final Calculation Sheet'!$U$4:$U$40,$BA29-3)),"")</f>
        <v/>
      </c>
      <c r="AB25" s="552">
        <f>IFERROR(IF(INDEX('Final Calculation Sheet'!$U$4:$U$40,$BA30-3)="","",INDEX('Final Calculation Sheet'!$U$4:$U$40,$BA30-3)),"")</f>
        <v/>
      </c>
      <c r="AC25" s="553">
        <f>IFERROR(IF(INDEX('Final Calculation Sheet'!$U$4:$U$40,$BA31-3)="","",INDEX('Final Calculation Sheet'!$U$4:$U$40,$BA31-3)),"")</f>
        <v/>
      </c>
      <c r="AD25" s="552">
        <f>IFERROR(IF(INDEX('Final Calculation Sheet'!$U$4:$U$40,$BA32-3)="","",INDEX('Final Calculation Sheet'!$U$4:$U$40,$BA32-3)),"")</f>
        <v/>
      </c>
      <c r="AE25" s="553">
        <f>IFERROR(IF(INDEX('Final Calculation Sheet'!$U$4:$U$40,$BA33-3)="","",INDEX('Final Calculation Sheet'!$U$4:$U$40,$BA33-3)),"")</f>
        <v/>
      </c>
      <c r="AF25" s="552">
        <f>IFERROR(IF(INDEX('Final Calculation Sheet'!$U$4:$U$40,$BA34-3)="","",INDEX('Final Calculation Sheet'!$U$4:$U$40,$BA34-3)),"")</f>
        <v/>
      </c>
      <c r="AG25" s="553">
        <f>IFERROR(IF(INDEX('Final Calculation Sheet'!$U$4:$U$40,$BA35-3)="","",INDEX('Final Calculation Sheet'!$U$4:$U$40,$BA35-3)),"")</f>
        <v/>
      </c>
      <c r="AH25" s="552">
        <f>IFERROR(IF(INDEX('Final Calculation Sheet'!$U$4:$U$40,$BA36-3)="","",INDEX('Final Calculation Sheet'!$U$4:$U$40,$BA36-3)),"")</f>
        <v/>
      </c>
      <c r="AI25" s="553">
        <f>IFERROR(IF(INDEX('Final Calculation Sheet'!$U$4:$U$40,$BA37-3)="","",INDEX('Final Calculation Sheet'!$U$4:$U$40,$BA37-3)),"")</f>
        <v/>
      </c>
      <c r="AJ25" s="552">
        <f>IFERROR(IF(INDEX('Final Calculation Sheet'!$U$4:$U$40,$BA38-3)="","",INDEX('Final Calculation Sheet'!$U$4:$U$40,$BA38-3)),"")</f>
        <v/>
      </c>
      <c r="AK25" s="553">
        <f>IFERROR(IF(INDEX('Final Calculation Sheet'!$U$4:$U$40,$BA39-3)="","",INDEX('Final Calculation Sheet'!$U$4:$U$40,$BA39-3)),"")</f>
        <v/>
      </c>
      <c r="AL25" s="552">
        <f>IFERROR(IF(INDEX('Final Calculation Sheet'!$U$4:$U$40,$BA40-3)="","",INDEX('Final Calculation Sheet'!$U$4:$U$40,$BA40-3)),"")</f>
        <v/>
      </c>
      <c r="AM25" s="554">
        <f>IF(COUNT(B25:AL25)=0,"",SUM(B25:AL25))</f>
        <v/>
      </c>
      <c r="AO25" t="inlineStr">
        <is>
          <t>Date of Receipt (col V)</t>
        </is>
      </c>
      <c r="AW25">
        <f>IF(OR($B$3="ALL BUYERS",'Final Calculation Sheet'!$G25=$B$3),IF($D$3="— no row filter —",1,IF($F$3="is blank",IF(INDEX('Final Calculation Sheet'!$A$4:$AG$40,25-3,$AU$2)="",1,0),IF($F$3="is not blank",IF(INDEX('Final Calculation Sheet'!$A$4:$AG$40,25-3,$AU$2)="",0,1),IF($F$3="contains",IF(ISNUMBER(SEARCH($H$3,INDEX('Final Calculation Sheet'!$A$4:$AG$40,25-3,$AU$2))),1,0),IF($F$3="=",IF(INDEX('Final Calculation Sheet'!$A$4:$AG$40,25-3,$AU$2)=$H$3,1,0),IF($F$3="&lt;&gt;",IF(INDEX('Final Calculation Sheet'!$A$4:$AG$40,25-3,$AU$2)=$H$3,0,1),IF($F$3="&gt;",IF(N(INDEX('Final Calculation Sheet'!$A$4:$AG$40,25-3,$AU$2))&gt;N($H$3),1,0),IF($F$3="&gt;=",IF(N(INDEX('Final Calculation Sheet'!$A$4:$AG$40,25-3,$AU$2))&gt;=N($H$3),1,0),IF($F$3="&lt;",IF(N(INDEX('Final Calculation Sheet'!$A$4:$AG$40,25-3,$AU$2))&lt;N($H$3),1,0),IF($F$3="&lt;=",IF(N(INDEX('Final Calculation Sheet'!$A$4:$AG$40,25-3,$AU$2))&lt;=N($H$3),1,0),0)))))))))),0)</f>
        <v/>
      </c>
      <c r="AY25">
        <f>IF(AW25=1,SUM($AW$4:AW25),"")</f>
        <v/>
      </c>
      <c r="BA25">
        <f>IFERROR(MATCH(22,$AY$4:$AY$40,0)+3,"")</f>
        <v/>
      </c>
    </row>
    <row r="26" ht="15" customHeight="1">
      <c r="A26" s="543" t="inlineStr">
        <is>
          <t>Date of Receipt (col V)</t>
        </is>
      </c>
      <c r="B26" s="544">
        <f>IFERROR(IF(INDEX('Final Calculation Sheet'!$V$4:$V$40,$BA4-3)="","",INDEX('Final Calculation Sheet'!$V$4:$V$40,$BA4-3)),"")</f>
        <v/>
      </c>
      <c r="C26" s="545">
        <f>IFERROR(IF(INDEX('Final Calculation Sheet'!$V$4:$V$40,$BA5-3)="","",INDEX('Final Calculation Sheet'!$V$4:$V$40,$BA5-3)),"")</f>
        <v/>
      </c>
      <c r="D26" s="544">
        <f>IFERROR(IF(INDEX('Final Calculation Sheet'!$V$4:$V$40,$BA6-3)="","",INDEX('Final Calculation Sheet'!$V$4:$V$40,$BA6-3)),"")</f>
        <v/>
      </c>
      <c r="E26" s="545">
        <f>IFERROR(IF(INDEX('Final Calculation Sheet'!$V$4:$V$40,$BA7-3)="","",INDEX('Final Calculation Sheet'!$V$4:$V$40,$BA7-3)),"")</f>
        <v/>
      </c>
      <c r="F26" s="544">
        <f>IFERROR(IF(INDEX('Final Calculation Sheet'!$V$4:$V$40,$BA8-3)="","",INDEX('Final Calculation Sheet'!$V$4:$V$40,$BA8-3)),"")</f>
        <v/>
      </c>
      <c r="G26" s="545">
        <f>IFERROR(IF(INDEX('Final Calculation Sheet'!$V$4:$V$40,$BA9-3)="","",INDEX('Final Calculation Sheet'!$V$4:$V$40,$BA9-3)),"")</f>
        <v/>
      </c>
      <c r="H26" s="544">
        <f>IFERROR(IF(INDEX('Final Calculation Sheet'!$V$4:$V$40,$BA10-3)="","",INDEX('Final Calculation Sheet'!$V$4:$V$40,$BA10-3)),"")</f>
        <v/>
      </c>
      <c r="I26" s="545">
        <f>IFERROR(IF(INDEX('Final Calculation Sheet'!$V$4:$V$40,$BA11-3)="","",INDEX('Final Calculation Sheet'!$V$4:$V$40,$BA11-3)),"")</f>
        <v/>
      </c>
      <c r="J26" s="544">
        <f>IFERROR(IF(INDEX('Final Calculation Sheet'!$V$4:$V$40,$BA12-3)="","",INDEX('Final Calculation Sheet'!$V$4:$V$40,$BA12-3)),"")</f>
        <v/>
      </c>
      <c r="K26" s="545">
        <f>IFERROR(IF(INDEX('Final Calculation Sheet'!$V$4:$V$40,$BA13-3)="","",INDEX('Final Calculation Sheet'!$V$4:$V$40,$BA13-3)),"")</f>
        <v/>
      </c>
      <c r="L26" s="544">
        <f>IFERROR(IF(INDEX('Final Calculation Sheet'!$V$4:$V$40,$BA14-3)="","",INDEX('Final Calculation Sheet'!$V$4:$V$40,$BA14-3)),"")</f>
        <v/>
      </c>
      <c r="M26" s="545">
        <f>IFERROR(IF(INDEX('Final Calculation Sheet'!$V$4:$V$40,$BA15-3)="","",INDEX('Final Calculation Sheet'!$V$4:$V$40,$BA15-3)),"")</f>
        <v/>
      </c>
      <c r="N26" s="544">
        <f>IFERROR(IF(INDEX('Final Calculation Sheet'!$V$4:$V$40,$BA16-3)="","",INDEX('Final Calculation Sheet'!$V$4:$V$40,$BA16-3)),"")</f>
        <v/>
      </c>
      <c r="O26" s="545">
        <f>IFERROR(IF(INDEX('Final Calculation Sheet'!$V$4:$V$40,$BA17-3)="","",INDEX('Final Calculation Sheet'!$V$4:$V$40,$BA17-3)),"")</f>
        <v/>
      </c>
      <c r="P26" s="544">
        <f>IFERROR(IF(INDEX('Final Calculation Sheet'!$V$4:$V$40,$BA18-3)="","",INDEX('Final Calculation Sheet'!$V$4:$V$40,$BA18-3)),"")</f>
        <v/>
      </c>
      <c r="Q26" s="545">
        <f>IFERROR(IF(INDEX('Final Calculation Sheet'!$V$4:$V$40,$BA19-3)="","",INDEX('Final Calculation Sheet'!$V$4:$V$40,$BA19-3)),"")</f>
        <v/>
      </c>
      <c r="R26" s="544">
        <f>IFERROR(IF(INDEX('Final Calculation Sheet'!$V$4:$V$40,$BA20-3)="","",INDEX('Final Calculation Sheet'!$V$4:$V$40,$BA20-3)),"")</f>
        <v/>
      </c>
      <c r="S26" s="545">
        <f>IFERROR(IF(INDEX('Final Calculation Sheet'!$V$4:$V$40,$BA21-3)="","",INDEX('Final Calculation Sheet'!$V$4:$V$40,$BA21-3)),"")</f>
        <v/>
      </c>
      <c r="T26" s="544">
        <f>IFERROR(IF(INDEX('Final Calculation Sheet'!$V$4:$V$40,$BA22-3)="","",INDEX('Final Calculation Sheet'!$V$4:$V$40,$BA22-3)),"")</f>
        <v/>
      </c>
      <c r="U26" s="545">
        <f>IFERROR(IF(INDEX('Final Calculation Sheet'!$V$4:$V$40,$BA23-3)="","",INDEX('Final Calculation Sheet'!$V$4:$V$40,$BA23-3)),"")</f>
        <v/>
      </c>
      <c r="V26" s="544">
        <f>IFERROR(IF(INDEX('Final Calculation Sheet'!$V$4:$V$40,$BA24-3)="","",INDEX('Final Calculation Sheet'!$V$4:$V$40,$BA24-3)),"")</f>
        <v/>
      </c>
      <c r="W26" s="545">
        <f>IFERROR(IF(INDEX('Final Calculation Sheet'!$V$4:$V$40,$BA25-3)="","",INDEX('Final Calculation Sheet'!$V$4:$V$40,$BA25-3)),"")</f>
        <v/>
      </c>
      <c r="X26" s="544">
        <f>IFERROR(IF(INDEX('Final Calculation Sheet'!$V$4:$V$40,$BA26-3)="","",INDEX('Final Calculation Sheet'!$V$4:$V$40,$BA26-3)),"")</f>
        <v/>
      </c>
      <c r="Y26" s="545">
        <f>IFERROR(IF(INDEX('Final Calculation Sheet'!$V$4:$V$40,$BA27-3)="","",INDEX('Final Calculation Sheet'!$V$4:$V$40,$BA27-3)),"")</f>
        <v/>
      </c>
      <c r="Z26" s="544">
        <f>IFERROR(IF(INDEX('Final Calculation Sheet'!$V$4:$V$40,$BA28-3)="","",INDEX('Final Calculation Sheet'!$V$4:$V$40,$BA28-3)),"")</f>
        <v/>
      </c>
      <c r="AA26" s="545">
        <f>IFERROR(IF(INDEX('Final Calculation Sheet'!$V$4:$V$40,$BA29-3)="","",INDEX('Final Calculation Sheet'!$V$4:$V$40,$BA29-3)),"")</f>
        <v/>
      </c>
      <c r="AB26" s="544">
        <f>IFERROR(IF(INDEX('Final Calculation Sheet'!$V$4:$V$40,$BA30-3)="","",INDEX('Final Calculation Sheet'!$V$4:$V$40,$BA30-3)),"")</f>
        <v/>
      </c>
      <c r="AC26" s="545">
        <f>IFERROR(IF(INDEX('Final Calculation Sheet'!$V$4:$V$40,$BA31-3)="","",INDEX('Final Calculation Sheet'!$V$4:$V$40,$BA31-3)),"")</f>
        <v/>
      </c>
      <c r="AD26" s="544">
        <f>IFERROR(IF(INDEX('Final Calculation Sheet'!$V$4:$V$40,$BA32-3)="","",INDEX('Final Calculation Sheet'!$V$4:$V$40,$BA32-3)),"")</f>
        <v/>
      </c>
      <c r="AE26" s="545">
        <f>IFERROR(IF(INDEX('Final Calculation Sheet'!$V$4:$V$40,$BA33-3)="","",INDEX('Final Calculation Sheet'!$V$4:$V$40,$BA33-3)),"")</f>
        <v/>
      </c>
      <c r="AF26" s="544">
        <f>IFERROR(IF(INDEX('Final Calculation Sheet'!$V$4:$V$40,$BA34-3)="","",INDEX('Final Calculation Sheet'!$V$4:$V$40,$BA34-3)),"")</f>
        <v/>
      </c>
      <c r="AG26" s="545">
        <f>IFERROR(IF(INDEX('Final Calculation Sheet'!$V$4:$V$40,$BA35-3)="","",INDEX('Final Calculation Sheet'!$V$4:$V$40,$BA35-3)),"")</f>
        <v/>
      </c>
      <c r="AH26" s="544">
        <f>IFERROR(IF(INDEX('Final Calculation Sheet'!$V$4:$V$40,$BA36-3)="","",INDEX('Final Calculation Sheet'!$V$4:$V$40,$BA36-3)),"")</f>
        <v/>
      </c>
      <c r="AI26" s="545">
        <f>IFERROR(IF(INDEX('Final Calculation Sheet'!$V$4:$V$40,$BA37-3)="","",INDEX('Final Calculation Sheet'!$V$4:$V$40,$BA37-3)),"")</f>
        <v/>
      </c>
      <c r="AJ26" s="544">
        <f>IFERROR(IF(INDEX('Final Calculation Sheet'!$V$4:$V$40,$BA38-3)="","",INDEX('Final Calculation Sheet'!$V$4:$V$40,$BA38-3)),"")</f>
        <v/>
      </c>
      <c r="AK26" s="545">
        <f>IFERROR(IF(INDEX('Final Calculation Sheet'!$V$4:$V$40,$BA39-3)="","",INDEX('Final Calculation Sheet'!$V$4:$V$40,$BA39-3)),"")</f>
        <v/>
      </c>
      <c r="AL26" s="544">
        <f>IFERROR(IF(INDEX('Final Calculation Sheet'!$V$4:$V$40,$BA40-3)="","",INDEX('Final Calculation Sheet'!$V$4:$V$40,$BA40-3)),"")</f>
        <v/>
      </c>
      <c r="AM26" s="605" t="inlineStr">
        <is>
          <t>–</t>
        </is>
      </c>
      <c r="AO26" t="inlineStr">
        <is>
          <t>Final Payment (Expected)</t>
        </is>
      </c>
      <c r="AW26">
        <f>IF(OR($B$3="ALL BUYERS",'Final Calculation Sheet'!$G26=$B$3),IF($D$3="— no row filter —",1,IF($F$3="is blank",IF(INDEX('Final Calculation Sheet'!$A$4:$AG$40,26-3,$AU$2)="",1,0),IF($F$3="is not blank",IF(INDEX('Final Calculation Sheet'!$A$4:$AG$40,26-3,$AU$2)="",0,1),IF($F$3="contains",IF(ISNUMBER(SEARCH($H$3,INDEX('Final Calculation Sheet'!$A$4:$AG$40,26-3,$AU$2))),1,0),IF($F$3="=",IF(INDEX('Final Calculation Sheet'!$A$4:$AG$40,26-3,$AU$2)=$H$3,1,0),IF($F$3="&lt;&gt;",IF(INDEX('Final Calculation Sheet'!$A$4:$AG$40,26-3,$AU$2)=$H$3,0,1),IF($F$3="&gt;",IF(N(INDEX('Final Calculation Sheet'!$A$4:$AG$40,26-3,$AU$2))&gt;N($H$3),1,0),IF($F$3="&gt;=",IF(N(INDEX('Final Calculation Sheet'!$A$4:$AG$40,26-3,$AU$2))&gt;=N($H$3),1,0),IF($F$3="&lt;",IF(N(INDEX('Final Calculation Sheet'!$A$4:$AG$40,26-3,$AU$2))&lt;N($H$3),1,0),IF($F$3="&lt;=",IF(N(INDEX('Final Calculation Sheet'!$A$4:$AG$40,26-3,$AU$2))&lt;=N($H$3),1,0),0)))))))))),0)</f>
        <v/>
      </c>
      <c r="AY26">
        <f>IF(AW26=1,SUM($AW$4:AW26),"")</f>
        <v/>
      </c>
      <c r="BA26">
        <f>IFERROR(MATCH(23,$AY$4:$AY$40,0)+3,"")</f>
        <v/>
      </c>
    </row>
    <row r="27" ht="15" customHeight="1">
      <c r="A27" s="540" t="inlineStr">
        <is>
          <t>Final Payment (Expected)</t>
        </is>
      </c>
      <c r="B27" s="544">
        <f>IFERROR(IF(INDEX('Final Calculation Sheet'!$W$4:$W$40,$BA4-3)="","",INDEX('Final Calculation Sheet'!$W$4:$W$40,$BA4-3)),"")</f>
        <v/>
      </c>
      <c r="C27" s="545">
        <f>IFERROR(IF(INDEX('Final Calculation Sheet'!$W$4:$W$40,$BA5-3)="","",INDEX('Final Calculation Sheet'!$W$4:$W$40,$BA5-3)),"")</f>
        <v/>
      </c>
      <c r="D27" s="544">
        <f>IFERROR(IF(INDEX('Final Calculation Sheet'!$W$4:$W$40,$BA6-3)="","",INDEX('Final Calculation Sheet'!$W$4:$W$40,$BA6-3)),"")</f>
        <v/>
      </c>
      <c r="E27" s="545">
        <f>IFERROR(IF(INDEX('Final Calculation Sheet'!$W$4:$W$40,$BA7-3)="","",INDEX('Final Calculation Sheet'!$W$4:$W$40,$BA7-3)),"")</f>
        <v/>
      </c>
      <c r="F27" s="544">
        <f>IFERROR(IF(INDEX('Final Calculation Sheet'!$W$4:$W$40,$BA8-3)="","",INDEX('Final Calculation Sheet'!$W$4:$W$40,$BA8-3)),"")</f>
        <v/>
      </c>
      <c r="G27" s="545">
        <f>IFERROR(IF(INDEX('Final Calculation Sheet'!$W$4:$W$40,$BA9-3)="","",INDEX('Final Calculation Sheet'!$W$4:$W$40,$BA9-3)),"")</f>
        <v/>
      </c>
      <c r="H27" s="544">
        <f>IFERROR(IF(INDEX('Final Calculation Sheet'!$W$4:$W$40,$BA10-3)="","",INDEX('Final Calculation Sheet'!$W$4:$W$40,$BA10-3)),"")</f>
        <v/>
      </c>
      <c r="I27" s="545">
        <f>IFERROR(IF(INDEX('Final Calculation Sheet'!$W$4:$W$40,$BA11-3)="","",INDEX('Final Calculation Sheet'!$W$4:$W$40,$BA11-3)),"")</f>
        <v/>
      </c>
      <c r="J27" s="544">
        <f>IFERROR(IF(INDEX('Final Calculation Sheet'!$W$4:$W$40,$BA12-3)="","",INDEX('Final Calculation Sheet'!$W$4:$W$40,$BA12-3)),"")</f>
        <v/>
      </c>
      <c r="K27" s="545">
        <f>IFERROR(IF(INDEX('Final Calculation Sheet'!$W$4:$W$40,$BA13-3)="","",INDEX('Final Calculation Sheet'!$W$4:$W$40,$BA13-3)),"")</f>
        <v/>
      </c>
      <c r="L27" s="544">
        <f>IFERROR(IF(INDEX('Final Calculation Sheet'!$W$4:$W$40,$BA14-3)="","",INDEX('Final Calculation Sheet'!$W$4:$W$40,$BA14-3)),"")</f>
        <v/>
      </c>
      <c r="M27" s="545">
        <f>IFERROR(IF(INDEX('Final Calculation Sheet'!$W$4:$W$40,$BA15-3)="","",INDEX('Final Calculation Sheet'!$W$4:$W$40,$BA15-3)),"")</f>
        <v/>
      </c>
      <c r="N27" s="544">
        <f>IFERROR(IF(INDEX('Final Calculation Sheet'!$W$4:$W$40,$BA16-3)="","",INDEX('Final Calculation Sheet'!$W$4:$W$40,$BA16-3)),"")</f>
        <v/>
      </c>
      <c r="O27" s="545">
        <f>IFERROR(IF(INDEX('Final Calculation Sheet'!$W$4:$W$40,$BA17-3)="","",INDEX('Final Calculation Sheet'!$W$4:$W$40,$BA17-3)),"")</f>
        <v/>
      </c>
      <c r="P27" s="544">
        <f>IFERROR(IF(INDEX('Final Calculation Sheet'!$W$4:$W$40,$BA18-3)="","",INDEX('Final Calculation Sheet'!$W$4:$W$40,$BA18-3)),"")</f>
        <v/>
      </c>
      <c r="Q27" s="545">
        <f>IFERROR(IF(INDEX('Final Calculation Sheet'!$W$4:$W$40,$BA19-3)="","",INDEX('Final Calculation Sheet'!$W$4:$W$40,$BA19-3)),"")</f>
        <v/>
      </c>
      <c r="R27" s="544">
        <f>IFERROR(IF(INDEX('Final Calculation Sheet'!$W$4:$W$40,$BA20-3)="","",INDEX('Final Calculation Sheet'!$W$4:$W$40,$BA20-3)),"")</f>
        <v/>
      </c>
      <c r="S27" s="545">
        <f>IFERROR(IF(INDEX('Final Calculation Sheet'!$W$4:$W$40,$BA21-3)="","",INDEX('Final Calculation Sheet'!$W$4:$W$40,$BA21-3)),"")</f>
        <v/>
      </c>
      <c r="T27" s="544">
        <f>IFERROR(IF(INDEX('Final Calculation Sheet'!$W$4:$W$40,$BA22-3)="","",INDEX('Final Calculation Sheet'!$W$4:$W$40,$BA22-3)),"")</f>
        <v/>
      </c>
      <c r="U27" s="545">
        <f>IFERROR(IF(INDEX('Final Calculation Sheet'!$W$4:$W$40,$BA23-3)="","",INDEX('Final Calculation Sheet'!$W$4:$W$40,$BA23-3)),"")</f>
        <v/>
      </c>
      <c r="V27" s="544">
        <f>IFERROR(IF(INDEX('Final Calculation Sheet'!$W$4:$W$40,$BA24-3)="","",INDEX('Final Calculation Sheet'!$W$4:$W$40,$BA24-3)),"")</f>
        <v/>
      </c>
      <c r="W27" s="545">
        <f>IFERROR(IF(INDEX('Final Calculation Sheet'!$W$4:$W$40,$BA25-3)="","",INDEX('Final Calculation Sheet'!$W$4:$W$40,$BA25-3)),"")</f>
        <v/>
      </c>
      <c r="X27" s="544">
        <f>IFERROR(IF(INDEX('Final Calculation Sheet'!$W$4:$W$40,$BA26-3)="","",INDEX('Final Calculation Sheet'!$W$4:$W$40,$BA26-3)),"")</f>
        <v/>
      </c>
      <c r="Y27" s="545">
        <f>IFERROR(IF(INDEX('Final Calculation Sheet'!$W$4:$W$40,$BA27-3)="","",INDEX('Final Calculation Sheet'!$W$4:$W$40,$BA27-3)),"")</f>
        <v/>
      </c>
      <c r="Z27" s="544">
        <f>IFERROR(IF(INDEX('Final Calculation Sheet'!$W$4:$W$40,$BA28-3)="","",INDEX('Final Calculation Sheet'!$W$4:$W$40,$BA28-3)),"")</f>
        <v/>
      </c>
      <c r="AA27" s="545">
        <f>IFERROR(IF(INDEX('Final Calculation Sheet'!$W$4:$W$40,$BA29-3)="","",INDEX('Final Calculation Sheet'!$W$4:$W$40,$BA29-3)),"")</f>
        <v/>
      </c>
      <c r="AB27" s="544">
        <f>IFERROR(IF(INDEX('Final Calculation Sheet'!$W$4:$W$40,$BA30-3)="","",INDEX('Final Calculation Sheet'!$W$4:$W$40,$BA30-3)),"")</f>
        <v/>
      </c>
      <c r="AC27" s="545">
        <f>IFERROR(IF(INDEX('Final Calculation Sheet'!$W$4:$W$40,$BA31-3)="","",INDEX('Final Calculation Sheet'!$W$4:$W$40,$BA31-3)),"")</f>
        <v/>
      </c>
      <c r="AD27" s="544">
        <f>IFERROR(IF(INDEX('Final Calculation Sheet'!$W$4:$W$40,$BA32-3)="","",INDEX('Final Calculation Sheet'!$W$4:$W$40,$BA32-3)),"")</f>
        <v/>
      </c>
      <c r="AE27" s="545">
        <f>IFERROR(IF(INDEX('Final Calculation Sheet'!$W$4:$W$40,$BA33-3)="","",INDEX('Final Calculation Sheet'!$W$4:$W$40,$BA33-3)),"")</f>
        <v/>
      </c>
      <c r="AF27" s="544">
        <f>IFERROR(IF(INDEX('Final Calculation Sheet'!$W$4:$W$40,$BA34-3)="","",INDEX('Final Calculation Sheet'!$W$4:$W$40,$BA34-3)),"")</f>
        <v/>
      </c>
      <c r="AG27" s="545">
        <f>IFERROR(IF(INDEX('Final Calculation Sheet'!$W$4:$W$40,$BA35-3)="","",INDEX('Final Calculation Sheet'!$W$4:$W$40,$BA35-3)),"")</f>
        <v/>
      </c>
      <c r="AH27" s="544">
        <f>IFERROR(IF(INDEX('Final Calculation Sheet'!$W$4:$W$40,$BA36-3)="","",INDEX('Final Calculation Sheet'!$W$4:$W$40,$BA36-3)),"")</f>
        <v/>
      </c>
      <c r="AI27" s="545">
        <f>IFERROR(IF(INDEX('Final Calculation Sheet'!$W$4:$W$40,$BA37-3)="","",INDEX('Final Calculation Sheet'!$W$4:$W$40,$BA37-3)),"")</f>
        <v/>
      </c>
      <c r="AJ27" s="544">
        <f>IFERROR(IF(INDEX('Final Calculation Sheet'!$W$4:$W$40,$BA38-3)="","",INDEX('Final Calculation Sheet'!$W$4:$W$40,$BA38-3)),"")</f>
        <v/>
      </c>
      <c r="AK27" s="545">
        <f>IFERROR(IF(INDEX('Final Calculation Sheet'!$W$4:$W$40,$BA39-3)="","",INDEX('Final Calculation Sheet'!$W$4:$W$40,$BA39-3)),"")</f>
        <v/>
      </c>
      <c r="AL27" s="544">
        <f>IFERROR(IF(INDEX('Final Calculation Sheet'!$W$4:$W$40,$BA40-3)="","",INDEX('Final Calculation Sheet'!$W$4:$W$40,$BA40-3)),"")</f>
        <v/>
      </c>
      <c r="AM27" s="546">
        <f>IF(COUNT(B27:AL27)=0,"",SUM(B27:AL27))</f>
        <v/>
      </c>
      <c r="AO27" t="inlineStr">
        <is>
          <t>Final Payment (Received)</t>
        </is>
      </c>
      <c r="AW27">
        <f>IF(OR($B$3="ALL BUYERS",'Final Calculation Sheet'!$G27=$B$3),IF($D$3="— no row filter —",1,IF($F$3="is blank",IF(INDEX('Final Calculation Sheet'!$A$4:$AG$40,27-3,$AU$2)="",1,0),IF($F$3="is not blank",IF(INDEX('Final Calculation Sheet'!$A$4:$AG$40,27-3,$AU$2)="",0,1),IF($F$3="contains",IF(ISNUMBER(SEARCH($H$3,INDEX('Final Calculation Sheet'!$A$4:$AG$40,27-3,$AU$2))),1,0),IF($F$3="=",IF(INDEX('Final Calculation Sheet'!$A$4:$AG$40,27-3,$AU$2)=$H$3,1,0),IF($F$3="&lt;&gt;",IF(INDEX('Final Calculation Sheet'!$A$4:$AG$40,27-3,$AU$2)=$H$3,0,1),IF($F$3="&gt;",IF(N(INDEX('Final Calculation Sheet'!$A$4:$AG$40,27-3,$AU$2))&gt;N($H$3),1,0),IF($F$3="&gt;=",IF(N(INDEX('Final Calculation Sheet'!$A$4:$AG$40,27-3,$AU$2))&gt;=N($H$3),1,0),IF($F$3="&lt;",IF(N(INDEX('Final Calculation Sheet'!$A$4:$AG$40,27-3,$AU$2))&lt;N($H$3),1,0),IF($F$3="&lt;=",IF(N(INDEX('Final Calculation Sheet'!$A$4:$AG$40,27-3,$AU$2))&lt;=N($H$3),1,0),0)))))))))),0)</f>
        <v/>
      </c>
      <c r="AY27">
        <f>IF(AW27=1,SUM($AW$4:AW27),"")</f>
        <v/>
      </c>
      <c r="BA27">
        <f>IFERROR(MATCH(24,$AY$4:$AY$40,0)+3,"")</f>
        <v/>
      </c>
    </row>
    <row r="28" ht="15" customHeight="1">
      <c r="A28" s="543" t="inlineStr">
        <is>
          <t>Final Payment (Received)</t>
        </is>
      </c>
      <c r="B28" s="544">
        <f>IFERROR(IF(INDEX('Final Calculation Sheet'!$X$4:$X$40,$BA4-3)="","",INDEX('Final Calculation Sheet'!$X$4:$X$40,$BA4-3)),"")</f>
        <v/>
      </c>
      <c r="C28" s="545">
        <f>IFERROR(IF(INDEX('Final Calculation Sheet'!$X$4:$X$40,$BA5-3)="","",INDEX('Final Calculation Sheet'!$X$4:$X$40,$BA5-3)),"")</f>
        <v/>
      </c>
      <c r="D28" s="544">
        <f>IFERROR(IF(INDEX('Final Calculation Sheet'!$X$4:$X$40,$BA6-3)="","",INDEX('Final Calculation Sheet'!$X$4:$X$40,$BA6-3)),"")</f>
        <v/>
      </c>
      <c r="E28" s="545">
        <f>IFERROR(IF(INDEX('Final Calculation Sheet'!$X$4:$X$40,$BA7-3)="","",INDEX('Final Calculation Sheet'!$X$4:$X$40,$BA7-3)),"")</f>
        <v/>
      </c>
      <c r="F28" s="544">
        <f>IFERROR(IF(INDEX('Final Calculation Sheet'!$X$4:$X$40,$BA8-3)="","",INDEX('Final Calculation Sheet'!$X$4:$X$40,$BA8-3)),"")</f>
        <v/>
      </c>
      <c r="G28" s="545">
        <f>IFERROR(IF(INDEX('Final Calculation Sheet'!$X$4:$X$40,$BA9-3)="","",INDEX('Final Calculation Sheet'!$X$4:$X$40,$BA9-3)),"")</f>
        <v/>
      </c>
      <c r="H28" s="544">
        <f>IFERROR(IF(INDEX('Final Calculation Sheet'!$X$4:$X$40,$BA10-3)="","",INDEX('Final Calculation Sheet'!$X$4:$X$40,$BA10-3)),"")</f>
        <v/>
      </c>
      <c r="I28" s="545">
        <f>IFERROR(IF(INDEX('Final Calculation Sheet'!$X$4:$X$40,$BA11-3)="","",INDEX('Final Calculation Sheet'!$X$4:$X$40,$BA11-3)),"")</f>
        <v/>
      </c>
      <c r="J28" s="544">
        <f>IFERROR(IF(INDEX('Final Calculation Sheet'!$X$4:$X$40,$BA12-3)="","",INDEX('Final Calculation Sheet'!$X$4:$X$40,$BA12-3)),"")</f>
        <v/>
      </c>
      <c r="K28" s="545">
        <f>IFERROR(IF(INDEX('Final Calculation Sheet'!$X$4:$X$40,$BA13-3)="","",INDEX('Final Calculation Sheet'!$X$4:$X$40,$BA13-3)),"")</f>
        <v/>
      </c>
      <c r="L28" s="544">
        <f>IFERROR(IF(INDEX('Final Calculation Sheet'!$X$4:$X$40,$BA14-3)="","",INDEX('Final Calculation Sheet'!$X$4:$X$40,$BA14-3)),"")</f>
        <v/>
      </c>
      <c r="M28" s="545">
        <f>IFERROR(IF(INDEX('Final Calculation Sheet'!$X$4:$X$40,$BA15-3)="","",INDEX('Final Calculation Sheet'!$X$4:$X$40,$BA15-3)),"")</f>
        <v/>
      </c>
      <c r="N28" s="544">
        <f>IFERROR(IF(INDEX('Final Calculation Sheet'!$X$4:$X$40,$BA16-3)="","",INDEX('Final Calculation Sheet'!$X$4:$X$40,$BA16-3)),"")</f>
        <v/>
      </c>
      <c r="O28" s="545">
        <f>IFERROR(IF(INDEX('Final Calculation Sheet'!$X$4:$X$40,$BA17-3)="","",INDEX('Final Calculation Sheet'!$X$4:$X$40,$BA17-3)),"")</f>
        <v/>
      </c>
      <c r="P28" s="544">
        <f>IFERROR(IF(INDEX('Final Calculation Sheet'!$X$4:$X$40,$BA18-3)="","",INDEX('Final Calculation Sheet'!$X$4:$X$40,$BA18-3)),"")</f>
        <v/>
      </c>
      <c r="Q28" s="545">
        <f>IFERROR(IF(INDEX('Final Calculation Sheet'!$X$4:$X$40,$BA19-3)="","",INDEX('Final Calculation Sheet'!$X$4:$X$40,$BA19-3)),"")</f>
        <v/>
      </c>
      <c r="R28" s="544">
        <f>IFERROR(IF(INDEX('Final Calculation Sheet'!$X$4:$X$40,$BA20-3)="","",INDEX('Final Calculation Sheet'!$X$4:$X$40,$BA20-3)),"")</f>
        <v/>
      </c>
      <c r="S28" s="545">
        <f>IFERROR(IF(INDEX('Final Calculation Sheet'!$X$4:$X$40,$BA21-3)="","",INDEX('Final Calculation Sheet'!$X$4:$X$40,$BA21-3)),"")</f>
        <v/>
      </c>
      <c r="T28" s="544">
        <f>IFERROR(IF(INDEX('Final Calculation Sheet'!$X$4:$X$40,$BA22-3)="","",INDEX('Final Calculation Sheet'!$X$4:$X$40,$BA22-3)),"")</f>
        <v/>
      </c>
      <c r="U28" s="545">
        <f>IFERROR(IF(INDEX('Final Calculation Sheet'!$X$4:$X$40,$BA23-3)="","",INDEX('Final Calculation Sheet'!$X$4:$X$40,$BA23-3)),"")</f>
        <v/>
      </c>
      <c r="V28" s="544">
        <f>IFERROR(IF(INDEX('Final Calculation Sheet'!$X$4:$X$40,$BA24-3)="","",INDEX('Final Calculation Sheet'!$X$4:$X$40,$BA24-3)),"")</f>
        <v/>
      </c>
      <c r="W28" s="545">
        <f>IFERROR(IF(INDEX('Final Calculation Sheet'!$X$4:$X$40,$BA25-3)="","",INDEX('Final Calculation Sheet'!$X$4:$X$40,$BA25-3)),"")</f>
        <v/>
      </c>
      <c r="X28" s="544">
        <f>IFERROR(IF(INDEX('Final Calculation Sheet'!$X$4:$X$40,$BA26-3)="","",INDEX('Final Calculation Sheet'!$X$4:$X$40,$BA26-3)),"")</f>
        <v/>
      </c>
      <c r="Y28" s="545">
        <f>IFERROR(IF(INDEX('Final Calculation Sheet'!$X$4:$X$40,$BA27-3)="","",INDEX('Final Calculation Sheet'!$X$4:$X$40,$BA27-3)),"")</f>
        <v/>
      </c>
      <c r="Z28" s="544">
        <f>IFERROR(IF(INDEX('Final Calculation Sheet'!$X$4:$X$40,$BA28-3)="","",INDEX('Final Calculation Sheet'!$X$4:$X$40,$BA28-3)),"")</f>
        <v/>
      </c>
      <c r="AA28" s="545">
        <f>IFERROR(IF(INDEX('Final Calculation Sheet'!$X$4:$X$40,$BA29-3)="","",INDEX('Final Calculation Sheet'!$X$4:$X$40,$BA29-3)),"")</f>
        <v/>
      </c>
      <c r="AB28" s="544">
        <f>IFERROR(IF(INDEX('Final Calculation Sheet'!$X$4:$X$40,$BA30-3)="","",INDEX('Final Calculation Sheet'!$X$4:$X$40,$BA30-3)),"")</f>
        <v/>
      </c>
      <c r="AC28" s="545">
        <f>IFERROR(IF(INDEX('Final Calculation Sheet'!$X$4:$X$40,$BA31-3)="","",INDEX('Final Calculation Sheet'!$X$4:$X$40,$BA31-3)),"")</f>
        <v/>
      </c>
      <c r="AD28" s="544">
        <f>IFERROR(IF(INDEX('Final Calculation Sheet'!$X$4:$X$40,$BA32-3)="","",INDEX('Final Calculation Sheet'!$X$4:$X$40,$BA32-3)),"")</f>
        <v/>
      </c>
      <c r="AE28" s="545">
        <f>IFERROR(IF(INDEX('Final Calculation Sheet'!$X$4:$X$40,$BA33-3)="","",INDEX('Final Calculation Sheet'!$X$4:$X$40,$BA33-3)),"")</f>
        <v/>
      </c>
      <c r="AF28" s="544">
        <f>IFERROR(IF(INDEX('Final Calculation Sheet'!$X$4:$X$40,$BA34-3)="","",INDEX('Final Calculation Sheet'!$X$4:$X$40,$BA34-3)),"")</f>
        <v/>
      </c>
      <c r="AG28" s="545">
        <f>IFERROR(IF(INDEX('Final Calculation Sheet'!$X$4:$X$40,$BA35-3)="","",INDEX('Final Calculation Sheet'!$X$4:$X$40,$BA35-3)),"")</f>
        <v/>
      </c>
      <c r="AH28" s="544">
        <f>IFERROR(IF(INDEX('Final Calculation Sheet'!$X$4:$X$40,$BA36-3)="","",INDEX('Final Calculation Sheet'!$X$4:$X$40,$BA36-3)),"")</f>
        <v/>
      </c>
      <c r="AI28" s="545">
        <f>IFERROR(IF(INDEX('Final Calculation Sheet'!$X$4:$X$40,$BA37-3)="","",INDEX('Final Calculation Sheet'!$X$4:$X$40,$BA37-3)),"")</f>
        <v/>
      </c>
      <c r="AJ28" s="544">
        <f>IFERROR(IF(INDEX('Final Calculation Sheet'!$X$4:$X$40,$BA38-3)="","",INDEX('Final Calculation Sheet'!$X$4:$X$40,$BA38-3)),"")</f>
        <v/>
      </c>
      <c r="AK28" s="545">
        <f>IFERROR(IF(INDEX('Final Calculation Sheet'!$X$4:$X$40,$BA39-3)="","",INDEX('Final Calculation Sheet'!$X$4:$X$40,$BA39-3)),"")</f>
        <v/>
      </c>
      <c r="AL28" s="544">
        <f>IFERROR(IF(INDEX('Final Calculation Sheet'!$X$4:$X$40,$BA40-3)="","",INDEX('Final Calculation Sheet'!$X$4:$X$40,$BA40-3)),"")</f>
        <v/>
      </c>
      <c r="AM28" s="546">
        <f>IF(COUNT(B28:AL28)=0,"",SUM(B28:AL28))</f>
        <v/>
      </c>
      <c r="AO28" t="inlineStr">
        <is>
          <t>Date of Receipt (col Y)</t>
        </is>
      </c>
      <c r="AW28">
        <f>IF(OR($B$3="ALL BUYERS",'Final Calculation Sheet'!$G28=$B$3),IF($D$3="— no row filter —",1,IF($F$3="is blank",IF(INDEX('Final Calculation Sheet'!$A$4:$AG$40,28-3,$AU$2)="",1,0),IF($F$3="is not blank",IF(INDEX('Final Calculation Sheet'!$A$4:$AG$40,28-3,$AU$2)="",0,1),IF($F$3="contains",IF(ISNUMBER(SEARCH($H$3,INDEX('Final Calculation Sheet'!$A$4:$AG$40,28-3,$AU$2))),1,0),IF($F$3="=",IF(INDEX('Final Calculation Sheet'!$A$4:$AG$40,28-3,$AU$2)=$H$3,1,0),IF($F$3="&lt;&gt;",IF(INDEX('Final Calculation Sheet'!$A$4:$AG$40,28-3,$AU$2)=$H$3,0,1),IF($F$3="&gt;",IF(N(INDEX('Final Calculation Sheet'!$A$4:$AG$40,28-3,$AU$2))&gt;N($H$3),1,0),IF($F$3="&gt;=",IF(N(INDEX('Final Calculation Sheet'!$A$4:$AG$40,28-3,$AU$2))&gt;=N($H$3),1,0),IF($F$3="&lt;",IF(N(INDEX('Final Calculation Sheet'!$A$4:$AG$40,28-3,$AU$2))&lt;N($H$3),1,0),IF($F$3="&lt;=",IF(N(INDEX('Final Calculation Sheet'!$A$4:$AG$40,28-3,$AU$2))&lt;=N($H$3),1,0),0)))))))))),0)</f>
        <v/>
      </c>
      <c r="AY28">
        <f>IF(AW28=1,SUM($AW$4:AW28),"")</f>
        <v/>
      </c>
      <c r="BA28">
        <f>IFERROR(MATCH(25,$AY$4:$AY$40,0)+3,"")</f>
        <v/>
      </c>
    </row>
    <row r="29" ht="15" customHeight="1">
      <c r="A29" s="540" t="inlineStr">
        <is>
          <t>Date of Receipt (col Y)</t>
        </is>
      </c>
      <c r="B29" s="544">
        <f>IFERROR(IF(INDEX('Final Calculation Sheet'!$Y$4:$Y$40,$BA4-3)="","",INDEX('Final Calculation Sheet'!$Y$4:$Y$40,$BA4-3)),"")</f>
        <v/>
      </c>
      <c r="C29" s="545">
        <f>IFERROR(IF(INDEX('Final Calculation Sheet'!$Y$4:$Y$40,$BA5-3)="","",INDEX('Final Calculation Sheet'!$Y$4:$Y$40,$BA5-3)),"")</f>
        <v/>
      </c>
      <c r="D29" s="544">
        <f>IFERROR(IF(INDEX('Final Calculation Sheet'!$Y$4:$Y$40,$BA6-3)="","",INDEX('Final Calculation Sheet'!$Y$4:$Y$40,$BA6-3)),"")</f>
        <v/>
      </c>
      <c r="E29" s="545">
        <f>IFERROR(IF(INDEX('Final Calculation Sheet'!$Y$4:$Y$40,$BA7-3)="","",INDEX('Final Calculation Sheet'!$Y$4:$Y$40,$BA7-3)),"")</f>
        <v/>
      </c>
      <c r="F29" s="544">
        <f>IFERROR(IF(INDEX('Final Calculation Sheet'!$Y$4:$Y$40,$BA8-3)="","",INDEX('Final Calculation Sheet'!$Y$4:$Y$40,$BA8-3)),"")</f>
        <v/>
      </c>
      <c r="G29" s="545">
        <f>IFERROR(IF(INDEX('Final Calculation Sheet'!$Y$4:$Y$40,$BA9-3)="","",INDEX('Final Calculation Sheet'!$Y$4:$Y$40,$BA9-3)),"")</f>
        <v/>
      </c>
      <c r="H29" s="544">
        <f>IFERROR(IF(INDEX('Final Calculation Sheet'!$Y$4:$Y$40,$BA10-3)="","",INDEX('Final Calculation Sheet'!$Y$4:$Y$40,$BA10-3)),"")</f>
        <v/>
      </c>
      <c r="I29" s="545">
        <f>IFERROR(IF(INDEX('Final Calculation Sheet'!$Y$4:$Y$40,$BA11-3)="","",INDEX('Final Calculation Sheet'!$Y$4:$Y$40,$BA11-3)),"")</f>
        <v/>
      </c>
      <c r="J29" s="544">
        <f>IFERROR(IF(INDEX('Final Calculation Sheet'!$Y$4:$Y$40,$BA12-3)="","",INDEX('Final Calculation Sheet'!$Y$4:$Y$40,$BA12-3)),"")</f>
        <v/>
      </c>
      <c r="K29" s="545">
        <f>IFERROR(IF(INDEX('Final Calculation Sheet'!$Y$4:$Y$40,$BA13-3)="","",INDEX('Final Calculation Sheet'!$Y$4:$Y$40,$BA13-3)),"")</f>
        <v/>
      </c>
      <c r="L29" s="544">
        <f>IFERROR(IF(INDEX('Final Calculation Sheet'!$Y$4:$Y$40,$BA14-3)="","",INDEX('Final Calculation Sheet'!$Y$4:$Y$40,$BA14-3)),"")</f>
        <v/>
      </c>
      <c r="M29" s="545">
        <f>IFERROR(IF(INDEX('Final Calculation Sheet'!$Y$4:$Y$40,$BA15-3)="","",INDEX('Final Calculation Sheet'!$Y$4:$Y$40,$BA15-3)),"")</f>
        <v/>
      </c>
      <c r="N29" s="544">
        <f>IFERROR(IF(INDEX('Final Calculation Sheet'!$Y$4:$Y$40,$BA16-3)="","",INDEX('Final Calculation Sheet'!$Y$4:$Y$40,$BA16-3)),"")</f>
        <v/>
      </c>
      <c r="O29" s="545">
        <f>IFERROR(IF(INDEX('Final Calculation Sheet'!$Y$4:$Y$40,$BA17-3)="","",INDEX('Final Calculation Sheet'!$Y$4:$Y$40,$BA17-3)),"")</f>
        <v/>
      </c>
      <c r="P29" s="544">
        <f>IFERROR(IF(INDEX('Final Calculation Sheet'!$Y$4:$Y$40,$BA18-3)="","",INDEX('Final Calculation Sheet'!$Y$4:$Y$40,$BA18-3)),"")</f>
        <v/>
      </c>
      <c r="Q29" s="545">
        <f>IFERROR(IF(INDEX('Final Calculation Sheet'!$Y$4:$Y$40,$BA19-3)="","",INDEX('Final Calculation Sheet'!$Y$4:$Y$40,$BA19-3)),"")</f>
        <v/>
      </c>
      <c r="R29" s="544">
        <f>IFERROR(IF(INDEX('Final Calculation Sheet'!$Y$4:$Y$40,$BA20-3)="","",INDEX('Final Calculation Sheet'!$Y$4:$Y$40,$BA20-3)),"")</f>
        <v/>
      </c>
      <c r="S29" s="545">
        <f>IFERROR(IF(INDEX('Final Calculation Sheet'!$Y$4:$Y$40,$BA21-3)="","",INDEX('Final Calculation Sheet'!$Y$4:$Y$40,$BA21-3)),"")</f>
        <v/>
      </c>
      <c r="T29" s="544">
        <f>IFERROR(IF(INDEX('Final Calculation Sheet'!$Y$4:$Y$40,$BA22-3)="","",INDEX('Final Calculation Sheet'!$Y$4:$Y$40,$BA22-3)),"")</f>
        <v/>
      </c>
      <c r="U29" s="545">
        <f>IFERROR(IF(INDEX('Final Calculation Sheet'!$Y$4:$Y$40,$BA23-3)="","",INDEX('Final Calculation Sheet'!$Y$4:$Y$40,$BA23-3)),"")</f>
        <v/>
      </c>
      <c r="V29" s="544">
        <f>IFERROR(IF(INDEX('Final Calculation Sheet'!$Y$4:$Y$40,$BA24-3)="","",INDEX('Final Calculation Sheet'!$Y$4:$Y$40,$BA24-3)),"")</f>
        <v/>
      </c>
      <c r="W29" s="545">
        <f>IFERROR(IF(INDEX('Final Calculation Sheet'!$Y$4:$Y$40,$BA25-3)="","",INDEX('Final Calculation Sheet'!$Y$4:$Y$40,$BA25-3)),"")</f>
        <v/>
      </c>
      <c r="X29" s="544">
        <f>IFERROR(IF(INDEX('Final Calculation Sheet'!$Y$4:$Y$40,$BA26-3)="","",INDEX('Final Calculation Sheet'!$Y$4:$Y$40,$BA26-3)),"")</f>
        <v/>
      </c>
      <c r="Y29" s="545">
        <f>IFERROR(IF(INDEX('Final Calculation Sheet'!$Y$4:$Y$40,$BA27-3)="","",INDEX('Final Calculation Sheet'!$Y$4:$Y$40,$BA27-3)),"")</f>
        <v/>
      </c>
      <c r="Z29" s="544">
        <f>IFERROR(IF(INDEX('Final Calculation Sheet'!$Y$4:$Y$40,$BA28-3)="","",INDEX('Final Calculation Sheet'!$Y$4:$Y$40,$BA28-3)),"")</f>
        <v/>
      </c>
      <c r="AA29" s="545">
        <f>IFERROR(IF(INDEX('Final Calculation Sheet'!$Y$4:$Y$40,$BA29-3)="","",INDEX('Final Calculation Sheet'!$Y$4:$Y$40,$BA29-3)),"")</f>
        <v/>
      </c>
      <c r="AB29" s="544">
        <f>IFERROR(IF(INDEX('Final Calculation Sheet'!$Y$4:$Y$40,$BA30-3)="","",INDEX('Final Calculation Sheet'!$Y$4:$Y$40,$BA30-3)),"")</f>
        <v/>
      </c>
      <c r="AC29" s="545">
        <f>IFERROR(IF(INDEX('Final Calculation Sheet'!$Y$4:$Y$40,$BA31-3)="","",INDEX('Final Calculation Sheet'!$Y$4:$Y$40,$BA31-3)),"")</f>
        <v/>
      </c>
      <c r="AD29" s="544">
        <f>IFERROR(IF(INDEX('Final Calculation Sheet'!$Y$4:$Y$40,$BA32-3)="","",INDEX('Final Calculation Sheet'!$Y$4:$Y$40,$BA32-3)),"")</f>
        <v/>
      </c>
      <c r="AE29" s="545">
        <f>IFERROR(IF(INDEX('Final Calculation Sheet'!$Y$4:$Y$40,$BA33-3)="","",INDEX('Final Calculation Sheet'!$Y$4:$Y$40,$BA33-3)),"")</f>
        <v/>
      </c>
      <c r="AF29" s="544">
        <f>IFERROR(IF(INDEX('Final Calculation Sheet'!$Y$4:$Y$40,$BA34-3)="","",INDEX('Final Calculation Sheet'!$Y$4:$Y$40,$BA34-3)),"")</f>
        <v/>
      </c>
      <c r="AG29" s="545">
        <f>IFERROR(IF(INDEX('Final Calculation Sheet'!$Y$4:$Y$40,$BA35-3)="","",INDEX('Final Calculation Sheet'!$Y$4:$Y$40,$BA35-3)),"")</f>
        <v/>
      </c>
      <c r="AH29" s="544">
        <f>IFERROR(IF(INDEX('Final Calculation Sheet'!$Y$4:$Y$40,$BA36-3)="","",INDEX('Final Calculation Sheet'!$Y$4:$Y$40,$BA36-3)),"")</f>
        <v/>
      </c>
      <c r="AI29" s="545">
        <f>IFERROR(IF(INDEX('Final Calculation Sheet'!$Y$4:$Y$40,$BA37-3)="","",INDEX('Final Calculation Sheet'!$Y$4:$Y$40,$BA37-3)),"")</f>
        <v/>
      </c>
      <c r="AJ29" s="544">
        <f>IFERROR(IF(INDEX('Final Calculation Sheet'!$Y$4:$Y$40,$BA38-3)="","",INDEX('Final Calculation Sheet'!$Y$4:$Y$40,$BA38-3)),"")</f>
        <v/>
      </c>
      <c r="AK29" s="545">
        <f>IFERROR(IF(INDEX('Final Calculation Sheet'!$Y$4:$Y$40,$BA39-3)="","",INDEX('Final Calculation Sheet'!$Y$4:$Y$40,$BA39-3)),"")</f>
        <v/>
      </c>
      <c r="AL29" s="544">
        <f>IFERROR(IF(INDEX('Final Calculation Sheet'!$Y$4:$Y$40,$BA40-3)="","",INDEX('Final Calculation Sheet'!$Y$4:$Y$40,$BA40-3)),"")</f>
        <v/>
      </c>
      <c r="AM29" s="605" t="inlineStr">
        <is>
          <t>–</t>
        </is>
      </c>
      <c r="AO29" t="inlineStr">
        <is>
          <t>LPP Expected</t>
        </is>
      </c>
      <c r="AW29">
        <f>IF(OR($B$3="ALL BUYERS",'Final Calculation Sheet'!$G29=$B$3),IF($D$3="— no row filter —",1,IF($F$3="is blank",IF(INDEX('Final Calculation Sheet'!$A$4:$AG$40,29-3,$AU$2)="",1,0),IF($F$3="is not blank",IF(INDEX('Final Calculation Sheet'!$A$4:$AG$40,29-3,$AU$2)="",0,1),IF($F$3="contains",IF(ISNUMBER(SEARCH($H$3,INDEX('Final Calculation Sheet'!$A$4:$AG$40,29-3,$AU$2))),1,0),IF($F$3="=",IF(INDEX('Final Calculation Sheet'!$A$4:$AG$40,29-3,$AU$2)=$H$3,1,0),IF($F$3="&lt;&gt;",IF(INDEX('Final Calculation Sheet'!$A$4:$AG$40,29-3,$AU$2)=$H$3,0,1),IF($F$3="&gt;",IF(N(INDEX('Final Calculation Sheet'!$A$4:$AG$40,29-3,$AU$2))&gt;N($H$3),1,0),IF($F$3="&gt;=",IF(N(INDEX('Final Calculation Sheet'!$A$4:$AG$40,29-3,$AU$2))&gt;=N($H$3),1,0),IF($F$3="&lt;",IF(N(INDEX('Final Calculation Sheet'!$A$4:$AG$40,29-3,$AU$2))&lt;N($H$3),1,0),IF($F$3="&lt;=",IF(N(INDEX('Final Calculation Sheet'!$A$4:$AG$40,29-3,$AU$2))&lt;=N($H$3),1,0),0)))))))))),0)</f>
        <v/>
      </c>
      <c r="AY29">
        <f>IF(AW29=1,SUM($AW$4:AW29),"")</f>
        <v/>
      </c>
      <c r="BA29">
        <f>IFERROR(MATCH(26,$AY$4:$AY$40,0)+3,"")</f>
        <v/>
      </c>
    </row>
    <row r="30" ht="15" customHeight="1">
      <c r="A30" s="543" t="inlineStr">
        <is>
          <t>LPP Expected</t>
        </is>
      </c>
      <c r="B30" s="544">
        <f>IFERROR(IF(INDEX('Final Calculation Sheet'!$Z$4:$Z$40,$BA4-3)="","",INDEX('Final Calculation Sheet'!$Z$4:$Z$40,$BA4-3)),"")</f>
        <v/>
      </c>
      <c r="C30" s="545">
        <f>IFERROR(IF(INDEX('Final Calculation Sheet'!$Z$4:$Z$40,$BA5-3)="","",INDEX('Final Calculation Sheet'!$Z$4:$Z$40,$BA5-3)),"")</f>
        <v/>
      </c>
      <c r="D30" s="544">
        <f>IFERROR(IF(INDEX('Final Calculation Sheet'!$Z$4:$Z$40,$BA6-3)="","",INDEX('Final Calculation Sheet'!$Z$4:$Z$40,$BA6-3)),"")</f>
        <v/>
      </c>
      <c r="E30" s="545">
        <f>IFERROR(IF(INDEX('Final Calculation Sheet'!$Z$4:$Z$40,$BA7-3)="","",INDEX('Final Calculation Sheet'!$Z$4:$Z$40,$BA7-3)),"")</f>
        <v/>
      </c>
      <c r="F30" s="544">
        <f>IFERROR(IF(INDEX('Final Calculation Sheet'!$Z$4:$Z$40,$BA8-3)="","",INDEX('Final Calculation Sheet'!$Z$4:$Z$40,$BA8-3)),"")</f>
        <v/>
      </c>
      <c r="G30" s="545">
        <f>IFERROR(IF(INDEX('Final Calculation Sheet'!$Z$4:$Z$40,$BA9-3)="","",INDEX('Final Calculation Sheet'!$Z$4:$Z$40,$BA9-3)),"")</f>
        <v/>
      </c>
      <c r="H30" s="544">
        <f>IFERROR(IF(INDEX('Final Calculation Sheet'!$Z$4:$Z$40,$BA10-3)="","",INDEX('Final Calculation Sheet'!$Z$4:$Z$40,$BA10-3)),"")</f>
        <v/>
      </c>
      <c r="I30" s="545">
        <f>IFERROR(IF(INDEX('Final Calculation Sheet'!$Z$4:$Z$40,$BA11-3)="","",INDEX('Final Calculation Sheet'!$Z$4:$Z$40,$BA11-3)),"")</f>
        <v/>
      </c>
      <c r="J30" s="544">
        <f>IFERROR(IF(INDEX('Final Calculation Sheet'!$Z$4:$Z$40,$BA12-3)="","",INDEX('Final Calculation Sheet'!$Z$4:$Z$40,$BA12-3)),"")</f>
        <v/>
      </c>
      <c r="K30" s="545">
        <f>IFERROR(IF(INDEX('Final Calculation Sheet'!$Z$4:$Z$40,$BA13-3)="","",INDEX('Final Calculation Sheet'!$Z$4:$Z$40,$BA13-3)),"")</f>
        <v/>
      </c>
      <c r="L30" s="544">
        <f>IFERROR(IF(INDEX('Final Calculation Sheet'!$Z$4:$Z$40,$BA14-3)="","",INDEX('Final Calculation Sheet'!$Z$4:$Z$40,$BA14-3)),"")</f>
        <v/>
      </c>
      <c r="M30" s="545">
        <f>IFERROR(IF(INDEX('Final Calculation Sheet'!$Z$4:$Z$40,$BA15-3)="","",INDEX('Final Calculation Sheet'!$Z$4:$Z$40,$BA15-3)),"")</f>
        <v/>
      </c>
      <c r="N30" s="544">
        <f>IFERROR(IF(INDEX('Final Calculation Sheet'!$Z$4:$Z$40,$BA16-3)="","",INDEX('Final Calculation Sheet'!$Z$4:$Z$40,$BA16-3)),"")</f>
        <v/>
      </c>
      <c r="O30" s="545">
        <f>IFERROR(IF(INDEX('Final Calculation Sheet'!$Z$4:$Z$40,$BA17-3)="","",INDEX('Final Calculation Sheet'!$Z$4:$Z$40,$BA17-3)),"")</f>
        <v/>
      </c>
      <c r="P30" s="544">
        <f>IFERROR(IF(INDEX('Final Calculation Sheet'!$Z$4:$Z$40,$BA18-3)="","",INDEX('Final Calculation Sheet'!$Z$4:$Z$40,$BA18-3)),"")</f>
        <v/>
      </c>
      <c r="Q30" s="545">
        <f>IFERROR(IF(INDEX('Final Calculation Sheet'!$Z$4:$Z$40,$BA19-3)="","",INDEX('Final Calculation Sheet'!$Z$4:$Z$40,$BA19-3)),"")</f>
        <v/>
      </c>
      <c r="R30" s="544">
        <f>IFERROR(IF(INDEX('Final Calculation Sheet'!$Z$4:$Z$40,$BA20-3)="","",INDEX('Final Calculation Sheet'!$Z$4:$Z$40,$BA20-3)),"")</f>
        <v/>
      </c>
      <c r="S30" s="545">
        <f>IFERROR(IF(INDEX('Final Calculation Sheet'!$Z$4:$Z$40,$BA21-3)="","",INDEX('Final Calculation Sheet'!$Z$4:$Z$40,$BA21-3)),"")</f>
        <v/>
      </c>
      <c r="T30" s="544">
        <f>IFERROR(IF(INDEX('Final Calculation Sheet'!$Z$4:$Z$40,$BA22-3)="","",INDEX('Final Calculation Sheet'!$Z$4:$Z$40,$BA22-3)),"")</f>
        <v/>
      </c>
      <c r="U30" s="545">
        <f>IFERROR(IF(INDEX('Final Calculation Sheet'!$Z$4:$Z$40,$BA23-3)="","",INDEX('Final Calculation Sheet'!$Z$4:$Z$40,$BA23-3)),"")</f>
        <v/>
      </c>
      <c r="V30" s="544">
        <f>IFERROR(IF(INDEX('Final Calculation Sheet'!$Z$4:$Z$40,$BA24-3)="","",INDEX('Final Calculation Sheet'!$Z$4:$Z$40,$BA24-3)),"")</f>
        <v/>
      </c>
      <c r="W30" s="545">
        <f>IFERROR(IF(INDEX('Final Calculation Sheet'!$Z$4:$Z$40,$BA25-3)="","",INDEX('Final Calculation Sheet'!$Z$4:$Z$40,$BA25-3)),"")</f>
        <v/>
      </c>
      <c r="X30" s="544">
        <f>IFERROR(IF(INDEX('Final Calculation Sheet'!$Z$4:$Z$40,$BA26-3)="","",INDEX('Final Calculation Sheet'!$Z$4:$Z$40,$BA26-3)),"")</f>
        <v/>
      </c>
      <c r="Y30" s="545">
        <f>IFERROR(IF(INDEX('Final Calculation Sheet'!$Z$4:$Z$40,$BA27-3)="","",INDEX('Final Calculation Sheet'!$Z$4:$Z$40,$BA27-3)),"")</f>
        <v/>
      </c>
      <c r="Z30" s="544">
        <f>IFERROR(IF(INDEX('Final Calculation Sheet'!$Z$4:$Z$40,$BA28-3)="","",INDEX('Final Calculation Sheet'!$Z$4:$Z$40,$BA28-3)),"")</f>
        <v/>
      </c>
      <c r="AA30" s="545">
        <f>IFERROR(IF(INDEX('Final Calculation Sheet'!$Z$4:$Z$40,$BA29-3)="","",INDEX('Final Calculation Sheet'!$Z$4:$Z$40,$BA29-3)),"")</f>
        <v/>
      </c>
      <c r="AB30" s="544">
        <f>IFERROR(IF(INDEX('Final Calculation Sheet'!$Z$4:$Z$40,$BA30-3)="","",INDEX('Final Calculation Sheet'!$Z$4:$Z$40,$BA30-3)),"")</f>
        <v/>
      </c>
      <c r="AC30" s="545">
        <f>IFERROR(IF(INDEX('Final Calculation Sheet'!$Z$4:$Z$40,$BA31-3)="","",INDEX('Final Calculation Sheet'!$Z$4:$Z$40,$BA31-3)),"")</f>
        <v/>
      </c>
      <c r="AD30" s="544">
        <f>IFERROR(IF(INDEX('Final Calculation Sheet'!$Z$4:$Z$40,$BA32-3)="","",INDEX('Final Calculation Sheet'!$Z$4:$Z$40,$BA32-3)),"")</f>
        <v/>
      </c>
      <c r="AE30" s="545">
        <f>IFERROR(IF(INDEX('Final Calculation Sheet'!$Z$4:$Z$40,$BA33-3)="","",INDEX('Final Calculation Sheet'!$Z$4:$Z$40,$BA33-3)),"")</f>
        <v/>
      </c>
      <c r="AF30" s="544">
        <f>IFERROR(IF(INDEX('Final Calculation Sheet'!$Z$4:$Z$40,$BA34-3)="","",INDEX('Final Calculation Sheet'!$Z$4:$Z$40,$BA34-3)),"")</f>
        <v/>
      </c>
      <c r="AG30" s="545">
        <f>IFERROR(IF(INDEX('Final Calculation Sheet'!$Z$4:$Z$40,$BA35-3)="","",INDEX('Final Calculation Sheet'!$Z$4:$Z$40,$BA35-3)),"")</f>
        <v/>
      </c>
      <c r="AH30" s="544">
        <f>IFERROR(IF(INDEX('Final Calculation Sheet'!$Z$4:$Z$40,$BA36-3)="","",INDEX('Final Calculation Sheet'!$Z$4:$Z$40,$BA36-3)),"")</f>
        <v/>
      </c>
      <c r="AI30" s="545">
        <f>IFERROR(IF(INDEX('Final Calculation Sheet'!$Z$4:$Z$40,$BA37-3)="","",INDEX('Final Calculation Sheet'!$Z$4:$Z$40,$BA37-3)),"")</f>
        <v/>
      </c>
      <c r="AJ30" s="544">
        <f>IFERROR(IF(INDEX('Final Calculation Sheet'!$Z$4:$Z$40,$BA38-3)="","",INDEX('Final Calculation Sheet'!$Z$4:$Z$40,$BA38-3)),"")</f>
        <v/>
      </c>
      <c r="AK30" s="545">
        <f>IFERROR(IF(INDEX('Final Calculation Sheet'!$Z$4:$Z$40,$BA39-3)="","",INDEX('Final Calculation Sheet'!$Z$4:$Z$40,$BA39-3)),"")</f>
        <v/>
      </c>
      <c r="AL30" s="544">
        <f>IFERROR(IF(INDEX('Final Calculation Sheet'!$Z$4:$Z$40,$BA40-3)="","",INDEX('Final Calculation Sheet'!$Z$4:$Z$40,$BA40-3)),"")</f>
        <v/>
      </c>
      <c r="AM30" s="546">
        <f>IF(COUNT(B30:AL30)=0,"",SUM(B30:AL30))</f>
        <v/>
      </c>
      <c r="AO30" t="inlineStr">
        <is>
          <t>LPP Received</t>
        </is>
      </c>
      <c r="AW30">
        <f>IF(OR($B$3="ALL BUYERS",'Final Calculation Sheet'!$G30=$B$3),IF($D$3="— no row filter —",1,IF($F$3="is blank",IF(INDEX('Final Calculation Sheet'!$A$4:$AG$40,30-3,$AU$2)="",1,0),IF($F$3="is not blank",IF(INDEX('Final Calculation Sheet'!$A$4:$AG$40,30-3,$AU$2)="",0,1),IF($F$3="contains",IF(ISNUMBER(SEARCH($H$3,INDEX('Final Calculation Sheet'!$A$4:$AG$40,30-3,$AU$2))),1,0),IF($F$3="=",IF(INDEX('Final Calculation Sheet'!$A$4:$AG$40,30-3,$AU$2)=$H$3,1,0),IF($F$3="&lt;&gt;",IF(INDEX('Final Calculation Sheet'!$A$4:$AG$40,30-3,$AU$2)=$H$3,0,1),IF($F$3="&gt;",IF(N(INDEX('Final Calculation Sheet'!$A$4:$AG$40,30-3,$AU$2))&gt;N($H$3),1,0),IF($F$3="&gt;=",IF(N(INDEX('Final Calculation Sheet'!$A$4:$AG$40,30-3,$AU$2))&gt;=N($H$3),1,0),IF($F$3="&lt;",IF(N(INDEX('Final Calculation Sheet'!$A$4:$AG$40,30-3,$AU$2))&lt;N($H$3),1,0),IF($F$3="&lt;=",IF(N(INDEX('Final Calculation Sheet'!$A$4:$AG$40,30-3,$AU$2))&lt;=N($H$3),1,0),0)))))))))),0)</f>
        <v/>
      </c>
      <c r="AY30">
        <f>IF(AW30=1,SUM($AW$4:AW30),"")</f>
        <v/>
      </c>
      <c r="BA30">
        <f>IFERROR(MATCH(27,$AY$4:$AY$40,0)+3,"")</f>
        <v/>
      </c>
    </row>
    <row r="31" ht="15" customHeight="1">
      <c r="A31" s="540" t="inlineStr">
        <is>
          <t>LPP Received</t>
        </is>
      </c>
      <c r="B31" s="544">
        <f>IFERROR(IF(INDEX('Final Calculation Sheet'!$AA$4:$AA$40,$BA4-3)="","",INDEX('Final Calculation Sheet'!$AA$4:$AA$40,$BA4-3)),"")</f>
        <v/>
      </c>
      <c r="C31" s="545">
        <f>IFERROR(IF(INDEX('Final Calculation Sheet'!$AA$4:$AA$40,$BA5-3)="","",INDEX('Final Calculation Sheet'!$AA$4:$AA$40,$BA5-3)),"")</f>
        <v/>
      </c>
      <c r="D31" s="544">
        <f>IFERROR(IF(INDEX('Final Calculation Sheet'!$AA$4:$AA$40,$BA6-3)="","",INDEX('Final Calculation Sheet'!$AA$4:$AA$40,$BA6-3)),"")</f>
        <v/>
      </c>
      <c r="E31" s="545">
        <f>IFERROR(IF(INDEX('Final Calculation Sheet'!$AA$4:$AA$40,$BA7-3)="","",INDEX('Final Calculation Sheet'!$AA$4:$AA$40,$BA7-3)),"")</f>
        <v/>
      </c>
      <c r="F31" s="544">
        <f>IFERROR(IF(INDEX('Final Calculation Sheet'!$AA$4:$AA$40,$BA8-3)="","",INDEX('Final Calculation Sheet'!$AA$4:$AA$40,$BA8-3)),"")</f>
        <v/>
      </c>
      <c r="G31" s="545">
        <f>IFERROR(IF(INDEX('Final Calculation Sheet'!$AA$4:$AA$40,$BA9-3)="","",INDEX('Final Calculation Sheet'!$AA$4:$AA$40,$BA9-3)),"")</f>
        <v/>
      </c>
      <c r="H31" s="544">
        <f>IFERROR(IF(INDEX('Final Calculation Sheet'!$AA$4:$AA$40,$BA10-3)="","",INDEX('Final Calculation Sheet'!$AA$4:$AA$40,$BA10-3)),"")</f>
        <v/>
      </c>
      <c r="I31" s="545">
        <f>IFERROR(IF(INDEX('Final Calculation Sheet'!$AA$4:$AA$40,$BA11-3)="","",INDEX('Final Calculation Sheet'!$AA$4:$AA$40,$BA11-3)),"")</f>
        <v/>
      </c>
      <c r="J31" s="544">
        <f>IFERROR(IF(INDEX('Final Calculation Sheet'!$AA$4:$AA$40,$BA12-3)="","",INDEX('Final Calculation Sheet'!$AA$4:$AA$40,$BA12-3)),"")</f>
        <v/>
      </c>
      <c r="K31" s="545">
        <f>IFERROR(IF(INDEX('Final Calculation Sheet'!$AA$4:$AA$40,$BA13-3)="","",INDEX('Final Calculation Sheet'!$AA$4:$AA$40,$BA13-3)),"")</f>
        <v/>
      </c>
      <c r="L31" s="544">
        <f>IFERROR(IF(INDEX('Final Calculation Sheet'!$AA$4:$AA$40,$BA14-3)="","",INDEX('Final Calculation Sheet'!$AA$4:$AA$40,$BA14-3)),"")</f>
        <v/>
      </c>
      <c r="M31" s="545">
        <f>IFERROR(IF(INDEX('Final Calculation Sheet'!$AA$4:$AA$40,$BA15-3)="","",INDEX('Final Calculation Sheet'!$AA$4:$AA$40,$BA15-3)),"")</f>
        <v/>
      </c>
      <c r="N31" s="544">
        <f>IFERROR(IF(INDEX('Final Calculation Sheet'!$AA$4:$AA$40,$BA16-3)="","",INDEX('Final Calculation Sheet'!$AA$4:$AA$40,$BA16-3)),"")</f>
        <v/>
      </c>
      <c r="O31" s="545">
        <f>IFERROR(IF(INDEX('Final Calculation Sheet'!$AA$4:$AA$40,$BA17-3)="","",INDEX('Final Calculation Sheet'!$AA$4:$AA$40,$BA17-3)),"")</f>
        <v/>
      </c>
      <c r="P31" s="544">
        <f>IFERROR(IF(INDEX('Final Calculation Sheet'!$AA$4:$AA$40,$BA18-3)="","",INDEX('Final Calculation Sheet'!$AA$4:$AA$40,$BA18-3)),"")</f>
        <v/>
      </c>
      <c r="Q31" s="545">
        <f>IFERROR(IF(INDEX('Final Calculation Sheet'!$AA$4:$AA$40,$BA19-3)="","",INDEX('Final Calculation Sheet'!$AA$4:$AA$40,$BA19-3)),"")</f>
        <v/>
      </c>
      <c r="R31" s="544">
        <f>IFERROR(IF(INDEX('Final Calculation Sheet'!$AA$4:$AA$40,$BA20-3)="","",INDEX('Final Calculation Sheet'!$AA$4:$AA$40,$BA20-3)),"")</f>
        <v/>
      </c>
      <c r="S31" s="545">
        <f>IFERROR(IF(INDEX('Final Calculation Sheet'!$AA$4:$AA$40,$BA21-3)="","",INDEX('Final Calculation Sheet'!$AA$4:$AA$40,$BA21-3)),"")</f>
        <v/>
      </c>
      <c r="T31" s="544">
        <f>IFERROR(IF(INDEX('Final Calculation Sheet'!$AA$4:$AA$40,$BA22-3)="","",INDEX('Final Calculation Sheet'!$AA$4:$AA$40,$BA22-3)),"")</f>
        <v/>
      </c>
      <c r="U31" s="545">
        <f>IFERROR(IF(INDEX('Final Calculation Sheet'!$AA$4:$AA$40,$BA23-3)="","",INDEX('Final Calculation Sheet'!$AA$4:$AA$40,$BA23-3)),"")</f>
        <v/>
      </c>
      <c r="V31" s="544">
        <f>IFERROR(IF(INDEX('Final Calculation Sheet'!$AA$4:$AA$40,$BA24-3)="","",INDEX('Final Calculation Sheet'!$AA$4:$AA$40,$BA24-3)),"")</f>
        <v/>
      </c>
      <c r="W31" s="545">
        <f>IFERROR(IF(INDEX('Final Calculation Sheet'!$AA$4:$AA$40,$BA25-3)="","",INDEX('Final Calculation Sheet'!$AA$4:$AA$40,$BA25-3)),"")</f>
        <v/>
      </c>
      <c r="X31" s="544">
        <f>IFERROR(IF(INDEX('Final Calculation Sheet'!$AA$4:$AA$40,$BA26-3)="","",INDEX('Final Calculation Sheet'!$AA$4:$AA$40,$BA26-3)),"")</f>
        <v/>
      </c>
      <c r="Y31" s="545">
        <f>IFERROR(IF(INDEX('Final Calculation Sheet'!$AA$4:$AA$40,$BA27-3)="","",INDEX('Final Calculation Sheet'!$AA$4:$AA$40,$BA27-3)),"")</f>
        <v/>
      </c>
      <c r="Z31" s="544">
        <f>IFERROR(IF(INDEX('Final Calculation Sheet'!$AA$4:$AA$40,$BA28-3)="","",INDEX('Final Calculation Sheet'!$AA$4:$AA$40,$BA28-3)),"")</f>
        <v/>
      </c>
      <c r="AA31" s="545">
        <f>IFERROR(IF(INDEX('Final Calculation Sheet'!$AA$4:$AA$40,$BA29-3)="","",INDEX('Final Calculation Sheet'!$AA$4:$AA$40,$BA29-3)),"")</f>
        <v/>
      </c>
      <c r="AB31" s="544">
        <f>IFERROR(IF(INDEX('Final Calculation Sheet'!$AA$4:$AA$40,$BA30-3)="","",INDEX('Final Calculation Sheet'!$AA$4:$AA$40,$BA30-3)),"")</f>
        <v/>
      </c>
      <c r="AC31" s="545">
        <f>IFERROR(IF(INDEX('Final Calculation Sheet'!$AA$4:$AA$40,$BA31-3)="","",INDEX('Final Calculation Sheet'!$AA$4:$AA$40,$BA31-3)),"")</f>
        <v/>
      </c>
      <c r="AD31" s="544">
        <f>IFERROR(IF(INDEX('Final Calculation Sheet'!$AA$4:$AA$40,$BA32-3)="","",INDEX('Final Calculation Sheet'!$AA$4:$AA$40,$BA32-3)),"")</f>
        <v/>
      </c>
      <c r="AE31" s="545">
        <f>IFERROR(IF(INDEX('Final Calculation Sheet'!$AA$4:$AA$40,$BA33-3)="","",INDEX('Final Calculation Sheet'!$AA$4:$AA$40,$BA33-3)),"")</f>
        <v/>
      </c>
      <c r="AF31" s="544">
        <f>IFERROR(IF(INDEX('Final Calculation Sheet'!$AA$4:$AA$40,$BA34-3)="","",INDEX('Final Calculation Sheet'!$AA$4:$AA$40,$BA34-3)),"")</f>
        <v/>
      </c>
      <c r="AG31" s="545">
        <f>IFERROR(IF(INDEX('Final Calculation Sheet'!$AA$4:$AA$40,$BA35-3)="","",INDEX('Final Calculation Sheet'!$AA$4:$AA$40,$BA35-3)),"")</f>
        <v/>
      </c>
      <c r="AH31" s="544">
        <f>IFERROR(IF(INDEX('Final Calculation Sheet'!$AA$4:$AA$40,$BA36-3)="","",INDEX('Final Calculation Sheet'!$AA$4:$AA$40,$BA36-3)),"")</f>
        <v/>
      </c>
      <c r="AI31" s="545">
        <f>IFERROR(IF(INDEX('Final Calculation Sheet'!$AA$4:$AA$40,$BA37-3)="","",INDEX('Final Calculation Sheet'!$AA$4:$AA$40,$BA37-3)),"")</f>
        <v/>
      </c>
      <c r="AJ31" s="544">
        <f>IFERROR(IF(INDEX('Final Calculation Sheet'!$AA$4:$AA$40,$BA38-3)="","",INDEX('Final Calculation Sheet'!$AA$4:$AA$40,$BA38-3)),"")</f>
        <v/>
      </c>
      <c r="AK31" s="545">
        <f>IFERROR(IF(INDEX('Final Calculation Sheet'!$AA$4:$AA$40,$BA39-3)="","",INDEX('Final Calculation Sheet'!$AA$4:$AA$40,$BA39-3)),"")</f>
        <v/>
      </c>
      <c r="AL31" s="544">
        <f>IFERROR(IF(INDEX('Final Calculation Sheet'!$AA$4:$AA$40,$BA40-3)="","",INDEX('Final Calculation Sheet'!$AA$4:$AA$40,$BA40-3)),"")</f>
        <v/>
      </c>
      <c r="AM31" s="546">
        <f>IF(COUNT(B31:AL31)=0,"",SUM(B31:AL31))</f>
        <v/>
      </c>
      <c r="AO31" t="inlineStr">
        <is>
          <t>Date of Recepit of LPP</t>
        </is>
      </c>
      <c r="AW31">
        <f>IF(OR($B$3="ALL BUYERS",'Final Calculation Sheet'!$G31=$B$3),IF($D$3="— no row filter —",1,IF($F$3="is blank",IF(INDEX('Final Calculation Sheet'!$A$4:$AG$40,31-3,$AU$2)="",1,0),IF($F$3="is not blank",IF(INDEX('Final Calculation Sheet'!$A$4:$AG$40,31-3,$AU$2)="",0,1),IF($F$3="contains",IF(ISNUMBER(SEARCH($H$3,INDEX('Final Calculation Sheet'!$A$4:$AG$40,31-3,$AU$2))),1,0),IF($F$3="=",IF(INDEX('Final Calculation Sheet'!$A$4:$AG$40,31-3,$AU$2)=$H$3,1,0),IF($F$3="&lt;&gt;",IF(INDEX('Final Calculation Sheet'!$A$4:$AG$40,31-3,$AU$2)=$H$3,0,1),IF($F$3="&gt;",IF(N(INDEX('Final Calculation Sheet'!$A$4:$AG$40,31-3,$AU$2))&gt;N($H$3),1,0),IF($F$3="&gt;=",IF(N(INDEX('Final Calculation Sheet'!$A$4:$AG$40,31-3,$AU$2))&gt;=N($H$3),1,0),IF($F$3="&lt;",IF(N(INDEX('Final Calculation Sheet'!$A$4:$AG$40,31-3,$AU$2))&lt;N($H$3),1,0),IF($F$3="&lt;=",IF(N(INDEX('Final Calculation Sheet'!$A$4:$AG$40,31-3,$AU$2))&lt;=N($H$3),1,0),0)))))))))),0)</f>
        <v/>
      </c>
      <c r="AY31">
        <f>IF(AW31=1,SUM($AW$4:AW31),"")</f>
        <v/>
      </c>
      <c r="BA31">
        <f>IFERROR(MATCH(28,$AY$4:$AY$40,0)+3,"")</f>
        <v/>
      </c>
    </row>
    <row r="32" ht="15" customHeight="1">
      <c r="A32" s="543" t="inlineStr">
        <is>
          <t>Date of Recepit of LPP</t>
        </is>
      </c>
      <c r="B32" s="544">
        <f>IFERROR(IF(INDEX('Final Calculation Sheet'!$AB$4:$AB$40,$BA4-3)="","",INDEX('Final Calculation Sheet'!$AB$4:$AB$40,$BA4-3)),"")</f>
        <v/>
      </c>
      <c r="C32" s="545">
        <f>IFERROR(IF(INDEX('Final Calculation Sheet'!$AB$4:$AB$40,$BA5-3)="","",INDEX('Final Calculation Sheet'!$AB$4:$AB$40,$BA5-3)),"")</f>
        <v/>
      </c>
      <c r="D32" s="544">
        <f>IFERROR(IF(INDEX('Final Calculation Sheet'!$AB$4:$AB$40,$BA6-3)="","",INDEX('Final Calculation Sheet'!$AB$4:$AB$40,$BA6-3)),"")</f>
        <v/>
      </c>
      <c r="E32" s="545">
        <f>IFERROR(IF(INDEX('Final Calculation Sheet'!$AB$4:$AB$40,$BA7-3)="","",INDEX('Final Calculation Sheet'!$AB$4:$AB$40,$BA7-3)),"")</f>
        <v/>
      </c>
      <c r="F32" s="544">
        <f>IFERROR(IF(INDEX('Final Calculation Sheet'!$AB$4:$AB$40,$BA8-3)="","",INDEX('Final Calculation Sheet'!$AB$4:$AB$40,$BA8-3)),"")</f>
        <v/>
      </c>
      <c r="G32" s="545">
        <f>IFERROR(IF(INDEX('Final Calculation Sheet'!$AB$4:$AB$40,$BA9-3)="","",INDEX('Final Calculation Sheet'!$AB$4:$AB$40,$BA9-3)),"")</f>
        <v/>
      </c>
      <c r="H32" s="544">
        <f>IFERROR(IF(INDEX('Final Calculation Sheet'!$AB$4:$AB$40,$BA10-3)="","",INDEX('Final Calculation Sheet'!$AB$4:$AB$40,$BA10-3)),"")</f>
        <v/>
      </c>
      <c r="I32" s="545">
        <f>IFERROR(IF(INDEX('Final Calculation Sheet'!$AB$4:$AB$40,$BA11-3)="","",INDEX('Final Calculation Sheet'!$AB$4:$AB$40,$BA11-3)),"")</f>
        <v/>
      </c>
      <c r="J32" s="544">
        <f>IFERROR(IF(INDEX('Final Calculation Sheet'!$AB$4:$AB$40,$BA12-3)="","",INDEX('Final Calculation Sheet'!$AB$4:$AB$40,$BA12-3)),"")</f>
        <v/>
      </c>
      <c r="K32" s="545">
        <f>IFERROR(IF(INDEX('Final Calculation Sheet'!$AB$4:$AB$40,$BA13-3)="","",INDEX('Final Calculation Sheet'!$AB$4:$AB$40,$BA13-3)),"")</f>
        <v/>
      </c>
      <c r="L32" s="544">
        <f>IFERROR(IF(INDEX('Final Calculation Sheet'!$AB$4:$AB$40,$BA14-3)="","",INDEX('Final Calculation Sheet'!$AB$4:$AB$40,$BA14-3)),"")</f>
        <v/>
      </c>
      <c r="M32" s="545">
        <f>IFERROR(IF(INDEX('Final Calculation Sheet'!$AB$4:$AB$40,$BA15-3)="","",INDEX('Final Calculation Sheet'!$AB$4:$AB$40,$BA15-3)),"")</f>
        <v/>
      </c>
      <c r="N32" s="544">
        <f>IFERROR(IF(INDEX('Final Calculation Sheet'!$AB$4:$AB$40,$BA16-3)="","",INDEX('Final Calculation Sheet'!$AB$4:$AB$40,$BA16-3)),"")</f>
        <v/>
      </c>
      <c r="O32" s="545">
        <f>IFERROR(IF(INDEX('Final Calculation Sheet'!$AB$4:$AB$40,$BA17-3)="","",INDEX('Final Calculation Sheet'!$AB$4:$AB$40,$BA17-3)),"")</f>
        <v/>
      </c>
      <c r="P32" s="544">
        <f>IFERROR(IF(INDEX('Final Calculation Sheet'!$AB$4:$AB$40,$BA18-3)="","",INDEX('Final Calculation Sheet'!$AB$4:$AB$40,$BA18-3)),"")</f>
        <v/>
      </c>
      <c r="Q32" s="545">
        <f>IFERROR(IF(INDEX('Final Calculation Sheet'!$AB$4:$AB$40,$BA19-3)="","",INDEX('Final Calculation Sheet'!$AB$4:$AB$40,$BA19-3)),"")</f>
        <v/>
      </c>
      <c r="R32" s="544">
        <f>IFERROR(IF(INDEX('Final Calculation Sheet'!$AB$4:$AB$40,$BA20-3)="","",INDEX('Final Calculation Sheet'!$AB$4:$AB$40,$BA20-3)),"")</f>
        <v/>
      </c>
      <c r="S32" s="545">
        <f>IFERROR(IF(INDEX('Final Calculation Sheet'!$AB$4:$AB$40,$BA21-3)="","",INDEX('Final Calculation Sheet'!$AB$4:$AB$40,$BA21-3)),"")</f>
        <v/>
      </c>
      <c r="T32" s="544">
        <f>IFERROR(IF(INDEX('Final Calculation Sheet'!$AB$4:$AB$40,$BA22-3)="","",INDEX('Final Calculation Sheet'!$AB$4:$AB$40,$BA22-3)),"")</f>
        <v/>
      </c>
      <c r="U32" s="545">
        <f>IFERROR(IF(INDEX('Final Calculation Sheet'!$AB$4:$AB$40,$BA23-3)="","",INDEX('Final Calculation Sheet'!$AB$4:$AB$40,$BA23-3)),"")</f>
        <v/>
      </c>
      <c r="V32" s="544">
        <f>IFERROR(IF(INDEX('Final Calculation Sheet'!$AB$4:$AB$40,$BA24-3)="","",INDEX('Final Calculation Sheet'!$AB$4:$AB$40,$BA24-3)),"")</f>
        <v/>
      </c>
      <c r="W32" s="545">
        <f>IFERROR(IF(INDEX('Final Calculation Sheet'!$AB$4:$AB$40,$BA25-3)="","",INDEX('Final Calculation Sheet'!$AB$4:$AB$40,$BA25-3)),"")</f>
        <v/>
      </c>
      <c r="X32" s="544">
        <f>IFERROR(IF(INDEX('Final Calculation Sheet'!$AB$4:$AB$40,$BA26-3)="","",INDEX('Final Calculation Sheet'!$AB$4:$AB$40,$BA26-3)),"")</f>
        <v/>
      </c>
      <c r="Y32" s="545">
        <f>IFERROR(IF(INDEX('Final Calculation Sheet'!$AB$4:$AB$40,$BA27-3)="","",INDEX('Final Calculation Sheet'!$AB$4:$AB$40,$BA27-3)),"")</f>
        <v/>
      </c>
      <c r="Z32" s="544">
        <f>IFERROR(IF(INDEX('Final Calculation Sheet'!$AB$4:$AB$40,$BA28-3)="","",INDEX('Final Calculation Sheet'!$AB$4:$AB$40,$BA28-3)),"")</f>
        <v/>
      </c>
      <c r="AA32" s="545">
        <f>IFERROR(IF(INDEX('Final Calculation Sheet'!$AB$4:$AB$40,$BA29-3)="","",INDEX('Final Calculation Sheet'!$AB$4:$AB$40,$BA29-3)),"")</f>
        <v/>
      </c>
      <c r="AB32" s="544">
        <f>IFERROR(IF(INDEX('Final Calculation Sheet'!$AB$4:$AB$40,$BA30-3)="","",INDEX('Final Calculation Sheet'!$AB$4:$AB$40,$BA30-3)),"")</f>
        <v/>
      </c>
      <c r="AC32" s="545">
        <f>IFERROR(IF(INDEX('Final Calculation Sheet'!$AB$4:$AB$40,$BA31-3)="","",INDEX('Final Calculation Sheet'!$AB$4:$AB$40,$BA31-3)),"")</f>
        <v/>
      </c>
      <c r="AD32" s="544">
        <f>IFERROR(IF(INDEX('Final Calculation Sheet'!$AB$4:$AB$40,$BA32-3)="","",INDEX('Final Calculation Sheet'!$AB$4:$AB$40,$BA32-3)),"")</f>
        <v/>
      </c>
      <c r="AE32" s="545">
        <f>IFERROR(IF(INDEX('Final Calculation Sheet'!$AB$4:$AB$40,$BA33-3)="","",INDEX('Final Calculation Sheet'!$AB$4:$AB$40,$BA33-3)),"")</f>
        <v/>
      </c>
      <c r="AF32" s="544">
        <f>IFERROR(IF(INDEX('Final Calculation Sheet'!$AB$4:$AB$40,$BA34-3)="","",INDEX('Final Calculation Sheet'!$AB$4:$AB$40,$BA34-3)),"")</f>
        <v/>
      </c>
      <c r="AG32" s="545">
        <f>IFERROR(IF(INDEX('Final Calculation Sheet'!$AB$4:$AB$40,$BA35-3)="","",INDEX('Final Calculation Sheet'!$AB$4:$AB$40,$BA35-3)),"")</f>
        <v/>
      </c>
      <c r="AH32" s="544">
        <f>IFERROR(IF(INDEX('Final Calculation Sheet'!$AB$4:$AB$40,$BA36-3)="","",INDEX('Final Calculation Sheet'!$AB$4:$AB$40,$BA36-3)),"")</f>
        <v/>
      </c>
      <c r="AI32" s="545">
        <f>IFERROR(IF(INDEX('Final Calculation Sheet'!$AB$4:$AB$40,$BA37-3)="","",INDEX('Final Calculation Sheet'!$AB$4:$AB$40,$BA37-3)),"")</f>
        <v/>
      </c>
      <c r="AJ32" s="544">
        <f>IFERROR(IF(INDEX('Final Calculation Sheet'!$AB$4:$AB$40,$BA38-3)="","",INDEX('Final Calculation Sheet'!$AB$4:$AB$40,$BA38-3)),"")</f>
        <v/>
      </c>
      <c r="AK32" s="545">
        <f>IFERROR(IF(INDEX('Final Calculation Sheet'!$AB$4:$AB$40,$BA39-3)="","",INDEX('Final Calculation Sheet'!$AB$4:$AB$40,$BA39-3)),"")</f>
        <v/>
      </c>
      <c r="AL32" s="544">
        <f>IFERROR(IF(INDEX('Final Calculation Sheet'!$AB$4:$AB$40,$BA40-3)="","",INDEX('Final Calculation Sheet'!$AB$4:$AB$40,$BA40-3)),"")</f>
        <v/>
      </c>
      <c r="AM32" s="605" t="inlineStr">
        <is>
          <t>–</t>
        </is>
      </c>
      <c r="AO32" t="inlineStr">
        <is>
          <t>Total Received</t>
        </is>
      </c>
      <c r="AW32">
        <f>IF(OR($B$3="ALL BUYERS",'Final Calculation Sheet'!$G32=$B$3),IF($D$3="— no row filter —",1,IF($F$3="is blank",IF(INDEX('Final Calculation Sheet'!$A$4:$AG$40,32-3,$AU$2)="",1,0),IF($F$3="is not blank",IF(INDEX('Final Calculation Sheet'!$A$4:$AG$40,32-3,$AU$2)="",0,1),IF($F$3="contains",IF(ISNUMBER(SEARCH($H$3,INDEX('Final Calculation Sheet'!$A$4:$AG$40,32-3,$AU$2))),1,0),IF($F$3="=",IF(INDEX('Final Calculation Sheet'!$A$4:$AG$40,32-3,$AU$2)=$H$3,1,0),IF($F$3="&lt;&gt;",IF(INDEX('Final Calculation Sheet'!$A$4:$AG$40,32-3,$AU$2)=$H$3,0,1),IF($F$3="&gt;",IF(N(INDEX('Final Calculation Sheet'!$A$4:$AG$40,32-3,$AU$2))&gt;N($H$3),1,0),IF($F$3="&gt;=",IF(N(INDEX('Final Calculation Sheet'!$A$4:$AG$40,32-3,$AU$2))&gt;=N($H$3),1,0),IF($F$3="&lt;",IF(N(INDEX('Final Calculation Sheet'!$A$4:$AG$40,32-3,$AU$2))&lt;N($H$3),1,0),IF($F$3="&lt;=",IF(N(INDEX('Final Calculation Sheet'!$A$4:$AG$40,32-3,$AU$2))&lt;=N($H$3),1,0),0)))))))))),0)</f>
        <v/>
      </c>
      <c r="AY32">
        <f>IF(AW32=1,SUM($AW$4:AW32),"")</f>
        <v/>
      </c>
      <c r="BA32">
        <f>IFERROR(MATCH(29,$AY$4:$AY$40,0)+3,"")</f>
        <v/>
      </c>
    </row>
    <row r="33" ht="15" customHeight="1">
      <c r="A33" s="540" t="inlineStr">
        <is>
          <t>Total Received</t>
        </is>
      </c>
      <c r="B33" s="544">
        <f>IFERROR(IF(INDEX('Final Calculation Sheet'!$AC$4:$AC$40,$BA4-3)="","",INDEX('Final Calculation Sheet'!$AC$4:$AC$40,$BA4-3)),"")</f>
        <v/>
      </c>
      <c r="C33" s="545">
        <f>IFERROR(IF(INDEX('Final Calculation Sheet'!$AC$4:$AC$40,$BA5-3)="","",INDEX('Final Calculation Sheet'!$AC$4:$AC$40,$BA5-3)),"")</f>
        <v/>
      </c>
      <c r="D33" s="544">
        <f>IFERROR(IF(INDEX('Final Calculation Sheet'!$AC$4:$AC$40,$BA6-3)="","",INDEX('Final Calculation Sheet'!$AC$4:$AC$40,$BA6-3)),"")</f>
        <v/>
      </c>
      <c r="E33" s="545">
        <f>IFERROR(IF(INDEX('Final Calculation Sheet'!$AC$4:$AC$40,$BA7-3)="","",INDEX('Final Calculation Sheet'!$AC$4:$AC$40,$BA7-3)),"")</f>
        <v/>
      </c>
      <c r="F33" s="544">
        <f>IFERROR(IF(INDEX('Final Calculation Sheet'!$AC$4:$AC$40,$BA8-3)="","",INDEX('Final Calculation Sheet'!$AC$4:$AC$40,$BA8-3)),"")</f>
        <v/>
      </c>
      <c r="G33" s="545">
        <f>IFERROR(IF(INDEX('Final Calculation Sheet'!$AC$4:$AC$40,$BA9-3)="","",INDEX('Final Calculation Sheet'!$AC$4:$AC$40,$BA9-3)),"")</f>
        <v/>
      </c>
      <c r="H33" s="544">
        <f>IFERROR(IF(INDEX('Final Calculation Sheet'!$AC$4:$AC$40,$BA10-3)="","",INDEX('Final Calculation Sheet'!$AC$4:$AC$40,$BA10-3)),"")</f>
        <v/>
      </c>
      <c r="I33" s="545">
        <f>IFERROR(IF(INDEX('Final Calculation Sheet'!$AC$4:$AC$40,$BA11-3)="","",INDEX('Final Calculation Sheet'!$AC$4:$AC$40,$BA11-3)),"")</f>
        <v/>
      </c>
      <c r="J33" s="544">
        <f>IFERROR(IF(INDEX('Final Calculation Sheet'!$AC$4:$AC$40,$BA12-3)="","",INDEX('Final Calculation Sheet'!$AC$4:$AC$40,$BA12-3)),"")</f>
        <v/>
      </c>
      <c r="K33" s="545">
        <f>IFERROR(IF(INDEX('Final Calculation Sheet'!$AC$4:$AC$40,$BA13-3)="","",INDEX('Final Calculation Sheet'!$AC$4:$AC$40,$BA13-3)),"")</f>
        <v/>
      </c>
      <c r="L33" s="544">
        <f>IFERROR(IF(INDEX('Final Calculation Sheet'!$AC$4:$AC$40,$BA14-3)="","",INDEX('Final Calculation Sheet'!$AC$4:$AC$40,$BA14-3)),"")</f>
        <v/>
      </c>
      <c r="M33" s="545">
        <f>IFERROR(IF(INDEX('Final Calculation Sheet'!$AC$4:$AC$40,$BA15-3)="","",INDEX('Final Calculation Sheet'!$AC$4:$AC$40,$BA15-3)),"")</f>
        <v/>
      </c>
      <c r="N33" s="544">
        <f>IFERROR(IF(INDEX('Final Calculation Sheet'!$AC$4:$AC$40,$BA16-3)="","",INDEX('Final Calculation Sheet'!$AC$4:$AC$40,$BA16-3)),"")</f>
        <v/>
      </c>
      <c r="O33" s="545">
        <f>IFERROR(IF(INDEX('Final Calculation Sheet'!$AC$4:$AC$40,$BA17-3)="","",INDEX('Final Calculation Sheet'!$AC$4:$AC$40,$BA17-3)),"")</f>
        <v/>
      </c>
      <c r="P33" s="544">
        <f>IFERROR(IF(INDEX('Final Calculation Sheet'!$AC$4:$AC$40,$BA18-3)="","",INDEX('Final Calculation Sheet'!$AC$4:$AC$40,$BA18-3)),"")</f>
        <v/>
      </c>
      <c r="Q33" s="545">
        <f>IFERROR(IF(INDEX('Final Calculation Sheet'!$AC$4:$AC$40,$BA19-3)="","",INDEX('Final Calculation Sheet'!$AC$4:$AC$40,$BA19-3)),"")</f>
        <v/>
      </c>
      <c r="R33" s="544">
        <f>IFERROR(IF(INDEX('Final Calculation Sheet'!$AC$4:$AC$40,$BA20-3)="","",INDEX('Final Calculation Sheet'!$AC$4:$AC$40,$BA20-3)),"")</f>
        <v/>
      </c>
      <c r="S33" s="545">
        <f>IFERROR(IF(INDEX('Final Calculation Sheet'!$AC$4:$AC$40,$BA21-3)="","",INDEX('Final Calculation Sheet'!$AC$4:$AC$40,$BA21-3)),"")</f>
        <v/>
      </c>
      <c r="T33" s="544">
        <f>IFERROR(IF(INDEX('Final Calculation Sheet'!$AC$4:$AC$40,$BA22-3)="","",INDEX('Final Calculation Sheet'!$AC$4:$AC$40,$BA22-3)),"")</f>
        <v/>
      </c>
      <c r="U33" s="545">
        <f>IFERROR(IF(INDEX('Final Calculation Sheet'!$AC$4:$AC$40,$BA23-3)="","",INDEX('Final Calculation Sheet'!$AC$4:$AC$40,$BA23-3)),"")</f>
        <v/>
      </c>
      <c r="V33" s="544">
        <f>IFERROR(IF(INDEX('Final Calculation Sheet'!$AC$4:$AC$40,$BA24-3)="","",INDEX('Final Calculation Sheet'!$AC$4:$AC$40,$BA24-3)),"")</f>
        <v/>
      </c>
      <c r="W33" s="545">
        <f>IFERROR(IF(INDEX('Final Calculation Sheet'!$AC$4:$AC$40,$BA25-3)="","",INDEX('Final Calculation Sheet'!$AC$4:$AC$40,$BA25-3)),"")</f>
        <v/>
      </c>
      <c r="X33" s="544">
        <f>IFERROR(IF(INDEX('Final Calculation Sheet'!$AC$4:$AC$40,$BA26-3)="","",INDEX('Final Calculation Sheet'!$AC$4:$AC$40,$BA26-3)),"")</f>
        <v/>
      </c>
      <c r="Y33" s="545">
        <f>IFERROR(IF(INDEX('Final Calculation Sheet'!$AC$4:$AC$40,$BA27-3)="","",INDEX('Final Calculation Sheet'!$AC$4:$AC$40,$BA27-3)),"")</f>
        <v/>
      </c>
      <c r="Z33" s="544">
        <f>IFERROR(IF(INDEX('Final Calculation Sheet'!$AC$4:$AC$40,$BA28-3)="","",INDEX('Final Calculation Sheet'!$AC$4:$AC$40,$BA28-3)),"")</f>
        <v/>
      </c>
      <c r="AA33" s="545">
        <f>IFERROR(IF(INDEX('Final Calculation Sheet'!$AC$4:$AC$40,$BA29-3)="","",INDEX('Final Calculation Sheet'!$AC$4:$AC$40,$BA29-3)),"")</f>
        <v/>
      </c>
      <c r="AB33" s="544">
        <f>IFERROR(IF(INDEX('Final Calculation Sheet'!$AC$4:$AC$40,$BA30-3)="","",INDEX('Final Calculation Sheet'!$AC$4:$AC$40,$BA30-3)),"")</f>
        <v/>
      </c>
      <c r="AC33" s="545">
        <f>IFERROR(IF(INDEX('Final Calculation Sheet'!$AC$4:$AC$40,$BA31-3)="","",INDEX('Final Calculation Sheet'!$AC$4:$AC$40,$BA31-3)),"")</f>
        <v/>
      </c>
      <c r="AD33" s="544">
        <f>IFERROR(IF(INDEX('Final Calculation Sheet'!$AC$4:$AC$40,$BA32-3)="","",INDEX('Final Calculation Sheet'!$AC$4:$AC$40,$BA32-3)),"")</f>
        <v/>
      </c>
      <c r="AE33" s="545">
        <f>IFERROR(IF(INDEX('Final Calculation Sheet'!$AC$4:$AC$40,$BA33-3)="","",INDEX('Final Calculation Sheet'!$AC$4:$AC$40,$BA33-3)),"")</f>
        <v/>
      </c>
      <c r="AF33" s="544">
        <f>IFERROR(IF(INDEX('Final Calculation Sheet'!$AC$4:$AC$40,$BA34-3)="","",INDEX('Final Calculation Sheet'!$AC$4:$AC$40,$BA34-3)),"")</f>
        <v/>
      </c>
      <c r="AG33" s="545">
        <f>IFERROR(IF(INDEX('Final Calculation Sheet'!$AC$4:$AC$40,$BA35-3)="","",INDEX('Final Calculation Sheet'!$AC$4:$AC$40,$BA35-3)),"")</f>
        <v/>
      </c>
      <c r="AH33" s="544">
        <f>IFERROR(IF(INDEX('Final Calculation Sheet'!$AC$4:$AC$40,$BA36-3)="","",INDEX('Final Calculation Sheet'!$AC$4:$AC$40,$BA36-3)),"")</f>
        <v/>
      </c>
      <c r="AI33" s="545">
        <f>IFERROR(IF(INDEX('Final Calculation Sheet'!$AC$4:$AC$40,$BA37-3)="","",INDEX('Final Calculation Sheet'!$AC$4:$AC$40,$BA37-3)),"")</f>
        <v/>
      </c>
      <c r="AJ33" s="544">
        <f>IFERROR(IF(INDEX('Final Calculation Sheet'!$AC$4:$AC$40,$BA38-3)="","",INDEX('Final Calculation Sheet'!$AC$4:$AC$40,$BA38-3)),"")</f>
        <v/>
      </c>
      <c r="AK33" s="545">
        <f>IFERROR(IF(INDEX('Final Calculation Sheet'!$AC$4:$AC$40,$BA39-3)="","",INDEX('Final Calculation Sheet'!$AC$4:$AC$40,$BA39-3)),"")</f>
        <v/>
      </c>
      <c r="AL33" s="544">
        <f>IFERROR(IF(INDEX('Final Calculation Sheet'!$AC$4:$AC$40,$BA40-3)="","",INDEX('Final Calculation Sheet'!$AC$4:$AC$40,$BA40-3)),"")</f>
        <v/>
      </c>
      <c r="AM33" s="546">
        <f>IF(COUNT(B33:AL33)=0,"",SUM(B33:AL33))</f>
        <v/>
      </c>
      <c r="AO33" t="inlineStr">
        <is>
          <t>Outstanding</t>
        </is>
      </c>
      <c r="AW33">
        <f>IF(OR($B$3="ALL BUYERS",'Final Calculation Sheet'!$G33=$B$3),IF($D$3="— no row filter —",1,IF($F$3="is blank",IF(INDEX('Final Calculation Sheet'!$A$4:$AG$40,33-3,$AU$2)="",1,0),IF($F$3="is not blank",IF(INDEX('Final Calculation Sheet'!$A$4:$AG$40,33-3,$AU$2)="",0,1),IF($F$3="contains",IF(ISNUMBER(SEARCH($H$3,INDEX('Final Calculation Sheet'!$A$4:$AG$40,33-3,$AU$2))),1,0),IF($F$3="=",IF(INDEX('Final Calculation Sheet'!$A$4:$AG$40,33-3,$AU$2)=$H$3,1,0),IF($F$3="&lt;&gt;",IF(INDEX('Final Calculation Sheet'!$A$4:$AG$40,33-3,$AU$2)=$H$3,0,1),IF($F$3="&gt;",IF(N(INDEX('Final Calculation Sheet'!$A$4:$AG$40,33-3,$AU$2))&gt;N($H$3),1,0),IF($F$3="&gt;=",IF(N(INDEX('Final Calculation Sheet'!$A$4:$AG$40,33-3,$AU$2))&gt;=N($H$3),1,0),IF($F$3="&lt;",IF(N(INDEX('Final Calculation Sheet'!$A$4:$AG$40,33-3,$AU$2))&lt;N($H$3),1,0),IF($F$3="&lt;=",IF(N(INDEX('Final Calculation Sheet'!$A$4:$AG$40,33-3,$AU$2))&lt;=N($H$3),1,0),0)))))))))),0)</f>
        <v/>
      </c>
      <c r="AY33">
        <f>IF(AW33=1,SUM($AW$4:AW33),"")</f>
        <v/>
      </c>
      <c r="BA33">
        <f>IFERROR(MATCH(30,$AY$4:$AY$40,0)+3,"")</f>
        <v/>
      </c>
    </row>
    <row r="34" ht="15" customHeight="1">
      <c r="A34" s="543" t="inlineStr">
        <is>
          <t>Outstanding</t>
        </is>
      </c>
      <c r="B34" s="544">
        <f>IFERROR(IF(INDEX('Final Calculation Sheet'!$AD$4:$AD$40,$BA4-3)="","",INDEX('Final Calculation Sheet'!$AD$4:$AD$40,$BA4-3)),"")</f>
        <v/>
      </c>
      <c r="C34" s="545">
        <f>IFERROR(IF(INDEX('Final Calculation Sheet'!$AD$4:$AD$40,$BA5-3)="","",INDEX('Final Calculation Sheet'!$AD$4:$AD$40,$BA5-3)),"")</f>
        <v/>
      </c>
      <c r="D34" s="544">
        <f>IFERROR(IF(INDEX('Final Calculation Sheet'!$AD$4:$AD$40,$BA6-3)="","",INDEX('Final Calculation Sheet'!$AD$4:$AD$40,$BA6-3)),"")</f>
        <v/>
      </c>
      <c r="E34" s="545">
        <f>IFERROR(IF(INDEX('Final Calculation Sheet'!$AD$4:$AD$40,$BA7-3)="","",INDEX('Final Calculation Sheet'!$AD$4:$AD$40,$BA7-3)),"")</f>
        <v/>
      </c>
      <c r="F34" s="544">
        <f>IFERROR(IF(INDEX('Final Calculation Sheet'!$AD$4:$AD$40,$BA8-3)="","",INDEX('Final Calculation Sheet'!$AD$4:$AD$40,$BA8-3)),"")</f>
        <v/>
      </c>
      <c r="G34" s="545">
        <f>IFERROR(IF(INDEX('Final Calculation Sheet'!$AD$4:$AD$40,$BA9-3)="","",INDEX('Final Calculation Sheet'!$AD$4:$AD$40,$BA9-3)),"")</f>
        <v/>
      </c>
      <c r="H34" s="544">
        <f>IFERROR(IF(INDEX('Final Calculation Sheet'!$AD$4:$AD$40,$BA10-3)="","",INDEX('Final Calculation Sheet'!$AD$4:$AD$40,$BA10-3)),"")</f>
        <v/>
      </c>
      <c r="I34" s="545">
        <f>IFERROR(IF(INDEX('Final Calculation Sheet'!$AD$4:$AD$40,$BA11-3)="","",INDEX('Final Calculation Sheet'!$AD$4:$AD$40,$BA11-3)),"")</f>
        <v/>
      </c>
      <c r="J34" s="544">
        <f>IFERROR(IF(INDEX('Final Calculation Sheet'!$AD$4:$AD$40,$BA12-3)="","",INDEX('Final Calculation Sheet'!$AD$4:$AD$40,$BA12-3)),"")</f>
        <v/>
      </c>
      <c r="K34" s="545">
        <f>IFERROR(IF(INDEX('Final Calculation Sheet'!$AD$4:$AD$40,$BA13-3)="","",INDEX('Final Calculation Sheet'!$AD$4:$AD$40,$BA13-3)),"")</f>
        <v/>
      </c>
      <c r="L34" s="544">
        <f>IFERROR(IF(INDEX('Final Calculation Sheet'!$AD$4:$AD$40,$BA14-3)="","",INDEX('Final Calculation Sheet'!$AD$4:$AD$40,$BA14-3)),"")</f>
        <v/>
      </c>
      <c r="M34" s="545">
        <f>IFERROR(IF(INDEX('Final Calculation Sheet'!$AD$4:$AD$40,$BA15-3)="","",INDEX('Final Calculation Sheet'!$AD$4:$AD$40,$BA15-3)),"")</f>
        <v/>
      </c>
      <c r="N34" s="544">
        <f>IFERROR(IF(INDEX('Final Calculation Sheet'!$AD$4:$AD$40,$BA16-3)="","",INDEX('Final Calculation Sheet'!$AD$4:$AD$40,$BA16-3)),"")</f>
        <v/>
      </c>
      <c r="O34" s="545">
        <f>IFERROR(IF(INDEX('Final Calculation Sheet'!$AD$4:$AD$40,$BA17-3)="","",INDEX('Final Calculation Sheet'!$AD$4:$AD$40,$BA17-3)),"")</f>
        <v/>
      </c>
      <c r="P34" s="544">
        <f>IFERROR(IF(INDEX('Final Calculation Sheet'!$AD$4:$AD$40,$BA18-3)="","",INDEX('Final Calculation Sheet'!$AD$4:$AD$40,$BA18-3)),"")</f>
        <v/>
      </c>
      <c r="Q34" s="545">
        <f>IFERROR(IF(INDEX('Final Calculation Sheet'!$AD$4:$AD$40,$BA19-3)="","",INDEX('Final Calculation Sheet'!$AD$4:$AD$40,$BA19-3)),"")</f>
        <v/>
      </c>
      <c r="R34" s="544">
        <f>IFERROR(IF(INDEX('Final Calculation Sheet'!$AD$4:$AD$40,$BA20-3)="","",INDEX('Final Calculation Sheet'!$AD$4:$AD$40,$BA20-3)),"")</f>
        <v/>
      </c>
      <c r="S34" s="545">
        <f>IFERROR(IF(INDEX('Final Calculation Sheet'!$AD$4:$AD$40,$BA21-3)="","",INDEX('Final Calculation Sheet'!$AD$4:$AD$40,$BA21-3)),"")</f>
        <v/>
      </c>
      <c r="T34" s="544">
        <f>IFERROR(IF(INDEX('Final Calculation Sheet'!$AD$4:$AD$40,$BA22-3)="","",INDEX('Final Calculation Sheet'!$AD$4:$AD$40,$BA22-3)),"")</f>
        <v/>
      </c>
      <c r="U34" s="545">
        <f>IFERROR(IF(INDEX('Final Calculation Sheet'!$AD$4:$AD$40,$BA23-3)="","",INDEX('Final Calculation Sheet'!$AD$4:$AD$40,$BA23-3)),"")</f>
        <v/>
      </c>
      <c r="V34" s="544">
        <f>IFERROR(IF(INDEX('Final Calculation Sheet'!$AD$4:$AD$40,$BA24-3)="","",INDEX('Final Calculation Sheet'!$AD$4:$AD$40,$BA24-3)),"")</f>
        <v/>
      </c>
      <c r="W34" s="545">
        <f>IFERROR(IF(INDEX('Final Calculation Sheet'!$AD$4:$AD$40,$BA25-3)="","",INDEX('Final Calculation Sheet'!$AD$4:$AD$40,$BA25-3)),"")</f>
        <v/>
      </c>
      <c r="X34" s="544">
        <f>IFERROR(IF(INDEX('Final Calculation Sheet'!$AD$4:$AD$40,$BA26-3)="","",INDEX('Final Calculation Sheet'!$AD$4:$AD$40,$BA26-3)),"")</f>
        <v/>
      </c>
      <c r="Y34" s="545">
        <f>IFERROR(IF(INDEX('Final Calculation Sheet'!$AD$4:$AD$40,$BA27-3)="","",INDEX('Final Calculation Sheet'!$AD$4:$AD$40,$BA27-3)),"")</f>
        <v/>
      </c>
      <c r="Z34" s="544">
        <f>IFERROR(IF(INDEX('Final Calculation Sheet'!$AD$4:$AD$40,$BA28-3)="","",INDEX('Final Calculation Sheet'!$AD$4:$AD$40,$BA28-3)),"")</f>
        <v/>
      </c>
      <c r="AA34" s="545">
        <f>IFERROR(IF(INDEX('Final Calculation Sheet'!$AD$4:$AD$40,$BA29-3)="","",INDEX('Final Calculation Sheet'!$AD$4:$AD$40,$BA29-3)),"")</f>
        <v/>
      </c>
      <c r="AB34" s="544">
        <f>IFERROR(IF(INDEX('Final Calculation Sheet'!$AD$4:$AD$40,$BA30-3)="","",INDEX('Final Calculation Sheet'!$AD$4:$AD$40,$BA30-3)),"")</f>
        <v/>
      </c>
      <c r="AC34" s="545">
        <f>IFERROR(IF(INDEX('Final Calculation Sheet'!$AD$4:$AD$40,$BA31-3)="","",INDEX('Final Calculation Sheet'!$AD$4:$AD$40,$BA31-3)),"")</f>
        <v/>
      </c>
      <c r="AD34" s="544">
        <f>IFERROR(IF(INDEX('Final Calculation Sheet'!$AD$4:$AD$40,$BA32-3)="","",INDEX('Final Calculation Sheet'!$AD$4:$AD$40,$BA32-3)),"")</f>
        <v/>
      </c>
      <c r="AE34" s="545">
        <f>IFERROR(IF(INDEX('Final Calculation Sheet'!$AD$4:$AD$40,$BA33-3)="","",INDEX('Final Calculation Sheet'!$AD$4:$AD$40,$BA33-3)),"")</f>
        <v/>
      </c>
      <c r="AF34" s="544">
        <f>IFERROR(IF(INDEX('Final Calculation Sheet'!$AD$4:$AD$40,$BA34-3)="","",INDEX('Final Calculation Sheet'!$AD$4:$AD$40,$BA34-3)),"")</f>
        <v/>
      </c>
      <c r="AG34" s="545">
        <f>IFERROR(IF(INDEX('Final Calculation Sheet'!$AD$4:$AD$40,$BA35-3)="","",INDEX('Final Calculation Sheet'!$AD$4:$AD$40,$BA35-3)),"")</f>
        <v/>
      </c>
      <c r="AH34" s="544">
        <f>IFERROR(IF(INDEX('Final Calculation Sheet'!$AD$4:$AD$40,$BA36-3)="","",INDEX('Final Calculation Sheet'!$AD$4:$AD$40,$BA36-3)),"")</f>
        <v/>
      </c>
      <c r="AI34" s="545">
        <f>IFERROR(IF(INDEX('Final Calculation Sheet'!$AD$4:$AD$40,$BA37-3)="","",INDEX('Final Calculation Sheet'!$AD$4:$AD$40,$BA37-3)),"")</f>
        <v/>
      </c>
      <c r="AJ34" s="544">
        <f>IFERROR(IF(INDEX('Final Calculation Sheet'!$AD$4:$AD$40,$BA38-3)="","",INDEX('Final Calculation Sheet'!$AD$4:$AD$40,$BA38-3)),"")</f>
        <v/>
      </c>
      <c r="AK34" s="545">
        <f>IFERROR(IF(INDEX('Final Calculation Sheet'!$AD$4:$AD$40,$BA39-3)="","",INDEX('Final Calculation Sheet'!$AD$4:$AD$40,$BA39-3)),"")</f>
        <v/>
      </c>
      <c r="AL34" s="544">
        <f>IFERROR(IF(INDEX('Final Calculation Sheet'!$AD$4:$AD$40,$BA40-3)="","",INDEX('Final Calculation Sheet'!$AD$4:$AD$40,$BA40-3)),"")</f>
        <v/>
      </c>
      <c r="AM34" s="546">
        <f>IF(COUNT(B34:AL34)=0,"",SUM(B34:AL34))</f>
        <v/>
      </c>
      <c r="AO34" t="inlineStr">
        <is>
          <t>Invoice No.</t>
        </is>
      </c>
      <c r="AW34">
        <f>IF(OR($B$3="ALL BUYERS",'Final Calculation Sheet'!$G34=$B$3),IF($D$3="— no row filter —",1,IF($F$3="is blank",IF(INDEX('Final Calculation Sheet'!$A$4:$AG$40,34-3,$AU$2)="",1,0),IF($F$3="is not blank",IF(INDEX('Final Calculation Sheet'!$A$4:$AG$40,34-3,$AU$2)="",0,1),IF($F$3="contains",IF(ISNUMBER(SEARCH($H$3,INDEX('Final Calculation Sheet'!$A$4:$AG$40,34-3,$AU$2))),1,0),IF($F$3="=",IF(INDEX('Final Calculation Sheet'!$A$4:$AG$40,34-3,$AU$2)=$H$3,1,0),IF($F$3="&lt;&gt;",IF(INDEX('Final Calculation Sheet'!$A$4:$AG$40,34-3,$AU$2)=$H$3,0,1),IF($F$3="&gt;",IF(N(INDEX('Final Calculation Sheet'!$A$4:$AG$40,34-3,$AU$2))&gt;N($H$3),1,0),IF($F$3="&gt;=",IF(N(INDEX('Final Calculation Sheet'!$A$4:$AG$40,34-3,$AU$2))&gt;=N($H$3),1,0),IF($F$3="&lt;",IF(N(INDEX('Final Calculation Sheet'!$A$4:$AG$40,34-3,$AU$2))&lt;N($H$3),1,0),IF($F$3="&lt;=",IF(N(INDEX('Final Calculation Sheet'!$A$4:$AG$40,34-3,$AU$2))&lt;=N($H$3),1,0),0)))))))))),0)</f>
        <v/>
      </c>
      <c r="AY34">
        <f>IF(AW34=1,SUM($AW$4:AW34),"")</f>
        <v/>
      </c>
      <c r="BA34">
        <f>IFERROR(MATCH(31,$AY$4:$AY$40,0)+3,"")</f>
        <v/>
      </c>
    </row>
    <row r="35" ht="15" customHeight="1">
      <c r="A35" s="540" t="inlineStr">
        <is>
          <t>Invoice No.</t>
        </is>
      </c>
      <c r="B35" s="544">
        <f>IFERROR(IF(INDEX('Final Calculation Sheet'!$AE$4:$AE$40,$BA4-3)="","",INDEX('Final Calculation Sheet'!$AE$4:$AE$40,$BA4-3)),"")</f>
        <v/>
      </c>
      <c r="C35" s="545">
        <f>IFERROR(IF(INDEX('Final Calculation Sheet'!$AE$4:$AE$40,$BA5-3)="","",INDEX('Final Calculation Sheet'!$AE$4:$AE$40,$BA5-3)),"")</f>
        <v/>
      </c>
      <c r="D35" s="544">
        <f>IFERROR(IF(INDEX('Final Calculation Sheet'!$AE$4:$AE$40,$BA6-3)="","",INDEX('Final Calculation Sheet'!$AE$4:$AE$40,$BA6-3)),"")</f>
        <v/>
      </c>
      <c r="E35" s="545">
        <f>IFERROR(IF(INDEX('Final Calculation Sheet'!$AE$4:$AE$40,$BA7-3)="","",INDEX('Final Calculation Sheet'!$AE$4:$AE$40,$BA7-3)),"")</f>
        <v/>
      </c>
      <c r="F35" s="544">
        <f>IFERROR(IF(INDEX('Final Calculation Sheet'!$AE$4:$AE$40,$BA8-3)="","",INDEX('Final Calculation Sheet'!$AE$4:$AE$40,$BA8-3)),"")</f>
        <v/>
      </c>
      <c r="G35" s="545">
        <f>IFERROR(IF(INDEX('Final Calculation Sheet'!$AE$4:$AE$40,$BA9-3)="","",INDEX('Final Calculation Sheet'!$AE$4:$AE$40,$BA9-3)),"")</f>
        <v/>
      </c>
      <c r="H35" s="544">
        <f>IFERROR(IF(INDEX('Final Calculation Sheet'!$AE$4:$AE$40,$BA10-3)="","",INDEX('Final Calculation Sheet'!$AE$4:$AE$40,$BA10-3)),"")</f>
        <v/>
      </c>
      <c r="I35" s="545">
        <f>IFERROR(IF(INDEX('Final Calculation Sheet'!$AE$4:$AE$40,$BA11-3)="","",INDEX('Final Calculation Sheet'!$AE$4:$AE$40,$BA11-3)),"")</f>
        <v/>
      </c>
      <c r="J35" s="544">
        <f>IFERROR(IF(INDEX('Final Calculation Sheet'!$AE$4:$AE$40,$BA12-3)="","",INDEX('Final Calculation Sheet'!$AE$4:$AE$40,$BA12-3)),"")</f>
        <v/>
      </c>
      <c r="K35" s="545">
        <f>IFERROR(IF(INDEX('Final Calculation Sheet'!$AE$4:$AE$40,$BA13-3)="","",INDEX('Final Calculation Sheet'!$AE$4:$AE$40,$BA13-3)),"")</f>
        <v/>
      </c>
      <c r="L35" s="544">
        <f>IFERROR(IF(INDEX('Final Calculation Sheet'!$AE$4:$AE$40,$BA14-3)="","",INDEX('Final Calculation Sheet'!$AE$4:$AE$40,$BA14-3)),"")</f>
        <v/>
      </c>
      <c r="M35" s="545">
        <f>IFERROR(IF(INDEX('Final Calculation Sheet'!$AE$4:$AE$40,$BA15-3)="","",INDEX('Final Calculation Sheet'!$AE$4:$AE$40,$BA15-3)),"")</f>
        <v/>
      </c>
      <c r="N35" s="544">
        <f>IFERROR(IF(INDEX('Final Calculation Sheet'!$AE$4:$AE$40,$BA16-3)="","",INDEX('Final Calculation Sheet'!$AE$4:$AE$40,$BA16-3)),"")</f>
        <v/>
      </c>
      <c r="O35" s="545">
        <f>IFERROR(IF(INDEX('Final Calculation Sheet'!$AE$4:$AE$40,$BA17-3)="","",INDEX('Final Calculation Sheet'!$AE$4:$AE$40,$BA17-3)),"")</f>
        <v/>
      </c>
      <c r="P35" s="544">
        <f>IFERROR(IF(INDEX('Final Calculation Sheet'!$AE$4:$AE$40,$BA18-3)="","",INDEX('Final Calculation Sheet'!$AE$4:$AE$40,$BA18-3)),"")</f>
        <v/>
      </c>
      <c r="Q35" s="545">
        <f>IFERROR(IF(INDEX('Final Calculation Sheet'!$AE$4:$AE$40,$BA19-3)="","",INDEX('Final Calculation Sheet'!$AE$4:$AE$40,$BA19-3)),"")</f>
        <v/>
      </c>
      <c r="R35" s="544">
        <f>IFERROR(IF(INDEX('Final Calculation Sheet'!$AE$4:$AE$40,$BA20-3)="","",INDEX('Final Calculation Sheet'!$AE$4:$AE$40,$BA20-3)),"")</f>
        <v/>
      </c>
      <c r="S35" s="545">
        <f>IFERROR(IF(INDEX('Final Calculation Sheet'!$AE$4:$AE$40,$BA21-3)="","",INDEX('Final Calculation Sheet'!$AE$4:$AE$40,$BA21-3)),"")</f>
        <v/>
      </c>
      <c r="T35" s="544">
        <f>IFERROR(IF(INDEX('Final Calculation Sheet'!$AE$4:$AE$40,$BA22-3)="","",INDEX('Final Calculation Sheet'!$AE$4:$AE$40,$BA22-3)),"")</f>
        <v/>
      </c>
      <c r="U35" s="545">
        <f>IFERROR(IF(INDEX('Final Calculation Sheet'!$AE$4:$AE$40,$BA23-3)="","",INDEX('Final Calculation Sheet'!$AE$4:$AE$40,$BA23-3)),"")</f>
        <v/>
      </c>
      <c r="V35" s="544">
        <f>IFERROR(IF(INDEX('Final Calculation Sheet'!$AE$4:$AE$40,$BA24-3)="","",INDEX('Final Calculation Sheet'!$AE$4:$AE$40,$BA24-3)),"")</f>
        <v/>
      </c>
      <c r="W35" s="545">
        <f>IFERROR(IF(INDEX('Final Calculation Sheet'!$AE$4:$AE$40,$BA25-3)="","",INDEX('Final Calculation Sheet'!$AE$4:$AE$40,$BA25-3)),"")</f>
        <v/>
      </c>
      <c r="X35" s="544">
        <f>IFERROR(IF(INDEX('Final Calculation Sheet'!$AE$4:$AE$40,$BA26-3)="","",INDEX('Final Calculation Sheet'!$AE$4:$AE$40,$BA26-3)),"")</f>
        <v/>
      </c>
      <c r="Y35" s="545">
        <f>IFERROR(IF(INDEX('Final Calculation Sheet'!$AE$4:$AE$40,$BA27-3)="","",INDEX('Final Calculation Sheet'!$AE$4:$AE$40,$BA27-3)),"")</f>
        <v/>
      </c>
      <c r="Z35" s="544">
        <f>IFERROR(IF(INDEX('Final Calculation Sheet'!$AE$4:$AE$40,$BA28-3)="","",INDEX('Final Calculation Sheet'!$AE$4:$AE$40,$BA28-3)),"")</f>
        <v/>
      </c>
      <c r="AA35" s="545">
        <f>IFERROR(IF(INDEX('Final Calculation Sheet'!$AE$4:$AE$40,$BA29-3)="","",INDEX('Final Calculation Sheet'!$AE$4:$AE$40,$BA29-3)),"")</f>
        <v/>
      </c>
      <c r="AB35" s="544">
        <f>IFERROR(IF(INDEX('Final Calculation Sheet'!$AE$4:$AE$40,$BA30-3)="","",INDEX('Final Calculation Sheet'!$AE$4:$AE$40,$BA30-3)),"")</f>
        <v/>
      </c>
      <c r="AC35" s="545">
        <f>IFERROR(IF(INDEX('Final Calculation Sheet'!$AE$4:$AE$40,$BA31-3)="","",INDEX('Final Calculation Sheet'!$AE$4:$AE$40,$BA31-3)),"")</f>
        <v/>
      </c>
      <c r="AD35" s="544">
        <f>IFERROR(IF(INDEX('Final Calculation Sheet'!$AE$4:$AE$40,$BA32-3)="","",INDEX('Final Calculation Sheet'!$AE$4:$AE$40,$BA32-3)),"")</f>
        <v/>
      </c>
      <c r="AE35" s="545">
        <f>IFERROR(IF(INDEX('Final Calculation Sheet'!$AE$4:$AE$40,$BA33-3)="","",INDEX('Final Calculation Sheet'!$AE$4:$AE$40,$BA33-3)),"")</f>
        <v/>
      </c>
      <c r="AF35" s="544">
        <f>IFERROR(IF(INDEX('Final Calculation Sheet'!$AE$4:$AE$40,$BA34-3)="","",INDEX('Final Calculation Sheet'!$AE$4:$AE$40,$BA34-3)),"")</f>
        <v/>
      </c>
      <c r="AG35" s="545">
        <f>IFERROR(IF(INDEX('Final Calculation Sheet'!$AE$4:$AE$40,$BA35-3)="","",INDEX('Final Calculation Sheet'!$AE$4:$AE$40,$BA35-3)),"")</f>
        <v/>
      </c>
      <c r="AH35" s="544">
        <f>IFERROR(IF(INDEX('Final Calculation Sheet'!$AE$4:$AE$40,$BA36-3)="","",INDEX('Final Calculation Sheet'!$AE$4:$AE$40,$BA36-3)),"")</f>
        <v/>
      </c>
      <c r="AI35" s="545">
        <f>IFERROR(IF(INDEX('Final Calculation Sheet'!$AE$4:$AE$40,$BA37-3)="","",INDEX('Final Calculation Sheet'!$AE$4:$AE$40,$BA37-3)),"")</f>
        <v/>
      </c>
      <c r="AJ35" s="544">
        <f>IFERROR(IF(INDEX('Final Calculation Sheet'!$AE$4:$AE$40,$BA38-3)="","",INDEX('Final Calculation Sheet'!$AE$4:$AE$40,$BA38-3)),"")</f>
        <v/>
      </c>
      <c r="AK35" s="545">
        <f>IFERROR(IF(INDEX('Final Calculation Sheet'!$AE$4:$AE$40,$BA39-3)="","",INDEX('Final Calculation Sheet'!$AE$4:$AE$40,$BA39-3)),"")</f>
        <v/>
      </c>
      <c r="AL35" s="544">
        <f>IFERROR(IF(INDEX('Final Calculation Sheet'!$AE$4:$AE$40,$BA40-3)="","",INDEX('Final Calculation Sheet'!$AE$4:$AE$40,$BA40-3)),"")</f>
        <v/>
      </c>
      <c r="AM35" s="605" t="inlineStr">
        <is>
          <t>–</t>
        </is>
      </c>
      <c r="AO35" t="inlineStr">
        <is>
          <t>SAP Document</t>
        </is>
      </c>
      <c r="AW35">
        <f>IF(OR($B$3="ALL BUYERS",'Final Calculation Sheet'!$G35=$B$3),IF($D$3="— no row filter —",1,IF($F$3="is blank",IF(INDEX('Final Calculation Sheet'!$A$4:$AG$40,35-3,$AU$2)="",1,0),IF($F$3="is not blank",IF(INDEX('Final Calculation Sheet'!$A$4:$AG$40,35-3,$AU$2)="",0,1),IF($F$3="contains",IF(ISNUMBER(SEARCH($H$3,INDEX('Final Calculation Sheet'!$A$4:$AG$40,35-3,$AU$2))),1,0),IF($F$3="=",IF(INDEX('Final Calculation Sheet'!$A$4:$AG$40,35-3,$AU$2)=$H$3,1,0),IF($F$3="&lt;&gt;",IF(INDEX('Final Calculation Sheet'!$A$4:$AG$40,35-3,$AU$2)=$H$3,0,1),IF($F$3="&gt;",IF(N(INDEX('Final Calculation Sheet'!$A$4:$AG$40,35-3,$AU$2))&gt;N($H$3),1,0),IF($F$3="&gt;=",IF(N(INDEX('Final Calculation Sheet'!$A$4:$AG$40,35-3,$AU$2))&gt;=N($H$3),1,0),IF($F$3="&lt;",IF(N(INDEX('Final Calculation Sheet'!$A$4:$AG$40,35-3,$AU$2))&lt;N($H$3),1,0),IF($F$3="&lt;=",IF(N(INDEX('Final Calculation Sheet'!$A$4:$AG$40,35-3,$AU$2))&lt;=N($H$3),1,0),0)))))))))),0)</f>
        <v/>
      </c>
      <c r="AY35">
        <f>IF(AW35=1,SUM($AW$4:AW35),"")</f>
        <v/>
      </c>
      <c r="BA35">
        <f>IFERROR(MATCH(32,$AY$4:$AY$40,0)+3,"")</f>
        <v/>
      </c>
    </row>
    <row r="36" ht="15" customHeight="1">
      <c r="A36" s="543" t="inlineStr">
        <is>
          <t>SAP Document</t>
        </is>
      </c>
      <c r="B36" s="555">
        <f>IFERROR(IF(INDEX('Final Calculation Sheet'!$AF$4:$AF$40,$BA4-3)="","",INDEX('Final Calculation Sheet'!$AF$4:$AF$40,$BA4-3)),"")</f>
        <v/>
      </c>
      <c r="C36" s="556">
        <f>IFERROR(IF(INDEX('Final Calculation Sheet'!$AF$4:$AF$40,$BA5-3)="","",INDEX('Final Calculation Sheet'!$AF$4:$AF$40,$BA5-3)),"")</f>
        <v/>
      </c>
      <c r="D36" s="555">
        <f>IFERROR(IF(INDEX('Final Calculation Sheet'!$AF$4:$AF$40,$BA6-3)="","",INDEX('Final Calculation Sheet'!$AF$4:$AF$40,$BA6-3)),"")</f>
        <v/>
      </c>
      <c r="E36" s="556">
        <f>IFERROR(IF(INDEX('Final Calculation Sheet'!$AF$4:$AF$40,$BA7-3)="","",INDEX('Final Calculation Sheet'!$AF$4:$AF$40,$BA7-3)),"")</f>
        <v/>
      </c>
      <c r="F36" s="555">
        <f>IFERROR(IF(INDEX('Final Calculation Sheet'!$AF$4:$AF$40,$BA8-3)="","",INDEX('Final Calculation Sheet'!$AF$4:$AF$40,$BA8-3)),"")</f>
        <v/>
      </c>
      <c r="G36" s="556">
        <f>IFERROR(IF(INDEX('Final Calculation Sheet'!$AF$4:$AF$40,$BA9-3)="","",INDEX('Final Calculation Sheet'!$AF$4:$AF$40,$BA9-3)),"")</f>
        <v/>
      </c>
      <c r="H36" s="555">
        <f>IFERROR(IF(INDEX('Final Calculation Sheet'!$AF$4:$AF$40,$BA10-3)="","",INDEX('Final Calculation Sheet'!$AF$4:$AF$40,$BA10-3)),"")</f>
        <v/>
      </c>
      <c r="I36" s="556">
        <f>IFERROR(IF(INDEX('Final Calculation Sheet'!$AF$4:$AF$40,$BA11-3)="","",INDEX('Final Calculation Sheet'!$AF$4:$AF$40,$BA11-3)),"")</f>
        <v/>
      </c>
      <c r="J36" s="555">
        <f>IFERROR(IF(INDEX('Final Calculation Sheet'!$AF$4:$AF$40,$BA12-3)="","",INDEX('Final Calculation Sheet'!$AF$4:$AF$40,$BA12-3)),"")</f>
        <v/>
      </c>
      <c r="K36" s="556">
        <f>IFERROR(IF(INDEX('Final Calculation Sheet'!$AF$4:$AF$40,$BA13-3)="","",INDEX('Final Calculation Sheet'!$AF$4:$AF$40,$BA13-3)),"")</f>
        <v/>
      </c>
      <c r="L36" s="555">
        <f>IFERROR(IF(INDEX('Final Calculation Sheet'!$AF$4:$AF$40,$BA14-3)="","",INDEX('Final Calculation Sheet'!$AF$4:$AF$40,$BA14-3)),"")</f>
        <v/>
      </c>
      <c r="M36" s="556">
        <f>IFERROR(IF(INDEX('Final Calculation Sheet'!$AF$4:$AF$40,$BA15-3)="","",INDEX('Final Calculation Sheet'!$AF$4:$AF$40,$BA15-3)),"")</f>
        <v/>
      </c>
      <c r="N36" s="555">
        <f>IFERROR(IF(INDEX('Final Calculation Sheet'!$AF$4:$AF$40,$BA16-3)="","",INDEX('Final Calculation Sheet'!$AF$4:$AF$40,$BA16-3)),"")</f>
        <v/>
      </c>
      <c r="O36" s="556">
        <f>IFERROR(IF(INDEX('Final Calculation Sheet'!$AF$4:$AF$40,$BA17-3)="","",INDEX('Final Calculation Sheet'!$AF$4:$AF$40,$BA17-3)),"")</f>
        <v/>
      </c>
      <c r="P36" s="555">
        <f>IFERROR(IF(INDEX('Final Calculation Sheet'!$AF$4:$AF$40,$BA18-3)="","",INDEX('Final Calculation Sheet'!$AF$4:$AF$40,$BA18-3)),"")</f>
        <v/>
      </c>
      <c r="Q36" s="556">
        <f>IFERROR(IF(INDEX('Final Calculation Sheet'!$AF$4:$AF$40,$BA19-3)="","",INDEX('Final Calculation Sheet'!$AF$4:$AF$40,$BA19-3)),"")</f>
        <v/>
      </c>
      <c r="R36" s="555">
        <f>IFERROR(IF(INDEX('Final Calculation Sheet'!$AF$4:$AF$40,$BA20-3)="","",INDEX('Final Calculation Sheet'!$AF$4:$AF$40,$BA20-3)),"")</f>
        <v/>
      </c>
      <c r="S36" s="556">
        <f>IFERROR(IF(INDEX('Final Calculation Sheet'!$AF$4:$AF$40,$BA21-3)="","",INDEX('Final Calculation Sheet'!$AF$4:$AF$40,$BA21-3)),"")</f>
        <v/>
      </c>
      <c r="T36" s="555">
        <f>IFERROR(IF(INDEX('Final Calculation Sheet'!$AF$4:$AF$40,$BA22-3)="","",INDEX('Final Calculation Sheet'!$AF$4:$AF$40,$BA22-3)),"")</f>
        <v/>
      </c>
      <c r="U36" s="556">
        <f>IFERROR(IF(INDEX('Final Calculation Sheet'!$AF$4:$AF$40,$BA23-3)="","",INDEX('Final Calculation Sheet'!$AF$4:$AF$40,$BA23-3)),"")</f>
        <v/>
      </c>
      <c r="V36" s="555">
        <f>IFERROR(IF(INDEX('Final Calculation Sheet'!$AF$4:$AF$40,$BA24-3)="","",INDEX('Final Calculation Sheet'!$AF$4:$AF$40,$BA24-3)),"")</f>
        <v/>
      </c>
      <c r="W36" s="556">
        <f>IFERROR(IF(INDEX('Final Calculation Sheet'!$AF$4:$AF$40,$BA25-3)="","",INDEX('Final Calculation Sheet'!$AF$4:$AF$40,$BA25-3)),"")</f>
        <v/>
      </c>
      <c r="X36" s="555">
        <f>IFERROR(IF(INDEX('Final Calculation Sheet'!$AF$4:$AF$40,$BA26-3)="","",INDEX('Final Calculation Sheet'!$AF$4:$AF$40,$BA26-3)),"")</f>
        <v/>
      </c>
      <c r="Y36" s="556">
        <f>IFERROR(IF(INDEX('Final Calculation Sheet'!$AF$4:$AF$40,$BA27-3)="","",INDEX('Final Calculation Sheet'!$AF$4:$AF$40,$BA27-3)),"")</f>
        <v/>
      </c>
      <c r="Z36" s="555">
        <f>IFERROR(IF(INDEX('Final Calculation Sheet'!$AF$4:$AF$40,$BA28-3)="","",INDEX('Final Calculation Sheet'!$AF$4:$AF$40,$BA28-3)),"")</f>
        <v/>
      </c>
      <c r="AA36" s="556">
        <f>IFERROR(IF(INDEX('Final Calculation Sheet'!$AF$4:$AF$40,$BA29-3)="","",INDEX('Final Calculation Sheet'!$AF$4:$AF$40,$BA29-3)),"")</f>
        <v/>
      </c>
      <c r="AB36" s="555">
        <f>IFERROR(IF(INDEX('Final Calculation Sheet'!$AF$4:$AF$40,$BA30-3)="","",INDEX('Final Calculation Sheet'!$AF$4:$AF$40,$BA30-3)),"")</f>
        <v/>
      </c>
      <c r="AC36" s="556">
        <f>IFERROR(IF(INDEX('Final Calculation Sheet'!$AF$4:$AF$40,$BA31-3)="","",INDEX('Final Calculation Sheet'!$AF$4:$AF$40,$BA31-3)),"")</f>
        <v/>
      </c>
      <c r="AD36" s="555">
        <f>IFERROR(IF(INDEX('Final Calculation Sheet'!$AF$4:$AF$40,$BA32-3)="","",INDEX('Final Calculation Sheet'!$AF$4:$AF$40,$BA32-3)),"")</f>
        <v/>
      </c>
      <c r="AE36" s="556">
        <f>IFERROR(IF(INDEX('Final Calculation Sheet'!$AF$4:$AF$40,$BA33-3)="","",INDEX('Final Calculation Sheet'!$AF$4:$AF$40,$BA33-3)),"")</f>
        <v/>
      </c>
      <c r="AF36" s="555">
        <f>IFERROR(IF(INDEX('Final Calculation Sheet'!$AF$4:$AF$40,$BA34-3)="","",INDEX('Final Calculation Sheet'!$AF$4:$AF$40,$BA34-3)),"")</f>
        <v/>
      </c>
      <c r="AG36" s="556">
        <f>IFERROR(IF(INDEX('Final Calculation Sheet'!$AF$4:$AF$40,$BA35-3)="","",INDEX('Final Calculation Sheet'!$AF$4:$AF$40,$BA35-3)),"")</f>
        <v/>
      </c>
      <c r="AH36" s="555">
        <f>IFERROR(IF(INDEX('Final Calculation Sheet'!$AF$4:$AF$40,$BA36-3)="","",INDEX('Final Calculation Sheet'!$AF$4:$AF$40,$BA36-3)),"")</f>
        <v/>
      </c>
      <c r="AI36" s="556">
        <f>IFERROR(IF(INDEX('Final Calculation Sheet'!$AF$4:$AF$40,$BA37-3)="","",INDEX('Final Calculation Sheet'!$AF$4:$AF$40,$BA37-3)),"")</f>
        <v/>
      </c>
      <c r="AJ36" s="555">
        <f>IFERROR(IF(INDEX('Final Calculation Sheet'!$AF$4:$AF$40,$BA38-3)="","",INDEX('Final Calculation Sheet'!$AF$4:$AF$40,$BA38-3)),"")</f>
        <v/>
      </c>
      <c r="AK36" s="556">
        <f>IFERROR(IF(INDEX('Final Calculation Sheet'!$AF$4:$AF$40,$BA39-3)="","",INDEX('Final Calculation Sheet'!$AF$4:$AF$40,$BA39-3)),"")</f>
        <v/>
      </c>
      <c r="AL36" s="555">
        <f>IFERROR(IF(INDEX('Final Calculation Sheet'!$AF$4:$AF$40,$BA40-3)="","",INDEX('Final Calculation Sheet'!$AF$4:$AF$40,$BA40-3)),"")</f>
        <v/>
      </c>
      <c r="AM36" s="605" t="inlineStr">
        <is>
          <t>–</t>
        </is>
      </c>
      <c r="AO36" t="inlineStr">
        <is>
          <t>Doc./Invoice Date</t>
        </is>
      </c>
      <c r="AW36">
        <f>IF(OR($B$3="ALL BUYERS",'Final Calculation Sheet'!$G36=$B$3),IF($D$3="— no row filter —",1,IF($F$3="is blank",IF(INDEX('Final Calculation Sheet'!$A$4:$AG$40,36-3,$AU$2)="",1,0),IF($F$3="is not blank",IF(INDEX('Final Calculation Sheet'!$A$4:$AG$40,36-3,$AU$2)="",0,1),IF($F$3="contains",IF(ISNUMBER(SEARCH($H$3,INDEX('Final Calculation Sheet'!$A$4:$AG$40,36-3,$AU$2))),1,0),IF($F$3="=",IF(INDEX('Final Calculation Sheet'!$A$4:$AG$40,36-3,$AU$2)=$H$3,1,0),IF($F$3="&lt;&gt;",IF(INDEX('Final Calculation Sheet'!$A$4:$AG$40,36-3,$AU$2)=$H$3,0,1),IF($F$3="&gt;",IF(N(INDEX('Final Calculation Sheet'!$A$4:$AG$40,36-3,$AU$2))&gt;N($H$3),1,0),IF($F$3="&gt;=",IF(N(INDEX('Final Calculation Sheet'!$A$4:$AG$40,36-3,$AU$2))&gt;=N($H$3),1,0),IF($F$3="&lt;",IF(N(INDEX('Final Calculation Sheet'!$A$4:$AG$40,36-3,$AU$2))&lt;N($H$3),1,0),IF($F$3="&lt;=",IF(N(INDEX('Final Calculation Sheet'!$A$4:$AG$40,36-3,$AU$2))&lt;=N($H$3),1,0),0)))))))))),0)</f>
        <v/>
      </c>
      <c r="AY36">
        <f>IF(AW36=1,SUM($AW$4:AW36),"")</f>
        <v/>
      </c>
      <c r="BA36">
        <f>IFERROR(MATCH(33,$AY$4:$AY$40,0)+3,"")</f>
        <v/>
      </c>
    </row>
    <row r="37" ht="15" customHeight="1">
      <c r="A37" s="540" t="inlineStr">
        <is>
          <t>Doc./Invoice Date</t>
        </is>
      </c>
      <c r="B37" s="544">
        <f>IFERROR(IF(INDEX('Final Calculation Sheet'!$AG$4:$AG$40,$BA4-3)="","",INDEX('Final Calculation Sheet'!$AG$4:$AG$40,$BA4-3)),"")</f>
        <v/>
      </c>
      <c r="C37" s="545">
        <f>IFERROR(IF(INDEX('Final Calculation Sheet'!$AG$4:$AG$40,$BA5-3)="","",INDEX('Final Calculation Sheet'!$AG$4:$AG$40,$BA5-3)),"")</f>
        <v/>
      </c>
      <c r="D37" s="544">
        <f>IFERROR(IF(INDEX('Final Calculation Sheet'!$AG$4:$AG$40,$BA6-3)="","",INDEX('Final Calculation Sheet'!$AG$4:$AG$40,$BA6-3)),"")</f>
        <v/>
      </c>
      <c r="E37" s="545">
        <f>IFERROR(IF(INDEX('Final Calculation Sheet'!$AG$4:$AG$40,$BA7-3)="","",INDEX('Final Calculation Sheet'!$AG$4:$AG$40,$BA7-3)),"")</f>
        <v/>
      </c>
      <c r="F37" s="544">
        <f>IFERROR(IF(INDEX('Final Calculation Sheet'!$AG$4:$AG$40,$BA8-3)="","",INDEX('Final Calculation Sheet'!$AG$4:$AG$40,$BA8-3)),"")</f>
        <v/>
      </c>
      <c r="G37" s="545">
        <f>IFERROR(IF(INDEX('Final Calculation Sheet'!$AG$4:$AG$40,$BA9-3)="","",INDEX('Final Calculation Sheet'!$AG$4:$AG$40,$BA9-3)),"")</f>
        <v/>
      </c>
      <c r="H37" s="544">
        <f>IFERROR(IF(INDEX('Final Calculation Sheet'!$AG$4:$AG$40,$BA10-3)="","",INDEX('Final Calculation Sheet'!$AG$4:$AG$40,$BA10-3)),"")</f>
        <v/>
      </c>
      <c r="I37" s="545">
        <f>IFERROR(IF(INDEX('Final Calculation Sheet'!$AG$4:$AG$40,$BA11-3)="","",INDEX('Final Calculation Sheet'!$AG$4:$AG$40,$BA11-3)),"")</f>
        <v/>
      </c>
      <c r="J37" s="544">
        <f>IFERROR(IF(INDEX('Final Calculation Sheet'!$AG$4:$AG$40,$BA12-3)="","",INDEX('Final Calculation Sheet'!$AG$4:$AG$40,$BA12-3)),"")</f>
        <v/>
      </c>
      <c r="K37" s="545">
        <f>IFERROR(IF(INDEX('Final Calculation Sheet'!$AG$4:$AG$40,$BA13-3)="","",INDEX('Final Calculation Sheet'!$AG$4:$AG$40,$BA13-3)),"")</f>
        <v/>
      </c>
      <c r="L37" s="544">
        <f>IFERROR(IF(INDEX('Final Calculation Sheet'!$AG$4:$AG$40,$BA14-3)="","",INDEX('Final Calculation Sheet'!$AG$4:$AG$40,$BA14-3)),"")</f>
        <v/>
      </c>
      <c r="M37" s="545">
        <f>IFERROR(IF(INDEX('Final Calculation Sheet'!$AG$4:$AG$40,$BA15-3)="","",INDEX('Final Calculation Sheet'!$AG$4:$AG$40,$BA15-3)),"")</f>
        <v/>
      </c>
      <c r="N37" s="544">
        <f>IFERROR(IF(INDEX('Final Calculation Sheet'!$AG$4:$AG$40,$BA16-3)="","",INDEX('Final Calculation Sheet'!$AG$4:$AG$40,$BA16-3)),"")</f>
        <v/>
      </c>
      <c r="O37" s="545">
        <f>IFERROR(IF(INDEX('Final Calculation Sheet'!$AG$4:$AG$40,$BA17-3)="","",INDEX('Final Calculation Sheet'!$AG$4:$AG$40,$BA17-3)),"")</f>
        <v/>
      </c>
      <c r="P37" s="544">
        <f>IFERROR(IF(INDEX('Final Calculation Sheet'!$AG$4:$AG$40,$BA18-3)="","",INDEX('Final Calculation Sheet'!$AG$4:$AG$40,$BA18-3)),"")</f>
        <v/>
      </c>
      <c r="Q37" s="545">
        <f>IFERROR(IF(INDEX('Final Calculation Sheet'!$AG$4:$AG$40,$BA19-3)="","",INDEX('Final Calculation Sheet'!$AG$4:$AG$40,$BA19-3)),"")</f>
        <v/>
      </c>
      <c r="R37" s="544">
        <f>IFERROR(IF(INDEX('Final Calculation Sheet'!$AG$4:$AG$40,$BA20-3)="","",INDEX('Final Calculation Sheet'!$AG$4:$AG$40,$BA20-3)),"")</f>
        <v/>
      </c>
      <c r="S37" s="545">
        <f>IFERROR(IF(INDEX('Final Calculation Sheet'!$AG$4:$AG$40,$BA21-3)="","",INDEX('Final Calculation Sheet'!$AG$4:$AG$40,$BA21-3)),"")</f>
        <v/>
      </c>
      <c r="T37" s="544">
        <f>IFERROR(IF(INDEX('Final Calculation Sheet'!$AG$4:$AG$40,$BA22-3)="","",INDEX('Final Calculation Sheet'!$AG$4:$AG$40,$BA22-3)),"")</f>
        <v/>
      </c>
      <c r="U37" s="545">
        <f>IFERROR(IF(INDEX('Final Calculation Sheet'!$AG$4:$AG$40,$BA23-3)="","",INDEX('Final Calculation Sheet'!$AG$4:$AG$40,$BA23-3)),"")</f>
        <v/>
      </c>
      <c r="V37" s="544">
        <f>IFERROR(IF(INDEX('Final Calculation Sheet'!$AG$4:$AG$40,$BA24-3)="","",INDEX('Final Calculation Sheet'!$AG$4:$AG$40,$BA24-3)),"")</f>
        <v/>
      </c>
      <c r="W37" s="545">
        <f>IFERROR(IF(INDEX('Final Calculation Sheet'!$AG$4:$AG$40,$BA25-3)="","",INDEX('Final Calculation Sheet'!$AG$4:$AG$40,$BA25-3)),"")</f>
        <v/>
      </c>
      <c r="X37" s="544">
        <f>IFERROR(IF(INDEX('Final Calculation Sheet'!$AG$4:$AG$40,$BA26-3)="","",INDEX('Final Calculation Sheet'!$AG$4:$AG$40,$BA26-3)),"")</f>
        <v/>
      </c>
      <c r="Y37" s="545">
        <f>IFERROR(IF(INDEX('Final Calculation Sheet'!$AG$4:$AG$40,$BA27-3)="","",INDEX('Final Calculation Sheet'!$AG$4:$AG$40,$BA27-3)),"")</f>
        <v/>
      </c>
      <c r="Z37" s="544">
        <f>IFERROR(IF(INDEX('Final Calculation Sheet'!$AG$4:$AG$40,$BA28-3)="","",INDEX('Final Calculation Sheet'!$AG$4:$AG$40,$BA28-3)),"")</f>
        <v/>
      </c>
      <c r="AA37" s="545">
        <f>IFERROR(IF(INDEX('Final Calculation Sheet'!$AG$4:$AG$40,$BA29-3)="","",INDEX('Final Calculation Sheet'!$AG$4:$AG$40,$BA29-3)),"")</f>
        <v/>
      </c>
      <c r="AB37" s="544">
        <f>IFERROR(IF(INDEX('Final Calculation Sheet'!$AG$4:$AG$40,$BA30-3)="","",INDEX('Final Calculation Sheet'!$AG$4:$AG$40,$BA30-3)),"")</f>
        <v/>
      </c>
      <c r="AC37" s="545">
        <f>IFERROR(IF(INDEX('Final Calculation Sheet'!$AG$4:$AG$40,$BA31-3)="","",INDEX('Final Calculation Sheet'!$AG$4:$AG$40,$BA31-3)),"")</f>
        <v/>
      </c>
      <c r="AD37" s="544">
        <f>IFERROR(IF(INDEX('Final Calculation Sheet'!$AG$4:$AG$40,$BA32-3)="","",INDEX('Final Calculation Sheet'!$AG$4:$AG$40,$BA32-3)),"")</f>
        <v/>
      </c>
      <c r="AE37" s="545">
        <f>IFERROR(IF(INDEX('Final Calculation Sheet'!$AG$4:$AG$40,$BA33-3)="","",INDEX('Final Calculation Sheet'!$AG$4:$AG$40,$BA33-3)),"")</f>
        <v/>
      </c>
      <c r="AF37" s="544">
        <f>IFERROR(IF(INDEX('Final Calculation Sheet'!$AG$4:$AG$40,$BA34-3)="","",INDEX('Final Calculation Sheet'!$AG$4:$AG$40,$BA34-3)),"")</f>
        <v/>
      </c>
      <c r="AG37" s="545">
        <f>IFERROR(IF(INDEX('Final Calculation Sheet'!$AG$4:$AG$40,$BA35-3)="","",INDEX('Final Calculation Sheet'!$AG$4:$AG$40,$BA35-3)),"")</f>
        <v/>
      </c>
      <c r="AH37" s="544">
        <f>IFERROR(IF(INDEX('Final Calculation Sheet'!$AG$4:$AG$40,$BA36-3)="","",INDEX('Final Calculation Sheet'!$AG$4:$AG$40,$BA36-3)),"")</f>
        <v/>
      </c>
      <c r="AI37" s="545">
        <f>IFERROR(IF(INDEX('Final Calculation Sheet'!$AG$4:$AG$40,$BA37-3)="","",INDEX('Final Calculation Sheet'!$AG$4:$AG$40,$BA37-3)),"")</f>
        <v/>
      </c>
      <c r="AJ37" s="544">
        <f>IFERROR(IF(INDEX('Final Calculation Sheet'!$AG$4:$AG$40,$BA38-3)="","",INDEX('Final Calculation Sheet'!$AG$4:$AG$40,$BA38-3)),"")</f>
        <v/>
      </c>
      <c r="AK37" s="545">
        <f>IFERROR(IF(INDEX('Final Calculation Sheet'!$AG$4:$AG$40,$BA39-3)="","",INDEX('Final Calculation Sheet'!$AG$4:$AG$40,$BA39-3)),"")</f>
        <v/>
      </c>
      <c r="AL37" s="544">
        <f>IFERROR(IF(INDEX('Final Calculation Sheet'!$AG$4:$AG$40,$BA40-3)="","",INDEX('Final Calculation Sheet'!$AG$4:$AG$40,$BA40-3)),"")</f>
        <v/>
      </c>
      <c r="AM37" s="605" t="inlineStr">
        <is>
          <t>–</t>
        </is>
      </c>
      <c r="AW37">
        <f>IF(OR($B$3="ALL BUYERS",'Final Calculation Sheet'!$G37=$B$3),IF($D$3="— no row filter —",1,IF($F$3="is blank",IF(INDEX('Final Calculation Sheet'!$A$4:$AG$40,37-3,$AU$2)="",1,0),IF($F$3="is not blank",IF(INDEX('Final Calculation Sheet'!$A$4:$AG$40,37-3,$AU$2)="",0,1),IF($F$3="contains",IF(ISNUMBER(SEARCH($H$3,INDEX('Final Calculation Sheet'!$A$4:$AG$40,37-3,$AU$2))),1,0),IF($F$3="=",IF(INDEX('Final Calculation Sheet'!$A$4:$AG$40,37-3,$AU$2)=$H$3,1,0),IF($F$3="&lt;&gt;",IF(INDEX('Final Calculation Sheet'!$A$4:$AG$40,37-3,$AU$2)=$H$3,0,1),IF($F$3="&gt;",IF(N(INDEX('Final Calculation Sheet'!$A$4:$AG$40,37-3,$AU$2))&gt;N($H$3),1,0),IF($F$3="&gt;=",IF(N(INDEX('Final Calculation Sheet'!$A$4:$AG$40,37-3,$AU$2))&gt;=N($H$3),1,0),IF($F$3="&lt;",IF(N(INDEX('Final Calculation Sheet'!$A$4:$AG$40,37-3,$AU$2))&lt;N($H$3),1,0),IF($F$3="&lt;=",IF(N(INDEX('Final Calculation Sheet'!$A$4:$AG$40,37-3,$AU$2))&lt;=N($H$3),1,0),0)))))))))),0)</f>
        <v/>
      </c>
      <c r="AY37">
        <f>IF(AW37=1,SUM($AW$4:AW37),"")</f>
        <v/>
      </c>
      <c r="BA37">
        <f>IFERROR(MATCH(34,$AY$4:$AY$40,0)+3,"")</f>
        <v/>
      </c>
    </row>
    <row r="38">
      <c r="AW38">
        <f>IF(OR($B$3="ALL BUYERS",'Final Calculation Sheet'!$G38=$B$3),IF($D$3="— no row filter —",1,IF($F$3="is blank",IF(INDEX('Final Calculation Sheet'!$A$4:$AG$40,38-3,$AU$2)="",1,0),IF($F$3="is not blank",IF(INDEX('Final Calculation Sheet'!$A$4:$AG$40,38-3,$AU$2)="",0,1),IF($F$3="contains",IF(ISNUMBER(SEARCH($H$3,INDEX('Final Calculation Sheet'!$A$4:$AG$40,38-3,$AU$2))),1,0),IF($F$3="=",IF(INDEX('Final Calculation Sheet'!$A$4:$AG$40,38-3,$AU$2)=$H$3,1,0),IF($F$3="&lt;&gt;",IF(INDEX('Final Calculation Sheet'!$A$4:$AG$40,38-3,$AU$2)=$H$3,0,1),IF($F$3="&gt;",IF(N(INDEX('Final Calculation Sheet'!$A$4:$AG$40,38-3,$AU$2))&gt;N($H$3),1,0),IF($F$3="&gt;=",IF(N(INDEX('Final Calculation Sheet'!$A$4:$AG$40,38-3,$AU$2))&gt;=N($H$3),1,0),IF($F$3="&lt;",IF(N(INDEX('Final Calculation Sheet'!$A$4:$AG$40,38-3,$AU$2))&lt;N($H$3),1,0),IF($F$3="&lt;=",IF(N(INDEX('Final Calculation Sheet'!$A$4:$AG$40,38-3,$AU$2))&lt;=N($H$3),1,0),0)))))))))),0)</f>
        <v/>
      </c>
      <c r="AY38">
        <f>IF(AW38=1,SUM($AW$4:AW38),"")</f>
        <v/>
      </c>
      <c r="BA38">
        <f>IFERROR(MATCH(35,$AY$4:$AY$40,0)+3,"")</f>
        <v/>
      </c>
    </row>
    <row r="39">
      <c r="AW39">
        <f>IF(OR($B$3="ALL BUYERS",'Final Calculation Sheet'!$G39=$B$3),IF($D$3="— no row filter —",1,IF($F$3="is blank",IF(INDEX('Final Calculation Sheet'!$A$4:$AG$40,39-3,$AU$2)="",1,0),IF($F$3="is not blank",IF(INDEX('Final Calculation Sheet'!$A$4:$AG$40,39-3,$AU$2)="",0,1),IF($F$3="contains",IF(ISNUMBER(SEARCH($H$3,INDEX('Final Calculation Sheet'!$A$4:$AG$40,39-3,$AU$2))),1,0),IF($F$3="=",IF(INDEX('Final Calculation Sheet'!$A$4:$AG$40,39-3,$AU$2)=$H$3,1,0),IF($F$3="&lt;&gt;",IF(INDEX('Final Calculation Sheet'!$A$4:$AG$40,39-3,$AU$2)=$H$3,0,1),IF($F$3="&gt;",IF(N(INDEX('Final Calculation Sheet'!$A$4:$AG$40,39-3,$AU$2))&gt;N($H$3),1,0),IF($F$3="&gt;=",IF(N(INDEX('Final Calculation Sheet'!$A$4:$AG$40,39-3,$AU$2))&gt;=N($H$3),1,0),IF($F$3="&lt;",IF(N(INDEX('Final Calculation Sheet'!$A$4:$AG$40,39-3,$AU$2))&lt;N($H$3),1,0),IF($F$3="&lt;=",IF(N(INDEX('Final Calculation Sheet'!$A$4:$AG$40,39-3,$AU$2))&lt;=N($H$3),1,0),0)))))))))),0)</f>
        <v/>
      </c>
      <c r="AY39">
        <f>IF(AW39=1,SUM($AW$4:AW39),"")</f>
        <v/>
      </c>
      <c r="BA39">
        <f>IFERROR(MATCH(36,$AY$4:$AY$40,0)+3,"")</f>
        <v/>
      </c>
    </row>
    <row r="40">
      <c r="AW40">
        <f>IF(OR($B$3="ALL BUYERS",'Final Calculation Sheet'!$G40=$B$3),IF($D$3="— no row filter —",1,IF($F$3="is blank",IF(INDEX('Final Calculation Sheet'!$A$4:$AG$40,40-3,$AU$2)="",1,0),IF($F$3="is not blank",IF(INDEX('Final Calculation Sheet'!$A$4:$AG$40,40-3,$AU$2)="",0,1),IF($F$3="contains",IF(ISNUMBER(SEARCH($H$3,INDEX('Final Calculation Sheet'!$A$4:$AG$40,40-3,$AU$2))),1,0),IF($F$3="=",IF(INDEX('Final Calculation Sheet'!$A$4:$AG$40,40-3,$AU$2)=$H$3,1,0),IF($F$3="&lt;&gt;",IF(INDEX('Final Calculation Sheet'!$A$4:$AG$40,40-3,$AU$2)=$H$3,0,1),IF($F$3="&gt;",IF(N(INDEX('Final Calculation Sheet'!$A$4:$AG$40,40-3,$AU$2))&gt;N($H$3),1,0),IF($F$3="&gt;=",IF(N(INDEX('Final Calculation Sheet'!$A$4:$AG$40,40-3,$AU$2))&gt;=N($H$3),1,0),IF($F$3="&lt;",IF(N(INDEX('Final Calculation Sheet'!$A$4:$AG$40,40-3,$AU$2))&lt;N($H$3),1,0),IF($F$3="&lt;=",IF(N(INDEX('Final Calculation Sheet'!$A$4:$AG$40,40-3,$AU$2))&lt;=N($H$3),1,0),0)))))))))),0)</f>
        <v/>
      </c>
      <c r="AY40">
        <f>IF(AW40=1,SUM($AW$4:AW40),"")</f>
        <v/>
      </c>
      <c r="BA40">
        <f>IFERROR(MATCH(37,$AY$4:$AY$40,0)+3,"")</f>
        <v/>
      </c>
    </row>
  </sheetData>
  <autoFilter ref="A4:A37"/>
  <mergeCells count="3">
    <mergeCell ref="A2:AM2"/>
    <mergeCell ref="A1:AM1"/>
    <mergeCell ref="I3:AM3"/>
  </mergeCells>
  <conditionalFormatting sqref="B34:AL34">
    <cfRule type="cellIs" priority="1" operator="greaterThan" dxfId="1">
      <formula>0</formula>
    </cfRule>
  </conditionalFormatting>
  <dataValidations count="3">
    <dataValidation sqref="B3" showDropDown="0" showInputMessage="0" showErrorMessage="0" allowBlank="1" type="list">
      <formula1>$AQ$4:$AQ$17</formula1>
    </dataValidation>
    <dataValidation sqref="D3" showDropDown="0" showInputMessage="0" showErrorMessage="0" allowBlank="1" type="list">
      <formula1>$AO$4:$AO$36</formula1>
    </dataValidation>
    <dataValidation sqref="F3" showDropDown="0" showInputMessage="0" showErrorMessage="0" allowBlank="1" type="list">
      <formula1>$AS$4:$AS$12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7030A0"/>
    <outlinePr summaryBelow="0" summaryRight="1"/>
    <pageSetUpPr fitToPage="1"/>
  </sheetPr>
  <dimension ref="A1:O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0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8" customWidth="1" min="15" max="15"/>
  </cols>
  <sheetData>
    <row r="1" ht="30" customHeight="1">
      <c r="A1" s="59" t="inlineStr">
        <is>
          <t>MSTC LIMITED  •  BUYER PIVOT   (buyers → columns  |  every detail ↓ rows)</t>
        </is>
      </c>
    </row>
    <row r="2" ht="32" customHeight="1">
      <c r="A2" s="61" t="inlineStr">
        <is>
          <t>HOW TO USE  ▶  one column per buyer, every figure a live SUMIF / COUNTIF against 'Final Calculation Sheet' - change a buyer name in row 3 and its whole column follows   •   filter with the ▼ arrow on the FIELD column in row 3   •   the − / + in the left margin folds a whole detail band   •   the last column totals every buyer</t>
        </is>
      </c>
    </row>
    <row r="3" ht="66" customHeight="1">
      <c r="A3" s="424" t="inlineStr">
        <is>
          <t>FIELD  ▸   |   BUYER →</t>
        </is>
      </c>
      <c r="B3" s="391" t="inlineStr">
        <is>
          <t>AL HAMD TRADE CORPORATION</t>
        </is>
      </c>
      <c r="C3" s="392" t="inlineStr">
        <is>
          <t>F R KHANS ENTERPRISES</t>
        </is>
      </c>
      <c r="D3" s="393" t="inlineStr">
        <is>
          <t>HIND TRADERS</t>
        </is>
      </c>
      <c r="E3" s="394" t="inlineStr">
        <is>
          <t>KASHYAP TRADING CO</t>
        </is>
      </c>
      <c r="F3" s="395" t="inlineStr">
        <is>
          <t>M I SCRAP TRADERS</t>
        </is>
      </c>
      <c r="G3" s="396" t="inlineStr">
        <is>
          <t>NATIONAL ENTERPRISES</t>
        </is>
      </c>
      <c r="H3" s="397" t="inlineStr">
        <is>
          <t>NATIONAL SCRAP AND BUILDING MATERIAL SUPPLIER</t>
        </is>
      </c>
      <c r="I3" s="398" t="inlineStr">
        <is>
          <t>OMKAR STEELS</t>
        </is>
      </c>
      <c r="J3" s="391" t="inlineStr">
        <is>
          <t>S M ENTERPRISES</t>
        </is>
      </c>
      <c r="K3" s="392" t="inlineStr">
        <is>
          <t>SAHARA ENTERPRISES</t>
        </is>
      </c>
      <c r="L3" s="393" t="inlineStr">
        <is>
          <t>SHAR JAHAN TRADERS</t>
        </is>
      </c>
      <c r="M3" s="394" t="inlineStr">
        <is>
          <t>STERLING ENTERPRISES</t>
        </is>
      </c>
      <c r="N3" s="395" t="inlineStr">
        <is>
          <t>WATAN SCRAP TRADERS</t>
        </is>
      </c>
      <c r="O3" s="490" t="inlineStr">
        <is>
          <t>TOTAL — ALL BUYERS</t>
        </is>
      </c>
    </row>
    <row r="4" ht="17" customHeight="1">
      <c r="A4" s="407" t="inlineStr">
        <is>
          <t xml:space="preserve">  ▸ BUYER OVERVIEW</t>
        </is>
      </c>
      <c r="B4" s="384" t="n"/>
      <c r="C4" s="384" t="n"/>
      <c r="D4" s="384" t="n"/>
      <c r="E4" s="384" t="n"/>
      <c r="F4" s="384" t="n"/>
      <c r="G4" s="384" t="n"/>
      <c r="H4" s="384" t="n"/>
      <c r="I4" s="384" t="n"/>
      <c r="J4" s="384" t="n"/>
      <c r="K4" s="384" t="n"/>
      <c r="L4" s="384" t="n"/>
      <c r="M4" s="384" t="n"/>
      <c r="N4" s="384" t="n"/>
      <c r="O4" s="384" t="n"/>
    </row>
    <row r="5" outlineLevel="1" ht="15" customHeight="1">
      <c r="A5" s="69" t="inlineStr">
        <is>
          <t xml:space="preserve">      Lots</t>
        </is>
      </c>
      <c r="B5" s="491">
        <f>COUNTIF('Final Calculation Sheet'!$G$4:$G$1000,B$3)</f>
        <v/>
      </c>
      <c r="C5" s="492">
        <f>COUNTIF('Final Calculation Sheet'!$G$4:$G$1000,C$3)</f>
        <v/>
      </c>
      <c r="D5" s="493">
        <f>COUNTIF('Final Calculation Sheet'!$G$4:$G$1000,D$3)</f>
        <v/>
      </c>
      <c r="E5" s="494">
        <f>COUNTIF('Final Calculation Sheet'!$G$4:$G$1000,E$3)</f>
        <v/>
      </c>
      <c r="F5" s="495">
        <f>COUNTIF('Final Calculation Sheet'!$G$4:$G$1000,F$3)</f>
        <v/>
      </c>
      <c r="G5" s="496">
        <f>COUNTIF('Final Calculation Sheet'!$G$4:$G$1000,G$3)</f>
        <v/>
      </c>
      <c r="H5" s="497">
        <f>COUNTIF('Final Calculation Sheet'!$G$4:$G$1000,H$3)</f>
        <v/>
      </c>
      <c r="I5" s="498">
        <f>COUNTIF('Final Calculation Sheet'!$G$4:$G$1000,I$3)</f>
        <v/>
      </c>
      <c r="J5" s="491">
        <f>COUNTIF('Final Calculation Sheet'!$G$4:$G$1000,J$3)</f>
        <v/>
      </c>
      <c r="K5" s="492">
        <f>COUNTIF('Final Calculation Sheet'!$G$4:$G$1000,K$3)</f>
        <v/>
      </c>
      <c r="L5" s="493">
        <f>COUNTIF('Final Calculation Sheet'!$G$4:$G$1000,L$3)</f>
        <v/>
      </c>
      <c r="M5" s="494">
        <f>COUNTIF('Final Calculation Sheet'!$G$4:$G$1000,M$3)</f>
        <v/>
      </c>
      <c r="N5" s="495">
        <f>COUNTIF('Final Calculation Sheet'!$G$4:$G$1000,N$3)</f>
        <v/>
      </c>
      <c r="O5" s="499">
        <f>SUM(B5:N5)</f>
        <v/>
      </c>
    </row>
    <row r="6" outlineLevel="1" ht="15" customHeight="1">
      <c r="A6" s="69" t="inlineStr">
        <is>
          <t xml:space="preserve">      Mat. Value (₹)</t>
        </is>
      </c>
      <c r="B6" s="500">
        <f>SUMIF('Final Calculation Sheet'!$G$4:$G$1000,B$3,'Final Calculation Sheet'!$H$4:$H$1000)</f>
        <v/>
      </c>
      <c r="C6" s="88">
        <f>SUMIF('Final Calculation Sheet'!$G$4:$G$1000,C$3,'Final Calculation Sheet'!$H$4:$H$1000)</f>
        <v/>
      </c>
      <c r="D6" s="501">
        <f>SUMIF('Final Calculation Sheet'!$G$4:$G$1000,D$3,'Final Calculation Sheet'!$H$4:$H$1000)</f>
        <v/>
      </c>
      <c r="E6" s="181">
        <f>SUMIF('Final Calculation Sheet'!$G$4:$G$1000,E$3,'Final Calculation Sheet'!$H$4:$H$1000)</f>
        <v/>
      </c>
      <c r="F6" s="502">
        <f>SUMIF('Final Calculation Sheet'!$G$4:$G$1000,F$3,'Final Calculation Sheet'!$H$4:$H$1000)</f>
        <v/>
      </c>
      <c r="G6" s="131">
        <f>SUMIF('Final Calculation Sheet'!$G$4:$G$1000,G$3,'Final Calculation Sheet'!$H$4:$H$1000)</f>
        <v/>
      </c>
      <c r="H6" s="503">
        <f>SUMIF('Final Calculation Sheet'!$G$4:$G$1000,H$3,'Final Calculation Sheet'!$H$4:$H$1000)</f>
        <v/>
      </c>
      <c r="I6" s="156">
        <f>SUMIF('Final Calculation Sheet'!$G$4:$G$1000,I$3,'Final Calculation Sheet'!$H$4:$H$1000)</f>
        <v/>
      </c>
      <c r="J6" s="500">
        <f>SUMIF('Final Calculation Sheet'!$G$4:$G$1000,J$3,'Final Calculation Sheet'!$H$4:$H$1000)</f>
        <v/>
      </c>
      <c r="K6" s="88">
        <f>SUMIF('Final Calculation Sheet'!$G$4:$G$1000,K$3,'Final Calculation Sheet'!$H$4:$H$1000)</f>
        <v/>
      </c>
      <c r="L6" s="501">
        <f>SUMIF('Final Calculation Sheet'!$G$4:$G$1000,L$3,'Final Calculation Sheet'!$H$4:$H$1000)</f>
        <v/>
      </c>
      <c r="M6" s="181">
        <f>SUMIF('Final Calculation Sheet'!$G$4:$G$1000,M$3,'Final Calculation Sheet'!$H$4:$H$1000)</f>
        <v/>
      </c>
      <c r="N6" s="502">
        <f>SUMIF('Final Calculation Sheet'!$G$4:$G$1000,N$3,'Final Calculation Sheet'!$H$4:$H$1000)</f>
        <v/>
      </c>
      <c r="O6" s="414">
        <f>SUM(B6:N6)</f>
        <v/>
      </c>
    </row>
    <row r="7" outlineLevel="1" ht="15" customHeight="1">
      <c r="A7" s="69" t="inlineStr">
        <is>
          <t xml:space="preserve">      Total Received (₹)</t>
        </is>
      </c>
      <c r="B7" s="500">
        <f>SUMIF('Final Calculation Sheet'!$G$4:$G$1000,B$3,'Final Calculation Sheet'!$AC$4:$AC$1000)</f>
        <v/>
      </c>
      <c r="C7" s="88">
        <f>SUMIF('Final Calculation Sheet'!$G$4:$G$1000,C$3,'Final Calculation Sheet'!$AC$4:$AC$1000)</f>
        <v/>
      </c>
      <c r="D7" s="501">
        <f>SUMIF('Final Calculation Sheet'!$G$4:$G$1000,D$3,'Final Calculation Sheet'!$AC$4:$AC$1000)</f>
        <v/>
      </c>
      <c r="E7" s="181">
        <f>SUMIF('Final Calculation Sheet'!$G$4:$G$1000,E$3,'Final Calculation Sheet'!$AC$4:$AC$1000)</f>
        <v/>
      </c>
      <c r="F7" s="502">
        <f>SUMIF('Final Calculation Sheet'!$G$4:$G$1000,F$3,'Final Calculation Sheet'!$AC$4:$AC$1000)</f>
        <v/>
      </c>
      <c r="G7" s="131">
        <f>SUMIF('Final Calculation Sheet'!$G$4:$G$1000,G$3,'Final Calculation Sheet'!$AC$4:$AC$1000)</f>
        <v/>
      </c>
      <c r="H7" s="503">
        <f>SUMIF('Final Calculation Sheet'!$G$4:$G$1000,H$3,'Final Calculation Sheet'!$AC$4:$AC$1000)</f>
        <v/>
      </c>
      <c r="I7" s="156">
        <f>SUMIF('Final Calculation Sheet'!$G$4:$G$1000,I$3,'Final Calculation Sheet'!$AC$4:$AC$1000)</f>
        <v/>
      </c>
      <c r="J7" s="500">
        <f>SUMIF('Final Calculation Sheet'!$G$4:$G$1000,J$3,'Final Calculation Sheet'!$AC$4:$AC$1000)</f>
        <v/>
      </c>
      <c r="K7" s="88">
        <f>SUMIF('Final Calculation Sheet'!$G$4:$G$1000,K$3,'Final Calculation Sheet'!$AC$4:$AC$1000)</f>
        <v/>
      </c>
      <c r="L7" s="501">
        <f>SUMIF('Final Calculation Sheet'!$G$4:$G$1000,L$3,'Final Calculation Sheet'!$AC$4:$AC$1000)</f>
        <v/>
      </c>
      <c r="M7" s="181">
        <f>SUMIF('Final Calculation Sheet'!$G$4:$G$1000,M$3,'Final Calculation Sheet'!$AC$4:$AC$1000)</f>
        <v/>
      </c>
      <c r="N7" s="502">
        <f>SUMIF('Final Calculation Sheet'!$G$4:$G$1000,N$3,'Final Calculation Sheet'!$AC$4:$AC$1000)</f>
        <v/>
      </c>
      <c r="O7" s="414">
        <f>SUM(B7:N7)</f>
        <v/>
      </c>
    </row>
    <row r="8" outlineLevel="1" ht="15" customHeight="1">
      <c r="A8" s="69" t="inlineStr">
        <is>
          <t xml:space="preserve">      Outstanding (₹)</t>
        </is>
      </c>
      <c r="B8" s="500">
        <f>SUMIF('Final Calculation Sheet'!$G$4:$G$1000,B$3,'Final Calculation Sheet'!$AD$4:$AD$1000)</f>
        <v/>
      </c>
      <c r="C8" s="88">
        <f>SUMIF('Final Calculation Sheet'!$G$4:$G$1000,C$3,'Final Calculation Sheet'!$AD$4:$AD$1000)</f>
        <v/>
      </c>
      <c r="D8" s="501">
        <f>SUMIF('Final Calculation Sheet'!$G$4:$G$1000,D$3,'Final Calculation Sheet'!$AD$4:$AD$1000)</f>
        <v/>
      </c>
      <c r="E8" s="181">
        <f>SUMIF('Final Calculation Sheet'!$G$4:$G$1000,E$3,'Final Calculation Sheet'!$AD$4:$AD$1000)</f>
        <v/>
      </c>
      <c r="F8" s="502">
        <f>SUMIF('Final Calculation Sheet'!$G$4:$G$1000,F$3,'Final Calculation Sheet'!$AD$4:$AD$1000)</f>
        <v/>
      </c>
      <c r="G8" s="131">
        <f>SUMIF('Final Calculation Sheet'!$G$4:$G$1000,G$3,'Final Calculation Sheet'!$AD$4:$AD$1000)</f>
        <v/>
      </c>
      <c r="H8" s="503">
        <f>SUMIF('Final Calculation Sheet'!$G$4:$G$1000,H$3,'Final Calculation Sheet'!$AD$4:$AD$1000)</f>
        <v/>
      </c>
      <c r="I8" s="156">
        <f>SUMIF('Final Calculation Sheet'!$G$4:$G$1000,I$3,'Final Calculation Sheet'!$AD$4:$AD$1000)</f>
        <v/>
      </c>
      <c r="J8" s="500">
        <f>SUMIF('Final Calculation Sheet'!$G$4:$G$1000,J$3,'Final Calculation Sheet'!$AD$4:$AD$1000)</f>
        <v/>
      </c>
      <c r="K8" s="88">
        <f>SUMIF('Final Calculation Sheet'!$G$4:$G$1000,K$3,'Final Calculation Sheet'!$AD$4:$AD$1000)</f>
        <v/>
      </c>
      <c r="L8" s="501">
        <f>SUMIF('Final Calculation Sheet'!$G$4:$G$1000,L$3,'Final Calculation Sheet'!$AD$4:$AD$1000)</f>
        <v/>
      </c>
      <c r="M8" s="181">
        <f>SUMIF('Final Calculation Sheet'!$G$4:$G$1000,M$3,'Final Calculation Sheet'!$AD$4:$AD$1000)</f>
        <v/>
      </c>
      <c r="N8" s="502">
        <f>SUMIF('Final Calculation Sheet'!$G$4:$G$1000,N$3,'Final Calculation Sheet'!$AD$4:$AD$1000)</f>
        <v/>
      </c>
      <c r="O8" s="414">
        <f>SUM(B8:N8)</f>
        <v/>
      </c>
    </row>
    <row r="9" outlineLevel="1" ht="15" customHeight="1">
      <c r="A9" s="69" t="inlineStr">
        <is>
          <t xml:space="preserve">      Payment Status</t>
        </is>
      </c>
      <c r="B9" s="504">
        <f>IF(SUMIF('Final Calculation Sheet'!$G$4:$G$1000,B$3,'Final Calculation Sheet'!$AD$4:$AD$1000)&lt;=0,"SETTLED","OUTSTANDING")</f>
        <v/>
      </c>
      <c r="C9" s="98">
        <f>IF(SUMIF('Final Calculation Sheet'!$G$4:$G$1000,C$3,'Final Calculation Sheet'!$AD$4:$AD$1000)&lt;=0,"SETTLED","OUTSTANDING")</f>
        <v/>
      </c>
      <c r="D9" s="505">
        <f>IF(SUMIF('Final Calculation Sheet'!$G$4:$G$1000,D$3,'Final Calculation Sheet'!$AD$4:$AD$1000)&lt;=0,"SETTLED","OUTSTANDING")</f>
        <v/>
      </c>
      <c r="E9" s="187">
        <f>IF(SUMIF('Final Calculation Sheet'!$G$4:$G$1000,E$3,'Final Calculation Sheet'!$AD$4:$AD$1000)&lt;=0,"SETTLED","OUTSTANDING")</f>
        <v/>
      </c>
      <c r="F9" s="506">
        <f>IF(SUMIF('Final Calculation Sheet'!$G$4:$G$1000,F$3,'Final Calculation Sheet'!$AD$4:$AD$1000)&lt;=0,"SETTLED","OUTSTANDING")</f>
        <v/>
      </c>
      <c r="G9" s="141">
        <f>IF(SUMIF('Final Calculation Sheet'!$G$4:$G$1000,G$3,'Final Calculation Sheet'!$AD$4:$AD$1000)&lt;=0,"SETTLED","OUTSTANDING")</f>
        <v/>
      </c>
      <c r="H9" s="507">
        <f>IF(SUMIF('Final Calculation Sheet'!$G$4:$G$1000,H$3,'Final Calculation Sheet'!$AD$4:$AD$1000)&lt;=0,"SETTLED","OUTSTANDING")</f>
        <v/>
      </c>
      <c r="I9" s="166">
        <f>IF(SUMIF('Final Calculation Sheet'!$G$4:$G$1000,I$3,'Final Calculation Sheet'!$AD$4:$AD$1000)&lt;=0,"SETTLED","OUTSTANDING")</f>
        <v/>
      </c>
      <c r="J9" s="504">
        <f>IF(SUMIF('Final Calculation Sheet'!$G$4:$G$1000,J$3,'Final Calculation Sheet'!$AD$4:$AD$1000)&lt;=0,"SETTLED","OUTSTANDING")</f>
        <v/>
      </c>
      <c r="K9" s="98">
        <f>IF(SUMIF('Final Calculation Sheet'!$G$4:$G$1000,K$3,'Final Calculation Sheet'!$AD$4:$AD$1000)&lt;=0,"SETTLED","OUTSTANDING")</f>
        <v/>
      </c>
      <c r="L9" s="505">
        <f>IF(SUMIF('Final Calculation Sheet'!$G$4:$G$1000,L$3,'Final Calculation Sheet'!$AD$4:$AD$1000)&lt;=0,"SETTLED","OUTSTANDING")</f>
        <v/>
      </c>
      <c r="M9" s="187">
        <f>IF(SUMIF('Final Calculation Sheet'!$G$4:$G$1000,M$3,'Final Calculation Sheet'!$AD$4:$AD$1000)&lt;=0,"SETTLED","OUTSTANDING")</f>
        <v/>
      </c>
      <c r="N9" s="506">
        <f>IF(SUMIF('Final Calculation Sheet'!$G$4:$G$1000,N$3,'Final Calculation Sheet'!$AD$4:$AD$1000)&lt;=0,"SETTLED","OUTSTANDING")</f>
        <v/>
      </c>
      <c r="O9" s="508">
        <f>IF(O8&lt;=0,"SETTLED","OUTSTANDING")</f>
        <v/>
      </c>
    </row>
    <row r="10" ht="17" customHeight="1">
      <c r="A10" s="413" t="inlineStr">
        <is>
          <t xml:space="preserve">  ▸ LOT INFORMATION</t>
        </is>
      </c>
      <c r="B10" s="385" t="n"/>
      <c r="C10" s="385" t="n"/>
      <c r="D10" s="385" t="n"/>
      <c r="E10" s="385" t="n"/>
      <c r="F10" s="385" t="n"/>
      <c r="G10" s="385" t="n"/>
      <c r="H10" s="385" t="n"/>
      <c r="I10" s="385" t="n"/>
      <c r="J10" s="385" t="n"/>
      <c r="K10" s="385" t="n"/>
      <c r="L10" s="385" t="n"/>
      <c r="M10" s="385" t="n"/>
      <c r="N10" s="385" t="n"/>
      <c r="O10" s="385" t="n"/>
    </row>
    <row r="11" outlineLevel="1" ht="15" customHeight="1">
      <c r="A11" s="69" t="inlineStr">
        <is>
          <t xml:space="preserve">      Quantity (total)</t>
        </is>
      </c>
      <c r="B11" s="509">
        <f>SUMIF('Final Calculation Sheet'!$G$4:$G$1000,B$3,'Final Calculation Sheet'!$A$4:$A$1000)</f>
        <v/>
      </c>
      <c r="C11" s="91">
        <f>SUMIF('Final Calculation Sheet'!$G$4:$G$1000,C$3,'Final Calculation Sheet'!$A$4:$A$1000)</f>
        <v/>
      </c>
      <c r="D11" s="510">
        <f>SUMIF('Final Calculation Sheet'!$G$4:$G$1000,D$3,'Final Calculation Sheet'!$A$4:$A$1000)</f>
        <v/>
      </c>
      <c r="E11" s="183">
        <f>SUMIF('Final Calculation Sheet'!$G$4:$G$1000,E$3,'Final Calculation Sheet'!$A$4:$A$1000)</f>
        <v/>
      </c>
      <c r="F11" s="511">
        <f>SUMIF('Final Calculation Sheet'!$G$4:$G$1000,F$3,'Final Calculation Sheet'!$A$4:$A$1000)</f>
        <v/>
      </c>
      <c r="G11" s="134">
        <f>SUMIF('Final Calculation Sheet'!$G$4:$G$1000,G$3,'Final Calculation Sheet'!$A$4:$A$1000)</f>
        <v/>
      </c>
      <c r="H11" s="512">
        <f>SUMIF('Final Calculation Sheet'!$G$4:$G$1000,H$3,'Final Calculation Sheet'!$A$4:$A$1000)</f>
        <v/>
      </c>
      <c r="I11" s="159">
        <f>SUMIF('Final Calculation Sheet'!$G$4:$G$1000,I$3,'Final Calculation Sheet'!$A$4:$A$1000)</f>
        <v/>
      </c>
      <c r="J11" s="509">
        <f>SUMIF('Final Calculation Sheet'!$G$4:$G$1000,J$3,'Final Calculation Sheet'!$A$4:$A$1000)</f>
        <v/>
      </c>
      <c r="K11" s="91">
        <f>SUMIF('Final Calculation Sheet'!$G$4:$G$1000,K$3,'Final Calculation Sheet'!$A$4:$A$1000)</f>
        <v/>
      </c>
      <c r="L11" s="510">
        <f>SUMIF('Final Calculation Sheet'!$G$4:$G$1000,L$3,'Final Calculation Sheet'!$A$4:$A$1000)</f>
        <v/>
      </c>
      <c r="M11" s="183">
        <f>SUMIF('Final Calculation Sheet'!$G$4:$G$1000,M$3,'Final Calculation Sheet'!$A$4:$A$1000)</f>
        <v/>
      </c>
      <c r="N11" s="511">
        <f>SUMIF('Final Calculation Sheet'!$G$4:$G$1000,N$3,'Final Calculation Sheet'!$A$4:$A$1000)</f>
        <v/>
      </c>
      <c r="O11" s="411">
        <f>SUM(B11:N11)</f>
        <v/>
      </c>
    </row>
    <row r="12" outlineLevel="1" ht="15" customHeight="1">
      <c r="A12" s="69" t="inlineStr">
        <is>
          <t xml:space="preserve">      Avg Rate (₹)</t>
        </is>
      </c>
      <c r="B12" s="500">
        <f>IFERROR(SUMIF('Final Calculation Sheet'!$G$4:$G$1000,B$3,'Final Calculation Sheet'!$H$4:$H$1000)/SUMIF('Final Calculation Sheet'!$G$4:$G$1000,B$3,'Final Calculation Sheet'!$A$4:$A$1000),"")</f>
        <v/>
      </c>
      <c r="C12" s="88">
        <f>IFERROR(SUMIF('Final Calculation Sheet'!$G$4:$G$1000,C$3,'Final Calculation Sheet'!$H$4:$H$1000)/SUMIF('Final Calculation Sheet'!$G$4:$G$1000,C$3,'Final Calculation Sheet'!$A$4:$A$1000),"")</f>
        <v/>
      </c>
      <c r="D12" s="501">
        <f>IFERROR(SUMIF('Final Calculation Sheet'!$G$4:$G$1000,D$3,'Final Calculation Sheet'!$H$4:$H$1000)/SUMIF('Final Calculation Sheet'!$G$4:$G$1000,D$3,'Final Calculation Sheet'!$A$4:$A$1000),"")</f>
        <v/>
      </c>
      <c r="E12" s="181">
        <f>IFERROR(SUMIF('Final Calculation Sheet'!$G$4:$G$1000,E$3,'Final Calculation Sheet'!$H$4:$H$1000)/SUMIF('Final Calculation Sheet'!$G$4:$G$1000,E$3,'Final Calculation Sheet'!$A$4:$A$1000),"")</f>
        <v/>
      </c>
      <c r="F12" s="502">
        <f>IFERROR(SUMIF('Final Calculation Sheet'!$G$4:$G$1000,F$3,'Final Calculation Sheet'!$H$4:$H$1000)/SUMIF('Final Calculation Sheet'!$G$4:$G$1000,F$3,'Final Calculation Sheet'!$A$4:$A$1000),"")</f>
        <v/>
      </c>
      <c r="G12" s="131">
        <f>IFERROR(SUMIF('Final Calculation Sheet'!$G$4:$G$1000,G$3,'Final Calculation Sheet'!$H$4:$H$1000)/SUMIF('Final Calculation Sheet'!$G$4:$G$1000,G$3,'Final Calculation Sheet'!$A$4:$A$1000),"")</f>
        <v/>
      </c>
      <c r="H12" s="503">
        <f>IFERROR(SUMIF('Final Calculation Sheet'!$G$4:$G$1000,H$3,'Final Calculation Sheet'!$H$4:$H$1000)/SUMIF('Final Calculation Sheet'!$G$4:$G$1000,H$3,'Final Calculation Sheet'!$A$4:$A$1000),"")</f>
        <v/>
      </c>
      <c r="I12" s="156">
        <f>IFERROR(SUMIF('Final Calculation Sheet'!$G$4:$G$1000,I$3,'Final Calculation Sheet'!$H$4:$H$1000)/SUMIF('Final Calculation Sheet'!$G$4:$G$1000,I$3,'Final Calculation Sheet'!$A$4:$A$1000),"")</f>
        <v/>
      </c>
      <c r="J12" s="500">
        <f>IFERROR(SUMIF('Final Calculation Sheet'!$G$4:$G$1000,J$3,'Final Calculation Sheet'!$H$4:$H$1000)/SUMIF('Final Calculation Sheet'!$G$4:$G$1000,J$3,'Final Calculation Sheet'!$A$4:$A$1000),"")</f>
        <v/>
      </c>
      <c r="K12" s="88">
        <f>IFERROR(SUMIF('Final Calculation Sheet'!$G$4:$G$1000,K$3,'Final Calculation Sheet'!$H$4:$H$1000)/SUMIF('Final Calculation Sheet'!$G$4:$G$1000,K$3,'Final Calculation Sheet'!$A$4:$A$1000),"")</f>
        <v/>
      </c>
      <c r="L12" s="501">
        <f>IFERROR(SUMIF('Final Calculation Sheet'!$G$4:$G$1000,L$3,'Final Calculation Sheet'!$H$4:$H$1000)/SUMIF('Final Calculation Sheet'!$G$4:$G$1000,L$3,'Final Calculation Sheet'!$A$4:$A$1000),"")</f>
        <v/>
      </c>
      <c r="M12" s="181">
        <f>IFERROR(SUMIF('Final Calculation Sheet'!$G$4:$G$1000,M$3,'Final Calculation Sheet'!$H$4:$H$1000)/SUMIF('Final Calculation Sheet'!$G$4:$G$1000,M$3,'Final Calculation Sheet'!$A$4:$A$1000),"")</f>
        <v/>
      </c>
      <c r="N12" s="502">
        <f>IFERROR(SUMIF('Final Calculation Sheet'!$G$4:$G$1000,N$3,'Final Calculation Sheet'!$H$4:$H$1000)/SUMIF('Final Calculation Sheet'!$G$4:$G$1000,N$3,'Final Calculation Sheet'!$A$4:$A$1000),"")</f>
        <v/>
      </c>
      <c r="O12" s="414">
        <f>IFERROR(O6/O11,"")</f>
        <v/>
      </c>
    </row>
    <row r="13" outlineLevel="1" ht="15" customHeight="1">
      <c r="A13" s="69" t="inlineStr">
        <is>
          <t xml:space="preserve">      Lots pending invoice</t>
        </is>
      </c>
      <c r="B13" s="491">
        <f>COUNTIFS('Final Calculation Sheet'!$G$4:$G$1000,B$3,'Final Calculation Sheet'!$AE$4:$AE$1000,"")</f>
        <v/>
      </c>
      <c r="C13" s="492">
        <f>COUNTIFS('Final Calculation Sheet'!$G$4:$G$1000,C$3,'Final Calculation Sheet'!$AE$4:$AE$1000,"")</f>
        <v/>
      </c>
      <c r="D13" s="493">
        <f>COUNTIFS('Final Calculation Sheet'!$G$4:$G$1000,D$3,'Final Calculation Sheet'!$AE$4:$AE$1000,"")</f>
        <v/>
      </c>
      <c r="E13" s="494">
        <f>COUNTIFS('Final Calculation Sheet'!$G$4:$G$1000,E$3,'Final Calculation Sheet'!$AE$4:$AE$1000,"")</f>
        <v/>
      </c>
      <c r="F13" s="495">
        <f>COUNTIFS('Final Calculation Sheet'!$G$4:$G$1000,F$3,'Final Calculation Sheet'!$AE$4:$AE$1000,"")</f>
        <v/>
      </c>
      <c r="G13" s="496">
        <f>COUNTIFS('Final Calculation Sheet'!$G$4:$G$1000,G$3,'Final Calculation Sheet'!$AE$4:$AE$1000,"")</f>
        <v/>
      </c>
      <c r="H13" s="497">
        <f>COUNTIFS('Final Calculation Sheet'!$G$4:$G$1000,H$3,'Final Calculation Sheet'!$AE$4:$AE$1000,"")</f>
        <v/>
      </c>
      <c r="I13" s="498">
        <f>COUNTIFS('Final Calculation Sheet'!$G$4:$G$1000,I$3,'Final Calculation Sheet'!$AE$4:$AE$1000,"")</f>
        <v/>
      </c>
      <c r="J13" s="491">
        <f>COUNTIFS('Final Calculation Sheet'!$G$4:$G$1000,J$3,'Final Calculation Sheet'!$AE$4:$AE$1000,"")</f>
        <v/>
      </c>
      <c r="K13" s="492">
        <f>COUNTIFS('Final Calculation Sheet'!$G$4:$G$1000,K$3,'Final Calculation Sheet'!$AE$4:$AE$1000,"")</f>
        <v/>
      </c>
      <c r="L13" s="493">
        <f>COUNTIFS('Final Calculation Sheet'!$G$4:$G$1000,L$3,'Final Calculation Sheet'!$AE$4:$AE$1000,"")</f>
        <v/>
      </c>
      <c r="M13" s="494">
        <f>COUNTIFS('Final Calculation Sheet'!$G$4:$G$1000,M$3,'Final Calculation Sheet'!$AE$4:$AE$1000,"")</f>
        <v/>
      </c>
      <c r="N13" s="495">
        <f>COUNTIFS('Final Calculation Sheet'!$G$4:$G$1000,N$3,'Final Calculation Sheet'!$AE$4:$AE$1000,"")</f>
        <v/>
      </c>
      <c r="O13" s="499">
        <f>SUM(B13:N13)</f>
        <v/>
      </c>
    </row>
    <row r="14" ht="17" customHeight="1">
      <c r="A14" s="418" t="inlineStr">
        <is>
          <t xml:space="preserve">  ▸ FINANCIALS</t>
        </is>
      </c>
      <c r="B14" s="386" t="n"/>
      <c r="C14" s="386" t="n"/>
      <c r="D14" s="386" t="n"/>
      <c r="E14" s="386" t="n"/>
      <c r="F14" s="386" t="n"/>
      <c r="G14" s="386" t="n"/>
      <c r="H14" s="386" t="n"/>
      <c r="I14" s="386" t="n"/>
      <c r="J14" s="386" t="n"/>
      <c r="K14" s="386" t="n"/>
      <c r="L14" s="386" t="n"/>
      <c r="M14" s="386" t="n"/>
      <c r="N14" s="386" t="n"/>
      <c r="O14" s="386" t="n"/>
    </row>
    <row r="15" outlineLevel="1" ht="15" customHeight="1">
      <c r="A15" s="69" t="inlineStr">
        <is>
          <t xml:space="preserve">      GST @ 18% (₹)</t>
        </is>
      </c>
      <c r="B15" s="500">
        <f>SUMIF('Final Calculation Sheet'!$G$4:$G$1000,B$3,'Final Calculation Sheet'!$I$4:$I$1000)</f>
        <v/>
      </c>
      <c r="C15" s="88">
        <f>SUMIF('Final Calculation Sheet'!$G$4:$G$1000,C$3,'Final Calculation Sheet'!$I$4:$I$1000)</f>
        <v/>
      </c>
      <c r="D15" s="501">
        <f>SUMIF('Final Calculation Sheet'!$G$4:$G$1000,D$3,'Final Calculation Sheet'!$I$4:$I$1000)</f>
        <v/>
      </c>
      <c r="E15" s="181">
        <f>SUMIF('Final Calculation Sheet'!$G$4:$G$1000,E$3,'Final Calculation Sheet'!$I$4:$I$1000)</f>
        <v/>
      </c>
      <c r="F15" s="502">
        <f>SUMIF('Final Calculation Sheet'!$G$4:$G$1000,F$3,'Final Calculation Sheet'!$I$4:$I$1000)</f>
        <v/>
      </c>
      <c r="G15" s="131">
        <f>SUMIF('Final Calculation Sheet'!$G$4:$G$1000,G$3,'Final Calculation Sheet'!$I$4:$I$1000)</f>
        <v/>
      </c>
      <c r="H15" s="503">
        <f>SUMIF('Final Calculation Sheet'!$G$4:$G$1000,H$3,'Final Calculation Sheet'!$I$4:$I$1000)</f>
        <v/>
      </c>
      <c r="I15" s="156">
        <f>SUMIF('Final Calculation Sheet'!$G$4:$G$1000,I$3,'Final Calculation Sheet'!$I$4:$I$1000)</f>
        <v/>
      </c>
      <c r="J15" s="500">
        <f>SUMIF('Final Calculation Sheet'!$G$4:$G$1000,J$3,'Final Calculation Sheet'!$I$4:$I$1000)</f>
        <v/>
      </c>
      <c r="K15" s="88">
        <f>SUMIF('Final Calculation Sheet'!$G$4:$G$1000,K$3,'Final Calculation Sheet'!$I$4:$I$1000)</f>
        <v/>
      </c>
      <c r="L15" s="501">
        <f>SUMIF('Final Calculation Sheet'!$G$4:$G$1000,L$3,'Final Calculation Sheet'!$I$4:$I$1000)</f>
        <v/>
      </c>
      <c r="M15" s="181">
        <f>SUMIF('Final Calculation Sheet'!$G$4:$G$1000,M$3,'Final Calculation Sheet'!$I$4:$I$1000)</f>
        <v/>
      </c>
      <c r="N15" s="502">
        <f>SUMIF('Final Calculation Sheet'!$G$4:$G$1000,N$3,'Final Calculation Sheet'!$I$4:$I$1000)</f>
        <v/>
      </c>
      <c r="O15" s="414">
        <f>SUM(B15:N15)</f>
        <v/>
      </c>
    </row>
    <row r="16" outlineLevel="1" ht="15" customHeight="1">
      <c r="A16" s="69" t="inlineStr">
        <is>
          <t xml:space="preserve">      Mat. Value + GST (₹)</t>
        </is>
      </c>
      <c r="B16" s="500">
        <f>SUMIF('Final Calculation Sheet'!$G$4:$G$1000,B$3,'Final Calculation Sheet'!$J$4:$J$1000)</f>
        <v/>
      </c>
      <c r="C16" s="88">
        <f>SUMIF('Final Calculation Sheet'!$G$4:$G$1000,C$3,'Final Calculation Sheet'!$J$4:$J$1000)</f>
        <v/>
      </c>
      <c r="D16" s="501">
        <f>SUMIF('Final Calculation Sheet'!$G$4:$G$1000,D$3,'Final Calculation Sheet'!$J$4:$J$1000)</f>
        <v/>
      </c>
      <c r="E16" s="181">
        <f>SUMIF('Final Calculation Sheet'!$G$4:$G$1000,E$3,'Final Calculation Sheet'!$J$4:$J$1000)</f>
        <v/>
      </c>
      <c r="F16" s="502">
        <f>SUMIF('Final Calculation Sheet'!$G$4:$G$1000,F$3,'Final Calculation Sheet'!$J$4:$J$1000)</f>
        <v/>
      </c>
      <c r="G16" s="131">
        <f>SUMIF('Final Calculation Sheet'!$G$4:$G$1000,G$3,'Final Calculation Sheet'!$J$4:$J$1000)</f>
        <v/>
      </c>
      <c r="H16" s="503">
        <f>SUMIF('Final Calculation Sheet'!$G$4:$G$1000,H$3,'Final Calculation Sheet'!$J$4:$J$1000)</f>
        <v/>
      </c>
      <c r="I16" s="156">
        <f>SUMIF('Final Calculation Sheet'!$G$4:$G$1000,I$3,'Final Calculation Sheet'!$J$4:$J$1000)</f>
        <v/>
      </c>
      <c r="J16" s="500">
        <f>SUMIF('Final Calculation Sheet'!$G$4:$G$1000,J$3,'Final Calculation Sheet'!$J$4:$J$1000)</f>
        <v/>
      </c>
      <c r="K16" s="88">
        <f>SUMIF('Final Calculation Sheet'!$G$4:$G$1000,K$3,'Final Calculation Sheet'!$J$4:$J$1000)</f>
        <v/>
      </c>
      <c r="L16" s="501">
        <f>SUMIF('Final Calculation Sheet'!$G$4:$G$1000,L$3,'Final Calculation Sheet'!$J$4:$J$1000)</f>
        <v/>
      </c>
      <c r="M16" s="181">
        <f>SUMIF('Final Calculation Sheet'!$G$4:$G$1000,M$3,'Final Calculation Sheet'!$J$4:$J$1000)</f>
        <v/>
      </c>
      <c r="N16" s="502">
        <f>SUMIF('Final Calculation Sheet'!$G$4:$G$1000,N$3,'Final Calculation Sheet'!$J$4:$J$1000)</f>
        <v/>
      </c>
      <c r="O16" s="414">
        <f>SUM(B16:N16)</f>
        <v/>
      </c>
    </row>
    <row r="17" outlineLevel="1" ht="15" customHeight="1">
      <c r="A17" s="69" t="inlineStr">
        <is>
          <t xml:space="preserve">      TCS @ 2% (₹)</t>
        </is>
      </c>
      <c r="B17" s="500">
        <f>SUMIF('Final Calculation Sheet'!$G$4:$G$1000,B$3,'Final Calculation Sheet'!$K$4:$K$1000)</f>
        <v/>
      </c>
      <c r="C17" s="88">
        <f>SUMIF('Final Calculation Sheet'!$G$4:$G$1000,C$3,'Final Calculation Sheet'!$K$4:$K$1000)</f>
        <v/>
      </c>
      <c r="D17" s="501">
        <f>SUMIF('Final Calculation Sheet'!$G$4:$G$1000,D$3,'Final Calculation Sheet'!$K$4:$K$1000)</f>
        <v/>
      </c>
      <c r="E17" s="181">
        <f>SUMIF('Final Calculation Sheet'!$G$4:$G$1000,E$3,'Final Calculation Sheet'!$K$4:$K$1000)</f>
        <v/>
      </c>
      <c r="F17" s="502">
        <f>SUMIF('Final Calculation Sheet'!$G$4:$G$1000,F$3,'Final Calculation Sheet'!$K$4:$K$1000)</f>
        <v/>
      </c>
      <c r="G17" s="131">
        <f>SUMIF('Final Calculation Sheet'!$G$4:$G$1000,G$3,'Final Calculation Sheet'!$K$4:$K$1000)</f>
        <v/>
      </c>
      <c r="H17" s="503">
        <f>SUMIF('Final Calculation Sheet'!$G$4:$G$1000,H$3,'Final Calculation Sheet'!$K$4:$K$1000)</f>
        <v/>
      </c>
      <c r="I17" s="156">
        <f>SUMIF('Final Calculation Sheet'!$G$4:$G$1000,I$3,'Final Calculation Sheet'!$K$4:$K$1000)</f>
        <v/>
      </c>
      <c r="J17" s="500">
        <f>SUMIF('Final Calculation Sheet'!$G$4:$G$1000,J$3,'Final Calculation Sheet'!$K$4:$K$1000)</f>
        <v/>
      </c>
      <c r="K17" s="88">
        <f>SUMIF('Final Calculation Sheet'!$G$4:$G$1000,K$3,'Final Calculation Sheet'!$K$4:$K$1000)</f>
        <v/>
      </c>
      <c r="L17" s="501">
        <f>SUMIF('Final Calculation Sheet'!$G$4:$G$1000,L$3,'Final Calculation Sheet'!$K$4:$K$1000)</f>
        <v/>
      </c>
      <c r="M17" s="181">
        <f>SUMIF('Final Calculation Sheet'!$G$4:$G$1000,M$3,'Final Calculation Sheet'!$K$4:$K$1000)</f>
        <v/>
      </c>
      <c r="N17" s="502">
        <f>SUMIF('Final Calculation Sheet'!$G$4:$G$1000,N$3,'Final Calculation Sheet'!$K$4:$K$1000)</f>
        <v/>
      </c>
      <c r="O17" s="414">
        <f>SUM(B17:N17)</f>
        <v/>
      </c>
    </row>
    <row r="18" outlineLevel="1" ht="15" customHeight="1">
      <c r="A18" s="69" t="inlineStr">
        <is>
          <t xml:space="preserve">      TDS u/s 194(O) (₹)</t>
        </is>
      </c>
      <c r="B18" s="513">
        <f>SUMIF('Final Calculation Sheet'!$G$4:$G$1000,B$3,'Final Calculation Sheet'!$L$4:$L$1000)</f>
        <v/>
      </c>
      <c r="C18" s="95">
        <f>SUMIF('Final Calculation Sheet'!$G$4:$G$1000,C$3,'Final Calculation Sheet'!$L$4:$L$1000)</f>
        <v/>
      </c>
      <c r="D18" s="514">
        <f>SUMIF('Final Calculation Sheet'!$G$4:$G$1000,D$3,'Final Calculation Sheet'!$L$4:$L$1000)</f>
        <v/>
      </c>
      <c r="E18" s="185">
        <f>SUMIF('Final Calculation Sheet'!$G$4:$G$1000,E$3,'Final Calculation Sheet'!$L$4:$L$1000)</f>
        <v/>
      </c>
      <c r="F18" s="515">
        <f>SUMIF('Final Calculation Sheet'!$G$4:$G$1000,F$3,'Final Calculation Sheet'!$L$4:$L$1000)</f>
        <v/>
      </c>
      <c r="G18" s="138">
        <f>SUMIF('Final Calculation Sheet'!$G$4:$G$1000,G$3,'Final Calculation Sheet'!$L$4:$L$1000)</f>
        <v/>
      </c>
      <c r="H18" s="516">
        <f>SUMIF('Final Calculation Sheet'!$G$4:$G$1000,H$3,'Final Calculation Sheet'!$L$4:$L$1000)</f>
        <v/>
      </c>
      <c r="I18" s="163">
        <f>SUMIF('Final Calculation Sheet'!$G$4:$G$1000,I$3,'Final Calculation Sheet'!$L$4:$L$1000)</f>
        <v/>
      </c>
      <c r="J18" s="513">
        <f>SUMIF('Final Calculation Sheet'!$G$4:$G$1000,J$3,'Final Calculation Sheet'!$L$4:$L$1000)</f>
        <v/>
      </c>
      <c r="K18" s="95">
        <f>SUMIF('Final Calculation Sheet'!$G$4:$G$1000,K$3,'Final Calculation Sheet'!$L$4:$L$1000)</f>
        <v/>
      </c>
      <c r="L18" s="514">
        <f>SUMIF('Final Calculation Sheet'!$G$4:$G$1000,L$3,'Final Calculation Sheet'!$L$4:$L$1000)</f>
        <v/>
      </c>
      <c r="M18" s="185">
        <f>SUMIF('Final Calculation Sheet'!$G$4:$G$1000,M$3,'Final Calculation Sheet'!$L$4:$L$1000)</f>
        <v/>
      </c>
      <c r="N18" s="515">
        <f>SUMIF('Final Calculation Sheet'!$G$4:$G$1000,N$3,'Final Calculation Sheet'!$L$4:$L$1000)</f>
        <v/>
      </c>
      <c r="O18" s="416">
        <f>SUM(B18:N18)</f>
        <v/>
      </c>
    </row>
    <row r="19" outlineLevel="1" ht="15" customHeight="1">
      <c r="A19" s="69" t="inlineStr">
        <is>
          <t xml:space="preserve">      Service Charge gross (₹)</t>
        </is>
      </c>
      <c r="B19" s="513">
        <f>SUMIF('Final Calculation Sheet'!$G$4:$G$1000,B$3,'Final Calculation Sheet'!$M$4:$M$1000)</f>
        <v/>
      </c>
      <c r="C19" s="95">
        <f>SUMIF('Final Calculation Sheet'!$G$4:$G$1000,C$3,'Final Calculation Sheet'!$M$4:$M$1000)</f>
        <v/>
      </c>
      <c r="D19" s="514">
        <f>SUMIF('Final Calculation Sheet'!$G$4:$G$1000,D$3,'Final Calculation Sheet'!$M$4:$M$1000)</f>
        <v/>
      </c>
      <c r="E19" s="185">
        <f>SUMIF('Final Calculation Sheet'!$G$4:$G$1000,E$3,'Final Calculation Sheet'!$M$4:$M$1000)</f>
        <v/>
      </c>
      <c r="F19" s="515">
        <f>SUMIF('Final Calculation Sheet'!$G$4:$G$1000,F$3,'Final Calculation Sheet'!$M$4:$M$1000)</f>
        <v/>
      </c>
      <c r="G19" s="138">
        <f>SUMIF('Final Calculation Sheet'!$G$4:$G$1000,G$3,'Final Calculation Sheet'!$M$4:$M$1000)</f>
        <v/>
      </c>
      <c r="H19" s="516">
        <f>SUMIF('Final Calculation Sheet'!$G$4:$G$1000,H$3,'Final Calculation Sheet'!$M$4:$M$1000)</f>
        <v/>
      </c>
      <c r="I19" s="163">
        <f>SUMIF('Final Calculation Sheet'!$G$4:$G$1000,I$3,'Final Calculation Sheet'!$M$4:$M$1000)</f>
        <v/>
      </c>
      <c r="J19" s="513">
        <f>SUMIF('Final Calculation Sheet'!$G$4:$G$1000,J$3,'Final Calculation Sheet'!$M$4:$M$1000)</f>
        <v/>
      </c>
      <c r="K19" s="95">
        <f>SUMIF('Final Calculation Sheet'!$G$4:$G$1000,K$3,'Final Calculation Sheet'!$M$4:$M$1000)</f>
        <v/>
      </c>
      <c r="L19" s="514">
        <f>SUMIF('Final Calculation Sheet'!$G$4:$G$1000,L$3,'Final Calculation Sheet'!$M$4:$M$1000)</f>
        <v/>
      </c>
      <c r="M19" s="185">
        <f>SUMIF('Final Calculation Sheet'!$G$4:$G$1000,M$3,'Final Calculation Sheet'!$M$4:$M$1000)</f>
        <v/>
      </c>
      <c r="N19" s="515">
        <f>SUMIF('Final Calculation Sheet'!$G$4:$G$1000,N$3,'Final Calculation Sheet'!$M$4:$M$1000)</f>
        <v/>
      </c>
      <c r="O19" s="416">
        <f>SUM(B19:N19)</f>
        <v/>
      </c>
    </row>
    <row r="20" outlineLevel="1" ht="15" customHeight="1">
      <c r="A20" s="69" t="inlineStr">
        <is>
          <t xml:space="preserve">      TDS u/s 194(H) (₹)</t>
        </is>
      </c>
      <c r="B20" s="513">
        <f>SUMIF('Final Calculation Sheet'!$G$4:$G$1000,B$3,'Final Calculation Sheet'!$N$4:$N$1000)</f>
        <v/>
      </c>
      <c r="C20" s="95">
        <f>SUMIF('Final Calculation Sheet'!$G$4:$G$1000,C$3,'Final Calculation Sheet'!$N$4:$N$1000)</f>
        <v/>
      </c>
      <c r="D20" s="514">
        <f>SUMIF('Final Calculation Sheet'!$G$4:$G$1000,D$3,'Final Calculation Sheet'!$N$4:$N$1000)</f>
        <v/>
      </c>
      <c r="E20" s="185">
        <f>SUMIF('Final Calculation Sheet'!$G$4:$G$1000,E$3,'Final Calculation Sheet'!$N$4:$N$1000)</f>
        <v/>
      </c>
      <c r="F20" s="515">
        <f>SUMIF('Final Calculation Sheet'!$G$4:$G$1000,F$3,'Final Calculation Sheet'!$N$4:$N$1000)</f>
        <v/>
      </c>
      <c r="G20" s="138">
        <f>SUMIF('Final Calculation Sheet'!$G$4:$G$1000,G$3,'Final Calculation Sheet'!$N$4:$N$1000)</f>
        <v/>
      </c>
      <c r="H20" s="516">
        <f>SUMIF('Final Calculation Sheet'!$G$4:$G$1000,H$3,'Final Calculation Sheet'!$N$4:$N$1000)</f>
        <v/>
      </c>
      <c r="I20" s="163">
        <f>SUMIF('Final Calculation Sheet'!$G$4:$G$1000,I$3,'Final Calculation Sheet'!$N$4:$N$1000)</f>
        <v/>
      </c>
      <c r="J20" s="513">
        <f>SUMIF('Final Calculation Sheet'!$G$4:$G$1000,J$3,'Final Calculation Sheet'!$N$4:$N$1000)</f>
        <v/>
      </c>
      <c r="K20" s="95">
        <f>SUMIF('Final Calculation Sheet'!$G$4:$G$1000,K$3,'Final Calculation Sheet'!$N$4:$N$1000)</f>
        <v/>
      </c>
      <c r="L20" s="514">
        <f>SUMIF('Final Calculation Sheet'!$G$4:$G$1000,L$3,'Final Calculation Sheet'!$N$4:$N$1000)</f>
        <v/>
      </c>
      <c r="M20" s="185">
        <f>SUMIF('Final Calculation Sheet'!$G$4:$G$1000,M$3,'Final Calculation Sheet'!$N$4:$N$1000)</f>
        <v/>
      </c>
      <c r="N20" s="515">
        <f>SUMIF('Final Calculation Sheet'!$G$4:$G$1000,N$3,'Final Calculation Sheet'!$N$4:$N$1000)</f>
        <v/>
      </c>
      <c r="O20" s="416">
        <f>SUM(B20:N20)</f>
        <v/>
      </c>
    </row>
    <row r="21" outlineLevel="1" ht="15" customHeight="1">
      <c r="A21" s="69" t="inlineStr">
        <is>
          <t xml:space="preserve">      Net Service Charge (₹)</t>
        </is>
      </c>
      <c r="B21" s="513">
        <f>SUMIF('Final Calculation Sheet'!$G$4:$G$1000,B$3,'Final Calculation Sheet'!$O$4:$O$1000)</f>
        <v/>
      </c>
      <c r="C21" s="95">
        <f>SUMIF('Final Calculation Sheet'!$G$4:$G$1000,C$3,'Final Calculation Sheet'!$O$4:$O$1000)</f>
        <v/>
      </c>
      <c r="D21" s="514">
        <f>SUMIF('Final Calculation Sheet'!$G$4:$G$1000,D$3,'Final Calculation Sheet'!$O$4:$O$1000)</f>
        <v/>
      </c>
      <c r="E21" s="185">
        <f>SUMIF('Final Calculation Sheet'!$G$4:$G$1000,E$3,'Final Calculation Sheet'!$O$4:$O$1000)</f>
        <v/>
      </c>
      <c r="F21" s="515">
        <f>SUMIF('Final Calculation Sheet'!$G$4:$G$1000,F$3,'Final Calculation Sheet'!$O$4:$O$1000)</f>
        <v/>
      </c>
      <c r="G21" s="138">
        <f>SUMIF('Final Calculation Sheet'!$G$4:$G$1000,G$3,'Final Calculation Sheet'!$O$4:$O$1000)</f>
        <v/>
      </c>
      <c r="H21" s="516">
        <f>SUMIF('Final Calculation Sheet'!$G$4:$G$1000,H$3,'Final Calculation Sheet'!$O$4:$O$1000)</f>
        <v/>
      </c>
      <c r="I21" s="163">
        <f>SUMIF('Final Calculation Sheet'!$G$4:$G$1000,I$3,'Final Calculation Sheet'!$O$4:$O$1000)</f>
        <v/>
      </c>
      <c r="J21" s="513">
        <f>SUMIF('Final Calculation Sheet'!$G$4:$G$1000,J$3,'Final Calculation Sheet'!$O$4:$O$1000)</f>
        <v/>
      </c>
      <c r="K21" s="95">
        <f>SUMIF('Final Calculation Sheet'!$G$4:$G$1000,K$3,'Final Calculation Sheet'!$O$4:$O$1000)</f>
        <v/>
      </c>
      <c r="L21" s="514">
        <f>SUMIF('Final Calculation Sheet'!$G$4:$G$1000,L$3,'Final Calculation Sheet'!$O$4:$O$1000)</f>
        <v/>
      </c>
      <c r="M21" s="185">
        <f>SUMIF('Final Calculation Sheet'!$G$4:$G$1000,M$3,'Final Calculation Sheet'!$O$4:$O$1000)</f>
        <v/>
      </c>
      <c r="N21" s="515">
        <f>SUMIF('Final Calculation Sheet'!$G$4:$G$1000,N$3,'Final Calculation Sheet'!$O$4:$O$1000)</f>
        <v/>
      </c>
      <c r="O21" s="416">
        <f>SUM(B21:N21)</f>
        <v/>
      </c>
    </row>
    <row r="22" outlineLevel="1" ht="15" customHeight="1">
      <c r="A22" s="69" t="inlineStr">
        <is>
          <t xml:space="preserve">      Svc Charge to MSTC (₹)</t>
        </is>
      </c>
      <c r="B22" s="500">
        <f>SUMIF('Final Calculation Sheet'!$G$4:$G$1000,B$3,'Final Calculation Sheet'!$P$4:$P$1000)</f>
        <v/>
      </c>
      <c r="C22" s="88">
        <f>SUMIF('Final Calculation Sheet'!$G$4:$G$1000,C$3,'Final Calculation Sheet'!$P$4:$P$1000)</f>
        <v/>
      </c>
      <c r="D22" s="501">
        <f>SUMIF('Final Calculation Sheet'!$G$4:$G$1000,D$3,'Final Calculation Sheet'!$P$4:$P$1000)</f>
        <v/>
      </c>
      <c r="E22" s="181">
        <f>SUMIF('Final Calculation Sheet'!$G$4:$G$1000,E$3,'Final Calculation Sheet'!$P$4:$P$1000)</f>
        <v/>
      </c>
      <c r="F22" s="502">
        <f>SUMIF('Final Calculation Sheet'!$G$4:$G$1000,F$3,'Final Calculation Sheet'!$P$4:$P$1000)</f>
        <v/>
      </c>
      <c r="G22" s="131">
        <f>SUMIF('Final Calculation Sheet'!$G$4:$G$1000,G$3,'Final Calculation Sheet'!$P$4:$P$1000)</f>
        <v/>
      </c>
      <c r="H22" s="503">
        <f>SUMIF('Final Calculation Sheet'!$G$4:$G$1000,H$3,'Final Calculation Sheet'!$P$4:$P$1000)</f>
        <v/>
      </c>
      <c r="I22" s="156">
        <f>SUMIF('Final Calculation Sheet'!$G$4:$G$1000,I$3,'Final Calculation Sheet'!$P$4:$P$1000)</f>
        <v/>
      </c>
      <c r="J22" s="500">
        <f>SUMIF('Final Calculation Sheet'!$G$4:$G$1000,J$3,'Final Calculation Sheet'!$P$4:$P$1000)</f>
        <v/>
      </c>
      <c r="K22" s="88">
        <f>SUMIF('Final Calculation Sheet'!$G$4:$G$1000,K$3,'Final Calculation Sheet'!$P$4:$P$1000)</f>
        <v/>
      </c>
      <c r="L22" s="501">
        <f>SUMIF('Final Calculation Sheet'!$G$4:$G$1000,L$3,'Final Calculation Sheet'!$P$4:$P$1000)</f>
        <v/>
      </c>
      <c r="M22" s="181">
        <f>SUMIF('Final Calculation Sheet'!$G$4:$G$1000,M$3,'Final Calculation Sheet'!$P$4:$P$1000)</f>
        <v/>
      </c>
      <c r="N22" s="502">
        <f>SUMIF('Final Calculation Sheet'!$G$4:$G$1000,N$3,'Final Calculation Sheet'!$P$4:$P$1000)</f>
        <v/>
      </c>
      <c r="O22" s="414">
        <f>SUM(B22:N22)</f>
        <v/>
      </c>
    </row>
    <row r="23" outlineLevel="1" ht="15" customHeight="1">
      <c r="A23" s="69" t="inlineStr">
        <is>
          <t xml:space="preserve">      GST TDS (₹)</t>
        </is>
      </c>
      <c r="B23" s="500">
        <f>SUMIF('Final Calculation Sheet'!$G$4:$G$1000,B$3,'Final Calculation Sheet'!$R$4:$R$1000)</f>
        <v/>
      </c>
      <c r="C23" s="88">
        <f>SUMIF('Final Calculation Sheet'!$G$4:$G$1000,C$3,'Final Calculation Sheet'!$R$4:$R$1000)</f>
        <v/>
      </c>
      <c r="D23" s="501">
        <f>SUMIF('Final Calculation Sheet'!$G$4:$G$1000,D$3,'Final Calculation Sheet'!$R$4:$R$1000)</f>
        <v/>
      </c>
      <c r="E23" s="181">
        <f>SUMIF('Final Calculation Sheet'!$G$4:$G$1000,E$3,'Final Calculation Sheet'!$R$4:$R$1000)</f>
        <v/>
      </c>
      <c r="F23" s="502">
        <f>SUMIF('Final Calculation Sheet'!$G$4:$G$1000,F$3,'Final Calculation Sheet'!$R$4:$R$1000)</f>
        <v/>
      </c>
      <c r="G23" s="131">
        <f>SUMIF('Final Calculation Sheet'!$G$4:$G$1000,G$3,'Final Calculation Sheet'!$R$4:$R$1000)</f>
        <v/>
      </c>
      <c r="H23" s="503">
        <f>SUMIF('Final Calculation Sheet'!$G$4:$G$1000,H$3,'Final Calculation Sheet'!$R$4:$R$1000)</f>
        <v/>
      </c>
      <c r="I23" s="156">
        <f>SUMIF('Final Calculation Sheet'!$G$4:$G$1000,I$3,'Final Calculation Sheet'!$R$4:$R$1000)</f>
        <v/>
      </c>
      <c r="J23" s="500">
        <f>SUMIF('Final Calculation Sheet'!$G$4:$G$1000,J$3,'Final Calculation Sheet'!$R$4:$R$1000)</f>
        <v/>
      </c>
      <c r="K23" s="88">
        <f>SUMIF('Final Calculation Sheet'!$G$4:$G$1000,K$3,'Final Calculation Sheet'!$R$4:$R$1000)</f>
        <v/>
      </c>
      <c r="L23" s="501">
        <f>SUMIF('Final Calculation Sheet'!$G$4:$G$1000,L$3,'Final Calculation Sheet'!$R$4:$R$1000)</f>
        <v/>
      </c>
      <c r="M23" s="181">
        <f>SUMIF('Final Calculation Sheet'!$G$4:$G$1000,M$3,'Final Calculation Sheet'!$R$4:$R$1000)</f>
        <v/>
      </c>
      <c r="N23" s="502">
        <f>SUMIF('Final Calculation Sheet'!$G$4:$G$1000,N$3,'Final Calculation Sheet'!$R$4:$R$1000)</f>
        <v/>
      </c>
      <c r="O23" s="414">
        <f>SUM(B23:N23)</f>
        <v/>
      </c>
    </row>
    <row r="24" outlineLevel="1" ht="15" customHeight="1">
      <c r="A24" s="69" t="inlineStr">
        <is>
          <t xml:space="preserve">      GST TDS % (effective)</t>
        </is>
      </c>
      <c r="B24" s="517">
        <f>IFERROR(SUMIF('Final Calculation Sheet'!$G$4:$G$1000,B$3,'Final Calculation Sheet'!$R$4:$R$1000)/SUMIF('Final Calculation Sheet'!$G$4:$G$1000,B$3,'Final Calculation Sheet'!$H$4:$H$1000),"")</f>
        <v/>
      </c>
      <c r="C24" s="518">
        <f>IFERROR(SUMIF('Final Calculation Sheet'!$G$4:$G$1000,C$3,'Final Calculation Sheet'!$R$4:$R$1000)/SUMIF('Final Calculation Sheet'!$G$4:$G$1000,C$3,'Final Calculation Sheet'!$H$4:$H$1000),"")</f>
        <v/>
      </c>
      <c r="D24" s="519">
        <f>IFERROR(SUMIF('Final Calculation Sheet'!$G$4:$G$1000,D$3,'Final Calculation Sheet'!$R$4:$R$1000)/SUMIF('Final Calculation Sheet'!$G$4:$G$1000,D$3,'Final Calculation Sheet'!$H$4:$H$1000),"")</f>
        <v/>
      </c>
      <c r="E24" s="520">
        <f>IFERROR(SUMIF('Final Calculation Sheet'!$G$4:$G$1000,E$3,'Final Calculation Sheet'!$R$4:$R$1000)/SUMIF('Final Calculation Sheet'!$G$4:$G$1000,E$3,'Final Calculation Sheet'!$H$4:$H$1000),"")</f>
        <v/>
      </c>
      <c r="F24" s="521">
        <f>IFERROR(SUMIF('Final Calculation Sheet'!$G$4:$G$1000,F$3,'Final Calculation Sheet'!$R$4:$R$1000)/SUMIF('Final Calculation Sheet'!$G$4:$G$1000,F$3,'Final Calculation Sheet'!$H$4:$H$1000),"")</f>
        <v/>
      </c>
      <c r="G24" s="522">
        <f>IFERROR(SUMIF('Final Calculation Sheet'!$G$4:$G$1000,G$3,'Final Calculation Sheet'!$R$4:$R$1000)/SUMIF('Final Calculation Sheet'!$G$4:$G$1000,G$3,'Final Calculation Sheet'!$H$4:$H$1000),"")</f>
        <v/>
      </c>
      <c r="H24" s="523">
        <f>IFERROR(SUMIF('Final Calculation Sheet'!$G$4:$G$1000,H$3,'Final Calculation Sheet'!$R$4:$R$1000)/SUMIF('Final Calculation Sheet'!$G$4:$G$1000,H$3,'Final Calculation Sheet'!$H$4:$H$1000),"")</f>
        <v/>
      </c>
      <c r="I24" s="524">
        <f>IFERROR(SUMIF('Final Calculation Sheet'!$G$4:$G$1000,I$3,'Final Calculation Sheet'!$R$4:$R$1000)/SUMIF('Final Calculation Sheet'!$G$4:$G$1000,I$3,'Final Calculation Sheet'!$H$4:$H$1000),"")</f>
        <v/>
      </c>
      <c r="J24" s="517">
        <f>IFERROR(SUMIF('Final Calculation Sheet'!$G$4:$G$1000,J$3,'Final Calculation Sheet'!$R$4:$R$1000)/SUMIF('Final Calculation Sheet'!$G$4:$G$1000,J$3,'Final Calculation Sheet'!$H$4:$H$1000),"")</f>
        <v/>
      </c>
      <c r="K24" s="518">
        <f>IFERROR(SUMIF('Final Calculation Sheet'!$G$4:$G$1000,K$3,'Final Calculation Sheet'!$R$4:$R$1000)/SUMIF('Final Calculation Sheet'!$G$4:$G$1000,K$3,'Final Calculation Sheet'!$H$4:$H$1000),"")</f>
        <v/>
      </c>
      <c r="L24" s="519">
        <f>IFERROR(SUMIF('Final Calculation Sheet'!$G$4:$G$1000,L$3,'Final Calculation Sheet'!$R$4:$R$1000)/SUMIF('Final Calculation Sheet'!$G$4:$G$1000,L$3,'Final Calculation Sheet'!$H$4:$H$1000),"")</f>
        <v/>
      </c>
      <c r="M24" s="520">
        <f>IFERROR(SUMIF('Final Calculation Sheet'!$G$4:$G$1000,M$3,'Final Calculation Sheet'!$R$4:$R$1000)/SUMIF('Final Calculation Sheet'!$G$4:$G$1000,M$3,'Final Calculation Sheet'!$H$4:$H$1000),"")</f>
        <v/>
      </c>
      <c r="N24" s="521">
        <f>IFERROR(SUMIF('Final Calculation Sheet'!$G$4:$G$1000,N$3,'Final Calculation Sheet'!$R$4:$R$1000)/SUMIF('Final Calculation Sheet'!$G$4:$G$1000,N$3,'Final Calculation Sheet'!$H$4:$H$1000),"")</f>
        <v/>
      </c>
      <c r="O24" s="525">
        <f>IFERROR(O23/O6,"")</f>
        <v/>
      </c>
    </row>
    <row r="25" outlineLevel="1" ht="15" customHeight="1">
      <c r="A25" s="69" t="inlineStr">
        <is>
          <t xml:space="preserve">      Total Receivables (₹)</t>
        </is>
      </c>
      <c r="B25" s="500">
        <f>SUMIF('Final Calculation Sheet'!$G$4:$G$1000,B$3,'Final Calculation Sheet'!$S$4:$S$1000)</f>
        <v/>
      </c>
      <c r="C25" s="88">
        <f>SUMIF('Final Calculation Sheet'!$G$4:$G$1000,C$3,'Final Calculation Sheet'!$S$4:$S$1000)</f>
        <v/>
      </c>
      <c r="D25" s="501">
        <f>SUMIF('Final Calculation Sheet'!$G$4:$G$1000,D$3,'Final Calculation Sheet'!$S$4:$S$1000)</f>
        <v/>
      </c>
      <c r="E25" s="181">
        <f>SUMIF('Final Calculation Sheet'!$G$4:$G$1000,E$3,'Final Calculation Sheet'!$S$4:$S$1000)</f>
        <v/>
      </c>
      <c r="F25" s="502">
        <f>SUMIF('Final Calculation Sheet'!$G$4:$G$1000,F$3,'Final Calculation Sheet'!$S$4:$S$1000)</f>
        <v/>
      </c>
      <c r="G25" s="131">
        <f>SUMIF('Final Calculation Sheet'!$G$4:$G$1000,G$3,'Final Calculation Sheet'!$S$4:$S$1000)</f>
        <v/>
      </c>
      <c r="H25" s="503">
        <f>SUMIF('Final Calculation Sheet'!$G$4:$G$1000,H$3,'Final Calculation Sheet'!$S$4:$S$1000)</f>
        <v/>
      </c>
      <c r="I25" s="156">
        <f>SUMIF('Final Calculation Sheet'!$G$4:$G$1000,I$3,'Final Calculation Sheet'!$S$4:$S$1000)</f>
        <v/>
      </c>
      <c r="J25" s="500">
        <f>SUMIF('Final Calculation Sheet'!$G$4:$G$1000,J$3,'Final Calculation Sheet'!$S$4:$S$1000)</f>
        <v/>
      </c>
      <c r="K25" s="88">
        <f>SUMIF('Final Calculation Sheet'!$G$4:$G$1000,K$3,'Final Calculation Sheet'!$S$4:$S$1000)</f>
        <v/>
      </c>
      <c r="L25" s="501">
        <f>SUMIF('Final Calculation Sheet'!$G$4:$G$1000,L$3,'Final Calculation Sheet'!$S$4:$S$1000)</f>
        <v/>
      </c>
      <c r="M25" s="181">
        <f>SUMIF('Final Calculation Sheet'!$G$4:$G$1000,M$3,'Final Calculation Sheet'!$S$4:$S$1000)</f>
        <v/>
      </c>
      <c r="N25" s="502">
        <f>SUMIF('Final Calculation Sheet'!$G$4:$G$1000,N$3,'Final Calculation Sheet'!$S$4:$S$1000)</f>
        <v/>
      </c>
      <c r="O25" s="414">
        <f>SUM(B25:N25)</f>
        <v/>
      </c>
    </row>
    <row r="26" ht="17" customHeight="1">
      <c r="A26" s="419" t="inlineStr">
        <is>
          <t xml:space="preserve">  ▸ SECURITY DEPOSIT</t>
        </is>
      </c>
      <c r="B26" s="387" t="n"/>
      <c r="C26" s="387" t="n"/>
      <c r="D26" s="387" t="n"/>
      <c r="E26" s="387" t="n"/>
      <c r="F26" s="387" t="n"/>
      <c r="G26" s="387" t="n"/>
      <c r="H26" s="387" t="n"/>
      <c r="I26" s="387" t="n"/>
      <c r="J26" s="387" t="n"/>
      <c r="K26" s="387" t="n"/>
      <c r="L26" s="387" t="n"/>
      <c r="M26" s="387" t="n"/>
      <c r="N26" s="387" t="n"/>
      <c r="O26" s="387" t="n"/>
    </row>
    <row r="27" outlineLevel="1" ht="15" customHeight="1">
      <c r="A27" s="69" t="inlineStr">
        <is>
          <t xml:space="preserve">      SD Expected (₹)</t>
        </is>
      </c>
      <c r="B27" s="500">
        <f>SUMIF('Final Calculation Sheet'!$G$4:$G$1000,B$3,'Final Calculation Sheet'!$T$4:$T$1000)</f>
        <v/>
      </c>
      <c r="C27" s="88">
        <f>SUMIF('Final Calculation Sheet'!$G$4:$G$1000,C$3,'Final Calculation Sheet'!$T$4:$T$1000)</f>
        <v/>
      </c>
      <c r="D27" s="501">
        <f>SUMIF('Final Calculation Sheet'!$G$4:$G$1000,D$3,'Final Calculation Sheet'!$T$4:$T$1000)</f>
        <v/>
      </c>
      <c r="E27" s="181">
        <f>SUMIF('Final Calculation Sheet'!$G$4:$G$1000,E$3,'Final Calculation Sheet'!$T$4:$T$1000)</f>
        <v/>
      </c>
      <c r="F27" s="502">
        <f>SUMIF('Final Calculation Sheet'!$G$4:$G$1000,F$3,'Final Calculation Sheet'!$T$4:$T$1000)</f>
        <v/>
      </c>
      <c r="G27" s="131">
        <f>SUMIF('Final Calculation Sheet'!$G$4:$G$1000,G$3,'Final Calculation Sheet'!$T$4:$T$1000)</f>
        <v/>
      </c>
      <c r="H27" s="503">
        <f>SUMIF('Final Calculation Sheet'!$G$4:$G$1000,H$3,'Final Calculation Sheet'!$T$4:$T$1000)</f>
        <v/>
      </c>
      <c r="I27" s="156">
        <f>SUMIF('Final Calculation Sheet'!$G$4:$G$1000,I$3,'Final Calculation Sheet'!$T$4:$T$1000)</f>
        <v/>
      </c>
      <c r="J27" s="500">
        <f>SUMIF('Final Calculation Sheet'!$G$4:$G$1000,J$3,'Final Calculation Sheet'!$T$4:$T$1000)</f>
        <v/>
      </c>
      <c r="K27" s="88">
        <f>SUMIF('Final Calculation Sheet'!$G$4:$G$1000,K$3,'Final Calculation Sheet'!$T$4:$T$1000)</f>
        <v/>
      </c>
      <c r="L27" s="501">
        <f>SUMIF('Final Calculation Sheet'!$G$4:$G$1000,L$3,'Final Calculation Sheet'!$T$4:$T$1000)</f>
        <v/>
      </c>
      <c r="M27" s="181">
        <f>SUMIF('Final Calculation Sheet'!$G$4:$G$1000,M$3,'Final Calculation Sheet'!$T$4:$T$1000)</f>
        <v/>
      </c>
      <c r="N27" s="502">
        <f>SUMIF('Final Calculation Sheet'!$G$4:$G$1000,N$3,'Final Calculation Sheet'!$T$4:$T$1000)</f>
        <v/>
      </c>
      <c r="O27" s="414">
        <f>SUM(B27:N27)</f>
        <v/>
      </c>
    </row>
    <row r="28" outlineLevel="1" ht="15" customHeight="1">
      <c r="A28" s="69" t="inlineStr">
        <is>
          <t xml:space="preserve">      SD Received (₹)</t>
        </is>
      </c>
      <c r="B28" s="500">
        <f>SUMIF('Final Calculation Sheet'!$G$4:$G$1000,B$3,'Final Calculation Sheet'!$U$4:$U$1000)</f>
        <v/>
      </c>
      <c r="C28" s="88">
        <f>SUMIF('Final Calculation Sheet'!$G$4:$G$1000,C$3,'Final Calculation Sheet'!$U$4:$U$1000)</f>
        <v/>
      </c>
      <c r="D28" s="501">
        <f>SUMIF('Final Calculation Sheet'!$G$4:$G$1000,D$3,'Final Calculation Sheet'!$U$4:$U$1000)</f>
        <v/>
      </c>
      <c r="E28" s="181">
        <f>SUMIF('Final Calculation Sheet'!$G$4:$G$1000,E$3,'Final Calculation Sheet'!$U$4:$U$1000)</f>
        <v/>
      </c>
      <c r="F28" s="502">
        <f>SUMIF('Final Calculation Sheet'!$G$4:$G$1000,F$3,'Final Calculation Sheet'!$U$4:$U$1000)</f>
        <v/>
      </c>
      <c r="G28" s="131">
        <f>SUMIF('Final Calculation Sheet'!$G$4:$G$1000,G$3,'Final Calculation Sheet'!$U$4:$U$1000)</f>
        <v/>
      </c>
      <c r="H28" s="503">
        <f>SUMIF('Final Calculation Sheet'!$G$4:$G$1000,H$3,'Final Calculation Sheet'!$U$4:$U$1000)</f>
        <v/>
      </c>
      <c r="I28" s="156">
        <f>SUMIF('Final Calculation Sheet'!$G$4:$G$1000,I$3,'Final Calculation Sheet'!$U$4:$U$1000)</f>
        <v/>
      </c>
      <c r="J28" s="500">
        <f>SUMIF('Final Calculation Sheet'!$G$4:$G$1000,J$3,'Final Calculation Sheet'!$U$4:$U$1000)</f>
        <v/>
      </c>
      <c r="K28" s="88">
        <f>SUMIF('Final Calculation Sheet'!$G$4:$G$1000,K$3,'Final Calculation Sheet'!$U$4:$U$1000)</f>
        <v/>
      </c>
      <c r="L28" s="501">
        <f>SUMIF('Final Calculation Sheet'!$G$4:$G$1000,L$3,'Final Calculation Sheet'!$U$4:$U$1000)</f>
        <v/>
      </c>
      <c r="M28" s="181">
        <f>SUMIF('Final Calculation Sheet'!$G$4:$G$1000,M$3,'Final Calculation Sheet'!$U$4:$U$1000)</f>
        <v/>
      </c>
      <c r="N28" s="502">
        <f>SUMIF('Final Calculation Sheet'!$G$4:$G$1000,N$3,'Final Calculation Sheet'!$U$4:$U$1000)</f>
        <v/>
      </c>
      <c r="O28" s="414">
        <f>SUM(B28:N28)</f>
        <v/>
      </c>
    </row>
    <row r="29" outlineLevel="1" ht="15" customHeight="1">
      <c r="A29" s="69" t="inlineStr">
        <is>
          <t xml:space="preserve">      SD Outstanding (₹)</t>
        </is>
      </c>
      <c r="B29" s="500">
        <f>SUMIF('Final Calculation Sheet'!$G$4:$G$1000,B$3,'Final Calculation Sheet'!$T$4:$T$1000)-SUMIF('Final Calculation Sheet'!$G$4:$G$1000,B$3,'Final Calculation Sheet'!$U$4:$U$1000)</f>
        <v/>
      </c>
      <c r="C29" s="88">
        <f>SUMIF('Final Calculation Sheet'!$G$4:$G$1000,C$3,'Final Calculation Sheet'!$T$4:$T$1000)-SUMIF('Final Calculation Sheet'!$G$4:$G$1000,C$3,'Final Calculation Sheet'!$U$4:$U$1000)</f>
        <v/>
      </c>
      <c r="D29" s="501">
        <f>SUMIF('Final Calculation Sheet'!$G$4:$G$1000,D$3,'Final Calculation Sheet'!$T$4:$T$1000)-SUMIF('Final Calculation Sheet'!$G$4:$G$1000,D$3,'Final Calculation Sheet'!$U$4:$U$1000)</f>
        <v/>
      </c>
      <c r="E29" s="181">
        <f>SUMIF('Final Calculation Sheet'!$G$4:$G$1000,E$3,'Final Calculation Sheet'!$T$4:$T$1000)-SUMIF('Final Calculation Sheet'!$G$4:$G$1000,E$3,'Final Calculation Sheet'!$U$4:$U$1000)</f>
        <v/>
      </c>
      <c r="F29" s="502">
        <f>SUMIF('Final Calculation Sheet'!$G$4:$G$1000,F$3,'Final Calculation Sheet'!$T$4:$T$1000)-SUMIF('Final Calculation Sheet'!$G$4:$G$1000,F$3,'Final Calculation Sheet'!$U$4:$U$1000)</f>
        <v/>
      </c>
      <c r="G29" s="131">
        <f>SUMIF('Final Calculation Sheet'!$G$4:$G$1000,G$3,'Final Calculation Sheet'!$T$4:$T$1000)-SUMIF('Final Calculation Sheet'!$G$4:$G$1000,G$3,'Final Calculation Sheet'!$U$4:$U$1000)</f>
        <v/>
      </c>
      <c r="H29" s="503">
        <f>SUMIF('Final Calculation Sheet'!$G$4:$G$1000,H$3,'Final Calculation Sheet'!$T$4:$T$1000)-SUMIF('Final Calculation Sheet'!$G$4:$G$1000,H$3,'Final Calculation Sheet'!$U$4:$U$1000)</f>
        <v/>
      </c>
      <c r="I29" s="156">
        <f>SUMIF('Final Calculation Sheet'!$G$4:$G$1000,I$3,'Final Calculation Sheet'!$T$4:$T$1000)-SUMIF('Final Calculation Sheet'!$G$4:$G$1000,I$3,'Final Calculation Sheet'!$U$4:$U$1000)</f>
        <v/>
      </c>
      <c r="J29" s="500">
        <f>SUMIF('Final Calculation Sheet'!$G$4:$G$1000,J$3,'Final Calculation Sheet'!$T$4:$T$1000)-SUMIF('Final Calculation Sheet'!$G$4:$G$1000,J$3,'Final Calculation Sheet'!$U$4:$U$1000)</f>
        <v/>
      </c>
      <c r="K29" s="88">
        <f>SUMIF('Final Calculation Sheet'!$G$4:$G$1000,K$3,'Final Calculation Sheet'!$T$4:$T$1000)-SUMIF('Final Calculation Sheet'!$G$4:$G$1000,K$3,'Final Calculation Sheet'!$U$4:$U$1000)</f>
        <v/>
      </c>
      <c r="L29" s="501">
        <f>SUMIF('Final Calculation Sheet'!$G$4:$G$1000,L$3,'Final Calculation Sheet'!$T$4:$T$1000)-SUMIF('Final Calculation Sheet'!$G$4:$G$1000,L$3,'Final Calculation Sheet'!$U$4:$U$1000)</f>
        <v/>
      </c>
      <c r="M29" s="181">
        <f>SUMIF('Final Calculation Sheet'!$G$4:$G$1000,M$3,'Final Calculation Sheet'!$T$4:$T$1000)-SUMIF('Final Calculation Sheet'!$G$4:$G$1000,M$3,'Final Calculation Sheet'!$U$4:$U$1000)</f>
        <v/>
      </c>
      <c r="N29" s="502">
        <f>SUMIF('Final Calculation Sheet'!$G$4:$G$1000,N$3,'Final Calculation Sheet'!$T$4:$T$1000)-SUMIF('Final Calculation Sheet'!$G$4:$G$1000,N$3,'Final Calculation Sheet'!$U$4:$U$1000)</f>
        <v/>
      </c>
      <c r="O29" s="414">
        <f>O27-O28</f>
        <v/>
      </c>
    </row>
    <row r="30" ht="17" customHeight="1">
      <c r="A30" s="420" t="inlineStr">
        <is>
          <t xml:space="preserve">  ▸ FINAL PAYMENT</t>
        </is>
      </c>
      <c r="B30" s="388" t="n"/>
      <c r="C30" s="388" t="n"/>
      <c r="D30" s="388" t="n"/>
      <c r="E30" s="388" t="n"/>
      <c r="F30" s="388" t="n"/>
      <c r="G30" s="388" t="n"/>
      <c r="H30" s="388" t="n"/>
      <c r="I30" s="388" t="n"/>
      <c r="J30" s="388" t="n"/>
      <c r="K30" s="388" t="n"/>
      <c r="L30" s="388" t="n"/>
      <c r="M30" s="388" t="n"/>
      <c r="N30" s="388" t="n"/>
      <c r="O30" s="388" t="n"/>
    </row>
    <row r="31" outlineLevel="1" ht="15" customHeight="1">
      <c r="A31" s="69" t="inlineStr">
        <is>
          <t xml:space="preserve">      FP Expected (₹)</t>
        </is>
      </c>
      <c r="B31" s="500">
        <f>SUMIF('Final Calculation Sheet'!$G$4:$G$1000,B$3,'Final Calculation Sheet'!$W$4:$W$1000)</f>
        <v/>
      </c>
      <c r="C31" s="88">
        <f>SUMIF('Final Calculation Sheet'!$G$4:$G$1000,C$3,'Final Calculation Sheet'!$W$4:$W$1000)</f>
        <v/>
      </c>
      <c r="D31" s="501">
        <f>SUMIF('Final Calculation Sheet'!$G$4:$G$1000,D$3,'Final Calculation Sheet'!$W$4:$W$1000)</f>
        <v/>
      </c>
      <c r="E31" s="181">
        <f>SUMIF('Final Calculation Sheet'!$G$4:$G$1000,E$3,'Final Calculation Sheet'!$W$4:$W$1000)</f>
        <v/>
      </c>
      <c r="F31" s="502">
        <f>SUMIF('Final Calculation Sheet'!$G$4:$G$1000,F$3,'Final Calculation Sheet'!$W$4:$W$1000)</f>
        <v/>
      </c>
      <c r="G31" s="131">
        <f>SUMIF('Final Calculation Sheet'!$G$4:$G$1000,G$3,'Final Calculation Sheet'!$W$4:$W$1000)</f>
        <v/>
      </c>
      <c r="H31" s="503">
        <f>SUMIF('Final Calculation Sheet'!$G$4:$G$1000,H$3,'Final Calculation Sheet'!$W$4:$W$1000)</f>
        <v/>
      </c>
      <c r="I31" s="156">
        <f>SUMIF('Final Calculation Sheet'!$G$4:$G$1000,I$3,'Final Calculation Sheet'!$W$4:$W$1000)</f>
        <v/>
      </c>
      <c r="J31" s="500">
        <f>SUMIF('Final Calculation Sheet'!$G$4:$G$1000,J$3,'Final Calculation Sheet'!$W$4:$W$1000)</f>
        <v/>
      </c>
      <c r="K31" s="88">
        <f>SUMIF('Final Calculation Sheet'!$G$4:$G$1000,K$3,'Final Calculation Sheet'!$W$4:$W$1000)</f>
        <v/>
      </c>
      <c r="L31" s="501">
        <f>SUMIF('Final Calculation Sheet'!$G$4:$G$1000,L$3,'Final Calculation Sheet'!$W$4:$W$1000)</f>
        <v/>
      </c>
      <c r="M31" s="181">
        <f>SUMIF('Final Calculation Sheet'!$G$4:$G$1000,M$3,'Final Calculation Sheet'!$W$4:$W$1000)</f>
        <v/>
      </c>
      <c r="N31" s="502">
        <f>SUMIF('Final Calculation Sheet'!$G$4:$G$1000,N$3,'Final Calculation Sheet'!$W$4:$W$1000)</f>
        <v/>
      </c>
      <c r="O31" s="414">
        <f>SUM(B31:N31)</f>
        <v/>
      </c>
    </row>
    <row r="32" outlineLevel="1" ht="15" customHeight="1">
      <c r="A32" s="69" t="inlineStr">
        <is>
          <t xml:space="preserve">      FP Received (₹)</t>
        </is>
      </c>
      <c r="B32" s="500">
        <f>SUMIF('Final Calculation Sheet'!$G$4:$G$1000,B$3,'Final Calculation Sheet'!$X$4:$X$1000)</f>
        <v/>
      </c>
      <c r="C32" s="88">
        <f>SUMIF('Final Calculation Sheet'!$G$4:$G$1000,C$3,'Final Calculation Sheet'!$X$4:$X$1000)</f>
        <v/>
      </c>
      <c r="D32" s="501">
        <f>SUMIF('Final Calculation Sheet'!$G$4:$G$1000,D$3,'Final Calculation Sheet'!$X$4:$X$1000)</f>
        <v/>
      </c>
      <c r="E32" s="181">
        <f>SUMIF('Final Calculation Sheet'!$G$4:$G$1000,E$3,'Final Calculation Sheet'!$X$4:$X$1000)</f>
        <v/>
      </c>
      <c r="F32" s="502">
        <f>SUMIF('Final Calculation Sheet'!$G$4:$G$1000,F$3,'Final Calculation Sheet'!$X$4:$X$1000)</f>
        <v/>
      </c>
      <c r="G32" s="131">
        <f>SUMIF('Final Calculation Sheet'!$G$4:$G$1000,G$3,'Final Calculation Sheet'!$X$4:$X$1000)</f>
        <v/>
      </c>
      <c r="H32" s="503">
        <f>SUMIF('Final Calculation Sheet'!$G$4:$G$1000,H$3,'Final Calculation Sheet'!$X$4:$X$1000)</f>
        <v/>
      </c>
      <c r="I32" s="156">
        <f>SUMIF('Final Calculation Sheet'!$G$4:$G$1000,I$3,'Final Calculation Sheet'!$X$4:$X$1000)</f>
        <v/>
      </c>
      <c r="J32" s="500">
        <f>SUMIF('Final Calculation Sheet'!$G$4:$G$1000,J$3,'Final Calculation Sheet'!$X$4:$X$1000)</f>
        <v/>
      </c>
      <c r="K32" s="88">
        <f>SUMIF('Final Calculation Sheet'!$G$4:$G$1000,K$3,'Final Calculation Sheet'!$X$4:$X$1000)</f>
        <v/>
      </c>
      <c r="L32" s="501">
        <f>SUMIF('Final Calculation Sheet'!$G$4:$G$1000,L$3,'Final Calculation Sheet'!$X$4:$X$1000)</f>
        <v/>
      </c>
      <c r="M32" s="181">
        <f>SUMIF('Final Calculation Sheet'!$G$4:$G$1000,M$3,'Final Calculation Sheet'!$X$4:$X$1000)</f>
        <v/>
      </c>
      <c r="N32" s="502">
        <f>SUMIF('Final Calculation Sheet'!$G$4:$G$1000,N$3,'Final Calculation Sheet'!$X$4:$X$1000)</f>
        <v/>
      </c>
      <c r="O32" s="414">
        <f>SUM(B32:N32)</f>
        <v/>
      </c>
    </row>
    <row r="33" outlineLevel="1" ht="15" customHeight="1">
      <c r="A33" s="69" t="inlineStr">
        <is>
          <t xml:space="preserve">      FP Outstanding (₹)</t>
        </is>
      </c>
      <c r="B33" s="500">
        <f>SUMIF('Final Calculation Sheet'!$G$4:$G$1000,B$3,'Final Calculation Sheet'!$W$4:$W$1000)-SUMIF('Final Calculation Sheet'!$G$4:$G$1000,B$3,'Final Calculation Sheet'!$X$4:$X$1000)</f>
        <v/>
      </c>
      <c r="C33" s="88">
        <f>SUMIF('Final Calculation Sheet'!$G$4:$G$1000,C$3,'Final Calculation Sheet'!$W$4:$W$1000)-SUMIF('Final Calculation Sheet'!$G$4:$G$1000,C$3,'Final Calculation Sheet'!$X$4:$X$1000)</f>
        <v/>
      </c>
      <c r="D33" s="501">
        <f>SUMIF('Final Calculation Sheet'!$G$4:$G$1000,D$3,'Final Calculation Sheet'!$W$4:$W$1000)-SUMIF('Final Calculation Sheet'!$G$4:$G$1000,D$3,'Final Calculation Sheet'!$X$4:$X$1000)</f>
        <v/>
      </c>
      <c r="E33" s="181">
        <f>SUMIF('Final Calculation Sheet'!$G$4:$G$1000,E$3,'Final Calculation Sheet'!$W$4:$W$1000)-SUMIF('Final Calculation Sheet'!$G$4:$G$1000,E$3,'Final Calculation Sheet'!$X$4:$X$1000)</f>
        <v/>
      </c>
      <c r="F33" s="502">
        <f>SUMIF('Final Calculation Sheet'!$G$4:$G$1000,F$3,'Final Calculation Sheet'!$W$4:$W$1000)-SUMIF('Final Calculation Sheet'!$G$4:$G$1000,F$3,'Final Calculation Sheet'!$X$4:$X$1000)</f>
        <v/>
      </c>
      <c r="G33" s="131">
        <f>SUMIF('Final Calculation Sheet'!$G$4:$G$1000,G$3,'Final Calculation Sheet'!$W$4:$W$1000)-SUMIF('Final Calculation Sheet'!$G$4:$G$1000,G$3,'Final Calculation Sheet'!$X$4:$X$1000)</f>
        <v/>
      </c>
      <c r="H33" s="503">
        <f>SUMIF('Final Calculation Sheet'!$G$4:$G$1000,H$3,'Final Calculation Sheet'!$W$4:$W$1000)-SUMIF('Final Calculation Sheet'!$G$4:$G$1000,H$3,'Final Calculation Sheet'!$X$4:$X$1000)</f>
        <v/>
      </c>
      <c r="I33" s="156">
        <f>SUMIF('Final Calculation Sheet'!$G$4:$G$1000,I$3,'Final Calculation Sheet'!$W$4:$W$1000)-SUMIF('Final Calculation Sheet'!$G$4:$G$1000,I$3,'Final Calculation Sheet'!$X$4:$X$1000)</f>
        <v/>
      </c>
      <c r="J33" s="500">
        <f>SUMIF('Final Calculation Sheet'!$G$4:$G$1000,J$3,'Final Calculation Sheet'!$W$4:$W$1000)-SUMIF('Final Calculation Sheet'!$G$4:$G$1000,J$3,'Final Calculation Sheet'!$X$4:$X$1000)</f>
        <v/>
      </c>
      <c r="K33" s="88">
        <f>SUMIF('Final Calculation Sheet'!$G$4:$G$1000,K$3,'Final Calculation Sheet'!$W$4:$W$1000)-SUMIF('Final Calculation Sheet'!$G$4:$G$1000,K$3,'Final Calculation Sheet'!$X$4:$X$1000)</f>
        <v/>
      </c>
      <c r="L33" s="501">
        <f>SUMIF('Final Calculation Sheet'!$G$4:$G$1000,L$3,'Final Calculation Sheet'!$W$4:$W$1000)-SUMIF('Final Calculation Sheet'!$G$4:$G$1000,L$3,'Final Calculation Sheet'!$X$4:$X$1000)</f>
        <v/>
      </c>
      <c r="M33" s="181">
        <f>SUMIF('Final Calculation Sheet'!$G$4:$G$1000,M$3,'Final Calculation Sheet'!$W$4:$W$1000)-SUMIF('Final Calculation Sheet'!$G$4:$G$1000,M$3,'Final Calculation Sheet'!$X$4:$X$1000)</f>
        <v/>
      </c>
      <c r="N33" s="502">
        <f>SUMIF('Final Calculation Sheet'!$G$4:$G$1000,N$3,'Final Calculation Sheet'!$W$4:$W$1000)-SUMIF('Final Calculation Sheet'!$G$4:$G$1000,N$3,'Final Calculation Sheet'!$X$4:$X$1000)</f>
        <v/>
      </c>
      <c r="O33" s="414">
        <f>O31-O32</f>
        <v/>
      </c>
    </row>
    <row r="34" ht="17" customHeight="1">
      <c r="A34" s="421" t="inlineStr">
        <is>
          <t xml:space="preserve">  ▸ LPP</t>
        </is>
      </c>
      <c r="B34" s="389" t="n"/>
      <c r="C34" s="389" t="n"/>
      <c r="D34" s="389" t="n"/>
      <c r="E34" s="389" t="n"/>
      <c r="F34" s="389" t="n"/>
      <c r="G34" s="389" t="n"/>
      <c r="H34" s="389" t="n"/>
      <c r="I34" s="389" t="n"/>
      <c r="J34" s="389" t="n"/>
      <c r="K34" s="389" t="n"/>
      <c r="L34" s="389" t="n"/>
      <c r="M34" s="389" t="n"/>
      <c r="N34" s="389" t="n"/>
      <c r="O34" s="389" t="n"/>
    </row>
    <row r="35" outlineLevel="1" ht="15" customHeight="1">
      <c r="A35" s="69" t="inlineStr">
        <is>
          <t xml:space="preserve">      LPP Expected (₹)</t>
        </is>
      </c>
      <c r="B35" s="500">
        <f>SUMIF('Final Calculation Sheet'!$G$4:$G$1000,B$3,'Final Calculation Sheet'!$Z$4:$Z$1000)</f>
        <v/>
      </c>
      <c r="C35" s="88">
        <f>SUMIF('Final Calculation Sheet'!$G$4:$G$1000,C$3,'Final Calculation Sheet'!$Z$4:$Z$1000)</f>
        <v/>
      </c>
      <c r="D35" s="501">
        <f>SUMIF('Final Calculation Sheet'!$G$4:$G$1000,D$3,'Final Calculation Sheet'!$Z$4:$Z$1000)</f>
        <v/>
      </c>
      <c r="E35" s="181">
        <f>SUMIF('Final Calculation Sheet'!$G$4:$G$1000,E$3,'Final Calculation Sheet'!$Z$4:$Z$1000)</f>
        <v/>
      </c>
      <c r="F35" s="502">
        <f>SUMIF('Final Calculation Sheet'!$G$4:$G$1000,F$3,'Final Calculation Sheet'!$Z$4:$Z$1000)</f>
        <v/>
      </c>
      <c r="G35" s="131">
        <f>SUMIF('Final Calculation Sheet'!$G$4:$G$1000,G$3,'Final Calculation Sheet'!$Z$4:$Z$1000)</f>
        <v/>
      </c>
      <c r="H35" s="503">
        <f>SUMIF('Final Calculation Sheet'!$G$4:$G$1000,H$3,'Final Calculation Sheet'!$Z$4:$Z$1000)</f>
        <v/>
      </c>
      <c r="I35" s="156">
        <f>SUMIF('Final Calculation Sheet'!$G$4:$G$1000,I$3,'Final Calculation Sheet'!$Z$4:$Z$1000)</f>
        <v/>
      </c>
      <c r="J35" s="500">
        <f>SUMIF('Final Calculation Sheet'!$G$4:$G$1000,J$3,'Final Calculation Sheet'!$Z$4:$Z$1000)</f>
        <v/>
      </c>
      <c r="K35" s="88">
        <f>SUMIF('Final Calculation Sheet'!$G$4:$G$1000,K$3,'Final Calculation Sheet'!$Z$4:$Z$1000)</f>
        <v/>
      </c>
      <c r="L35" s="501">
        <f>SUMIF('Final Calculation Sheet'!$G$4:$G$1000,L$3,'Final Calculation Sheet'!$Z$4:$Z$1000)</f>
        <v/>
      </c>
      <c r="M35" s="181">
        <f>SUMIF('Final Calculation Sheet'!$G$4:$G$1000,M$3,'Final Calculation Sheet'!$Z$4:$Z$1000)</f>
        <v/>
      </c>
      <c r="N35" s="502">
        <f>SUMIF('Final Calculation Sheet'!$G$4:$G$1000,N$3,'Final Calculation Sheet'!$Z$4:$Z$1000)</f>
        <v/>
      </c>
      <c r="O35" s="414">
        <f>SUM(B35:N35)</f>
        <v/>
      </c>
    </row>
    <row r="36" outlineLevel="1" ht="15" customHeight="1">
      <c r="A36" s="69" t="inlineStr">
        <is>
          <t xml:space="preserve">      LPP Received (₹)</t>
        </is>
      </c>
      <c r="B36" s="500">
        <f>SUMIF('Final Calculation Sheet'!$G$4:$G$1000,B$3,'Final Calculation Sheet'!$AA$4:$AA$1000)</f>
        <v/>
      </c>
      <c r="C36" s="88">
        <f>SUMIF('Final Calculation Sheet'!$G$4:$G$1000,C$3,'Final Calculation Sheet'!$AA$4:$AA$1000)</f>
        <v/>
      </c>
      <c r="D36" s="501">
        <f>SUMIF('Final Calculation Sheet'!$G$4:$G$1000,D$3,'Final Calculation Sheet'!$AA$4:$AA$1000)</f>
        <v/>
      </c>
      <c r="E36" s="181">
        <f>SUMIF('Final Calculation Sheet'!$G$4:$G$1000,E$3,'Final Calculation Sheet'!$AA$4:$AA$1000)</f>
        <v/>
      </c>
      <c r="F36" s="502">
        <f>SUMIF('Final Calculation Sheet'!$G$4:$G$1000,F$3,'Final Calculation Sheet'!$AA$4:$AA$1000)</f>
        <v/>
      </c>
      <c r="G36" s="131">
        <f>SUMIF('Final Calculation Sheet'!$G$4:$G$1000,G$3,'Final Calculation Sheet'!$AA$4:$AA$1000)</f>
        <v/>
      </c>
      <c r="H36" s="503">
        <f>SUMIF('Final Calculation Sheet'!$G$4:$G$1000,H$3,'Final Calculation Sheet'!$AA$4:$AA$1000)</f>
        <v/>
      </c>
      <c r="I36" s="156">
        <f>SUMIF('Final Calculation Sheet'!$G$4:$G$1000,I$3,'Final Calculation Sheet'!$AA$4:$AA$1000)</f>
        <v/>
      </c>
      <c r="J36" s="500">
        <f>SUMIF('Final Calculation Sheet'!$G$4:$G$1000,J$3,'Final Calculation Sheet'!$AA$4:$AA$1000)</f>
        <v/>
      </c>
      <c r="K36" s="88">
        <f>SUMIF('Final Calculation Sheet'!$G$4:$G$1000,K$3,'Final Calculation Sheet'!$AA$4:$AA$1000)</f>
        <v/>
      </c>
      <c r="L36" s="501">
        <f>SUMIF('Final Calculation Sheet'!$G$4:$G$1000,L$3,'Final Calculation Sheet'!$AA$4:$AA$1000)</f>
        <v/>
      </c>
      <c r="M36" s="181">
        <f>SUMIF('Final Calculation Sheet'!$G$4:$G$1000,M$3,'Final Calculation Sheet'!$AA$4:$AA$1000)</f>
        <v/>
      </c>
      <c r="N36" s="502">
        <f>SUMIF('Final Calculation Sheet'!$G$4:$G$1000,N$3,'Final Calculation Sheet'!$AA$4:$AA$1000)</f>
        <v/>
      </c>
      <c r="O36" s="414">
        <f>SUM(B36:N36)</f>
        <v/>
      </c>
    </row>
    <row r="37" ht="17" customHeight="1">
      <c r="A37" s="423" t="inlineStr">
        <is>
          <t xml:space="preserve">  ▸ DOCUMENT</t>
        </is>
      </c>
      <c r="B37" s="390" t="n"/>
      <c r="C37" s="390" t="n"/>
      <c r="D37" s="390" t="n"/>
      <c r="E37" s="390" t="n"/>
      <c r="F37" s="390" t="n"/>
      <c r="G37" s="390" t="n"/>
      <c r="H37" s="390" t="n"/>
      <c r="I37" s="390" t="n"/>
      <c r="J37" s="390" t="n"/>
      <c r="K37" s="390" t="n"/>
      <c r="L37" s="390" t="n"/>
      <c r="M37" s="390" t="n"/>
      <c r="N37" s="390" t="n"/>
      <c r="O37" s="390" t="n"/>
    </row>
    <row r="38" outlineLevel="1" ht="15" customHeight="1">
      <c r="A38" s="69" t="inlineStr">
        <is>
          <t xml:space="preserve">      Invoices raised</t>
        </is>
      </c>
      <c r="B38" s="491">
        <f>COUNTIF('Final Calculation Sheet'!$G$4:$G$1000,B$3)-COUNTIFS('Final Calculation Sheet'!$G$4:$G$1000,B$3,'Final Calculation Sheet'!$AE$4:$AE$1000,"")</f>
        <v/>
      </c>
      <c r="C38" s="492">
        <f>COUNTIF('Final Calculation Sheet'!$G$4:$G$1000,C$3)-COUNTIFS('Final Calculation Sheet'!$G$4:$G$1000,C$3,'Final Calculation Sheet'!$AE$4:$AE$1000,"")</f>
        <v/>
      </c>
      <c r="D38" s="493">
        <f>COUNTIF('Final Calculation Sheet'!$G$4:$G$1000,D$3)-COUNTIFS('Final Calculation Sheet'!$G$4:$G$1000,D$3,'Final Calculation Sheet'!$AE$4:$AE$1000,"")</f>
        <v/>
      </c>
      <c r="E38" s="494">
        <f>COUNTIF('Final Calculation Sheet'!$G$4:$G$1000,E$3)-COUNTIFS('Final Calculation Sheet'!$G$4:$G$1000,E$3,'Final Calculation Sheet'!$AE$4:$AE$1000,"")</f>
        <v/>
      </c>
      <c r="F38" s="495">
        <f>COUNTIF('Final Calculation Sheet'!$G$4:$G$1000,F$3)-COUNTIFS('Final Calculation Sheet'!$G$4:$G$1000,F$3,'Final Calculation Sheet'!$AE$4:$AE$1000,"")</f>
        <v/>
      </c>
      <c r="G38" s="496">
        <f>COUNTIF('Final Calculation Sheet'!$G$4:$G$1000,G$3)-COUNTIFS('Final Calculation Sheet'!$G$4:$G$1000,G$3,'Final Calculation Sheet'!$AE$4:$AE$1000,"")</f>
        <v/>
      </c>
      <c r="H38" s="497">
        <f>COUNTIF('Final Calculation Sheet'!$G$4:$G$1000,H$3)-COUNTIFS('Final Calculation Sheet'!$G$4:$G$1000,H$3,'Final Calculation Sheet'!$AE$4:$AE$1000,"")</f>
        <v/>
      </c>
      <c r="I38" s="498">
        <f>COUNTIF('Final Calculation Sheet'!$G$4:$G$1000,I$3)-COUNTIFS('Final Calculation Sheet'!$G$4:$G$1000,I$3,'Final Calculation Sheet'!$AE$4:$AE$1000,"")</f>
        <v/>
      </c>
      <c r="J38" s="491">
        <f>COUNTIF('Final Calculation Sheet'!$G$4:$G$1000,J$3)-COUNTIFS('Final Calculation Sheet'!$G$4:$G$1000,J$3,'Final Calculation Sheet'!$AE$4:$AE$1000,"")</f>
        <v/>
      </c>
      <c r="K38" s="492">
        <f>COUNTIF('Final Calculation Sheet'!$G$4:$G$1000,K$3)-COUNTIFS('Final Calculation Sheet'!$G$4:$G$1000,K$3,'Final Calculation Sheet'!$AE$4:$AE$1000,"")</f>
        <v/>
      </c>
      <c r="L38" s="493">
        <f>COUNTIF('Final Calculation Sheet'!$G$4:$G$1000,L$3)-COUNTIFS('Final Calculation Sheet'!$G$4:$G$1000,L$3,'Final Calculation Sheet'!$AE$4:$AE$1000,"")</f>
        <v/>
      </c>
      <c r="M38" s="494">
        <f>COUNTIF('Final Calculation Sheet'!$G$4:$G$1000,M$3)-COUNTIFS('Final Calculation Sheet'!$G$4:$G$1000,M$3,'Final Calculation Sheet'!$AE$4:$AE$1000,"")</f>
        <v/>
      </c>
      <c r="N38" s="495">
        <f>COUNTIF('Final Calculation Sheet'!$G$4:$G$1000,N$3)-COUNTIFS('Final Calculation Sheet'!$G$4:$G$1000,N$3,'Final Calculation Sheet'!$AE$4:$AE$1000,"")</f>
        <v/>
      </c>
      <c r="O38" s="499">
        <f>SUM(B38:N38)</f>
        <v/>
      </c>
    </row>
    <row r="39" outlineLevel="1" ht="15" customHeight="1">
      <c r="A39" s="69" t="inlineStr">
        <is>
          <t xml:space="preserve">      SAP Docs posted</t>
        </is>
      </c>
      <c r="B39" s="491">
        <f>COUNTIF('Final Calculation Sheet'!$G$4:$G$1000,B$3)-COUNTIFS('Final Calculation Sheet'!$G$4:$G$1000,B$3,'Final Calculation Sheet'!$AF$4:$AF$1000,"")</f>
        <v/>
      </c>
      <c r="C39" s="492">
        <f>COUNTIF('Final Calculation Sheet'!$G$4:$G$1000,C$3)-COUNTIFS('Final Calculation Sheet'!$G$4:$G$1000,C$3,'Final Calculation Sheet'!$AF$4:$AF$1000,"")</f>
        <v/>
      </c>
      <c r="D39" s="493">
        <f>COUNTIF('Final Calculation Sheet'!$G$4:$G$1000,D$3)-COUNTIFS('Final Calculation Sheet'!$G$4:$G$1000,D$3,'Final Calculation Sheet'!$AF$4:$AF$1000,"")</f>
        <v/>
      </c>
      <c r="E39" s="494">
        <f>COUNTIF('Final Calculation Sheet'!$G$4:$G$1000,E$3)-COUNTIFS('Final Calculation Sheet'!$G$4:$G$1000,E$3,'Final Calculation Sheet'!$AF$4:$AF$1000,"")</f>
        <v/>
      </c>
      <c r="F39" s="495">
        <f>COUNTIF('Final Calculation Sheet'!$G$4:$G$1000,F$3)-COUNTIFS('Final Calculation Sheet'!$G$4:$G$1000,F$3,'Final Calculation Sheet'!$AF$4:$AF$1000,"")</f>
        <v/>
      </c>
      <c r="G39" s="496">
        <f>COUNTIF('Final Calculation Sheet'!$G$4:$G$1000,G$3)-COUNTIFS('Final Calculation Sheet'!$G$4:$G$1000,G$3,'Final Calculation Sheet'!$AF$4:$AF$1000,"")</f>
        <v/>
      </c>
      <c r="H39" s="497">
        <f>COUNTIF('Final Calculation Sheet'!$G$4:$G$1000,H$3)-COUNTIFS('Final Calculation Sheet'!$G$4:$G$1000,H$3,'Final Calculation Sheet'!$AF$4:$AF$1000,"")</f>
        <v/>
      </c>
      <c r="I39" s="498">
        <f>COUNTIF('Final Calculation Sheet'!$G$4:$G$1000,I$3)-COUNTIFS('Final Calculation Sheet'!$G$4:$G$1000,I$3,'Final Calculation Sheet'!$AF$4:$AF$1000,"")</f>
        <v/>
      </c>
      <c r="J39" s="491">
        <f>COUNTIF('Final Calculation Sheet'!$G$4:$G$1000,J$3)-COUNTIFS('Final Calculation Sheet'!$G$4:$G$1000,J$3,'Final Calculation Sheet'!$AF$4:$AF$1000,"")</f>
        <v/>
      </c>
      <c r="K39" s="492">
        <f>COUNTIF('Final Calculation Sheet'!$G$4:$G$1000,K$3)-COUNTIFS('Final Calculation Sheet'!$G$4:$G$1000,K$3,'Final Calculation Sheet'!$AF$4:$AF$1000,"")</f>
        <v/>
      </c>
      <c r="L39" s="493">
        <f>COUNTIF('Final Calculation Sheet'!$G$4:$G$1000,L$3)-COUNTIFS('Final Calculation Sheet'!$G$4:$G$1000,L$3,'Final Calculation Sheet'!$AF$4:$AF$1000,"")</f>
        <v/>
      </c>
      <c r="M39" s="494">
        <f>COUNTIF('Final Calculation Sheet'!$G$4:$G$1000,M$3)-COUNTIFS('Final Calculation Sheet'!$G$4:$G$1000,M$3,'Final Calculation Sheet'!$AF$4:$AF$1000,"")</f>
        <v/>
      </c>
      <c r="N39" s="495">
        <f>COUNTIF('Final Calculation Sheet'!$G$4:$G$1000,N$3)-COUNTIFS('Final Calculation Sheet'!$G$4:$G$1000,N$3,'Final Calculation Sheet'!$AF$4:$AF$1000,"")</f>
        <v/>
      </c>
      <c r="O39" s="499">
        <f>SUM(B39:N39)</f>
        <v/>
      </c>
    </row>
    <row r="40" ht="17" customHeight="1">
      <c r="A40" s="526" t="inlineStr">
        <is>
          <t xml:space="preserve">  ▸ RECOVERY</t>
        </is>
      </c>
      <c r="B40" s="401" t="n"/>
      <c r="C40" s="401" t="n"/>
      <c r="D40" s="401" t="n"/>
      <c r="E40" s="401" t="n"/>
      <c r="F40" s="401" t="n"/>
      <c r="G40" s="401" t="n"/>
      <c r="H40" s="401" t="n"/>
      <c r="I40" s="401" t="n"/>
      <c r="J40" s="401" t="n"/>
      <c r="K40" s="401" t="n"/>
      <c r="L40" s="401" t="n"/>
      <c r="M40" s="401" t="n"/>
      <c r="N40" s="401" t="n"/>
      <c r="O40" s="401" t="n"/>
    </row>
    <row r="41" outlineLevel="1" ht="15" customHeight="1">
      <c r="A41" s="69" t="inlineStr">
        <is>
          <t xml:space="preserve">      Collection %</t>
        </is>
      </c>
      <c r="B41" s="527">
        <f>IFERROR(SUMIF('Final Calculation Sheet'!$G$4:$G$1000,B$3,'Final Calculation Sheet'!$AC$4:$AC$1000)/SUMIF('Final Calculation Sheet'!$G$4:$G$1000,B$3,'Final Calculation Sheet'!$S$4:$S$1000),"")</f>
        <v/>
      </c>
      <c r="C41" s="528">
        <f>IFERROR(SUMIF('Final Calculation Sheet'!$G$4:$G$1000,C$3,'Final Calculation Sheet'!$AC$4:$AC$1000)/SUMIF('Final Calculation Sheet'!$G$4:$G$1000,C$3,'Final Calculation Sheet'!$S$4:$S$1000),"")</f>
        <v/>
      </c>
      <c r="D41" s="529">
        <f>IFERROR(SUMIF('Final Calculation Sheet'!$G$4:$G$1000,D$3,'Final Calculation Sheet'!$AC$4:$AC$1000)/SUMIF('Final Calculation Sheet'!$G$4:$G$1000,D$3,'Final Calculation Sheet'!$S$4:$S$1000),"")</f>
        <v/>
      </c>
      <c r="E41" s="530">
        <f>IFERROR(SUMIF('Final Calculation Sheet'!$G$4:$G$1000,E$3,'Final Calculation Sheet'!$AC$4:$AC$1000)/SUMIF('Final Calculation Sheet'!$G$4:$G$1000,E$3,'Final Calculation Sheet'!$S$4:$S$1000),"")</f>
        <v/>
      </c>
      <c r="F41" s="531">
        <f>IFERROR(SUMIF('Final Calculation Sheet'!$G$4:$G$1000,F$3,'Final Calculation Sheet'!$AC$4:$AC$1000)/SUMIF('Final Calculation Sheet'!$G$4:$G$1000,F$3,'Final Calculation Sheet'!$S$4:$S$1000),"")</f>
        <v/>
      </c>
      <c r="G41" s="532">
        <f>IFERROR(SUMIF('Final Calculation Sheet'!$G$4:$G$1000,G$3,'Final Calculation Sheet'!$AC$4:$AC$1000)/SUMIF('Final Calculation Sheet'!$G$4:$G$1000,G$3,'Final Calculation Sheet'!$S$4:$S$1000),"")</f>
        <v/>
      </c>
      <c r="H41" s="533">
        <f>IFERROR(SUMIF('Final Calculation Sheet'!$G$4:$G$1000,H$3,'Final Calculation Sheet'!$AC$4:$AC$1000)/SUMIF('Final Calculation Sheet'!$G$4:$G$1000,H$3,'Final Calculation Sheet'!$S$4:$S$1000),"")</f>
        <v/>
      </c>
      <c r="I41" s="534">
        <f>IFERROR(SUMIF('Final Calculation Sheet'!$G$4:$G$1000,I$3,'Final Calculation Sheet'!$AC$4:$AC$1000)/SUMIF('Final Calculation Sheet'!$G$4:$G$1000,I$3,'Final Calculation Sheet'!$S$4:$S$1000),"")</f>
        <v/>
      </c>
      <c r="J41" s="527">
        <f>IFERROR(SUMIF('Final Calculation Sheet'!$G$4:$G$1000,J$3,'Final Calculation Sheet'!$AC$4:$AC$1000)/SUMIF('Final Calculation Sheet'!$G$4:$G$1000,J$3,'Final Calculation Sheet'!$S$4:$S$1000),"")</f>
        <v/>
      </c>
      <c r="K41" s="528">
        <f>IFERROR(SUMIF('Final Calculation Sheet'!$G$4:$G$1000,K$3,'Final Calculation Sheet'!$AC$4:$AC$1000)/SUMIF('Final Calculation Sheet'!$G$4:$G$1000,K$3,'Final Calculation Sheet'!$S$4:$S$1000),"")</f>
        <v/>
      </c>
      <c r="L41" s="529">
        <f>IFERROR(SUMIF('Final Calculation Sheet'!$G$4:$G$1000,L$3,'Final Calculation Sheet'!$AC$4:$AC$1000)/SUMIF('Final Calculation Sheet'!$G$4:$G$1000,L$3,'Final Calculation Sheet'!$S$4:$S$1000),"")</f>
        <v/>
      </c>
      <c r="M41" s="530">
        <f>IFERROR(SUMIF('Final Calculation Sheet'!$G$4:$G$1000,M$3,'Final Calculation Sheet'!$AC$4:$AC$1000)/SUMIF('Final Calculation Sheet'!$G$4:$G$1000,M$3,'Final Calculation Sheet'!$S$4:$S$1000),"")</f>
        <v/>
      </c>
      <c r="N41" s="531">
        <f>IFERROR(SUMIF('Final Calculation Sheet'!$G$4:$G$1000,N$3,'Final Calculation Sheet'!$AC$4:$AC$1000)/SUMIF('Final Calculation Sheet'!$G$4:$G$1000,N$3,'Final Calculation Sheet'!$S$4:$S$1000),"")</f>
        <v/>
      </c>
      <c r="O41" s="535">
        <f>IFERROR(O7/O25,"")</f>
        <v/>
      </c>
    </row>
  </sheetData>
  <autoFilter ref="A3:O41"/>
  <mergeCells count="2">
    <mergeCell ref="A1:O1"/>
    <mergeCell ref="A2:O2"/>
  </mergeCells>
  <conditionalFormatting sqref="B8:O8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B13:O13">
    <cfRule type="cellIs" priority="3" operator="greaterThan" dxfId="3">
      <formula>0</formula>
    </cfRule>
  </conditionalFormatting>
  <conditionalFormatting sqref="B9:O9">
    <cfRule type="cellIs" priority="4" operator="equal" dxfId="0">
      <formula>"SETTLED"</formula>
    </cfRule>
    <cfRule type="cellIs" priority="5" operator="equal" dxfId="1">
      <formula>"OUTSTANDING"</formula>
    </cfRule>
  </conditionalFormatting>
  <conditionalFormatting sqref="B41:O41">
    <cfRule type="colorScale" priority="6">
      <colorScale>
        <cfvo type="num" val="0"/>
        <cfvo type="num" val="0.9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9E480E"/>
    <outlinePr summaryBelow="0" summaryRight="1"/>
    <pageSetUpPr fitToPage="1"/>
  </sheetPr>
  <dimension ref="A1:AE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3.5" customWidth="1" min="15" max="15"/>
    <col width="13.5" customWidth="1" min="16" max="16"/>
    <col width="13.5" customWidth="1" min="17" max="17"/>
    <col width="13.5" customWidth="1" min="18" max="18"/>
    <col width="13.5" customWidth="1" min="19" max="19"/>
    <col width="13.5" customWidth="1" min="20" max="20"/>
    <col width="13.5" customWidth="1" min="21" max="21"/>
    <col width="13.5" customWidth="1" min="22" max="22"/>
    <col width="13.5" customWidth="1" min="23" max="23"/>
    <col width="13.5" customWidth="1" min="24" max="24"/>
    <col width="13.5" customWidth="1" min="25" max="25"/>
    <col width="13.5" customWidth="1" min="26" max="26"/>
    <col width="13.5" customWidth="1" min="27" max="27"/>
    <col width="13.5" customWidth="1" min="28" max="28"/>
    <col width="13.5" customWidth="1" min="29" max="29"/>
    <col width="13.5" customWidth="1" min="30" max="30"/>
    <col width="13.5" customWidth="1" min="31" max="31"/>
  </cols>
  <sheetData>
    <row r="1" ht="30" customHeight="1">
      <c r="A1" s="59" t="inlineStr">
        <is>
          <t>MSTC LIMITED  •  BUYER LIST   (one row per buyer  |  every detail → columns)</t>
        </is>
      </c>
    </row>
    <row r="2" ht="40" customHeight="1">
      <c r="A2" s="61" t="inlineStr">
        <is>
          <t>HOW TO USE  ▶  one row per buyer - click the ▼ on the BUYER column and tick the buyers you want; every other row hides   •   every other column has its own ▼ too, so you can also filter on Payment Status, Outstanding, Collection % ...   •   the ∑ TOTAL row uses SUBTOTAL, so it adds up only the buyers the filter leaves visible   •   every figure is a live SUMIF / COUNTIF against 'Final Calculation Sheet' driven by the buyer name in column A - rename a cell and its whole row follows</t>
        </is>
      </c>
    </row>
    <row r="3" ht="16" customHeight="1">
      <c r="A3" s="399" t="inlineStr">
        <is>
          <t>DETAIL BAND  →</t>
        </is>
      </c>
      <c r="B3" s="233" t="inlineStr">
        <is>
          <t>BUYER OVERVIEW</t>
        </is>
      </c>
      <c r="C3" s="384" t="n"/>
      <c r="D3" s="384" t="n"/>
      <c r="E3" s="384" t="n"/>
      <c r="F3" s="384" t="n"/>
      <c r="G3" s="234" t="inlineStr">
        <is>
          <t>LOT INFORMATION</t>
        </is>
      </c>
      <c r="H3" s="385" t="n"/>
      <c r="I3" s="385" t="n"/>
      <c r="J3" s="235" t="inlineStr">
        <is>
          <t>FINANCIALS</t>
        </is>
      </c>
      <c r="K3" s="386" t="n"/>
      <c r="L3" s="386" t="n"/>
      <c r="M3" s="386" t="n"/>
      <c r="N3" s="386" t="n"/>
      <c r="O3" s="386" t="n"/>
      <c r="P3" s="386" t="n"/>
      <c r="Q3" s="386" t="n"/>
      <c r="R3" s="386" t="n"/>
      <c r="S3" s="386" t="n"/>
      <c r="T3" s="386" t="n"/>
      <c r="U3" s="236" t="inlineStr">
        <is>
          <t>SECURITY DEPOSIT</t>
        </is>
      </c>
      <c r="V3" s="387" t="n"/>
      <c r="W3" s="387" t="n"/>
      <c r="X3" s="237" t="inlineStr">
        <is>
          <t>FINAL PAYMENT</t>
        </is>
      </c>
      <c r="Y3" s="388" t="n"/>
      <c r="Z3" s="388" t="n"/>
      <c r="AA3" s="238" t="inlineStr">
        <is>
          <t>LPP</t>
        </is>
      </c>
      <c r="AB3" s="389" t="n"/>
      <c r="AC3" s="239" t="inlineStr">
        <is>
          <t>DOCUMENT</t>
        </is>
      </c>
      <c r="AD3" s="390" t="n"/>
      <c r="AE3" s="400" t="inlineStr">
        <is>
          <t>RECOVERY</t>
        </is>
      </c>
    </row>
    <row r="4" ht="108" customHeight="1">
      <c r="A4" s="424" t="inlineStr">
        <is>
          <t>BUYER  ▸  |  FIELD →</t>
        </is>
      </c>
      <c r="B4" s="606" t="inlineStr">
        <is>
          <t>Lots</t>
        </is>
      </c>
      <c r="C4" s="606" t="inlineStr">
        <is>
          <t>Mat. Value (₹)</t>
        </is>
      </c>
      <c r="D4" s="606" t="inlineStr">
        <is>
          <t>Total Received (₹)</t>
        </is>
      </c>
      <c r="E4" s="606" t="inlineStr">
        <is>
          <t>Outstanding (₹)</t>
        </is>
      </c>
      <c r="F4" s="606" t="inlineStr">
        <is>
          <t>Payment Status</t>
        </is>
      </c>
      <c r="G4" s="606" t="inlineStr">
        <is>
          <t>Quantity (total)</t>
        </is>
      </c>
      <c r="H4" s="606" t="inlineStr">
        <is>
          <t>Avg Rate (₹)</t>
        </is>
      </c>
      <c r="I4" s="606" t="inlineStr">
        <is>
          <t>Lots pending invoice</t>
        </is>
      </c>
      <c r="J4" s="606" t="inlineStr">
        <is>
          <t>GST @ 18% (₹)</t>
        </is>
      </c>
      <c r="K4" s="606" t="inlineStr">
        <is>
          <t>Mat. Value + GST (₹)</t>
        </is>
      </c>
      <c r="L4" s="606" t="inlineStr">
        <is>
          <t>TCS @ 2% (₹)</t>
        </is>
      </c>
      <c r="M4" s="606" t="inlineStr">
        <is>
          <t>TDS u/s 194(O) (₹)</t>
        </is>
      </c>
      <c r="N4" s="606" t="inlineStr">
        <is>
          <t>Service Charge gross (₹)</t>
        </is>
      </c>
      <c r="O4" s="606" t="inlineStr">
        <is>
          <t>TDS u/s 194(H) (₹)</t>
        </is>
      </c>
      <c r="P4" s="606" t="inlineStr">
        <is>
          <t>Net Service Charge (₹)</t>
        </is>
      </c>
      <c r="Q4" s="606" t="inlineStr">
        <is>
          <t>Svc Charge to MSTC (₹)</t>
        </is>
      </c>
      <c r="R4" s="606" t="inlineStr">
        <is>
          <t>GST TDS (₹)</t>
        </is>
      </c>
      <c r="S4" s="606" t="inlineStr">
        <is>
          <t>GST TDS % (effective)</t>
        </is>
      </c>
      <c r="T4" s="606" t="inlineStr">
        <is>
          <t>Total Receivables (₹)</t>
        </is>
      </c>
      <c r="U4" s="606" t="inlineStr">
        <is>
          <t>SD Expected (₹)</t>
        </is>
      </c>
      <c r="V4" s="606" t="inlineStr">
        <is>
          <t>SD Received (₹)</t>
        </is>
      </c>
      <c r="W4" s="606" t="inlineStr">
        <is>
          <t>SD Outstanding (₹)</t>
        </is>
      </c>
      <c r="X4" s="606" t="inlineStr">
        <is>
          <t>FP Expected (₹)</t>
        </is>
      </c>
      <c r="Y4" s="606" t="inlineStr">
        <is>
          <t>FP Received (₹)</t>
        </is>
      </c>
      <c r="Z4" s="606" t="inlineStr">
        <is>
          <t>FP Outstanding (₹)</t>
        </is>
      </c>
      <c r="AA4" s="606" t="inlineStr">
        <is>
          <t>LPP Expected (₹)</t>
        </is>
      </c>
      <c r="AB4" s="606" t="inlineStr">
        <is>
          <t>LPP Received (₹)</t>
        </is>
      </c>
      <c r="AC4" s="606" t="inlineStr">
        <is>
          <t>Invoices raised</t>
        </is>
      </c>
      <c r="AD4" s="606" t="inlineStr">
        <is>
          <t>SAP Docs posted</t>
        </is>
      </c>
      <c r="AE4" s="606" t="inlineStr">
        <is>
          <t>Collection %</t>
        </is>
      </c>
    </row>
    <row r="5" ht="16" customHeight="1">
      <c r="A5" s="607" t="inlineStr">
        <is>
          <t>AL HAMD TRADE CORPORATION</t>
        </is>
      </c>
      <c r="B5" s="491">
        <f>COUNTIF('Final Calculation Sheet'!$G$4:$G$1000,$A5)</f>
        <v/>
      </c>
      <c r="C5" s="500">
        <f>SUMIF('Final Calculation Sheet'!$G$4:$G$1000,$A5,'Final Calculation Sheet'!$H$4:$H$1000)</f>
        <v/>
      </c>
      <c r="D5" s="500">
        <f>SUMIF('Final Calculation Sheet'!$G$4:$G$1000,$A5,'Final Calculation Sheet'!$AC$4:$AC$1000)</f>
        <v/>
      </c>
      <c r="E5" s="500">
        <f>SUMIF('Final Calculation Sheet'!$G$4:$G$1000,$A5,'Final Calculation Sheet'!$AD$4:$AD$1000)</f>
        <v/>
      </c>
      <c r="F5" s="504">
        <f>IF(SUMIF('Final Calculation Sheet'!$G$4:$G$1000,$A5,'Final Calculation Sheet'!$AD$4:$AD$1000)&lt;=0,"SETTLED","OUTSTANDING")</f>
        <v/>
      </c>
      <c r="G5" s="509">
        <f>SUMIF('Final Calculation Sheet'!$G$4:$G$1000,$A5,'Final Calculation Sheet'!$A$4:$A$1000)</f>
        <v/>
      </c>
      <c r="H5" s="500">
        <f>IFERROR(SUMIF('Final Calculation Sheet'!$G$4:$G$1000,$A5,'Final Calculation Sheet'!$H$4:$H$1000)/SUMIF('Final Calculation Sheet'!$G$4:$G$1000,$A5,'Final Calculation Sheet'!$A$4:$A$1000),"")</f>
        <v/>
      </c>
      <c r="I5" s="491">
        <f>COUNTIFS('Final Calculation Sheet'!$G$4:$G$1000,$A5,'Final Calculation Sheet'!$AE$4:$AE$1000,"")</f>
        <v/>
      </c>
      <c r="J5" s="500">
        <f>SUMIF('Final Calculation Sheet'!$G$4:$G$1000,$A5,'Final Calculation Sheet'!$I$4:$I$1000)</f>
        <v/>
      </c>
      <c r="K5" s="500">
        <f>SUMIF('Final Calculation Sheet'!$G$4:$G$1000,$A5,'Final Calculation Sheet'!$J$4:$J$1000)</f>
        <v/>
      </c>
      <c r="L5" s="500">
        <f>SUMIF('Final Calculation Sheet'!$G$4:$G$1000,$A5,'Final Calculation Sheet'!$K$4:$K$1000)</f>
        <v/>
      </c>
      <c r="M5" s="513">
        <f>SUMIF('Final Calculation Sheet'!$G$4:$G$1000,$A5,'Final Calculation Sheet'!$L$4:$L$1000)</f>
        <v/>
      </c>
      <c r="N5" s="513">
        <f>SUMIF('Final Calculation Sheet'!$G$4:$G$1000,$A5,'Final Calculation Sheet'!$M$4:$M$1000)</f>
        <v/>
      </c>
      <c r="O5" s="513">
        <f>SUMIF('Final Calculation Sheet'!$G$4:$G$1000,$A5,'Final Calculation Sheet'!$N$4:$N$1000)</f>
        <v/>
      </c>
      <c r="P5" s="513">
        <f>SUMIF('Final Calculation Sheet'!$G$4:$G$1000,$A5,'Final Calculation Sheet'!$O$4:$O$1000)</f>
        <v/>
      </c>
      <c r="Q5" s="500">
        <f>SUMIF('Final Calculation Sheet'!$G$4:$G$1000,$A5,'Final Calculation Sheet'!$P$4:$P$1000)</f>
        <v/>
      </c>
      <c r="R5" s="500">
        <f>SUMIF('Final Calculation Sheet'!$G$4:$G$1000,$A5,'Final Calculation Sheet'!$R$4:$R$1000)</f>
        <v/>
      </c>
      <c r="S5" s="517">
        <f>IFERROR(SUMIF('Final Calculation Sheet'!$G$4:$G$1000,$A5,'Final Calculation Sheet'!$R$4:$R$1000)/SUMIF('Final Calculation Sheet'!$G$4:$G$1000,$A5,'Final Calculation Sheet'!$H$4:$H$1000),"")</f>
        <v/>
      </c>
      <c r="T5" s="500">
        <f>SUMIF('Final Calculation Sheet'!$G$4:$G$1000,$A5,'Final Calculation Sheet'!$S$4:$S$1000)</f>
        <v/>
      </c>
      <c r="U5" s="500">
        <f>SUMIF('Final Calculation Sheet'!$G$4:$G$1000,$A5,'Final Calculation Sheet'!$T$4:$T$1000)</f>
        <v/>
      </c>
      <c r="V5" s="500">
        <f>SUMIF('Final Calculation Sheet'!$G$4:$G$1000,$A5,'Final Calculation Sheet'!$U$4:$U$1000)</f>
        <v/>
      </c>
      <c r="W5" s="500">
        <f>SUMIF('Final Calculation Sheet'!$G$4:$G$1000,$A5,'Final Calculation Sheet'!$T$4:$T$1000)-SUMIF('Final Calculation Sheet'!$G$4:$G$1000,$A5,'Final Calculation Sheet'!$U$4:$U$1000)</f>
        <v/>
      </c>
      <c r="X5" s="500">
        <f>SUMIF('Final Calculation Sheet'!$G$4:$G$1000,$A5,'Final Calculation Sheet'!$W$4:$W$1000)</f>
        <v/>
      </c>
      <c r="Y5" s="500">
        <f>SUMIF('Final Calculation Sheet'!$G$4:$G$1000,$A5,'Final Calculation Sheet'!$X$4:$X$1000)</f>
        <v/>
      </c>
      <c r="Z5" s="500">
        <f>SUMIF('Final Calculation Sheet'!$G$4:$G$1000,$A5,'Final Calculation Sheet'!$W$4:$W$1000)-SUMIF('Final Calculation Sheet'!$G$4:$G$1000,$A5,'Final Calculation Sheet'!$X$4:$X$1000)</f>
        <v/>
      </c>
      <c r="AA5" s="500">
        <f>SUMIF('Final Calculation Sheet'!$G$4:$G$1000,$A5,'Final Calculation Sheet'!$Z$4:$Z$1000)</f>
        <v/>
      </c>
      <c r="AB5" s="500">
        <f>SUMIF('Final Calculation Sheet'!$G$4:$G$1000,$A5,'Final Calculation Sheet'!$AA$4:$AA$1000)</f>
        <v/>
      </c>
      <c r="AC5" s="491">
        <f>COUNTIF('Final Calculation Sheet'!$G$4:$G$1000,$A5)-COUNTIFS('Final Calculation Sheet'!$G$4:$G$1000,$A5,'Final Calculation Sheet'!$AE$4:$AE$1000,"")</f>
        <v/>
      </c>
      <c r="AD5" s="491">
        <f>COUNTIF('Final Calculation Sheet'!$G$4:$G$1000,$A5)-COUNTIFS('Final Calculation Sheet'!$G$4:$G$1000,$A5,'Final Calculation Sheet'!$AF$4:$AF$1000,"")</f>
        <v/>
      </c>
      <c r="AE5" s="527">
        <f>IFERROR(SUMIF('Final Calculation Sheet'!$G$4:$G$1000,$A5,'Final Calculation Sheet'!$AC$4:$AC$1000)/SUMIF('Final Calculation Sheet'!$G$4:$G$1000,$A5,'Final Calculation Sheet'!$S$4:$S$1000),"")</f>
        <v/>
      </c>
    </row>
    <row r="6" ht="16" customHeight="1">
      <c r="A6" s="608" t="inlineStr">
        <is>
          <t>F R KHANS ENTERPRISES</t>
        </is>
      </c>
      <c r="B6" s="492">
        <f>COUNTIF('Final Calculation Sheet'!$G$4:$G$1000,$A6)</f>
        <v/>
      </c>
      <c r="C6" s="88">
        <f>SUMIF('Final Calculation Sheet'!$G$4:$G$1000,$A6,'Final Calculation Sheet'!$H$4:$H$1000)</f>
        <v/>
      </c>
      <c r="D6" s="88">
        <f>SUMIF('Final Calculation Sheet'!$G$4:$G$1000,$A6,'Final Calculation Sheet'!$AC$4:$AC$1000)</f>
        <v/>
      </c>
      <c r="E6" s="88">
        <f>SUMIF('Final Calculation Sheet'!$G$4:$G$1000,$A6,'Final Calculation Sheet'!$AD$4:$AD$1000)</f>
        <v/>
      </c>
      <c r="F6" s="98">
        <f>IF(SUMIF('Final Calculation Sheet'!$G$4:$G$1000,$A6,'Final Calculation Sheet'!$AD$4:$AD$1000)&lt;=0,"SETTLED","OUTSTANDING")</f>
        <v/>
      </c>
      <c r="G6" s="91">
        <f>SUMIF('Final Calculation Sheet'!$G$4:$G$1000,$A6,'Final Calculation Sheet'!$A$4:$A$1000)</f>
        <v/>
      </c>
      <c r="H6" s="88">
        <f>IFERROR(SUMIF('Final Calculation Sheet'!$G$4:$G$1000,$A6,'Final Calculation Sheet'!$H$4:$H$1000)/SUMIF('Final Calculation Sheet'!$G$4:$G$1000,$A6,'Final Calculation Sheet'!$A$4:$A$1000),"")</f>
        <v/>
      </c>
      <c r="I6" s="492">
        <f>COUNTIFS('Final Calculation Sheet'!$G$4:$G$1000,$A6,'Final Calculation Sheet'!$AE$4:$AE$1000,"")</f>
        <v/>
      </c>
      <c r="J6" s="88">
        <f>SUMIF('Final Calculation Sheet'!$G$4:$G$1000,$A6,'Final Calculation Sheet'!$I$4:$I$1000)</f>
        <v/>
      </c>
      <c r="K6" s="88">
        <f>SUMIF('Final Calculation Sheet'!$G$4:$G$1000,$A6,'Final Calculation Sheet'!$J$4:$J$1000)</f>
        <v/>
      </c>
      <c r="L6" s="88">
        <f>SUMIF('Final Calculation Sheet'!$G$4:$G$1000,$A6,'Final Calculation Sheet'!$K$4:$K$1000)</f>
        <v/>
      </c>
      <c r="M6" s="95">
        <f>SUMIF('Final Calculation Sheet'!$G$4:$G$1000,$A6,'Final Calculation Sheet'!$L$4:$L$1000)</f>
        <v/>
      </c>
      <c r="N6" s="95">
        <f>SUMIF('Final Calculation Sheet'!$G$4:$G$1000,$A6,'Final Calculation Sheet'!$M$4:$M$1000)</f>
        <v/>
      </c>
      <c r="O6" s="95">
        <f>SUMIF('Final Calculation Sheet'!$G$4:$G$1000,$A6,'Final Calculation Sheet'!$N$4:$N$1000)</f>
        <v/>
      </c>
      <c r="P6" s="95">
        <f>SUMIF('Final Calculation Sheet'!$G$4:$G$1000,$A6,'Final Calculation Sheet'!$O$4:$O$1000)</f>
        <v/>
      </c>
      <c r="Q6" s="88">
        <f>SUMIF('Final Calculation Sheet'!$G$4:$G$1000,$A6,'Final Calculation Sheet'!$P$4:$P$1000)</f>
        <v/>
      </c>
      <c r="R6" s="88">
        <f>SUMIF('Final Calculation Sheet'!$G$4:$G$1000,$A6,'Final Calculation Sheet'!$R$4:$R$1000)</f>
        <v/>
      </c>
      <c r="S6" s="518">
        <f>IFERROR(SUMIF('Final Calculation Sheet'!$G$4:$G$1000,$A6,'Final Calculation Sheet'!$R$4:$R$1000)/SUMIF('Final Calculation Sheet'!$G$4:$G$1000,$A6,'Final Calculation Sheet'!$H$4:$H$1000),"")</f>
        <v/>
      </c>
      <c r="T6" s="88">
        <f>SUMIF('Final Calculation Sheet'!$G$4:$G$1000,$A6,'Final Calculation Sheet'!$S$4:$S$1000)</f>
        <v/>
      </c>
      <c r="U6" s="88">
        <f>SUMIF('Final Calculation Sheet'!$G$4:$G$1000,$A6,'Final Calculation Sheet'!$T$4:$T$1000)</f>
        <v/>
      </c>
      <c r="V6" s="88">
        <f>SUMIF('Final Calculation Sheet'!$G$4:$G$1000,$A6,'Final Calculation Sheet'!$U$4:$U$1000)</f>
        <v/>
      </c>
      <c r="W6" s="88">
        <f>SUMIF('Final Calculation Sheet'!$G$4:$G$1000,$A6,'Final Calculation Sheet'!$T$4:$T$1000)-SUMIF('Final Calculation Sheet'!$G$4:$G$1000,$A6,'Final Calculation Sheet'!$U$4:$U$1000)</f>
        <v/>
      </c>
      <c r="X6" s="88">
        <f>SUMIF('Final Calculation Sheet'!$G$4:$G$1000,$A6,'Final Calculation Sheet'!$W$4:$W$1000)</f>
        <v/>
      </c>
      <c r="Y6" s="88">
        <f>SUMIF('Final Calculation Sheet'!$G$4:$G$1000,$A6,'Final Calculation Sheet'!$X$4:$X$1000)</f>
        <v/>
      </c>
      <c r="Z6" s="88">
        <f>SUMIF('Final Calculation Sheet'!$G$4:$G$1000,$A6,'Final Calculation Sheet'!$W$4:$W$1000)-SUMIF('Final Calculation Sheet'!$G$4:$G$1000,$A6,'Final Calculation Sheet'!$X$4:$X$1000)</f>
        <v/>
      </c>
      <c r="AA6" s="88">
        <f>SUMIF('Final Calculation Sheet'!$G$4:$G$1000,$A6,'Final Calculation Sheet'!$Z$4:$Z$1000)</f>
        <v/>
      </c>
      <c r="AB6" s="88">
        <f>SUMIF('Final Calculation Sheet'!$G$4:$G$1000,$A6,'Final Calculation Sheet'!$AA$4:$AA$1000)</f>
        <v/>
      </c>
      <c r="AC6" s="492">
        <f>COUNTIF('Final Calculation Sheet'!$G$4:$G$1000,$A6)-COUNTIFS('Final Calculation Sheet'!$G$4:$G$1000,$A6,'Final Calculation Sheet'!$AE$4:$AE$1000,"")</f>
        <v/>
      </c>
      <c r="AD6" s="492">
        <f>COUNTIF('Final Calculation Sheet'!$G$4:$G$1000,$A6)-COUNTIFS('Final Calculation Sheet'!$G$4:$G$1000,$A6,'Final Calculation Sheet'!$AF$4:$AF$1000,"")</f>
        <v/>
      </c>
      <c r="AE6" s="528">
        <f>IFERROR(SUMIF('Final Calculation Sheet'!$G$4:$G$1000,$A6,'Final Calculation Sheet'!$AC$4:$AC$1000)/SUMIF('Final Calculation Sheet'!$G$4:$G$1000,$A6,'Final Calculation Sheet'!$S$4:$S$1000),"")</f>
        <v/>
      </c>
    </row>
    <row r="7" ht="16" customHeight="1">
      <c r="A7" s="609" t="inlineStr">
        <is>
          <t>HIND TRADERS</t>
        </is>
      </c>
      <c r="B7" s="493">
        <f>COUNTIF('Final Calculation Sheet'!$G$4:$G$1000,$A7)</f>
        <v/>
      </c>
      <c r="C7" s="501">
        <f>SUMIF('Final Calculation Sheet'!$G$4:$G$1000,$A7,'Final Calculation Sheet'!$H$4:$H$1000)</f>
        <v/>
      </c>
      <c r="D7" s="501">
        <f>SUMIF('Final Calculation Sheet'!$G$4:$G$1000,$A7,'Final Calculation Sheet'!$AC$4:$AC$1000)</f>
        <v/>
      </c>
      <c r="E7" s="501">
        <f>SUMIF('Final Calculation Sheet'!$G$4:$G$1000,$A7,'Final Calculation Sheet'!$AD$4:$AD$1000)</f>
        <v/>
      </c>
      <c r="F7" s="505">
        <f>IF(SUMIF('Final Calculation Sheet'!$G$4:$G$1000,$A7,'Final Calculation Sheet'!$AD$4:$AD$1000)&lt;=0,"SETTLED","OUTSTANDING")</f>
        <v/>
      </c>
      <c r="G7" s="510">
        <f>SUMIF('Final Calculation Sheet'!$G$4:$G$1000,$A7,'Final Calculation Sheet'!$A$4:$A$1000)</f>
        <v/>
      </c>
      <c r="H7" s="501">
        <f>IFERROR(SUMIF('Final Calculation Sheet'!$G$4:$G$1000,$A7,'Final Calculation Sheet'!$H$4:$H$1000)/SUMIF('Final Calculation Sheet'!$G$4:$G$1000,$A7,'Final Calculation Sheet'!$A$4:$A$1000),"")</f>
        <v/>
      </c>
      <c r="I7" s="493">
        <f>COUNTIFS('Final Calculation Sheet'!$G$4:$G$1000,$A7,'Final Calculation Sheet'!$AE$4:$AE$1000,"")</f>
        <v/>
      </c>
      <c r="J7" s="501">
        <f>SUMIF('Final Calculation Sheet'!$G$4:$G$1000,$A7,'Final Calculation Sheet'!$I$4:$I$1000)</f>
        <v/>
      </c>
      <c r="K7" s="501">
        <f>SUMIF('Final Calculation Sheet'!$G$4:$G$1000,$A7,'Final Calculation Sheet'!$J$4:$J$1000)</f>
        <v/>
      </c>
      <c r="L7" s="501">
        <f>SUMIF('Final Calculation Sheet'!$G$4:$G$1000,$A7,'Final Calculation Sheet'!$K$4:$K$1000)</f>
        <v/>
      </c>
      <c r="M7" s="514">
        <f>SUMIF('Final Calculation Sheet'!$G$4:$G$1000,$A7,'Final Calculation Sheet'!$L$4:$L$1000)</f>
        <v/>
      </c>
      <c r="N7" s="514">
        <f>SUMIF('Final Calculation Sheet'!$G$4:$G$1000,$A7,'Final Calculation Sheet'!$M$4:$M$1000)</f>
        <v/>
      </c>
      <c r="O7" s="514">
        <f>SUMIF('Final Calculation Sheet'!$G$4:$G$1000,$A7,'Final Calculation Sheet'!$N$4:$N$1000)</f>
        <v/>
      </c>
      <c r="P7" s="514">
        <f>SUMIF('Final Calculation Sheet'!$G$4:$G$1000,$A7,'Final Calculation Sheet'!$O$4:$O$1000)</f>
        <v/>
      </c>
      <c r="Q7" s="501">
        <f>SUMIF('Final Calculation Sheet'!$G$4:$G$1000,$A7,'Final Calculation Sheet'!$P$4:$P$1000)</f>
        <v/>
      </c>
      <c r="R7" s="501">
        <f>SUMIF('Final Calculation Sheet'!$G$4:$G$1000,$A7,'Final Calculation Sheet'!$R$4:$R$1000)</f>
        <v/>
      </c>
      <c r="S7" s="519">
        <f>IFERROR(SUMIF('Final Calculation Sheet'!$G$4:$G$1000,$A7,'Final Calculation Sheet'!$R$4:$R$1000)/SUMIF('Final Calculation Sheet'!$G$4:$G$1000,$A7,'Final Calculation Sheet'!$H$4:$H$1000),"")</f>
        <v/>
      </c>
      <c r="T7" s="501">
        <f>SUMIF('Final Calculation Sheet'!$G$4:$G$1000,$A7,'Final Calculation Sheet'!$S$4:$S$1000)</f>
        <v/>
      </c>
      <c r="U7" s="501">
        <f>SUMIF('Final Calculation Sheet'!$G$4:$G$1000,$A7,'Final Calculation Sheet'!$T$4:$T$1000)</f>
        <v/>
      </c>
      <c r="V7" s="501">
        <f>SUMIF('Final Calculation Sheet'!$G$4:$G$1000,$A7,'Final Calculation Sheet'!$U$4:$U$1000)</f>
        <v/>
      </c>
      <c r="W7" s="501">
        <f>SUMIF('Final Calculation Sheet'!$G$4:$G$1000,$A7,'Final Calculation Sheet'!$T$4:$T$1000)-SUMIF('Final Calculation Sheet'!$G$4:$G$1000,$A7,'Final Calculation Sheet'!$U$4:$U$1000)</f>
        <v/>
      </c>
      <c r="X7" s="501">
        <f>SUMIF('Final Calculation Sheet'!$G$4:$G$1000,$A7,'Final Calculation Sheet'!$W$4:$W$1000)</f>
        <v/>
      </c>
      <c r="Y7" s="501">
        <f>SUMIF('Final Calculation Sheet'!$G$4:$G$1000,$A7,'Final Calculation Sheet'!$X$4:$X$1000)</f>
        <v/>
      </c>
      <c r="Z7" s="501">
        <f>SUMIF('Final Calculation Sheet'!$G$4:$G$1000,$A7,'Final Calculation Sheet'!$W$4:$W$1000)-SUMIF('Final Calculation Sheet'!$G$4:$G$1000,$A7,'Final Calculation Sheet'!$X$4:$X$1000)</f>
        <v/>
      </c>
      <c r="AA7" s="501">
        <f>SUMIF('Final Calculation Sheet'!$G$4:$G$1000,$A7,'Final Calculation Sheet'!$Z$4:$Z$1000)</f>
        <v/>
      </c>
      <c r="AB7" s="501">
        <f>SUMIF('Final Calculation Sheet'!$G$4:$G$1000,$A7,'Final Calculation Sheet'!$AA$4:$AA$1000)</f>
        <v/>
      </c>
      <c r="AC7" s="493">
        <f>COUNTIF('Final Calculation Sheet'!$G$4:$G$1000,$A7)-COUNTIFS('Final Calculation Sheet'!$G$4:$G$1000,$A7,'Final Calculation Sheet'!$AE$4:$AE$1000,"")</f>
        <v/>
      </c>
      <c r="AD7" s="493">
        <f>COUNTIF('Final Calculation Sheet'!$G$4:$G$1000,$A7)-COUNTIFS('Final Calculation Sheet'!$G$4:$G$1000,$A7,'Final Calculation Sheet'!$AF$4:$AF$1000,"")</f>
        <v/>
      </c>
      <c r="AE7" s="529">
        <f>IFERROR(SUMIF('Final Calculation Sheet'!$G$4:$G$1000,$A7,'Final Calculation Sheet'!$AC$4:$AC$1000)/SUMIF('Final Calculation Sheet'!$G$4:$G$1000,$A7,'Final Calculation Sheet'!$S$4:$S$1000),"")</f>
        <v/>
      </c>
    </row>
    <row r="8" ht="16" customHeight="1">
      <c r="A8" s="610" t="inlineStr">
        <is>
          <t>KASHYAP TRADING CO</t>
        </is>
      </c>
      <c r="B8" s="494">
        <f>COUNTIF('Final Calculation Sheet'!$G$4:$G$1000,$A8)</f>
        <v/>
      </c>
      <c r="C8" s="181">
        <f>SUMIF('Final Calculation Sheet'!$G$4:$G$1000,$A8,'Final Calculation Sheet'!$H$4:$H$1000)</f>
        <v/>
      </c>
      <c r="D8" s="181">
        <f>SUMIF('Final Calculation Sheet'!$G$4:$G$1000,$A8,'Final Calculation Sheet'!$AC$4:$AC$1000)</f>
        <v/>
      </c>
      <c r="E8" s="181">
        <f>SUMIF('Final Calculation Sheet'!$G$4:$G$1000,$A8,'Final Calculation Sheet'!$AD$4:$AD$1000)</f>
        <v/>
      </c>
      <c r="F8" s="187">
        <f>IF(SUMIF('Final Calculation Sheet'!$G$4:$G$1000,$A8,'Final Calculation Sheet'!$AD$4:$AD$1000)&lt;=0,"SETTLED","OUTSTANDING")</f>
        <v/>
      </c>
      <c r="G8" s="183">
        <f>SUMIF('Final Calculation Sheet'!$G$4:$G$1000,$A8,'Final Calculation Sheet'!$A$4:$A$1000)</f>
        <v/>
      </c>
      <c r="H8" s="181">
        <f>IFERROR(SUMIF('Final Calculation Sheet'!$G$4:$G$1000,$A8,'Final Calculation Sheet'!$H$4:$H$1000)/SUMIF('Final Calculation Sheet'!$G$4:$G$1000,$A8,'Final Calculation Sheet'!$A$4:$A$1000),"")</f>
        <v/>
      </c>
      <c r="I8" s="494">
        <f>COUNTIFS('Final Calculation Sheet'!$G$4:$G$1000,$A8,'Final Calculation Sheet'!$AE$4:$AE$1000,"")</f>
        <v/>
      </c>
      <c r="J8" s="181">
        <f>SUMIF('Final Calculation Sheet'!$G$4:$G$1000,$A8,'Final Calculation Sheet'!$I$4:$I$1000)</f>
        <v/>
      </c>
      <c r="K8" s="181">
        <f>SUMIF('Final Calculation Sheet'!$G$4:$G$1000,$A8,'Final Calculation Sheet'!$J$4:$J$1000)</f>
        <v/>
      </c>
      <c r="L8" s="181">
        <f>SUMIF('Final Calculation Sheet'!$G$4:$G$1000,$A8,'Final Calculation Sheet'!$K$4:$K$1000)</f>
        <v/>
      </c>
      <c r="M8" s="185">
        <f>SUMIF('Final Calculation Sheet'!$G$4:$G$1000,$A8,'Final Calculation Sheet'!$L$4:$L$1000)</f>
        <v/>
      </c>
      <c r="N8" s="185">
        <f>SUMIF('Final Calculation Sheet'!$G$4:$G$1000,$A8,'Final Calculation Sheet'!$M$4:$M$1000)</f>
        <v/>
      </c>
      <c r="O8" s="185">
        <f>SUMIF('Final Calculation Sheet'!$G$4:$G$1000,$A8,'Final Calculation Sheet'!$N$4:$N$1000)</f>
        <v/>
      </c>
      <c r="P8" s="185">
        <f>SUMIF('Final Calculation Sheet'!$G$4:$G$1000,$A8,'Final Calculation Sheet'!$O$4:$O$1000)</f>
        <v/>
      </c>
      <c r="Q8" s="181">
        <f>SUMIF('Final Calculation Sheet'!$G$4:$G$1000,$A8,'Final Calculation Sheet'!$P$4:$P$1000)</f>
        <v/>
      </c>
      <c r="R8" s="181">
        <f>SUMIF('Final Calculation Sheet'!$G$4:$G$1000,$A8,'Final Calculation Sheet'!$R$4:$R$1000)</f>
        <v/>
      </c>
      <c r="S8" s="520">
        <f>IFERROR(SUMIF('Final Calculation Sheet'!$G$4:$G$1000,$A8,'Final Calculation Sheet'!$R$4:$R$1000)/SUMIF('Final Calculation Sheet'!$G$4:$G$1000,$A8,'Final Calculation Sheet'!$H$4:$H$1000),"")</f>
        <v/>
      </c>
      <c r="T8" s="181">
        <f>SUMIF('Final Calculation Sheet'!$G$4:$G$1000,$A8,'Final Calculation Sheet'!$S$4:$S$1000)</f>
        <v/>
      </c>
      <c r="U8" s="181">
        <f>SUMIF('Final Calculation Sheet'!$G$4:$G$1000,$A8,'Final Calculation Sheet'!$T$4:$T$1000)</f>
        <v/>
      </c>
      <c r="V8" s="181">
        <f>SUMIF('Final Calculation Sheet'!$G$4:$G$1000,$A8,'Final Calculation Sheet'!$U$4:$U$1000)</f>
        <v/>
      </c>
      <c r="W8" s="181">
        <f>SUMIF('Final Calculation Sheet'!$G$4:$G$1000,$A8,'Final Calculation Sheet'!$T$4:$T$1000)-SUMIF('Final Calculation Sheet'!$G$4:$G$1000,$A8,'Final Calculation Sheet'!$U$4:$U$1000)</f>
        <v/>
      </c>
      <c r="X8" s="181">
        <f>SUMIF('Final Calculation Sheet'!$G$4:$G$1000,$A8,'Final Calculation Sheet'!$W$4:$W$1000)</f>
        <v/>
      </c>
      <c r="Y8" s="181">
        <f>SUMIF('Final Calculation Sheet'!$G$4:$G$1000,$A8,'Final Calculation Sheet'!$X$4:$X$1000)</f>
        <v/>
      </c>
      <c r="Z8" s="181">
        <f>SUMIF('Final Calculation Sheet'!$G$4:$G$1000,$A8,'Final Calculation Sheet'!$W$4:$W$1000)-SUMIF('Final Calculation Sheet'!$G$4:$G$1000,$A8,'Final Calculation Sheet'!$X$4:$X$1000)</f>
        <v/>
      </c>
      <c r="AA8" s="181">
        <f>SUMIF('Final Calculation Sheet'!$G$4:$G$1000,$A8,'Final Calculation Sheet'!$Z$4:$Z$1000)</f>
        <v/>
      </c>
      <c r="AB8" s="181">
        <f>SUMIF('Final Calculation Sheet'!$G$4:$G$1000,$A8,'Final Calculation Sheet'!$AA$4:$AA$1000)</f>
        <v/>
      </c>
      <c r="AC8" s="494">
        <f>COUNTIF('Final Calculation Sheet'!$G$4:$G$1000,$A8)-COUNTIFS('Final Calculation Sheet'!$G$4:$G$1000,$A8,'Final Calculation Sheet'!$AE$4:$AE$1000,"")</f>
        <v/>
      </c>
      <c r="AD8" s="494">
        <f>COUNTIF('Final Calculation Sheet'!$G$4:$G$1000,$A8)-COUNTIFS('Final Calculation Sheet'!$G$4:$G$1000,$A8,'Final Calculation Sheet'!$AF$4:$AF$1000,"")</f>
        <v/>
      </c>
      <c r="AE8" s="530">
        <f>IFERROR(SUMIF('Final Calculation Sheet'!$G$4:$G$1000,$A8,'Final Calculation Sheet'!$AC$4:$AC$1000)/SUMIF('Final Calculation Sheet'!$G$4:$G$1000,$A8,'Final Calculation Sheet'!$S$4:$S$1000),"")</f>
        <v/>
      </c>
    </row>
    <row r="9" ht="16" customHeight="1">
      <c r="A9" s="611" t="inlineStr">
        <is>
          <t>M I SCRAP TRADERS</t>
        </is>
      </c>
      <c r="B9" s="495">
        <f>COUNTIF('Final Calculation Sheet'!$G$4:$G$1000,$A9)</f>
        <v/>
      </c>
      <c r="C9" s="502">
        <f>SUMIF('Final Calculation Sheet'!$G$4:$G$1000,$A9,'Final Calculation Sheet'!$H$4:$H$1000)</f>
        <v/>
      </c>
      <c r="D9" s="502">
        <f>SUMIF('Final Calculation Sheet'!$G$4:$G$1000,$A9,'Final Calculation Sheet'!$AC$4:$AC$1000)</f>
        <v/>
      </c>
      <c r="E9" s="502">
        <f>SUMIF('Final Calculation Sheet'!$G$4:$G$1000,$A9,'Final Calculation Sheet'!$AD$4:$AD$1000)</f>
        <v/>
      </c>
      <c r="F9" s="506">
        <f>IF(SUMIF('Final Calculation Sheet'!$G$4:$G$1000,$A9,'Final Calculation Sheet'!$AD$4:$AD$1000)&lt;=0,"SETTLED","OUTSTANDING")</f>
        <v/>
      </c>
      <c r="G9" s="511">
        <f>SUMIF('Final Calculation Sheet'!$G$4:$G$1000,$A9,'Final Calculation Sheet'!$A$4:$A$1000)</f>
        <v/>
      </c>
      <c r="H9" s="502">
        <f>IFERROR(SUMIF('Final Calculation Sheet'!$G$4:$G$1000,$A9,'Final Calculation Sheet'!$H$4:$H$1000)/SUMIF('Final Calculation Sheet'!$G$4:$G$1000,$A9,'Final Calculation Sheet'!$A$4:$A$1000),"")</f>
        <v/>
      </c>
      <c r="I9" s="495">
        <f>COUNTIFS('Final Calculation Sheet'!$G$4:$G$1000,$A9,'Final Calculation Sheet'!$AE$4:$AE$1000,"")</f>
        <v/>
      </c>
      <c r="J9" s="502">
        <f>SUMIF('Final Calculation Sheet'!$G$4:$G$1000,$A9,'Final Calculation Sheet'!$I$4:$I$1000)</f>
        <v/>
      </c>
      <c r="K9" s="502">
        <f>SUMIF('Final Calculation Sheet'!$G$4:$G$1000,$A9,'Final Calculation Sheet'!$J$4:$J$1000)</f>
        <v/>
      </c>
      <c r="L9" s="502">
        <f>SUMIF('Final Calculation Sheet'!$G$4:$G$1000,$A9,'Final Calculation Sheet'!$K$4:$K$1000)</f>
        <v/>
      </c>
      <c r="M9" s="515">
        <f>SUMIF('Final Calculation Sheet'!$G$4:$G$1000,$A9,'Final Calculation Sheet'!$L$4:$L$1000)</f>
        <v/>
      </c>
      <c r="N9" s="515">
        <f>SUMIF('Final Calculation Sheet'!$G$4:$G$1000,$A9,'Final Calculation Sheet'!$M$4:$M$1000)</f>
        <v/>
      </c>
      <c r="O9" s="515">
        <f>SUMIF('Final Calculation Sheet'!$G$4:$G$1000,$A9,'Final Calculation Sheet'!$N$4:$N$1000)</f>
        <v/>
      </c>
      <c r="P9" s="515">
        <f>SUMIF('Final Calculation Sheet'!$G$4:$G$1000,$A9,'Final Calculation Sheet'!$O$4:$O$1000)</f>
        <v/>
      </c>
      <c r="Q9" s="502">
        <f>SUMIF('Final Calculation Sheet'!$G$4:$G$1000,$A9,'Final Calculation Sheet'!$P$4:$P$1000)</f>
        <v/>
      </c>
      <c r="R9" s="502">
        <f>SUMIF('Final Calculation Sheet'!$G$4:$G$1000,$A9,'Final Calculation Sheet'!$R$4:$R$1000)</f>
        <v/>
      </c>
      <c r="S9" s="521">
        <f>IFERROR(SUMIF('Final Calculation Sheet'!$G$4:$G$1000,$A9,'Final Calculation Sheet'!$R$4:$R$1000)/SUMIF('Final Calculation Sheet'!$G$4:$G$1000,$A9,'Final Calculation Sheet'!$H$4:$H$1000),"")</f>
        <v/>
      </c>
      <c r="T9" s="502">
        <f>SUMIF('Final Calculation Sheet'!$G$4:$G$1000,$A9,'Final Calculation Sheet'!$S$4:$S$1000)</f>
        <v/>
      </c>
      <c r="U9" s="502">
        <f>SUMIF('Final Calculation Sheet'!$G$4:$G$1000,$A9,'Final Calculation Sheet'!$T$4:$T$1000)</f>
        <v/>
      </c>
      <c r="V9" s="502">
        <f>SUMIF('Final Calculation Sheet'!$G$4:$G$1000,$A9,'Final Calculation Sheet'!$U$4:$U$1000)</f>
        <v/>
      </c>
      <c r="W9" s="502">
        <f>SUMIF('Final Calculation Sheet'!$G$4:$G$1000,$A9,'Final Calculation Sheet'!$T$4:$T$1000)-SUMIF('Final Calculation Sheet'!$G$4:$G$1000,$A9,'Final Calculation Sheet'!$U$4:$U$1000)</f>
        <v/>
      </c>
      <c r="X9" s="502">
        <f>SUMIF('Final Calculation Sheet'!$G$4:$G$1000,$A9,'Final Calculation Sheet'!$W$4:$W$1000)</f>
        <v/>
      </c>
      <c r="Y9" s="502">
        <f>SUMIF('Final Calculation Sheet'!$G$4:$G$1000,$A9,'Final Calculation Sheet'!$X$4:$X$1000)</f>
        <v/>
      </c>
      <c r="Z9" s="502">
        <f>SUMIF('Final Calculation Sheet'!$G$4:$G$1000,$A9,'Final Calculation Sheet'!$W$4:$W$1000)-SUMIF('Final Calculation Sheet'!$G$4:$G$1000,$A9,'Final Calculation Sheet'!$X$4:$X$1000)</f>
        <v/>
      </c>
      <c r="AA9" s="502">
        <f>SUMIF('Final Calculation Sheet'!$G$4:$G$1000,$A9,'Final Calculation Sheet'!$Z$4:$Z$1000)</f>
        <v/>
      </c>
      <c r="AB9" s="502">
        <f>SUMIF('Final Calculation Sheet'!$G$4:$G$1000,$A9,'Final Calculation Sheet'!$AA$4:$AA$1000)</f>
        <v/>
      </c>
      <c r="AC9" s="495">
        <f>COUNTIF('Final Calculation Sheet'!$G$4:$G$1000,$A9)-COUNTIFS('Final Calculation Sheet'!$G$4:$G$1000,$A9,'Final Calculation Sheet'!$AE$4:$AE$1000,"")</f>
        <v/>
      </c>
      <c r="AD9" s="495">
        <f>COUNTIF('Final Calculation Sheet'!$G$4:$G$1000,$A9)-COUNTIFS('Final Calculation Sheet'!$G$4:$G$1000,$A9,'Final Calculation Sheet'!$AF$4:$AF$1000,"")</f>
        <v/>
      </c>
      <c r="AE9" s="531">
        <f>IFERROR(SUMIF('Final Calculation Sheet'!$G$4:$G$1000,$A9,'Final Calculation Sheet'!$AC$4:$AC$1000)/SUMIF('Final Calculation Sheet'!$G$4:$G$1000,$A9,'Final Calculation Sheet'!$S$4:$S$1000),"")</f>
        <v/>
      </c>
    </row>
    <row r="10" ht="16" customHeight="1">
      <c r="A10" s="612" t="inlineStr">
        <is>
          <t>NATIONAL ENTERPRISES</t>
        </is>
      </c>
      <c r="B10" s="496">
        <f>COUNTIF('Final Calculation Sheet'!$G$4:$G$1000,$A10)</f>
        <v/>
      </c>
      <c r="C10" s="131">
        <f>SUMIF('Final Calculation Sheet'!$G$4:$G$1000,$A10,'Final Calculation Sheet'!$H$4:$H$1000)</f>
        <v/>
      </c>
      <c r="D10" s="131">
        <f>SUMIF('Final Calculation Sheet'!$G$4:$G$1000,$A10,'Final Calculation Sheet'!$AC$4:$AC$1000)</f>
        <v/>
      </c>
      <c r="E10" s="131">
        <f>SUMIF('Final Calculation Sheet'!$G$4:$G$1000,$A10,'Final Calculation Sheet'!$AD$4:$AD$1000)</f>
        <v/>
      </c>
      <c r="F10" s="141">
        <f>IF(SUMIF('Final Calculation Sheet'!$G$4:$G$1000,$A10,'Final Calculation Sheet'!$AD$4:$AD$1000)&lt;=0,"SETTLED","OUTSTANDING")</f>
        <v/>
      </c>
      <c r="G10" s="134">
        <f>SUMIF('Final Calculation Sheet'!$G$4:$G$1000,$A10,'Final Calculation Sheet'!$A$4:$A$1000)</f>
        <v/>
      </c>
      <c r="H10" s="131">
        <f>IFERROR(SUMIF('Final Calculation Sheet'!$G$4:$G$1000,$A10,'Final Calculation Sheet'!$H$4:$H$1000)/SUMIF('Final Calculation Sheet'!$G$4:$G$1000,$A10,'Final Calculation Sheet'!$A$4:$A$1000),"")</f>
        <v/>
      </c>
      <c r="I10" s="496">
        <f>COUNTIFS('Final Calculation Sheet'!$G$4:$G$1000,$A10,'Final Calculation Sheet'!$AE$4:$AE$1000,"")</f>
        <v/>
      </c>
      <c r="J10" s="131">
        <f>SUMIF('Final Calculation Sheet'!$G$4:$G$1000,$A10,'Final Calculation Sheet'!$I$4:$I$1000)</f>
        <v/>
      </c>
      <c r="K10" s="131">
        <f>SUMIF('Final Calculation Sheet'!$G$4:$G$1000,$A10,'Final Calculation Sheet'!$J$4:$J$1000)</f>
        <v/>
      </c>
      <c r="L10" s="131">
        <f>SUMIF('Final Calculation Sheet'!$G$4:$G$1000,$A10,'Final Calculation Sheet'!$K$4:$K$1000)</f>
        <v/>
      </c>
      <c r="M10" s="138">
        <f>SUMIF('Final Calculation Sheet'!$G$4:$G$1000,$A10,'Final Calculation Sheet'!$L$4:$L$1000)</f>
        <v/>
      </c>
      <c r="N10" s="138">
        <f>SUMIF('Final Calculation Sheet'!$G$4:$G$1000,$A10,'Final Calculation Sheet'!$M$4:$M$1000)</f>
        <v/>
      </c>
      <c r="O10" s="138">
        <f>SUMIF('Final Calculation Sheet'!$G$4:$G$1000,$A10,'Final Calculation Sheet'!$N$4:$N$1000)</f>
        <v/>
      </c>
      <c r="P10" s="138">
        <f>SUMIF('Final Calculation Sheet'!$G$4:$G$1000,$A10,'Final Calculation Sheet'!$O$4:$O$1000)</f>
        <v/>
      </c>
      <c r="Q10" s="131">
        <f>SUMIF('Final Calculation Sheet'!$G$4:$G$1000,$A10,'Final Calculation Sheet'!$P$4:$P$1000)</f>
        <v/>
      </c>
      <c r="R10" s="131">
        <f>SUMIF('Final Calculation Sheet'!$G$4:$G$1000,$A10,'Final Calculation Sheet'!$R$4:$R$1000)</f>
        <v/>
      </c>
      <c r="S10" s="522">
        <f>IFERROR(SUMIF('Final Calculation Sheet'!$G$4:$G$1000,$A10,'Final Calculation Sheet'!$R$4:$R$1000)/SUMIF('Final Calculation Sheet'!$G$4:$G$1000,$A10,'Final Calculation Sheet'!$H$4:$H$1000),"")</f>
        <v/>
      </c>
      <c r="T10" s="131">
        <f>SUMIF('Final Calculation Sheet'!$G$4:$G$1000,$A10,'Final Calculation Sheet'!$S$4:$S$1000)</f>
        <v/>
      </c>
      <c r="U10" s="131">
        <f>SUMIF('Final Calculation Sheet'!$G$4:$G$1000,$A10,'Final Calculation Sheet'!$T$4:$T$1000)</f>
        <v/>
      </c>
      <c r="V10" s="131">
        <f>SUMIF('Final Calculation Sheet'!$G$4:$G$1000,$A10,'Final Calculation Sheet'!$U$4:$U$1000)</f>
        <v/>
      </c>
      <c r="W10" s="131">
        <f>SUMIF('Final Calculation Sheet'!$G$4:$G$1000,$A10,'Final Calculation Sheet'!$T$4:$T$1000)-SUMIF('Final Calculation Sheet'!$G$4:$G$1000,$A10,'Final Calculation Sheet'!$U$4:$U$1000)</f>
        <v/>
      </c>
      <c r="X10" s="131">
        <f>SUMIF('Final Calculation Sheet'!$G$4:$G$1000,$A10,'Final Calculation Sheet'!$W$4:$W$1000)</f>
        <v/>
      </c>
      <c r="Y10" s="131">
        <f>SUMIF('Final Calculation Sheet'!$G$4:$G$1000,$A10,'Final Calculation Sheet'!$X$4:$X$1000)</f>
        <v/>
      </c>
      <c r="Z10" s="131">
        <f>SUMIF('Final Calculation Sheet'!$G$4:$G$1000,$A10,'Final Calculation Sheet'!$W$4:$W$1000)-SUMIF('Final Calculation Sheet'!$G$4:$G$1000,$A10,'Final Calculation Sheet'!$X$4:$X$1000)</f>
        <v/>
      </c>
      <c r="AA10" s="131">
        <f>SUMIF('Final Calculation Sheet'!$G$4:$G$1000,$A10,'Final Calculation Sheet'!$Z$4:$Z$1000)</f>
        <v/>
      </c>
      <c r="AB10" s="131">
        <f>SUMIF('Final Calculation Sheet'!$G$4:$G$1000,$A10,'Final Calculation Sheet'!$AA$4:$AA$1000)</f>
        <v/>
      </c>
      <c r="AC10" s="496">
        <f>COUNTIF('Final Calculation Sheet'!$G$4:$G$1000,$A10)-COUNTIFS('Final Calculation Sheet'!$G$4:$G$1000,$A10,'Final Calculation Sheet'!$AE$4:$AE$1000,"")</f>
        <v/>
      </c>
      <c r="AD10" s="496">
        <f>COUNTIF('Final Calculation Sheet'!$G$4:$G$1000,$A10)-COUNTIFS('Final Calculation Sheet'!$G$4:$G$1000,$A10,'Final Calculation Sheet'!$AF$4:$AF$1000,"")</f>
        <v/>
      </c>
      <c r="AE10" s="532">
        <f>IFERROR(SUMIF('Final Calculation Sheet'!$G$4:$G$1000,$A10,'Final Calculation Sheet'!$AC$4:$AC$1000)/SUMIF('Final Calculation Sheet'!$G$4:$G$1000,$A10,'Final Calculation Sheet'!$S$4:$S$1000),"")</f>
        <v/>
      </c>
    </row>
    <row r="11" ht="16" customHeight="1">
      <c r="A11" s="613" t="inlineStr">
        <is>
          <t>NATIONAL SCRAP AND BUILDING MATERIAL SUPPLIER</t>
        </is>
      </c>
      <c r="B11" s="497">
        <f>COUNTIF('Final Calculation Sheet'!$G$4:$G$1000,$A11)</f>
        <v/>
      </c>
      <c r="C11" s="503">
        <f>SUMIF('Final Calculation Sheet'!$G$4:$G$1000,$A11,'Final Calculation Sheet'!$H$4:$H$1000)</f>
        <v/>
      </c>
      <c r="D11" s="503">
        <f>SUMIF('Final Calculation Sheet'!$G$4:$G$1000,$A11,'Final Calculation Sheet'!$AC$4:$AC$1000)</f>
        <v/>
      </c>
      <c r="E11" s="503">
        <f>SUMIF('Final Calculation Sheet'!$G$4:$G$1000,$A11,'Final Calculation Sheet'!$AD$4:$AD$1000)</f>
        <v/>
      </c>
      <c r="F11" s="507">
        <f>IF(SUMIF('Final Calculation Sheet'!$G$4:$G$1000,$A11,'Final Calculation Sheet'!$AD$4:$AD$1000)&lt;=0,"SETTLED","OUTSTANDING")</f>
        <v/>
      </c>
      <c r="G11" s="512">
        <f>SUMIF('Final Calculation Sheet'!$G$4:$G$1000,$A11,'Final Calculation Sheet'!$A$4:$A$1000)</f>
        <v/>
      </c>
      <c r="H11" s="503">
        <f>IFERROR(SUMIF('Final Calculation Sheet'!$G$4:$G$1000,$A11,'Final Calculation Sheet'!$H$4:$H$1000)/SUMIF('Final Calculation Sheet'!$G$4:$G$1000,$A11,'Final Calculation Sheet'!$A$4:$A$1000),"")</f>
        <v/>
      </c>
      <c r="I11" s="497">
        <f>COUNTIFS('Final Calculation Sheet'!$G$4:$G$1000,$A11,'Final Calculation Sheet'!$AE$4:$AE$1000,"")</f>
        <v/>
      </c>
      <c r="J11" s="503">
        <f>SUMIF('Final Calculation Sheet'!$G$4:$G$1000,$A11,'Final Calculation Sheet'!$I$4:$I$1000)</f>
        <v/>
      </c>
      <c r="K11" s="503">
        <f>SUMIF('Final Calculation Sheet'!$G$4:$G$1000,$A11,'Final Calculation Sheet'!$J$4:$J$1000)</f>
        <v/>
      </c>
      <c r="L11" s="503">
        <f>SUMIF('Final Calculation Sheet'!$G$4:$G$1000,$A11,'Final Calculation Sheet'!$K$4:$K$1000)</f>
        <v/>
      </c>
      <c r="M11" s="516">
        <f>SUMIF('Final Calculation Sheet'!$G$4:$G$1000,$A11,'Final Calculation Sheet'!$L$4:$L$1000)</f>
        <v/>
      </c>
      <c r="N11" s="516">
        <f>SUMIF('Final Calculation Sheet'!$G$4:$G$1000,$A11,'Final Calculation Sheet'!$M$4:$M$1000)</f>
        <v/>
      </c>
      <c r="O11" s="516">
        <f>SUMIF('Final Calculation Sheet'!$G$4:$G$1000,$A11,'Final Calculation Sheet'!$N$4:$N$1000)</f>
        <v/>
      </c>
      <c r="P11" s="516">
        <f>SUMIF('Final Calculation Sheet'!$G$4:$G$1000,$A11,'Final Calculation Sheet'!$O$4:$O$1000)</f>
        <v/>
      </c>
      <c r="Q11" s="503">
        <f>SUMIF('Final Calculation Sheet'!$G$4:$G$1000,$A11,'Final Calculation Sheet'!$P$4:$P$1000)</f>
        <v/>
      </c>
      <c r="R11" s="503">
        <f>SUMIF('Final Calculation Sheet'!$G$4:$G$1000,$A11,'Final Calculation Sheet'!$R$4:$R$1000)</f>
        <v/>
      </c>
      <c r="S11" s="523">
        <f>IFERROR(SUMIF('Final Calculation Sheet'!$G$4:$G$1000,$A11,'Final Calculation Sheet'!$R$4:$R$1000)/SUMIF('Final Calculation Sheet'!$G$4:$G$1000,$A11,'Final Calculation Sheet'!$H$4:$H$1000),"")</f>
        <v/>
      </c>
      <c r="T11" s="503">
        <f>SUMIF('Final Calculation Sheet'!$G$4:$G$1000,$A11,'Final Calculation Sheet'!$S$4:$S$1000)</f>
        <v/>
      </c>
      <c r="U11" s="503">
        <f>SUMIF('Final Calculation Sheet'!$G$4:$G$1000,$A11,'Final Calculation Sheet'!$T$4:$T$1000)</f>
        <v/>
      </c>
      <c r="V11" s="503">
        <f>SUMIF('Final Calculation Sheet'!$G$4:$G$1000,$A11,'Final Calculation Sheet'!$U$4:$U$1000)</f>
        <v/>
      </c>
      <c r="W11" s="503">
        <f>SUMIF('Final Calculation Sheet'!$G$4:$G$1000,$A11,'Final Calculation Sheet'!$T$4:$T$1000)-SUMIF('Final Calculation Sheet'!$G$4:$G$1000,$A11,'Final Calculation Sheet'!$U$4:$U$1000)</f>
        <v/>
      </c>
      <c r="X11" s="503">
        <f>SUMIF('Final Calculation Sheet'!$G$4:$G$1000,$A11,'Final Calculation Sheet'!$W$4:$W$1000)</f>
        <v/>
      </c>
      <c r="Y11" s="503">
        <f>SUMIF('Final Calculation Sheet'!$G$4:$G$1000,$A11,'Final Calculation Sheet'!$X$4:$X$1000)</f>
        <v/>
      </c>
      <c r="Z11" s="503">
        <f>SUMIF('Final Calculation Sheet'!$G$4:$G$1000,$A11,'Final Calculation Sheet'!$W$4:$W$1000)-SUMIF('Final Calculation Sheet'!$G$4:$G$1000,$A11,'Final Calculation Sheet'!$X$4:$X$1000)</f>
        <v/>
      </c>
      <c r="AA11" s="503">
        <f>SUMIF('Final Calculation Sheet'!$G$4:$G$1000,$A11,'Final Calculation Sheet'!$Z$4:$Z$1000)</f>
        <v/>
      </c>
      <c r="AB11" s="503">
        <f>SUMIF('Final Calculation Sheet'!$G$4:$G$1000,$A11,'Final Calculation Sheet'!$AA$4:$AA$1000)</f>
        <v/>
      </c>
      <c r="AC11" s="497">
        <f>COUNTIF('Final Calculation Sheet'!$G$4:$G$1000,$A11)-COUNTIFS('Final Calculation Sheet'!$G$4:$G$1000,$A11,'Final Calculation Sheet'!$AE$4:$AE$1000,"")</f>
        <v/>
      </c>
      <c r="AD11" s="497">
        <f>COUNTIF('Final Calculation Sheet'!$G$4:$G$1000,$A11)-COUNTIFS('Final Calculation Sheet'!$G$4:$G$1000,$A11,'Final Calculation Sheet'!$AF$4:$AF$1000,"")</f>
        <v/>
      </c>
      <c r="AE11" s="533">
        <f>IFERROR(SUMIF('Final Calculation Sheet'!$G$4:$G$1000,$A11,'Final Calculation Sheet'!$AC$4:$AC$1000)/SUMIF('Final Calculation Sheet'!$G$4:$G$1000,$A11,'Final Calculation Sheet'!$S$4:$S$1000),"")</f>
        <v/>
      </c>
    </row>
    <row r="12" ht="16" customHeight="1">
      <c r="A12" s="614" t="inlineStr">
        <is>
          <t>OMKAR STEELS</t>
        </is>
      </c>
      <c r="B12" s="498">
        <f>COUNTIF('Final Calculation Sheet'!$G$4:$G$1000,$A12)</f>
        <v/>
      </c>
      <c r="C12" s="156">
        <f>SUMIF('Final Calculation Sheet'!$G$4:$G$1000,$A12,'Final Calculation Sheet'!$H$4:$H$1000)</f>
        <v/>
      </c>
      <c r="D12" s="156">
        <f>SUMIF('Final Calculation Sheet'!$G$4:$G$1000,$A12,'Final Calculation Sheet'!$AC$4:$AC$1000)</f>
        <v/>
      </c>
      <c r="E12" s="156">
        <f>SUMIF('Final Calculation Sheet'!$G$4:$G$1000,$A12,'Final Calculation Sheet'!$AD$4:$AD$1000)</f>
        <v/>
      </c>
      <c r="F12" s="166">
        <f>IF(SUMIF('Final Calculation Sheet'!$G$4:$G$1000,$A12,'Final Calculation Sheet'!$AD$4:$AD$1000)&lt;=0,"SETTLED","OUTSTANDING")</f>
        <v/>
      </c>
      <c r="G12" s="159">
        <f>SUMIF('Final Calculation Sheet'!$G$4:$G$1000,$A12,'Final Calculation Sheet'!$A$4:$A$1000)</f>
        <v/>
      </c>
      <c r="H12" s="156">
        <f>IFERROR(SUMIF('Final Calculation Sheet'!$G$4:$G$1000,$A12,'Final Calculation Sheet'!$H$4:$H$1000)/SUMIF('Final Calculation Sheet'!$G$4:$G$1000,$A12,'Final Calculation Sheet'!$A$4:$A$1000),"")</f>
        <v/>
      </c>
      <c r="I12" s="498">
        <f>COUNTIFS('Final Calculation Sheet'!$G$4:$G$1000,$A12,'Final Calculation Sheet'!$AE$4:$AE$1000,"")</f>
        <v/>
      </c>
      <c r="J12" s="156">
        <f>SUMIF('Final Calculation Sheet'!$G$4:$G$1000,$A12,'Final Calculation Sheet'!$I$4:$I$1000)</f>
        <v/>
      </c>
      <c r="K12" s="156">
        <f>SUMIF('Final Calculation Sheet'!$G$4:$G$1000,$A12,'Final Calculation Sheet'!$J$4:$J$1000)</f>
        <v/>
      </c>
      <c r="L12" s="156">
        <f>SUMIF('Final Calculation Sheet'!$G$4:$G$1000,$A12,'Final Calculation Sheet'!$K$4:$K$1000)</f>
        <v/>
      </c>
      <c r="M12" s="163">
        <f>SUMIF('Final Calculation Sheet'!$G$4:$G$1000,$A12,'Final Calculation Sheet'!$L$4:$L$1000)</f>
        <v/>
      </c>
      <c r="N12" s="163">
        <f>SUMIF('Final Calculation Sheet'!$G$4:$G$1000,$A12,'Final Calculation Sheet'!$M$4:$M$1000)</f>
        <v/>
      </c>
      <c r="O12" s="163">
        <f>SUMIF('Final Calculation Sheet'!$G$4:$G$1000,$A12,'Final Calculation Sheet'!$N$4:$N$1000)</f>
        <v/>
      </c>
      <c r="P12" s="163">
        <f>SUMIF('Final Calculation Sheet'!$G$4:$G$1000,$A12,'Final Calculation Sheet'!$O$4:$O$1000)</f>
        <v/>
      </c>
      <c r="Q12" s="156">
        <f>SUMIF('Final Calculation Sheet'!$G$4:$G$1000,$A12,'Final Calculation Sheet'!$P$4:$P$1000)</f>
        <v/>
      </c>
      <c r="R12" s="156">
        <f>SUMIF('Final Calculation Sheet'!$G$4:$G$1000,$A12,'Final Calculation Sheet'!$R$4:$R$1000)</f>
        <v/>
      </c>
      <c r="S12" s="524">
        <f>IFERROR(SUMIF('Final Calculation Sheet'!$G$4:$G$1000,$A12,'Final Calculation Sheet'!$R$4:$R$1000)/SUMIF('Final Calculation Sheet'!$G$4:$G$1000,$A12,'Final Calculation Sheet'!$H$4:$H$1000),"")</f>
        <v/>
      </c>
      <c r="T12" s="156">
        <f>SUMIF('Final Calculation Sheet'!$G$4:$G$1000,$A12,'Final Calculation Sheet'!$S$4:$S$1000)</f>
        <v/>
      </c>
      <c r="U12" s="156">
        <f>SUMIF('Final Calculation Sheet'!$G$4:$G$1000,$A12,'Final Calculation Sheet'!$T$4:$T$1000)</f>
        <v/>
      </c>
      <c r="V12" s="156">
        <f>SUMIF('Final Calculation Sheet'!$G$4:$G$1000,$A12,'Final Calculation Sheet'!$U$4:$U$1000)</f>
        <v/>
      </c>
      <c r="W12" s="156">
        <f>SUMIF('Final Calculation Sheet'!$G$4:$G$1000,$A12,'Final Calculation Sheet'!$T$4:$T$1000)-SUMIF('Final Calculation Sheet'!$G$4:$G$1000,$A12,'Final Calculation Sheet'!$U$4:$U$1000)</f>
        <v/>
      </c>
      <c r="X12" s="156">
        <f>SUMIF('Final Calculation Sheet'!$G$4:$G$1000,$A12,'Final Calculation Sheet'!$W$4:$W$1000)</f>
        <v/>
      </c>
      <c r="Y12" s="156">
        <f>SUMIF('Final Calculation Sheet'!$G$4:$G$1000,$A12,'Final Calculation Sheet'!$X$4:$X$1000)</f>
        <v/>
      </c>
      <c r="Z12" s="156">
        <f>SUMIF('Final Calculation Sheet'!$G$4:$G$1000,$A12,'Final Calculation Sheet'!$W$4:$W$1000)-SUMIF('Final Calculation Sheet'!$G$4:$G$1000,$A12,'Final Calculation Sheet'!$X$4:$X$1000)</f>
        <v/>
      </c>
      <c r="AA12" s="156">
        <f>SUMIF('Final Calculation Sheet'!$G$4:$G$1000,$A12,'Final Calculation Sheet'!$Z$4:$Z$1000)</f>
        <v/>
      </c>
      <c r="AB12" s="156">
        <f>SUMIF('Final Calculation Sheet'!$G$4:$G$1000,$A12,'Final Calculation Sheet'!$AA$4:$AA$1000)</f>
        <v/>
      </c>
      <c r="AC12" s="498">
        <f>COUNTIF('Final Calculation Sheet'!$G$4:$G$1000,$A12)-COUNTIFS('Final Calculation Sheet'!$G$4:$G$1000,$A12,'Final Calculation Sheet'!$AE$4:$AE$1000,"")</f>
        <v/>
      </c>
      <c r="AD12" s="498">
        <f>COUNTIF('Final Calculation Sheet'!$G$4:$G$1000,$A12)-COUNTIFS('Final Calculation Sheet'!$G$4:$G$1000,$A12,'Final Calculation Sheet'!$AF$4:$AF$1000,"")</f>
        <v/>
      </c>
      <c r="AE12" s="534">
        <f>IFERROR(SUMIF('Final Calculation Sheet'!$G$4:$G$1000,$A12,'Final Calculation Sheet'!$AC$4:$AC$1000)/SUMIF('Final Calculation Sheet'!$G$4:$G$1000,$A12,'Final Calculation Sheet'!$S$4:$S$1000),"")</f>
        <v/>
      </c>
    </row>
    <row r="13" ht="16" customHeight="1">
      <c r="A13" s="607" t="inlineStr">
        <is>
          <t>S M ENTERPRISES</t>
        </is>
      </c>
      <c r="B13" s="491">
        <f>COUNTIF('Final Calculation Sheet'!$G$4:$G$1000,$A13)</f>
        <v/>
      </c>
      <c r="C13" s="500">
        <f>SUMIF('Final Calculation Sheet'!$G$4:$G$1000,$A13,'Final Calculation Sheet'!$H$4:$H$1000)</f>
        <v/>
      </c>
      <c r="D13" s="500">
        <f>SUMIF('Final Calculation Sheet'!$G$4:$G$1000,$A13,'Final Calculation Sheet'!$AC$4:$AC$1000)</f>
        <v/>
      </c>
      <c r="E13" s="500">
        <f>SUMIF('Final Calculation Sheet'!$G$4:$G$1000,$A13,'Final Calculation Sheet'!$AD$4:$AD$1000)</f>
        <v/>
      </c>
      <c r="F13" s="504">
        <f>IF(SUMIF('Final Calculation Sheet'!$G$4:$G$1000,$A13,'Final Calculation Sheet'!$AD$4:$AD$1000)&lt;=0,"SETTLED","OUTSTANDING")</f>
        <v/>
      </c>
      <c r="G13" s="509">
        <f>SUMIF('Final Calculation Sheet'!$G$4:$G$1000,$A13,'Final Calculation Sheet'!$A$4:$A$1000)</f>
        <v/>
      </c>
      <c r="H13" s="500">
        <f>IFERROR(SUMIF('Final Calculation Sheet'!$G$4:$G$1000,$A13,'Final Calculation Sheet'!$H$4:$H$1000)/SUMIF('Final Calculation Sheet'!$G$4:$G$1000,$A13,'Final Calculation Sheet'!$A$4:$A$1000),"")</f>
        <v/>
      </c>
      <c r="I13" s="491">
        <f>COUNTIFS('Final Calculation Sheet'!$G$4:$G$1000,$A13,'Final Calculation Sheet'!$AE$4:$AE$1000,"")</f>
        <v/>
      </c>
      <c r="J13" s="500">
        <f>SUMIF('Final Calculation Sheet'!$G$4:$G$1000,$A13,'Final Calculation Sheet'!$I$4:$I$1000)</f>
        <v/>
      </c>
      <c r="K13" s="500">
        <f>SUMIF('Final Calculation Sheet'!$G$4:$G$1000,$A13,'Final Calculation Sheet'!$J$4:$J$1000)</f>
        <v/>
      </c>
      <c r="L13" s="500">
        <f>SUMIF('Final Calculation Sheet'!$G$4:$G$1000,$A13,'Final Calculation Sheet'!$K$4:$K$1000)</f>
        <v/>
      </c>
      <c r="M13" s="513">
        <f>SUMIF('Final Calculation Sheet'!$G$4:$G$1000,$A13,'Final Calculation Sheet'!$L$4:$L$1000)</f>
        <v/>
      </c>
      <c r="N13" s="513">
        <f>SUMIF('Final Calculation Sheet'!$G$4:$G$1000,$A13,'Final Calculation Sheet'!$M$4:$M$1000)</f>
        <v/>
      </c>
      <c r="O13" s="513">
        <f>SUMIF('Final Calculation Sheet'!$G$4:$G$1000,$A13,'Final Calculation Sheet'!$N$4:$N$1000)</f>
        <v/>
      </c>
      <c r="P13" s="513">
        <f>SUMIF('Final Calculation Sheet'!$G$4:$G$1000,$A13,'Final Calculation Sheet'!$O$4:$O$1000)</f>
        <v/>
      </c>
      <c r="Q13" s="500">
        <f>SUMIF('Final Calculation Sheet'!$G$4:$G$1000,$A13,'Final Calculation Sheet'!$P$4:$P$1000)</f>
        <v/>
      </c>
      <c r="R13" s="500">
        <f>SUMIF('Final Calculation Sheet'!$G$4:$G$1000,$A13,'Final Calculation Sheet'!$R$4:$R$1000)</f>
        <v/>
      </c>
      <c r="S13" s="517">
        <f>IFERROR(SUMIF('Final Calculation Sheet'!$G$4:$G$1000,$A13,'Final Calculation Sheet'!$R$4:$R$1000)/SUMIF('Final Calculation Sheet'!$G$4:$G$1000,$A13,'Final Calculation Sheet'!$H$4:$H$1000),"")</f>
        <v/>
      </c>
      <c r="T13" s="500">
        <f>SUMIF('Final Calculation Sheet'!$G$4:$G$1000,$A13,'Final Calculation Sheet'!$S$4:$S$1000)</f>
        <v/>
      </c>
      <c r="U13" s="500">
        <f>SUMIF('Final Calculation Sheet'!$G$4:$G$1000,$A13,'Final Calculation Sheet'!$T$4:$T$1000)</f>
        <v/>
      </c>
      <c r="V13" s="500">
        <f>SUMIF('Final Calculation Sheet'!$G$4:$G$1000,$A13,'Final Calculation Sheet'!$U$4:$U$1000)</f>
        <v/>
      </c>
      <c r="W13" s="500">
        <f>SUMIF('Final Calculation Sheet'!$G$4:$G$1000,$A13,'Final Calculation Sheet'!$T$4:$T$1000)-SUMIF('Final Calculation Sheet'!$G$4:$G$1000,$A13,'Final Calculation Sheet'!$U$4:$U$1000)</f>
        <v/>
      </c>
      <c r="X13" s="500">
        <f>SUMIF('Final Calculation Sheet'!$G$4:$G$1000,$A13,'Final Calculation Sheet'!$W$4:$W$1000)</f>
        <v/>
      </c>
      <c r="Y13" s="500">
        <f>SUMIF('Final Calculation Sheet'!$G$4:$G$1000,$A13,'Final Calculation Sheet'!$X$4:$X$1000)</f>
        <v/>
      </c>
      <c r="Z13" s="500">
        <f>SUMIF('Final Calculation Sheet'!$G$4:$G$1000,$A13,'Final Calculation Sheet'!$W$4:$W$1000)-SUMIF('Final Calculation Sheet'!$G$4:$G$1000,$A13,'Final Calculation Sheet'!$X$4:$X$1000)</f>
        <v/>
      </c>
      <c r="AA13" s="500">
        <f>SUMIF('Final Calculation Sheet'!$G$4:$G$1000,$A13,'Final Calculation Sheet'!$Z$4:$Z$1000)</f>
        <v/>
      </c>
      <c r="AB13" s="500">
        <f>SUMIF('Final Calculation Sheet'!$G$4:$G$1000,$A13,'Final Calculation Sheet'!$AA$4:$AA$1000)</f>
        <v/>
      </c>
      <c r="AC13" s="491">
        <f>COUNTIF('Final Calculation Sheet'!$G$4:$G$1000,$A13)-COUNTIFS('Final Calculation Sheet'!$G$4:$G$1000,$A13,'Final Calculation Sheet'!$AE$4:$AE$1000,"")</f>
        <v/>
      </c>
      <c r="AD13" s="491">
        <f>COUNTIF('Final Calculation Sheet'!$G$4:$G$1000,$A13)-COUNTIFS('Final Calculation Sheet'!$G$4:$G$1000,$A13,'Final Calculation Sheet'!$AF$4:$AF$1000,"")</f>
        <v/>
      </c>
      <c r="AE13" s="527">
        <f>IFERROR(SUMIF('Final Calculation Sheet'!$G$4:$G$1000,$A13,'Final Calculation Sheet'!$AC$4:$AC$1000)/SUMIF('Final Calculation Sheet'!$G$4:$G$1000,$A13,'Final Calculation Sheet'!$S$4:$S$1000),"")</f>
        <v/>
      </c>
    </row>
    <row r="14" ht="16" customHeight="1">
      <c r="A14" s="608" t="inlineStr">
        <is>
          <t>SAHARA ENTERPRISES</t>
        </is>
      </c>
      <c r="B14" s="492">
        <f>COUNTIF('Final Calculation Sheet'!$G$4:$G$1000,$A14)</f>
        <v/>
      </c>
      <c r="C14" s="88">
        <f>SUMIF('Final Calculation Sheet'!$G$4:$G$1000,$A14,'Final Calculation Sheet'!$H$4:$H$1000)</f>
        <v/>
      </c>
      <c r="D14" s="88">
        <f>SUMIF('Final Calculation Sheet'!$G$4:$G$1000,$A14,'Final Calculation Sheet'!$AC$4:$AC$1000)</f>
        <v/>
      </c>
      <c r="E14" s="88">
        <f>SUMIF('Final Calculation Sheet'!$G$4:$G$1000,$A14,'Final Calculation Sheet'!$AD$4:$AD$1000)</f>
        <v/>
      </c>
      <c r="F14" s="98">
        <f>IF(SUMIF('Final Calculation Sheet'!$G$4:$G$1000,$A14,'Final Calculation Sheet'!$AD$4:$AD$1000)&lt;=0,"SETTLED","OUTSTANDING")</f>
        <v/>
      </c>
      <c r="G14" s="91">
        <f>SUMIF('Final Calculation Sheet'!$G$4:$G$1000,$A14,'Final Calculation Sheet'!$A$4:$A$1000)</f>
        <v/>
      </c>
      <c r="H14" s="88">
        <f>IFERROR(SUMIF('Final Calculation Sheet'!$G$4:$G$1000,$A14,'Final Calculation Sheet'!$H$4:$H$1000)/SUMIF('Final Calculation Sheet'!$G$4:$G$1000,$A14,'Final Calculation Sheet'!$A$4:$A$1000),"")</f>
        <v/>
      </c>
      <c r="I14" s="492">
        <f>COUNTIFS('Final Calculation Sheet'!$G$4:$G$1000,$A14,'Final Calculation Sheet'!$AE$4:$AE$1000,"")</f>
        <v/>
      </c>
      <c r="J14" s="88">
        <f>SUMIF('Final Calculation Sheet'!$G$4:$G$1000,$A14,'Final Calculation Sheet'!$I$4:$I$1000)</f>
        <v/>
      </c>
      <c r="K14" s="88">
        <f>SUMIF('Final Calculation Sheet'!$G$4:$G$1000,$A14,'Final Calculation Sheet'!$J$4:$J$1000)</f>
        <v/>
      </c>
      <c r="L14" s="88">
        <f>SUMIF('Final Calculation Sheet'!$G$4:$G$1000,$A14,'Final Calculation Sheet'!$K$4:$K$1000)</f>
        <v/>
      </c>
      <c r="M14" s="95">
        <f>SUMIF('Final Calculation Sheet'!$G$4:$G$1000,$A14,'Final Calculation Sheet'!$L$4:$L$1000)</f>
        <v/>
      </c>
      <c r="N14" s="95">
        <f>SUMIF('Final Calculation Sheet'!$G$4:$G$1000,$A14,'Final Calculation Sheet'!$M$4:$M$1000)</f>
        <v/>
      </c>
      <c r="O14" s="95">
        <f>SUMIF('Final Calculation Sheet'!$G$4:$G$1000,$A14,'Final Calculation Sheet'!$N$4:$N$1000)</f>
        <v/>
      </c>
      <c r="P14" s="95">
        <f>SUMIF('Final Calculation Sheet'!$G$4:$G$1000,$A14,'Final Calculation Sheet'!$O$4:$O$1000)</f>
        <v/>
      </c>
      <c r="Q14" s="88">
        <f>SUMIF('Final Calculation Sheet'!$G$4:$G$1000,$A14,'Final Calculation Sheet'!$P$4:$P$1000)</f>
        <v/>
      </c>
      <c r="R14" s="88">
        <f>SUMIF('Final Calculation Sheet'!$G$4:$G$1000,$A14,'Final Calculation Sheet'!$R$4:$R$1000)</f>
        <v/>
      </c>
      <c r="S14" s="518">
        <f>IFERROR(SUMIF('Final Calculation Sheet'!$G$4:$G$1000,$A14,'Final Calculation Sheet'!$R$4:$R$1000)/SUMIF('Final Calculation Sheet'!$G$4:$G$1000,$A14,'Final Calculation Sheet'!$H$4:$H$1000),"")</f>
        <v/>
      </c>
      <c r="T14" s="88">
        <f>SUMIF('Final Calculation Sheet'!$G$4:$G$1000,$A14,'Final Calculation Sheet'!$S$4:$S$1000)</f>
        <v/>
      </c>
      <c r="U14" s="88">
        <f>SUMIF('Final Calculation Sheet'!$G$4:$G$1000,$A14,'Final Calculation Sheet'!$T$4:$T$1000)</f>
        <v/>
      </c>
      <c r="V14" s="88">
        <f>SUMIF('Final Calculation Sheet'!$G$4:$G$1000,$A14,'Final Calculation Sheet'!$U$4:$U$1000)</f>
        <v/>
      </c>
      <c r="W14" s="88">
        <f>SUMIF('Final Calculation Sheet'!$G$4:$G$1000,$A14,'Final Calculation Sheet'!$T$4:$T$1000)-SUMIF('Final Calculation Sheet'!$G$4:$G$1000,$A14,'Final Calculation Sheet'!$U$4:$U$1000)</f>
        <v/>
      </c>
      <c r="X14" s="88">
        <f>SUMIF('Final Calculation Sheet'!$G$4:$G$1000,$A14,'Final Calculation Sheet'!$W$4:$W$1000)</f>
        <v/>
      </c>
      <c r="Y14" s="88">
        <f>SUMIF('Final Calculation Sheet'!$G$4:$G$1000,$A14,'Final Calculation Sheet'!$X$4:$X$1000)</f>
        <v/>
      </c>
      <c r="Z14" s="88">
        <f>SUMIF('Final Calculation Sheet'!$G$4:$G$1000,$A14,'Final Calculation Sheet'!$W$4:$W$1000)-SUMIF('Final Calculation Sheet'!$G$4:$G$1000,$A14,'Final Calculation Sheet'!$X$4:$X$1000)</f>
        <v/>
      </c>
      <c r="AA14" s="88">
        <f>SUMIF('Final Calculation Sheet'!$G$4:$G$1000,$A14,'Final Calculation Sheet'!$Z$4:$Z$1000)</f>
        <v/>
      </c>
      <c r="AB14" s="88">
        <f>SUMIF('Final Calculation Sheet'!$G$4:$G$1000,$A14,'Final Calculation Sheet'!$AA$4:$AA$1000)</f>
        <v/>
      </c>
      <c r="AC14" s="492">
        <f>COUNTIF('Final Calculation Sheet'!$G$4:$G$1000,$A14)-COUNTIFS('Final Calculation Sheet'!$G$4:$G$1000,$A14,'Final Calculation Sheet'!$AE$4:$AE$1000,"")</f>
        <v/>
      </c>
      <c r="AD14" s="492">
        <f>COUNTIF('Final Calculation Sheet'!$G$4:$G$1000,$A14)-COUNTIFS('Final Calculation Sheet'!$G$4:$G$1000,$A14,'Final Calculation Sheet'!$AF$4:$AF$1000,"")</f>
        <v/>
      </c>
      <c r="AE14" s="528">
        <f>IFERROR(SUMIF('Final Calculation Sheet'!$G$4:$G$1000,$A14,'Final Calculation Sheet'!$AC$4:$AC$1000)/SUMIF('Final Calculation Sheet'!$G$4:$G$1000,$A14,'Final Calculation Sheet'!$S$4:$S$1000),"")</f>
        <v/>
      </c>
    </row>
    <row r="15" ht="16" customHeight="1">
      <c r="A15" s="609" t="inlineStr">
        <is>
          <t>SHAR JAHAN TRADERS</t>
        </is>
      </c>
      <c r="B15" s="493">
        <f>COUNTIF('Final Calculation Sheet'!$G$4:$G$1000,$A15)</f>
        <v/>
      </c>
      <c r="C15" s="501">
        <f>SUMIF('Final Calculation Sheet'!$G$4:$G$1000,$A15,'Final Calculation Sheet'!$H$4:$H$1000)</f>
        <v/>
      </c>
      <c r="D15" s="501">
        <f>SUMIF('Final Calculation Sheet'!$G$4:$G$1000,$A15,'Final Calculation Sheet'!$AC$4:$AC$1000)</f>
        <v/>
      </c>
      <c r="E15" s="501">
        <f>SUMIF('Final Calculation Sheet'!$G$4:$G$1000,$A15,'Final Calculation Sheet'!$AD$4:$AD$1000)</f>
        <v/>
      </c>
      <c r="F15" s="505">
        <f>IF(SUMIF('Final Calculation Sheet'!$G$4:$G$1000,$A15,'Final Calculation Sheet'!$AD$4:$AD$1000)&lt;=0,"SETTLED","OUTSTANDING")</f>
        <v/>
      </c>
      <c r="G15" s="510">
        <f>SUMIF('Final Calculation Sheet'!$G$4:$G$1000,$A15,'Final Calculation Sheet'!$A$4:$A$1000)</f>
        <v/>
      </c>
      <c r="H15" s="501">
        <f>IFERROR(SUMIF('Final Calculation Sheet'!$G$4:$G$1000,$A15,'Final Calculation Sheet'!$H$4:$H$1000)/SUMIF('Final Calculation Sheet'!$G$4:$G$1000,$A15,'Final Calculation Sheet'!$A$4:$A$1000),"")</f>
        <v/>
      </c>
      <c r="I15" s="493">
        <f>COUNTIFS('Final Calculation Sheet'!$G$4:$G$1000,$A15,'Final Calculation Sheet'!$AE$4:$AE$1000,"")</f>
        <v/>
      </c>
      <c r="J15" s="501">
        <f>SUMIF('Final Calculation Sheet'!$G$4:$G$1000,$A15,'Final Calculation Sheet'!$I$4:$I$1000)</f>
        <v/>
      </c>
      <c r="K15" s="501">
        <f>SUMIF('Final Calculation Sheet'!$G$4:$G$1000,$A15,'Final Calculation Sheet'!$J$4:$J$1000)</f>
        <v/>
      </c>
      <c r="L15" s="501">
        <f>SUMIF('Final Calculation Sheet'!$G$4:$G$1000,$A15,'Final Calculation Sheet'!$K$4:$K$1000)</f>
        <v/>
      </c>
      <c r="M15" s="514">
        <f>SUMIF('Final Calculation Sheet'!$G$4:$G$1000,$A15,'Final Calculation Sheet'!$L$4:$L$1000)</f>
        <v/>
      </c>
      <c r="N15" s="514">
        <f>SUMIF('Final Calculation Sheet'!$G$4:$G$1000,$A15,'Final Calculation Sheet'!$M$4:$M$1000)</f>
        <v/>
      </c>
      <c r="O15" s="514">
        <f>SUMIF('Final Calculation Sheet'!$G$4:$G$1000,$A15,'Final Calculation Sheet'!$N$4:$N$1000)</f>
        <v/>
      </c>
      <c r="P15" s="514">
        <f>SUMIF('Final Calculation Sheet'!$G$4:$G$1000,$A15,'Final Calculation Sheet'!$O$4:$O$1000)</f>
        <v/>
      </c>
      <c r="Q15" s="501">
        <f>SUMIF('Final Calculation Sheet'!$G$4:$G$1000,$A15,'Final Calculation Sheet'!$P$4:$P$1000)</f>
        <v/>
      </c>
      <c r="R15" s="501">
        <f>SUMIF('Final Calculation Sheet'!$G$4:$G$1000,$A15,'Final Calculation Sheet'!$R$4:$R$1000)</f>
        <v/>
      </c>
      <c r="S15" s="519">
        <f>IFERROR(SUMIF('Final Calculation Sheet'!$G$4:$G$1000,$A15,'Final Calculation Sheet'!$R$4:$R$1000)/SUMIF('Final Calculation Sheet'!$G$4:$G$1000,$A15,'Final Calculation Sheet'!$H$4:$H$1000),"")</f>
        <v/>
      </c>
      <c r="T15" s="501">
        <f>SUMIF('Final Calculation Sheet'!$G$4:$G$1000,$A15,'Final Calculation Sheet'!$S$4:$S$1000)</f>
        <v/>
      </c>
      <c r="U15" s="501">
        <f>SUMIF('Final Calculation Sheet'!$G$4:$G$1000,$A15,'Final Calculation Sheet'!$T$4:$T$1000)</f>
        <v/>
      </c>
      <c r="V15" s="501">
        <f>SUMIF('Final Calculation Sheet'!$G$4:$G$1000,$A15,'Final Calculation Sheet'!$U$4:$U$1000)</f>
        <v/>
      </c>
      <c r="W15" s="501">
        <f>SUMIF('Final Calculation Sheet'!$G$4:$G$1000,$A15,'Final Calculation Sheet'!$T$4:$T$1000)-SUMIF('Final Calculation Sheet'!$G$4:$G$1000,$A15,'Final Calculation Sheet'!$U$4:$U$1000)</f>
        <v/>
      </c>
      <c r="X15" s="501">
        <f>SUMIF('Final Calculation Sheet'!$G$4:$G$1000,$A15,'Final Calculation Sheet'!$W$4:$W$1000)</f>
        <v/>
      </c>
      <c r="Y15" s="501">
        <f>SUMIF('Final Calculation Sheet'!$G$4:$G$1000,$A15,'Final Calculation Sheet'!$X$4:$X$1000)</f>
        <v/>
      </c>
      <c r="Z15" s="501">
        <f>SUMIF('Final Calculation Sheet'!$G$4:$G$1000,$A15,'Final Calculation Sheet'!$W$4:$W$1000)-SUMIF('Final Calculation Sheet'!$G$4:$G$1000,$A15,'Final Calculation Sheet'!$X$4:$X$1000)</f>
        <v/>
      </c>
      <c r="AA15" s="501">
        <f>SUMIF('Final Calculation Sheet'!$G$4:$G$1000,$A15,'Final Calculation Sheet'!$Z$4:$Z$1000)</f>
        <v/>
      </c>
      <c r="AB15" s="501">
        <f>SUMIF('Final Calculation Sheet'!$G$4:$G$1000,$A15,'Final Calculation Sheet'!$AA$4:$AA$1000)</f>
        <v/>
      </c>
      <c r="AC15" s="493">
        <f>COUNTIF('Final Calculation Sheet'!$G$4:$G$1000,$A15)-COUNTIFS('Final Calculation Sheet'!$G$4:$G$1000,$A15,'Final Calculation Sheet'!$AE$4:$AE$1000,"")</f>
        <v/>
      </c>
      <c r="AD15" s="493">
        <f>COUNTIF('Final Calculation Sheet'!$G$4:$G$1000,$A15)-COUNTIFS('Final Calculation Sheet'!$G$4:$G$1000,$A15,'Final Calculation Sheet'!$AF$4:$AF$1000,"")</f>
        <v/>
      </c>
      <c r="AE15" s="529">
        <f>IFERROR(SUMIF('Final Calculation Sheet'!$G$4:$G$1000,$A15,'Final Calculation Sheet'!$AC$4:$AC$1000)/SUMIF('Final Calculation Sheet'!$G$4:$G$1000,$A15,'Final Calculation Sheet'!$S$4:$S$1000),"")</f>
        <v/>
      </c>
    </row>
    <row r="16" ht="16" customHeight="1">
      <c r="A16" s="610" t="inlineStr">
        <is>
          <t>STERLING ENTERPRISES</t>
        </is>
      </c>
      <c r="B16" s="494">
        <f>COUNTIF('Final Calculation Sheet'!$G$4:$G$1000,$A16)</f>
        <v/>
      </c>
      <c r="C16" s="181">
        <f>SUMIF('Final Calculation Sheet'!$G$4:$G$1000,$A16,'Final Calculation Sheet'!$H$4:$H$1000)</f>
        <v/>
      </c>
      <c r="D16" s="181">
        <f>SUMIF('Final Calculation Sheet'!$G$4:$G$1000,$A16,'Final Calculation Sheet'!$AC$4:$AC$1000)</f>
        <v/>
      </c>
      <c r="E16" s="181">
        <f>SUMIF('Final Calculation Sheet'!$G$4:$G$1000,$A16,'Final Calculation Sheet'!$AD$4:$AD$1000)</f>
        <v/>
      </c>
      <c r="F16" s="187">
        <f>IF(SUMIF('Final Calculation Sheet'!$G$4:$G$1000,$A16,'Final Calculation Sheet'!$AD$4:$AD$1000)&lt;=0,"SETTLED","OUTSTANDING")</f>
        <v/>
      </c>
      <c r="G16" s="183">
        <f>SUMIF('Final Calculation Sheet'!$G$4:$G$1000,$A16,'Final Calculation Sheet'!$A$4:$A$1000)</f>
        <v/>
      </c>
      <c r="H16" s="181">
        <f>IFERROR(SUMIF('Final Calculation Sheet'!$G$4:$G$1000,$A16,'Final Calculation Sheet'!$H$4:$H$1000)/SUMIF('Final Calculation Sheet'!$G$4:$G$1000,$A16,'Final Calculation Sheet'!$A$4:$A$1000),"")</f>
        <v/>
      </c>
      <c r="I16" s="494">
        <f>COUNTIFS('Final Calculation Sheet'!$G$4:$G$1000,$A16,'Final Calculation Sheet'!$AE$4:$AE$1000,"")</f>
        <v/>
      </c>
      <c r="J16" s="181">
        <f>SUMIF('Final Calculation Sheet'!$G$4:$G$1000,$A16,'Final Calculation Sheet'!$I$4:$I$1000)</f>
        <v/>
      </c>
      <c r="K16" s="181">
        <f>SUMIF('Final Calculation Sheet'!$G$4:$G$1000,$A16,'Final Calculation Sheet'!$J$4:$J$1000)</f>
        <v/>
      </c>
      <c r="L16" s="181">
        <f>SUMIF('Final Calculation Sheet'!$G$4:$G$1000,$A16,'Final Calculation Sheet'!$K$4:$K$1000)</f>
        <v/>
      </c>
      <c r="M16" s="185">
        <f>SUMIF('Final Calculation Sheet'!$G$4:$G$1000,$A16,'Final Calculation Sheet'!$L$4:$L$1000)</f>
        <v/>
      </c>
      <c r="N16" s="185">
        <f>SUMIF('Final Calculation Sheet'!$G$4:$G$1000,$A16,'Final Calculation Sheet'!$M$4:$M$1000)</f>
        <v/>
      </c>
      <c r="O16" s="185">
        <f>SUMIF('Final Calculation Sheet'!$G$4:$G$1000,$A16,'Final Calculation Sheet'!$N$4:$N$1000)</f>
        <v/>
      </c>
      <c r="P16" s="185">
        <f>SUMIF('Final Calculation Sheet'!$G$4:$G$1000,$A16,'Final Calculation Sheet'!$O$4:$O$1000)</f>
        <v/>
      </c>
      <c r="Q16" s="181">
        <f>SUMIF('Final Calculation Sheet'!$G$4:$G$1000,$A16,'Final Calculation Sheet'!$P$4:$P$1000)</f>
        <v/>
      </c>
      <c r="R16" s="181">
        <f>SUMIF('Final Calculation Sheet'!$G$4:$G$1000,$A16,'Final Calculation Sheet'!$R$4:$R$1000)</f>
        <v/>
      </c>
      <c r="S16" s="520">
        <f>IFERROR(SUMIF('Final Calculation Sheet'!$G$4:$G$1000,$A16,'Final Calculation Sheet'!$R$4:$R$1000)/SUMIF('Final Calculation Sheet'!$G$4:$G$1000,$A16,'Final Calculation Sheet'!$H$4:$H$1000),"")</f>
        <v/>
      </c>
      <c r="T16" s="181">
        <f>SUMIF('Final Calculation Sheet'!$G$4:$G$1000,$A16,'Final Calculation Sheet'!$S$4:$S$1000)</f>
        <v/>
      </c>
      <c r="U16" s="181">
        <f>SUMIF('Final Calculation Sheet'!$G$4:$G$1000,$A16,'Final Calculation Sheet'!$T$4:$T$1000)</f>
        <v/>
      </c>
      <c r="V16" s="181">
        <f>SUMIF('Final Calculation Sheet'!$G$4:$G$1000,$A16,'Final Calculation Sheet'!$U$4:$U$1000)</f>
        <v/>
      </c>
      <c r="W16" s="181">
        <f>SUMIF('Final Calculation Sheet'!$G$4:$G$1000,$A16,'Final Calculation Sheet'!$T$4:$T$1000)-SUMIF('Final Calculation Sheet'!$G$4:$G$1000,$A16,'Final Calculation Sheet'!$U$4:$U$1000)</f>
        <v/>
      </c>
      <c r="X16" s="181">
        <f>SUMIF('Final Calculation Sheet'!$G$4:$G$1000,$A16,'Final Calculation Sheet'!$W$4:$W$1000)</f>
        <v/>
      </c>
      <c r="Y16" s="181">
        <f>SUMIF('Final Calculation Sheet'!$G$4:$G$1000,$A16,'Final Calculation Sheet'!$X$4:$X$1000)</f>
        <v/>
      </c>
      <c r="Z16" s="181">
        <f>SUMIF('Final Calculation Sheet'!$G$4:$G$1000,$A16,'Final Calculation Sheet'!$W$4:$W$1000)-SUMIF('Final Calculation Sheet'!$G$4:$G$1000,$A16,'Final Calculation Sheet'!$X$4:$X$1000)</f>
        <v/>
      </c>
      <c r="AA16" s="181">
        <f>SUMIF('Final Calculation Sheet'!$G$4:$G$1000,$A16,'Final Calculation Sheet'!$Z$4:$Z$1000)</f>
        <v/>
      </c>
      <c r="AB16" s="181">
        <f>SUMIF('Final Calculation Sheet'!$G$4:$G$1000,$A16,'Final Calculation Sheet'!$AA$4:$AA$1000)</f>
        <v/>
      </c>
      <c r="AC16" s="494">
        <f>COUNTIF('Final Calculation Sheet'!$G$4:$G$1000,$A16)-COUNTIFS('Final Calculation Sheet'!$G$4:$G$1000,$A16,'Final Calculation Sheet'!$AE$4:$AE$1000,"")</f>
        <v/>
      </c>
      <c r="AD16" s="494">
        <f>COUNTIF('Final Calculation Sheet'!$G$4:$G$1000,$A16)-COUNTIFS('Final Calculation Sheet'!$G$4:$G$1000,$A16,'Final Calculation Sheet'!$AF$4:$AF$1000,"")</f>
        <v/>
      </c>
      <c r="AE16" s="530">
        <f>IFERROR(SUMIF('Final Calculation Sheet'!$G$4:$G$1000,$A16,'Final Calculation Sheet'!$AC$4:$AC$1000)/SUMIF('Final Calculation Sheet'!$G$4:$G$1000,$A16,'Final Calculation Sheet'!$S$4:$S$1000),"")</f>
        <v/>
      </c>
    </row>
    <row r="17" ht="16" customHeight="1">
      <c r="A17" s="611" t="inlineStr">
        <is>
          <t>WATAN SCRAP TRADERS</t>
        </is>
      </c>
      <c r="B17" s="495">
        <f>COUNTIF('Final Calculation Sheet'!$G$4:$G$1000,$A17)</f>
        <v/>
      </c>
      <c r="C17" s="502">
        <f>SUMIF('Final Calculation Sheet'!$G$4:$G$1000,$A17,'Final Calculation Sheet'!$H$4:$H$1000)</f>
        <v/>
      </c>
      <c r="D17" s="502">
        <f>SUMIF('Final Calculation Sheet'!$G$4:$G$1000,$A17,'Final Calculation Sheet'!$AC$4:$AC$1000)</f>
        <v/>
      </c>
      <c r="E17" s="502">
        <f>SUMIF('Final Calculation Sheet'!$G$4:$G$1000,$A17,'Final Calculation Sheet'!$AD$4:$AD$1000)</f>
        <v/>
      </c>
      <c r="F17" s="506">
        <f>IF(SUMIF('Final Calculation Sheet'!$G$4:$G$1000,$A17,'Final Calculation Sheet'!$AD$4:$AD$1000)&lt;=0,"SETTLED","OUTSTANDING")</f>
        <v/>
      </c>
      <c r="G17" s="511">
        <f>SUMIF('Final Calculation Sheet'!$G$4:$G$1000,$A17,'Final Calculation Sheet'!$A$4:$A$1000)</f>
        <v/>
      </c>
      <c r="H17" s="502">
        <f>IFERROR(SUMIF('Final Calculation Sheet'!$G$4:$G$1000,$A17,'Final Calculation Sheet'!$H$4:$H$1000)/SUMIF('Final Calculation Sheet'!$G$4:$G$1000,$A17,'Final Calculation Sheet'!$A$4:$A$1000),"")</f>
        <v/>
      </c>
      <c r="I17" s="495">
        <f>COUNTIFS('Final Calculation Sheet'!$G$4:$G$1000,$A17,'Final Calculation Sheet'!$AE$4:$AE$1000,"")</f>
        <v/>
      </c>
      <c r="J17" s="502">
        <f>SUMIF('Final Calculation Sheet'!$G$4:$G$1000,$A17,'Final Calculation Sheet'!$I$4:$I$1000)</f>
        <v/>
      </c>
      <c r="K17" s="502">
        <f>SUMIF('Final Calculation Sheet'!$G$4:$G$1000,$A17,'Final Calculation Sheet'!$J$4:$J$1000)</f>
        <v/>
      </c>
      <c r="L17" s="502">
        <f>SUMIF('Final Calculation Sheet'!$G$4:$G$1000,$A17,'Final Calculation Sheet'!$K$4:$K$1000)</f>
        <v/>
      </c>
      <c r="M17" s="515">
        <f>SUMIF('Final Calculation Sheet'!$G$4:$G$1000,$A17,'Final Calculation Sheet'!$L$4:$L$1000)</f>
        <v/>
      </c>
      <c r="N17" s="515">
        <f>SUMIF('Final Calculation Sheet'!$G$4:$G$1000,$A17,'Final Calculation Sheet'!$M$4:$M$1000)</f>
        <v/>
      </c>
      <c r="O17" s="515">
        <f>SUMIF('Final Calculation Sheet'!$G$4:$G$1000,$A17,'Final Calculation Sheet'!$N$4:$N$1000)</f>
        <v/>
      </c>
      <c r="P17" s="515">
        <f>SUMIF('Final Calculation Sheet'!$G$4:$G$1000,$A17,'Final Calculation Sheet'!$O$4:$O$1000)</f>
        <v/>
      </c>
      <c r="Q17" s="502">
        <f>SUMIF('Final Calculation Sheet'!$G$4:$G$1000,$A17,'Final Calculation Sheet'!$P$4:$P$1000)</f>
        <v/>
      </c>
      <c r="R17" s="502">
        <f>SUMIF('Final Calculation Sheet'!$G$4:$G$1000,$A17,'Final Calculation Sheet'!$R$4:$R$1000)</f>
        <v/>
      </c>
      <c r="S17" s="521">
        <f>IFERROR(SUMIF('Final Calculation Sheet'!$G$4:$G$1000,$A17,'Final Calculation Sheet'!$R$4:$R$1000)/SUMIF('Final Calculation Sheet'!$G$4:$G$1000,$A17,'Final Calculation Sheet'!$H$4:$H$1000),"")</f>
        <v/>
      </c>
      <c r="T17" s="502">
        <f>SUMIF('Final Calculation Sheet'!$G$4:$G$1000,$A17,'Final Calculation Sheet'!$S$4:$S$1000)</f>
        <v/>
      </c>
      <c r="U17" s="502">
        <f>SUMIF('Final Calculation Sheet'!$G$4:$G$1000,$A17,'Final Calculation Sheet'!$T$4:$T$1000)</f>
        <v/>
      </c>
      <c r="V17" s="502">
        <f>SUMIF('Final Calculation Sheet'!$G$4:$G$1000,$A17,'Final Calculation Sheet'!$U$4:$U$1000)</f>
        <v/>
      </c>
      <c r="W17" s="502">
        <f>SUMIF('Final Calculation Sheet'!$G$4:$G$1000,$A17,'Final Calculation Sheet'!$T$4:$T$1000)-SUMIF('Final Calculation Sheet'!$G$4:$G$1000,$A17,'Final Calculation Sheet'!$U$4:$U$1000)</f>
        <v/>
      </c>
      <c r="X17" s="502">
        <f>SUMIF('Final Calculation Sheet'!$G$4:$G$1000,$A17,'Final Calculation Sheet'!$W$4:$W$1000)</f>
        <v/>
      </c>
      <c r="Y17" s="502">
        <f>SUMIF('Final Calculation Sheet'!$G$4:$G$1000,$A17,'Final Calculation Sheet'!$X$4:$X$1000)</f>
        <v/>
      </c>
      <c r="Z17" s="502">
        <f>SUMIF('Final Calculation Sheet'!$G$4:$G$1000,$A17,'Final Calculation Sheet'!$W$4:$W$1000)-SUMIF('Final Calculation Sheet'!$G$4:$G$1000,$A17,'Final Calculation Sheet'!$X$4:$X$1000)</f>
        <v/>
      </c>
      <c r="AA17" s="502">
        <f>SUMIF('Final Calculation Sheet'!$G$4:$G$1000,$A17,'Final Calculation Sheet'!$Z$4:$Z$1000)</f>
        <v/>
      </c>
      <c r="AB17" s="502">
        <f>SUMIF('Final Calculation Sheet'!$G$4:$G$1000,$A17,'Final Calculation Sheet'!$AA$4:$AA$1000)</f>
        <v/>
      </c>
      <c r="AC17" s="495">
        <f>COUNTIF('Final Calculation Sheet'!$G$4:$G$1000,$A17)-COUNTIFS('Final Calculation Sheet'!$G$4:$G$1000,$A17,'Final Calculation Sheet'!$AE$4:$AE$1000,"")</f>
        <v/>
      </c>
      <c r="AD17" s="495">
        <f>COUNTIF('Final Calculation Sheet'!$G$4:$G$1000,$A17)-COUNTIFS('Final Calculation Sheet'!$G$4:$G$1000,$A17,'Final Calculation Sheet'!$AF$4:$AF$1000,"")</f>
        <v/>
      </c>
      <c r="AE17" s="531">
        <f>IFERROR(SUMIF('Final Calculation Sheet'!$G$4:$G$1000,$A17,'Final Calculation Sheet'!$AC$4:$AC$1000)/SUMIF('Final Calculation Sheet'!$G$4:$G$1000,$A17,'Final Calculation Sheet'!$S$4:$S$1000),"")</f>
        <v/>
      </c>
    </row>
    <row r="18" ht="18" customHeight="1">
      <c r="A18" s="615" t="inlineStr">
        <is>
          <t>∑  TOTAL — visible buyers</t>
        </is>
      </c>
      <c r="B18" s="616">
        <f>SUBTOTAL(109,B5:B17)</f>
        <v/>
      </c>
      <c r="C18" s="227">
        <f>SUBTOTAL(109,C5:C17)</f>
        <v/>
      </c>
      <c r="D18" s="227">
        <f>SUBTOTAL(109,D5:D17)</f>
        <v/>
      </c>
      <c r="E18" s="227">
        <f>SUBTOTAL(109,E5:E17)</f>
        <v/>
      </c>
      <c r="F18" s="617">
        <f>IF(E18&lt;=0,"SETTLED","OUTSTANDING")</f>
        <v/>
      </c>
      <c r="G18" s="618">
        <f>SUBTOTAL(109,G5:G17)</f>
        <v/>
      </c>
      <c r="H18" s="227">
        <f>IFERROR(C18/G18,"")</f>
        <v/>
      </c>
      <c r="I18" s="616">
        <f>SUBTOTAL(109,I5:I17)</f>
        <v/>
      </c>
      <c r="J18" s="227">
        <f>SUBTOTAL(109,J5:J17)</f>
        <v/>
      </c>
      <c r="K18" s="227">
        <f>SUBTOTAL(109,K5:K17)</f>
        <v/>
      </c>
      <c r="L18" s="227">
        <f>SUBTOTAL(109,L5:L17)</f>
        <v/>
      </c>
      <c r="M18" s="619">
        <f>SUBTOTAL(109,M5:M17)</f>
        <v/>
      </c>
      <c r="N18" s="619">
        <f>SUBTOTAL(109,N5:N17)</f>
        <v/>
      </c>
      <c r="O18" s="619">
        <f>SUBTOTAL(109,O5:O17)</f>
        <v/>
      </c>
      <c r="P18" s="619">
        <f>SUBTOTAL(109,P5:P17)</f>
        <v/>
      </c>
      <c r="Q18" s="227">
        <f>SUBTOTAL(109,Q5:Q17)</f>
        <v/>
      </c>
      <c r="R18" s="227">
        <f>SUBTOTAL(109,R5:R17)</f>
        <v/>
      </c>
      <c r="S18" s="620">
        <f>IFERROR(R18/C18,"")</f>
        <v/>
      </c>
      <c r="T18" s="227">
        <f>SUBTOTAL(109,T5:T17)</f>
        <v/>
      </c>
      <c r="U18" s="227">
        <f>SUBTOTAL(109,U5:U17)</f>
        <v/>
      </c>
      <c r="V18" s="227">
        <f>SUBTOTAL(109,V5:V17)</f>
        <v/>
      </c>
      <c r="W18" s="227">
        <f>U18-V18</f>
        <v/>
      </c>
      <c r="X18" s="227">
        <f>SUBTOTAL(109,X5:X17)</f>
        <v/>
      </c>
      <c r="Y18" s="227">
        <f>SUBTOTAL(109,Y5:Y17)</f>
        <v/>
      </c>
      <c r="Z18" s="227">
        <f>X18-Y18</f>
        <v/>
      </c>
      <c r="AA18" s="227">
        <f>SUBTOTAL(109,AA5:AA17)</f>
        <v/>
      </c>
      <c r="AB18" s="227">
        <f>SUBTOTAL(109,AB5:AB17)</f>
        <v/>
      </c>
      <c r="AC18" s="616">
        <f>SUBTOTAL(109,AC5:AC17)</f>
        <v/>
      </c>
      <c r="AD18" s="616">
        <f>SUBTOTAL(109,AD5:AD17)</f>
        <v/>
      </c>
      <c r="AE18" s="621">
        <f>IFERROR(D18/T18,"")</f>
        <v/>
      </c>
    </row>
  </sheetData>
  <autoFilter ref="A4:AE17"/>
  <mergeCells count="9">
    <mergeCell ref="AC3:AD3"/>
    <mergeCell ref="AA3:AB3"/>
    <mergeCell ref="A2:AE2"/>
    <mergeCell ref="J3:T3"/>
    <mergeCell ref="B3:F3"/>
    <mergeCell ref="A1:AE1"/>
    <mergeCell ref="G3:I3"/>
    <mergeCell ref="X3:Z3"/>
    <mergeCell ref="U3:W3"/>
  </mergeCells>
  <conditionalFormatting sqref="E5:E18">
    <cfRule type="cellIs" priority="1" operator="greaterThan" dxfId="1">
      <formula>0</formula>
    </cfRule>
    <cfRule type="cellIs" priority="2" operator="lessThanOrEqual" dxfId="4">
      <formula>0</formula>
    </cfRule>
  </conditionalFormatting>
  <conditionalFormatting sqref="F5:F18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AE5:AE18">
    <cfRule type="colorScale" priority="5">
      <colorScale>
        <cfvo type="num" val="0"/>
        <cfvo type="num" val="0.9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00B050"/>
    <outlinePr summaryBelow="0" summaryRight="1"/>
    <pageSetUpPr fitToPage="1"/>
  </sheetPr>
  <dimension ref="A1:B18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Row="3" outlineLevelCol="0"/>
  <cols>
    <col width="46" customWidth="1" min="1" max="1"/>
    <col width="30" customWidth="1" min="2" max="2"/>
  </cols>
  <sheetData>
    <row r="1" ht="30" customHeight="1">
      <c r="A1" s="59" t="inlineStr">
        <is>
          <t>MSTC LIMITED  •  BUYER ▸ LOT ▸ FIELD  —  VERTICAL DETAIL (everything reads downwards)</t>
        </is>
      </c>
    </row>
    <row r="2" ht="44" customHeight="1">
      <c r="A2" s="61" t="inlineStr">
        <is>
          <t>HOW TO USE  ▶  the − / + buttons in the left margin fold three levels: 1 = buyer names only, 2 = buyer + their lot numbers, 3 = buyer + lot + section headings, 4 = every field of every lot   •   each lot is its own block with the fields listed one below the other   •   every buyer ends with its own ∑ TOTALS block, and the sheet ends with an all-buyers grand total   •   every figure is a live link to 'Final Calculation Sheet'</t>
        </is>
      </c>
    </row>
    <row r="3" ht="6" customHeight="1"/>
    <row r="4" ht="24" customHeight="1">
      <c r="A4" s="424" t="inlineStr">
        <is>
          <t>FIELD  ▸  BUYER  /  LOT  /  DETAIL</t>
        </is>
      </c>
      <c r="B4" s="62" t="inlineStr">
        <is>
          <t>VALUE</t>
        </is>
      </c>
    </row>
    <row r="5" ht="24" customHeight="1">
      <c r="A5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242" t="n"/>
    </row>
    <row r="6" outlineLevel="1" ht="20" customHeight="1">
      <c r="A6" s="425">
        <f>"   ▸  LOT "&amp;'Final Calculation Sheet'!$F$4&amp;"   •   "&amp;'Final Calculation Sheet'!$B$4&amp;"   •   MAT. VALUE ₹"&amp;TEXT('Final Calculation Sheet'!$H$4,"#,##0")&amp;"   •   OUTSTANDING ₹"&amp;TEXT('Final Calculation Sheet'!$AD$4,"#,##0")</f>
        <v/>
      </c>
      <c r="B6" s="67" t="n"/>
    </row>
    <row r="7" outlineLevel="2" ht="16" customHeight="1">
      <c r="A7" s="426" t="inlineStr">
        <is>
          <t xml:space="preserve">      ▸ LOT INFORMATION</t>
        </is>
      </c>
      <c r="B7" s="427" t="n"/>
    </row>
    <row r="8" outlineLevel="3" ht="15" customHeight="1">
      <c r="A8" s="69" t="inlineStr">
        <is>
          <t xml:space="preserve">            Lot No.</t>
        </is>
      </c>
      <c r="B8" s="70">
        <f>IF('Final Calculation Sheet'!$F$4="","",'Final Calculation Sheet'!$F$4)</f>
        <v/>
      </c>
    </row>
    <row r="9" outlineLevel="3" ht="15" customHeight="1">
      <c r="A9" s="69" t="inlineStr">
        <is>
          <t xml:space="preserve">            Lot Name</t>
        </is>
      </c>
      <c r="B9" s="76">
        <f>IF('Final Calculation Sheet'!$B$4="","",'Final Calculation Sheet'!$B$4)</f>
        <v/>
      </c>
    </row>
    <row r="10" outlineLevel="3" ht="15" customHeight="1">
      <c r="A10" s="69" t="inlineStr">
        <is>
          <t xml:space="preserve">            Bid Sheet / Auction</t>
        </is>
      </c>
      <c r="B10" s="70">
        <f>IF('Final Calculation Sheet'!$D$4="","",'Final Calculation Sheet'!$D$4)</f>
        <v/>
      </c>
    </row>
    <row r="11" outlineLevel="3" ht="15" customHeight="1">
      <c r="A11" s="69" t="inlineStr">
        <is>
          <t xml:space="preserve">            Quantity</t>
        </is>
      </c>
      <c r="B11" s="74">
        <f>IF('Final Calculation Sheet'!$A$4="","",'Final Calculation Sheet'!$A$4)</f>
        <v/>
      </c>
    </row>
    <row r="12" outlineLevel="3" ht="15" customHeight="1">
      <c r="A12" s="69" t="inlineStr">
        <is>
          <t xml:space="preserve">            Unit</t>
        </is>
      </c>
      <c r="B12" s="76">
        <f>IF('Final Calculation Sheet'!$E$4="","",'Final Calculation Sheet'!$E$4)</f>
        <v/>
      </c>
    </row>
    <row r="13" outlineLevel="3" ht="15" customHeight="1">
      <c r="A13" s="69" t="inlineStr">
        <is>
          <t xml:space="preserve">            Rate (₹)</t>
        </is>
      </c>
      <c r="B13" s="70">
        <f>IF('Final Calculation Sheet'!$C$4="","",'Final Calculation Sheet'!$C$4)</f>
        <v/>
      </c>
    </row>
    <row r="14" outlineLevel="2" ht="16" customHeight="1">
      <c r="A14" s="426" t="inlineStr">
        <is>
          <t xml:space="preserve">      ▸ FINANCIALS</t>
        </is>
      </c>
      <c r="B14" s="427" t="n"/>
    </row>
    <row r="15" outlineLevel="3" ht="15" customHeight="1">
      <c r="A15" s="69" t="inlineStr">
        <is>
          <t xml:space="preserve">            Mat. Value (₹)</t>
        </is>
      </c>
      <c r="B15" s="70">
        <f>IF('Final Calculation Sheet'!$H$4="","",'Final Calculation Sheet'!$H$4)</f>
        <v/>
      </c>
    </row>
    <row r="16" outlineLevel="3" ht="15" customHeight="1">
      <c r="A16" s="69" t="inlineStr">
        <is>
          <t xml:space="preserve">            GST @ 18% (₹)</t>
        </is>
      </c>
      <c r="B16" s="70">
        <f>IF('Final Calculation Sheet'!$I$4="","",'Final Calculation Sheet'!$I$4)</f>
        <v/>
      </c>
    </row>
    <row r="17" outlineLevel="3" ht="15" customHeight="1">
      <c r="A17" s="69" t="inlineStr">
        <is>
          <t xml:space="preserve">            Mat. Value + GST (₹)</t>
        </is>
      </c>
      <c r="B17" s="70">
        <f>IF('Final Calculation Sheet'!$J$4="","",'Final Calculation Sheet'!$J$4)</f>
        <v/>
      </c>
    </row>
    <row r="18" outlineLevel="3" ht="15" customHeight="1">
      <c r="A18" s="69" t="inlineStr">
        <is>
          <t xml:space="preserve">            TCS @ 2% (₹)</t>
        </is>
      </c>
      <c r="B18" s="70">
        <f>IF('Final Calculation Sheet'!$K$4="","",'Final Calculation Sheet'!$K$4)</f>
        <v/>
      </c>
    </row>
    <row r="19" outlineLevel="3" ht="15" customHeight="1">
      <c r="A19" s="69" t="inlineStr">
        <is>
          <t xml:space="preserve">            TDS u/s 194(O) (₹)</t>
        </is>
      </c>
      <c r="B19" s="78">
        <f>IF('Final Calculation Sheet'!$L$4="","",'Final Calculation Sheet'!$L$4)</f>
        <v/>
      </c>
    </row>
    <row r="20" outlineLevel="3" ht="15" customHeight="1">
      <c r="A20" s="69" t="inlineStr">
        <is>
          <t xml:space="preserve">            Service Charge gross (₹)</t>
        </is>
      </c>
      <c r="B20" s="78">
        <f>IF('Final Calculation Sheet'!$M$4="","",'Final Calculation Sheet'!$M$4)</f>
        <v/>
      </c>
    </row>
    <row r="21" outlineLevel="3" ht="15" customHeight="1">
      <c r="A21" s="69" t="inlineStr">
        <is>
          <t xml:space="preserve">            TDS u/s 194(H) (₹)</t>
        </is>
      </c>
      <c r="B21" s="78">
        <f>IF('Final Calculation Sheet'!$N$4="","",'Final Calculation Sheet'!$N$4)</f>
        <v/>
      </c>
    </row>
    <row r="22" outlineLevel="3" ht="15" customHeight="1">
      <c r="A22" s="69" t="inlineStr">
        <is>
          <t xml:space="preserve">            Net Service Charge (₹)</t>
        </is>
      </c>
      <c r="B22" s="78">
        <f>IF('Final Calculation Sheet'!$O$4="","",'Final Calculation Sheet'!$O$4)</f>
        <v/>
      </c>
    </row>
    <row r="23" outlineLevel="3" ht="15" customHeight="1">
      <c r="A23" s="69" t="inlineStr">
        <is>
          <t xml:space="preserve">            Svc Charge to MSTC (₹)</t>
        </is>
      </c>
      <c r="B23" s="70">
        <f>IF('Final Calculation Sheet'!$P$4="","",'Final Calculation Sheet'!$P$4)</f>
        <v/>
      </c>
    </row>
    <row r="24" outlineLevel="3" ht="15" customHeight="1">
      <c r="A24" s="69" t="inlineStr">
        <is>
          <t xml:space="preserve">            GST TDS Rate</t>
        </is>
      </c>
      <c r="B24" s="80">
        <f>IF('Final Calculation Sheet'!$Q$4="","",'Final Calculation Sheet'!$Q$4)</f>
        <v/>
      </c>
    </row>
    <row r="25" outlineLevel="3" ht="15" customHeight="1">
      <c r="A25" s="69" t="inlineStr">
        <is>
          <t xml:space="preserve">            GST TDS (₹)</t>
        </is>
      </c>
      <c r="B25" s="70">
        <f>IF('Final Calculation Sheet'!$R$4="","",'Final Calculation Sheet'!$R$4)</f>
        <v/>
      </c>
    </row>
    <row r="26" outlineLevel="3" ht="15" customHeight="1">
      <c r="A26" s="69" t="inlineStr">
        <is>
          <t xml:space="preserve">            Total Receivables (₹)</t>
        </is>
      </c>
      <c r="B26" s="70">
        <f>IF('Final Calculation Sheet'!$S$4="","",'Final Calculation Sheet'!$S$4)</f>
        <v/>
      </c>
    </row>
    <row r="27" outlineLevel="2" ht="16" customHeight="1">
      <c r="A27" s="426" t="inlineStr">
        <is>
          <t xml:space="preserve">      ▸ SECURITY DEPOSIT</t>
        </is>
      </c>
      <c r="B27" s="427" t="n"/>
    </row>
    <row r="28" outlineLevel="3" ht="15" customHeight="1">
      <c r="A28" s="69" t="inlineStr">
        <is>
          <t xml:space="preserve">            SD Expected (₹)</t>
        </is>
      </c>
      <c r="B28" s="70">
        <f>IF('Final Calculation Sheet'!$T$4="","",'Final Calculation Sheet'!$T$4)</f>
        <v/>
      </c>
    </row>
    <row r="29" outlineLevel="3" ht="15" customHeight="1">
      <c r="A29" s="69" t="inlineStr">
        <is>
          <t xml:space="preserve">            SD Received (₹)</t>
        </is>
      </c>
      <c r="B29" s="70">
        <f>IF('Final Calculation Sheet'!$U$4="","",'Final Calculation Sheet'!$U$4)</f>
        <v/>
      </c>
    </row>
    <row r="30" outlineLevel="3" ht="15" customHeight="1">
      <c r="A30" s="69" t="inlineStr">
        <is>
          <t xml:space="preserve">            SD Receipt Date</t>
        </is>
      </c>
      <c r="B30" s="76">
        <f>IF('Final Calculation Sheet'!$V$4="","",'Final Calculation Sheet'!$V$4)</f>
        <v/>
      </c>
    </row>
    <row r="31" outlineLevel="2" ht="16" customHeight="1">
      <c r="A31" s="426" t="inlineStr">
        <is>
          <t xml:space="preserve">      ▸ FINAL PAYMENT</t>
        </is>
      </c>
      <c r="B31" s="427" t="n"/>
    </row>
    <row r="32" outlineLevel="3" ht="15" customHeight="1">
      <c r="A32" s="69" t="inlineStr">
        <is>
          <t xml:space="preserve">            FP Expected (₹)</t>
        </is>
      </c>
      <c r="B32" s="70">
        <f>IF('Final Calculation Sheet'!$W$4="","",'Final Calculation Sheet'!$W$4)</f>
        <v/>
      </c>
    </row>
    <row r="33" outlineLevel="3" ht="15" customHeight="1">
      <c r="A33" s="69" t="inlineStr">
        <is>
          <t xml:space="preserve">            FP Received (₹)</t>
        </is>
      </c>
      <c r="B33" s="70">
        <f>IF('Final Calculation Sheet'!$X$4="","",'Final Calculation Sheet'!$X$4)</f>
        <v/>
      </c>
    </row>
    <row r="34" outlineLevel="3" ht="15" customHeight="1">
      <c r="A34" s="69" t="inlineStr">
        <is>
          <t xml:space="preserve">            FP Receipt Date</t>
        </is>
      </c>
      <c r="B34" s="76">
        <f>IF('Final Calculation Sheet'!$Y$4="","",'Final Calculation Sheet'!$Y$4)</f>
        <v/>
      </c>
    </row>
    <row r="35" outlineLevel="2" ht="16" customHeight="1">
      <c r="A35" s="426" t="inlineStr">
        <is>
          <t xml:space="preserve">      ▸ LPP</t>
        </is>
      </c>
      <c r="B35" s="427" t="n"/>
    </row>
    <row r="36" outlineLevel="3" ht="15" customHeight="1">
      <c r="A36" s="69" t="inlineStr">
        <is>
          <t xml:space="preserve">            LPP Expected (₹)</t>
        </is>
      </c>
      <c r="B36" s="70">
        <f>IF('Final Calculation Sheet'!$Z$4="","",'Final Calculation Sheet'!$Z$4)</f>
        <v/>
      </c>
    </row>
    <row r="37" outlineLevel="3" ht="15" customHeight="1">
      <c r="A37" s="69" t="inlineStr">
        <is>
          <t xml:space="preserve">            LPP Received (₹)</t>
        </is>
      </c>
      <c r="B37" s="70">
        <f>IF('Final Calculation Sheet'!$AA$4="","",'Final Calculation Sheet'!$AA$4)</f>
        <v/>
      </c>
    </row>
    <row r="38" outlineLevel="3" ht="15" customHeight="1">
      <c r="A38" s="69" t="inlineStr">
        <is>
          <t xml:space="preserve">            LPP Receipt Date</t>
        </is>
      </c>
      <c r="B38" s="76">
        <f>IF('Final Calculation Sheet'!$AB$4="","",'Final Calculation Sheet'!$AB$4)</f>
        <v/>
      </c>
    </row>
    <row r="39" outlineLevel="2" ht="16" customHeight="1">
      <c r="A39" s="426" t="inlineStr">
        <is>
          <t xml:space="preserve">      ▸ SUMMARY</t>
        </is>
      </c>
      <c r="B39" s="427" t="n"/>
    </row>
    <row r="40" outlineLevel="3" ht="15" customHeight="1">
      <c r="A40" s="69" t="inlineStr">
        <is>
          <t xml:space="preserve">            Total Received (₹)</t>
        </is>
      </c>
      <c r="B40" s="70">
        <f>IF('Final Calculation Sheet'!$AC$4="","",'Final Calculation Sheet'!$AC$4)</f>
        <v/>
      </c>
    </row>
    <row r="41" outlineLevel="3" ht="15" customHeight="1">
      <c r="A41" s="69" t="inlineStr">
        <is>
          <t xml:space="preserve">            Outstanding (₹)</t>
        </is>
      </c>
      <c r="B41" s="70">
        <f>IF('Final Calculation Sheet'!$AD$4="","",'Final Calculation Sheet'!$AD$4)</f>
        <v/>
      </c>
    </row>
    <row r="42" outlineLevel="3" ht="15" customHeight="1">
      <c r="A42" s="69" t="inlineStr">
        <is>
          <t xml:space="preserve">            Payment Status</t>
        </is>
      </c>
      <c r="B42" s="81">
        <f>IF('Final Calculation Sheet'!$AD$4="","",IF('Final Calculation Sheet'!$AD$4&lt;=0,"SETTLED","OUTSTANDING"))</f>
        <v/>
      </c>
    </row>
    <row r="43" outlineLevel="2" ht="16" customHeight="1">
      <c r="A43" s="426" t="inlineStr">
        <is>
          <t xml:space="preserve">      ▸ DOCUMENT</t>
        </is>
      </c>
      <c r="B43" s="427" t="n"/>
    </row>
    <row r="44" outlineLevel="3" ht="15" customHeight="1">
      <c r="A44" s="69" t="inlineStr">
        <is>
          <t xml:space="preserve">            Invoice No.</t>
        </is>
      </c>
      <c r="B44" s="76">
        <f>IF('Final Calculation Sheet'!$AE$4="","",'Final Calculation Sheet'!$AE$4)</f>
        <v/>
      </c>
    </row>
    <row r="45" outlineLevel="3" ht="15" customHeight="1">
      <c r="A45" s="69" t="inlineStr">
        <is>
          <t xml:space="preserve">            SAP Document</t>
        </is>
      </c>
      <c r="B45" s="70">
        <f>IF('Final Calculation Sheet'!$AF$4="","",'Final Calculation Sheet'!$AF$4)</f>
        <v/>
      </c>
    </row>
    <row r="46" outlineLevel="3" ht="15" customHeight="1">
      <c r="A46" s="69" t="inlineStr">
        <is>
          <t xml:space="preserve">            Doc./Invoice Date</t>
        </is>
      </c>
      <c r="B46" s="76">
        <f>IF('Final Calculation Sheet'!$AG$4="","",'Final Calculation Sheet'!$AG$4)</f>
        <v/>
      </c>
    </row>
    <row r="47" outlineLevel="1" ht="20" customHeight="1">
      <c r="A47" s="428" t="inlineStr">
        <is>
          <t xml:space="preserve">   ∑  AL HAMD TRADE CORPORATION — TOTALS (all its lots)</t>
        </is>
      </c>
      <c r="B47" s="242" t="n"/>
    </row>
    <row r="48" outlineLevel="2" ht="15" customHeight="1">
      <c r="A48" s="429" t="inlineStr">
        <is>
          <t xml:space="preserve">         Quantity</t>
        </is>
      </c>
      <c r="B48" s="430">
        <f>SUMIF('Final Calculation Sheet'!$G$4:$G$1000,"AL HAMD TRADE CORPORATION",'Final Calculation Sheet'!$A$4:$A$1000)</f>
        <v/>
      </c>
    </row>
    <row r="49" outlineLevel="2" ht="15" customHeight="1">
      <c r="A49" s="429" t="inlineStr">
        <is>
          <t xml:space="preserve">         Mat. Value (₹)</t>
        </is>
      </c>
      <c r="B49" s="199">
        <f>SUMIF('Final Calculation Sheet'!$G$4:$G$1000,"AL HAMD TRADE CORPORATION",'Final Calculation Sheet'!$H$4:$H$1000)</f>
        <v/>
      </c>
    </row>
    <row r="50" outlineLevel="2" ht="15" customHeight="1">
      <c r="A50" s="429" t="inlineStr">
        <is>
          <t xml:space="preserve">         GST @ 18% (₹)</t>
        </is>
      </c>
      <c r="B50" s="199">
        <f>SUMIF('Final Calculation Sheet'!$G$4:$G$1000,"AL HAMD TRADE CORPORATION",'Final Calculation Sheet'!$I$4:$I$1000)</f>
        <v/>
      </c>
    </row>
    <row r="51" outlineLevel="2" ht="15" customHeight="1">
      <c r="A51" s="429" t="inlineStr">
        <is>
          <t xml:space="preserve">         Mat. Value + GST (₹)</t>
        </is>
      </c>
      <c r="B51" s="199">
        <f>SUMIF('Final Calculation Sheet'!$G$4:$G$1000,"AL HAMD TRADE CORPORATION",'Final Calculation Sheet'!$J$4:$J$1000)</f>
        <v/>
      </c>
    </row>
    <row r="52" outlineLevel="2" ht="15" customHeight="1">
      <c r="A52" s="429" t="inlineStr">
        <is>
          <t xml:space="preserve">         TCS @ 2% (₹)</t>
        </is>
      </c>
      <c r="B52" s="199">
        <f>SUMIF('Final Calculation Sheet'!$G$4:$G$1000,"AL HAMD TRADE CORPORATION",'Final Calculation Sheet'!$K$4:$K$1000)</f>
        <v/>
      </c>
    </row>
    <row r="53" outlineLevel="2" ht="15" customHeight="1">
      <c r="A53" s="429" t="inlineStr">
        <is>
          <t xml:space="preserve">         TDS u/s 194(O) (₹)</t>
        </is>
      </c>
      <c r="B53" s="431">
        <f>SUMIF('Final Calculation Sheet'!$G$4:$G$1000,"AL HAMD TRADE CORPORATION",'Final Calculation Sheet'!$L$4:$L$1000)</f>
        <v/>
      </c>
    </row>
    <row r="54" outlineLevel="2" ht="15" customHeight="1">
      <c r="A54" s="429" t="inlineStr">
        <is>
          <t xml:space="preserve">         Service Charge gross (₹)</t>
        </is>
      </c>
      <c r="B54" s="431">
        <f>SUMIF('Final Calculation Sheet'!$G$4:$G$1000,"AL HAMD TRADE CORPORATION",'Final Calculation Sheet'!$M$4:$M$1000)</f>
        <v/>
      </c>
    </row>
    <row r="55" outlineLevel="2" ht="15" customHeight="1">
      <c r="A55" s="429" t="inlineStr">
        <is>
          <t xml:space="preserve">         TDS u/s 194(H) (₹)</t>
        </is>
      </c>
      <c r="B55" s="431">
        <f>SUMIF('Final Calculation Sheet'!$G$4:$G$1000,"AL HAMD TRADE CORPORATION",'Final Calculation Sheet'!$N$4:$N$1000)</f>
        <v/>
      </c>
    </row>
    <row r="56" outlineLevel="2" ht="15" customHeight="1">
      <c r="A56" s="429" t="inlineStr">
        <is>
          <t xml:space="preserve">         Net Service Charge (₹)</t>
        </is>
      </c>
      <c r="B56" s="431">
        <f>SUMIF('Final Calculation Sheet'!$G$4:$G$1000,"AL HAMD TRADE CORPORATION",'Final Calculation Sheet'!$O$4:$O$1000)</f>
        <v/>
      </c>
    </row>
    <row r="57" outlineLevel="2" ht="15" customHeight="1">
      <c r="A57" s="429" t="inlineStr">
        <is>
          <t xml:space="preserve">         Svc Charge to MSTC (₹)</t>
        </is>
      </c>
      <c r="B57" s="199">
        <f>SUMIF('Final Calculation Sheet'!$G$4:$G$1000,"AL HAMD TRADE CORPORATION",'Final Calculation Sheet'!$P$4:$P$1000)</f>
        <v/>
      </c>
    </row>
    <row r="58" outlineLevel="2" ht="15" customHeight="1">
      <c r="A58" s="429" t="inlineStr">
        <is>
          <t xml:space="preserve">         GST TDS (₹)</t>
        </is>
      </c>
      <c r="B58" s="199">
        <f>SUMIF('Final Calculation Sheet'!$G$4:$G$1000,"AL HAMD TRADE CORPORATION",'Final Calculation Sheet'!$R$4:$R$1000)</f>
        <v/>
      </c>
    </row>
    <row r="59" outlineLevel="2" ht="15" customHeight="1">
      <c r="A59" s="429" t="inlineStr">
        <is>
          <t xml:space="preserve">         Total Receivables (₹)</t>
        </is>
      </c>
      <c r="B59" s="199">
        <f>SUMIF('Final Calculation Sheet'!$G$4:$G$1000,"AL HAMD TRADE CORPORATION",'Final Calculation Sheet'!$S$4:$S$1000)</f>
        <v/>
      </c>
    </row>
    <row r="60" outlineLevel="2" ht="15" customHeight="1">
      <c r="A60" s="429" t="inlineStr">
        <is>
          <t xml:space="preserve">         SD Expected (₹)</t>
        </is>
      </c>
      <c r="B60" s="199">
        <f>SUMIF('Final Calculation Sheet'!$G$4:$G$1000,"AL HAMD TRADE CORPORATION",'Final Calculation Sheet'!$T$4:$T$1000)</f>
        <v/>
      </c>
    </row>
    <row r="61" outlineLevel="2" ht="15" customHeight="1">
      <c r="A61" s="429" t="inlineStr">
        <is>
          <t xml:space="preserve">         SD Received (₹)</t>
        </is>
      </c>
      <c r="B61" s="199">
        <f>SUMIF('Final Calculation Sheet'!$G$4:$G$1000,"AL HAMD TRADE CORPORATION",'Final Calculation Sheet'!$U$4:$U$1000)</f>
        <v/>
      </c>
    </row>
    <row r="62" outlineLevel="2" ht="15" customHeight="1">
      <c r="A62" s="429" t="inlineStr">
        <is>
          <t xml:space="preserve">         FP Expected (₹)</t>
        </is>
      </c>
      <c r="B62" s="199">
        <f>SUMIF('Final Calculation Sheet'!$G$4:$G$1000,"AL HAMD TRADE CORPORATION",'Final Calculation Sheet'!$W$4:$W$1000)</f>
        <v/>
      </c>
    </row>
    <row r="63" outlineLevel="2" ht="15" customHeight="1">
      <c r="A63" s="429" t="inlineStr">
        <is>
          <t xml:space="preserve">         FP Received (₹)</t>
        </is>
      </c>
      <c r="B63" s="199">
        <f>SUMIF('Final Calculation Sheet'!$G$4:$G$1000,"AL HAMD TRADE CORPORATION",'Final Calculation Sheet'!$X$4:$X$1000)</f>
        <v/>
      </c>
    </row>
    <row r="64" outlineLevel="2" ht="15" customHeight="1">
      <c r="A64" s="429" t="inlineStr">
        <is>
          <t xml:space="preserve">         LPP Expected (₹)</t>
        </is>
      </c>
      <c r="B64" s="199">
        <f>SUMIF('Final Calculation Sheet'!$G$4:$G$1000,"AL HAMD TRADE CORPORATION",'Final Calculation Sheet'!$Z$4:$Z$1000)</f>
        <v/>
      </c>
    </row>
    <row r="65" outlineLevel="2" ht="15" customHeight="1">
      <c r="A65" s="429" t="inlineStr">
        <is>
          <t xml:space="preserve">         LPP Received (₹)</t>
        </is>
      </c>
      <c r="B65" s="199">
        <f>SUMIF('Final Calculation Sheet'!$G$4:$G$1000,"AL HAMD TRADE CORPORATION",'Final Calculation Sheet'!$AA$4:$AA$1000)</f>
        <v/>
      </c>
    </row>
    <row r="66" outlineLevel="2" ht="15" customHeight="1">
      <c r="A66" s="429" t="inlineStr">
        <is>
          <t xml:space="preserve">         Total Received (₹)</t>
        </is>
      </c>
      <c r="B66" s="199">
        <f>SUMIF('Final Calculation Sheet'!$G$4:$G$1000,"AL HAMD TRADE CORPORATION",'Final Calculation Sheet'!$AC$4:$AC$1000)</f>
        <v/>
      </c>
    </row>
    <row r="67" outlineLevel="2" ht="15" customHeight="1">
      <c r="A67" s="429" t="inlineStr">
        <is>
          <t xml:space="preserve">         Outstanding (₹)</t>
        </is>
      </c>
      <c r="B67" s="199">
        <f>SUMIF('Final Calculation Sheet'!$G$4:$G$1000,"AL HAMD TRADE CORPORATION",'Final Calculation Sheet'!$AD$4:$AD$1000)</f>
        <v/>
      </c>
    </row>
    <row r="68" ht="7" customHeight="1">
      <c r="A68" s="82" t="n"/>
      <c r="B68" s="82" t="n"/>
    </row>
    <row r="69" ht="24" customHeight="1">
      <c r="A6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69" s="254" t="n"/>
    </row>
    <row r="70" outlineLevel="1" ht="20" customHeight="1">
      <c r="A70" s="432">
        <f>"   ▸  LOT "&amp;'Final Calculation Sheet'!$F$6&amp;"   •   "&amp;'Final Calculation Sheet'!$B$6&amp;"   •   MAT. VALUE ₹"&amp;TEXT('Final Calculation Sheet'!$H$6,"#,##0")&amp;"   •   OUTSTANDING ₹"&amp;TEXT('Final Calculation Sheet'!$AD$6,"#,##0")</f>
        <v/>
      </c>
      <c r="B70" s="86" t="n"/>
    </row>
    <row r="71" outlineLevel="2" ht="16" customHeight="1">
      <c r="A71" s="433" t="inlineStr">
        <is>
          <t xml:space="preserve">      ▸ LOT INFORMATION</t>
        </is>
      </c>
      <c r="B71" s="434" t="n"/>
    </row>
    <row r="72" outlineLevel="3" ht="15" customHeight="1">
      <c r="A72" s="69" t="inlineStr">
        <is>
          <t xml:space="preserve">            Lot No.</t>
        </is>
      </c>
      <c r="B72" s="70">
        <f>IF('Final Calculation Sheet'!$F$6="","",'Final Calculation Sheet'!$F$6)</f>
        <v/>
      </c>
    </row>
    <row r="73" outlineLevel="3" ht="15" customHeight="1">
      <c r="A73" s="69" t="inlineStr">
        <is>
          <t xml:space="preserve">            Lot Name</t>
        </is>
      </c>
      <c r="B73" s="76">
        <f>IF('Final Calculation Sheet'!$B$6="","",'Final Calculation Sheet'!$B$6)</f>
        <v/>
      </c>
    </row>
    <row r="74" outlineLevel="3" ht="15" customHeight="1">
      <c r="A74" s="69" t="inlineStr">
        <is>
          <t xml:space="preserve">            Bid Sheet / Auction</t>
        </is>
      </c>
      <c r="B74" s="70">
        <f>IF('Final Calculation Sheet'!$D$6="","",'Final Calculation Sheet'!$D$6)</f>
        <v/>
      </c>
    </row>
    <row r="75" outlineLevel="3" ht="15" customHeight="1">
      <c r="A75" s="69" t="inlineStr">
        <is>
          <t xml:space="preserve">            Quantity</t>
        </is>
      </c>
      <c r="B75" s="74">
        <f>IF('Final Calculation Sheet'!$A$6="","",'Final Calculation Sheet'!$A$6)</f>
        <v/>
      </c>
    </row>
    <row r="76" outlineLevel="3" ht="15" customHeight="1">
      <c r="A76" s="69" t="inlineStr">
        <is>
          <t xml:space="preserve">            Unit</t>
        </is>
      </c>
      <c r="B76" s="76">
        <f>IF('Final Calculation Sheet'!$E$6="","",'Final Calculation Sheet'!$E$6)</f>
        <v/>
      </c>
    </row>
    <row r="77" outlineLevel="3" ht="15" customHeight="1">
      <c r="A77" s="69" t="inlineStr">
        <is>
          <t xml:space="preserve">            Rate (₹)</t>
        </is>
      </c>
      <c r="B77" s="70">
        <f>IF('Final Calculation Sheet'!$C$6="","",'Final Calculation Sheet'!$C$6)</f>
        <v/>
      </c>
    </row>
    <row r="78" outlineLevel="2" ht="16" customHeight="1">
      <c r="A78" s="433" t="inlineStr">
        <is>
          <t xml:space="preserve">      ▸ FINANCIALS</t>
        </is>
      </c>
      <c r="B78" s="434" t="n"/>
    </row>
    <row r="79" outlineLevel="3" ht="15" customHeight="1">
      <c r="A79" s="69" t="inlineStr">
        <is>
          <t xml:space="preserve">            Mat. Value (₹)</t>
        </is>
      </c>
      <c r="B79" s="70">
        <f>IF('Final Calculation Sheet'!$H$6="","",'Final Calculation Sheet'!$H$6)</f>
        <v/>
      </c>
    </row>
    <row r="80" outlineLevel="3" ht="15" customHeight="1">
      <c r="A80" s="69" t="inlineStr">
        <is>
          <t xml:space="preserve">            GST @ 18% (₹)</t>
        </is>
      </c>
      <c r="B80" s="70">
        <f>IF('Final Calculation Sheet'!$I$6="","",'Final Calculation Sheet'!$I$6)</f>
        <v/>
      </c>
    </row>
    <row r="81" outlineLevel="3" ht="15" customHeight="1">
      <c r="A81" s="69" t="inlineStr">
        <is>
          <t xml:space="preserve">            Mat. Value + GST (₹)</t>
        </is>
      </c>
      <c r="B81" s="70">
        <f>IF('Final Calculation Sheet'!$J$6="","",'Final Calculation Sheet'!$J$6)</f>
        <v/>
      </c>
    </row>
    <row r="82" outlineLevel="3" ht="15" customHeight="1">
      <c r="A82" s="69" t="inlineStr">
        <is>
          <t xml:space="preserve">            TCS @ 2% (₹)</t>
        </is>
      </c>
      <c r="B82" s="70">
        <f>IF('Final Calculation Sheet'!$K$6="","",'Final Calculation Sheet'!$K$6)</f>
        <v/>
      </c>
    </row>
    <row r="83" outlineLevel="3" ht="15" customHeight="1">
      <c r="A83" s="69" t="inlineStr">
        <is>
          <t xml:space="preserve">            TDS u/s 194(O) (₹)</t>
        </is>
      </c>
      <c r="B83" s="78">
        <f>IF('Final Calculation Sheet'!$L$6="","",'Final Calculation Sheet'!$L$6)</f>
        <v/>
      </c>
    </row>
    <row r="84" outlineLevel="3" ht="15" customHeight="1">
      <c r="A84" s="69" t="inlineStr">
        <is>
          <t xml:space="preserve">            Service Charge gross (₹)</t>
        </is>
      </c>
      <c r="B84" s="78">
        <f>IF('Final Calculation Sheet'!$M$6="","",'Final Calculation Sheet'!$M$6)</f>
        <v/>
      </c>
    </row>
    <row r="85" outlineLevel="3" ht="15" customHeight="1">
      <c r="A85" s="69" t="inlineStr">
        <is>
          <t xml:space="preserve">            TDS u/s 194(H) (₹)</t>
        </is>
      </c>
      <c r="B85" s="78">
        <f>IF('Final Calculation Sheet'!$N$6="","",'Final Calculation Sheet'!$N$6)</f>
        <v/>
      </c>
    </row>
    <row r="86" outlineLevel="3" ht="15" customHeight="1">
      <c r="A86" s="69" t="inlineStr">
        <is>
          <t xml:space="preserve">            Net Service Charge (₹)</t>
        </is>
      </c>
      <c r="B86" s="78">
        <f>IF('Final Calculation Sheet'!$O$6="","",'Final Calculation Sheet'!$O$6)</f>
        <v/>
      </c>
    </row>
    <row r="87" outlineLevel="3" ht="15" customHeight="1">
      <c r="A87" s="69" t="inlineStr">
        <is>
          <t xml:space="preserve">            Svc Charge to MSTC (₹)</t>
        </is>
      </c>
      <c r="B87" s="70">
        <f>IF('Final Calculation Sheet'!$P$6="","",'Final Calculation Sheet'!$P$6)</f>
        <v/>
      </c>
    </row>
    <row r="88" outlineLevel="3" ht="15" customHeight="1">
      <c r="A88" s="69" t="inlineStr">
        <is>
          <t xml:space="preserve">            GST TDS Rate</t>
        </is>
      </c>
      <c r="B88" s="80">
        <f>IF('Final Calculation Sheet'!$Q$6="","",'Final Calculation Sheet'!$Q$6)</f>
        <v/>
      </c>
    </row>
    <row r="89" outlineLevel="3" ht="15" customHeight="1">
      <c r="A89" s="69" t="inlineStr">
        <is>
          <t xml:space="preserve">            GST TDS (₹)</t>
        </is>
      </c>
      <c r="B89" s="70">
        <f>IF('Final Calculation Sheet'!$R$6="","",'Final Calculation Sheet'!$R$6)</f>
        <v/>
      </c>
    </row>
    <row r="90" outlineLevel="3" ht="15" customHeight="1">
      <c r="A90" s="69" t="inlineStr">
        <is>
          <t xml:space="preserve">            Total Receivables (₹)</t>
        </is>
      </c>
      <c r="B90" s="70">
        <f>IF('Final Calculation Sheet'!$S$6="","",'Final Calculation Sheet'!$S$6)</f>
        <v/>
      </c>
    </row>
    <row r="91" outlineLevel="2" ht="16" customHeight="1">
      <c r="A91" s="433" t="inlineStr">
        <is>
          <t xml:space="preserve">      ▸ SECURITY DEPOSIT</t>
        </is>
      </c>
      <c r="B91" s="434" t="n"/>
    </row>
    <row r="92" outlineLevel="3" ht="15" customHeight="1">
      <c r="A92" s="69" t="inlineStr">
        <is>
          <t xml:space="preserve">            SD Expected (₹)</t>
        </is>
      </c>
      <c r="B92" s="70">
        <f>IF('Final Calculation Sheet'!$T$6="","",'Final Calculation Sheet'!$T$6)</f>
        <v/>
      </c>
    </row>
    <row r="93" outlineLevel="3" ht="15" customHeight="1">
      <c r="A93" s="69" t="inlineStr">
        <is>
          <t xml:space="preserve">            SD Received (₹)</t>
        </is>
      </c>
      <c r="B93" s="70">
        <f>IF('Final Calculation Sheet'!$U$6="","",'Final Calculation Sheet'!$U$6)</f>
        <v/>
      </c>
    </row>
    <row r="94" outlineLevel="3" ht="15" customHeight="1">
      <c r="A94" s="69" t="inlineStr">
        <is>
          <t xml:space="preserve">            SD Receipt Date</t>
        </is>
      </c>
      <c r="B94" s="76">
        <f>IF('Final Calculation Sheet'!$V$6="","",'Final Calculation Sheet'!$V$6)</f>
        <v/>
      </c>
    </row>
    <row r="95" outlineLevel="2" ht="16" customHeight="1">
      <c r="A95" s="433" t="inlineStr">
        <is>
          <t xml:space="preserve">      ▸ FINAL PAYMENT</t>
        </is>
      </c>
      <c r="B95" s="434" t="n"/>
    </row>
    <row r="96" outlineLevel="3" ht="15" customHeight="1">
      <c r="A96" s="69" t="inlineStr">
        <is>
          <t xml:space="preserve">            FP Expected (₹)</t>
        </is>
      </c>
      <c r="B96" s="70">
        <f>IF('Final Calculation Sheet'!$W$6="","",'Final Calculation Sheet'!$W$6)</f>
        <v/>
      </c>
    </row>
    <row r="97" outlineLevel="3" ht="15" customHeight="1">
      <c r="A97" s="69" t="inlineStr">
        <is>
          <t xml:space="preserve">            FP Received (₹)</t>
        </is>
      </c>
      <c r="B97" s="70">
        <f>IF('Final Calculation Sheet'!$X$6="","",'Final Calculation Sheet'!$X$6)</f>
        <v/>
      </c>
    </row>
    <row r="98" outlineLevel="3" ht="15" customHeight="1">
      <c r="A98" s="69" t="inlineStr">
        <is>
          <t xml:space="preserve">            FP Receipt Date</t>
        </is>
      </c>
      <c r="B98" s="76">
        <f>IF('Final Calculation Sheet'!$Y$6="","",'Final Calculation Sheet'!$Y$6)</f>
        <v/>
      </c>
    </row>
    <row r="99" outlineLevel="2" ht="16" customHeight="1">
      <c r="A99" s="433" t="inlineStr">
        <is>
          <t xml:space="preserve">      ▸ LPP</t>
        </is>
      </c>
      <c r="B99" s="434" t="n"/>
    </row>
    <row r="100" outlineLevel="3" ht="15" customHeight="1">
      <c r="A100" s="69" t="inlineStr">
        <is>
          <t xml:space="preserve">            LPP Expected (₹)</t>
        </is>
      </c>
      <c r="B100" s="70">
        <f>IF('Final Calculation Sheet'!$Z$6="","",'Final Calculation Sheet'!$Z$6)</f>
        <v/>
      </c>
    </row>
    <row r="101" outlineLevel="3" ht="15" customHeight="1">
      <c r="A101" s="69" t="inlineStr">
        <is>
          <t xml:space="preserve">            LPP Received (₹)</t>
        </is>
      </c>
      <c r="B101" s="70">
        <f>IF('Final Calculation Sheet'!$AA$6="","",'Final Calculation Sheet'!$AA$6)</f>
        <v/>
      </c>
    </row>
    <row r="102" outlineLevel="3" ht="15" customHeight="1">
      <c r="A102" s="69" t="inlineStr">
        <is>
          <t xml:space="preserve">            LPP Receipt Date</t>
        </is>
      </c>
      <c r="B102" s="76">
        <f>IF('Final Calculation Sheet'!$AB$6="","",'Final Calculation Sheet'!$AB$6)</f>
        <v/>
      </c>
    </row>
    <row r="103" outlineLevel="2" ht="16" customHeight="1">
      <c r="A103" s="433" t="inlineStr">
        <is>
          <t xml:space="preserve">      ▸ SUMMARY</t>
        </is>
      </c>
      <c r="B103" s="434" t="n"/>
    </row>
    <row r="104" outlineLevel="3" ht="15" customHeight="1">
      <c r="A104" s="69" t="inlineStr">
        <is>
          <t xml:space="preserve">            Total Received (₹)</t>
        </is>
      </c>
      <c r="B104" s="70">
        <f>IF('Final Calculation Sheet'!$AC$6="","",'Final Calculation Sheet'!$AC$6)</f>
        <v/>
      </c>
    </row>
    <row r="105" outlineLevel="3" ht="15" customHeight="1">
      <c r="A105" s="69" t="inlineStr">
        <is>
          <t xml:space="preserve">            Outstanding (₹)</t>
        </is>
      </c>
      <c r="B105" s="70">
        <f>IF('Final Calculation Sheet'!$AD$6="","",'Final Calculation Sheet'!$AD$6)</f>
        <v/>
      </c>
    </row>
    <row r="106" outlineLevel="3" ht="15" customHeight="1">
      <c r="A106" s="69" t="inlineStr">
        <is>
          <t xml:space="preserve">            Payment Status</t>
        </is>
      </c>
      <c r="B106" s="81">
        <f>IF('Final Calculation Sheet'!$AD$6="","",IF('Final Calculation Sheet'!$AD$6&lt;=0,"SETTLED","OUTSTANDING"))</f>
        <v/>
      </c>
    </row>
    <row r="107" outlineLevel="2" ht="16" customHeight="1">
      <c r="A107" s="433" t="inlineStr">
        <is>
          <t xml:space="preserve">      ▸ DOCUMENT</t>
        </is>
      </c>
      <c r="B107" s="434" t="n"/>
    </row>
    <row r="108" outlineLevel="3" ht="15" customHeight="1">
      <c r="A108" s="69" t="inlineStr">
        <is>
          <t xml:space="preserve">            Invoice No.</t>
        </is>
      </c>
      <c r="B108" s="76">
        <f>IF('Final Calculation Sheet'!$AE$6="","",'Final Calculation Sheet'!$AE$6)</f>
        <v/>
      </c>
    </row>
    <row r="109" outlineLevel="3" ht="15" customHeight="1">
      <c r="A109" s="69" t="inlineStr">
        <is>
          <t xml:space="preserve">            SAP Document</t>
        </is>
      </c>
      <c r="B109" s="70">
        <f>IF('Final Calculation Sheet'!$AF$6="","",'Final Calculation Sheet'!$AF$6)</f>
        <v/>
      </c>
    </row>
    <row r="110" outlineLevel="3" ht="15" customHeight="1">
      <c r="A110" s="69" t="inlineStr">
        <is>
          <t xml:space="preserve">            Doc./Invoice Date</t>
        </is>
      </c>
      <c r="B110" s="76">
        <f>IF('Final Calculation Sheet'!$AG$6="","",'Final Calculation Sheet'!$AG$6)</f>
        <v/>
      </c>
    </row>
    <row r="111" outlineLevel="1" ht="20" customHeight="1">
      <c r="A111" s="432">
        <f>"   ▸  LOT "&amp;'Final Calculation Sheet'!$F$7&amp;"   •   "&amp;'Final Calculation Sheet'!$B$7&amp;"   •   MAT. VALUE ₹"&amp;TEXT('Final Calculation Sheet'!$H$7,"#,##0")&amp;"   •   OUTSTANDING ₹"&amp;TEXT('Final Calculation Sheet'!$AD$7,"#,##0")</f>
        <v/>
      </c>
      <c r="B111" s="86" t="n"/>
    </row>
    <row r="112" outlineLevel="2" ht="16" customHeight="1">
      <c r="A112" s="433" t="inlineStr">
        <is>
          <t xml:space="preserve">      ▸ LOT INFORMATION</t>
        </is>
      </c>
      <c r="B112" s="434" t="n"/>
    </row>
    <row r="113" outlineLevel="3" ht="15" customHeight="1">
      <c r="A113" s="69" t="inlineStr">
        <is>
          <t xml:space="preserve">            Lot No.</t>
        </is>
      </c>
      <c r="B113" s="70">
        <f>IF('Final Calculation Sheet'!$F$7="","",'Final Calculation Sheet'!$F$7)</f>
        <v/>
      </c>
    </row>
    <row r="114" outlineLevel="3" ht="15" customHeight="1">
      <c r="A114" s="69" t="inlineStr">
        <is>
          <t xml:space="preserve">            Lot Name</t>
        </is>
      </c>
      <c r="B114" s="76">
        <f>IF('Final Calculation Sheet'!$B$7="","",'Final Calculation Sheet'!$B$7)</f>
        <v/>
      </c>
    </row>
    <row r="115" outlineLevel="3" ht="15" customHeight="1">
      <c r="A115" s="69" t="inlineStr">
        <is>
          <t xml:space="preserve">            Bid Sheet / Auction</t>
        </is>
      </c>
      <c r="B115" s="70">
        <f>IF('Final Calculation Sheet'!$D$7="","",'Final Calculation Sheet'!$D$7)</f>
        <v/>
      </c>
    </row>
    <row r="116" outlineLevel="3" ht="15" customHeight="1">
      <c r="A116" s="69" t="inlineStr">
        <is>
          <t xml:space="preserve">            Quantity</t>
        </is>
      </c>
      <c r="B116" s="74">
        <f>IF('Final Calculation Sheet'!$A$7="","",'Final Calculation Sheet'!$A$7)</f>
        <v/>
      </c>
    </row>
    <row r="117" outlineLevel="3" ht="15" customHeight="1">
      <c r="A117" s="69" t="inlineStr">
        <is>
          <t xml:space="preserve">            Unit</t>
        </is>
      </c>
      <c r="B117" s="76">
        <f>IF('Final Calculation Sheet'!$E$7="","",'Final Calculation Sheet'!$E$7)</f>
        <v/>
      </c>
    </row>
    <row r="118" outlineLevel="3" ht="15" customHeight="1">
      <c r="A118" s="69" t="inlineStr">
        <is>
          <t xml:space="preserve">            Rate (₹)</t>
        </is>
      </c>
      <c r="B118" s="70">
        <f>IF('Final Calculation Sheet'!$C$7="","",'Final Calculation Sheet'!$C$7)</f>
        <v/>
      </c>
    </row>
    <row r="119" outlineLevel="2" ht="16" customHeight="1">
      <c r="A119" s="433" t="inlineStr">
        <is>
          <t xml:space="preserve">      ▸ FINANCIALS</t>
        </is>
      </c>
      <c r="B119" s="434" t="n"/>
    </row>
    <row r="120" outlineLevel="3" ht="15" customHeight="1">
      <c r="A120" s="69" t="inlineStr">
        <is>
          <t xml:space="preserve">            Mat. Value (₹)</t>
        </is>
      </c>
      <c r="B120" s="70">
        <f>IF('Final Calculation Sheet'!$H$7="","",'Final Calculation Sheet'!$H$7)</f>
        <v/>
      </c>
    </row>
    <row r="121" outlineLevel="3" ht="15" customHeight="1">
      <c r="A121" s="69" t="inlineStr">
        <is>
          <t xml:space="preserve">            GST @ 18% (₹)</t>
        </is>
      </c>
      <c r="B121" s="70">
        <f>IF('Final Calculation Sheet'!$I$7="","",'Final Calculation Sheet'!$I$7)</f>
        <v/>
      </c>
    </row>
    <row r="122" outlineLevel="3" ht="15" customHeight="1">
      <c r="A122" s="69" t="inlineStr">
        <is>
          <t xml:space="preserve">            Mat. Value + GST (₹)</t>
        </is>
      </c>
      <c r="B122" s="70">
        <f>IF('Final Calculation Sheet'!$J$7="","",'Final Calculation Sheet'!$J$7)</f>
        <v/>
      </c>
    </row>
    <row r="123" outlineLevel="3" ht="15" customHeight="1">
      <c r="A123" s="69" t="inlineStr">
        <is>
          <t xml:space="preserve">            TCS @ 2% (₹)</t>
        </is>
      </c>
      <c r="B123" s="70">
        <f>IF('Final Calculation Sheet'!$K$7="","",'Final Calculation Sheet'!$K$7)</f>
        <v/>
      </c>
    </row>
    <row r="124" outlineLevel="3" ht="15" customHeight="1">
      <c r="A124" s="69" t="inlineStr">
        <is>
          <t xml:space="preserve">            TDS u/s 194(O) (₹)</t>
        </is>
      </c>
      <c r="B124" s="78">
        <f>IF('Final Calculation Sheet'!$L$7="","",'Final Calculation Sheet'!$L$7)</f>
        <v/>
      </c>
    </row>
    <row r="125" outlineLevel="3" ht="15" customHeight="1">
      <c r="A125" s="69" t="inlineStr">
        <is>
          <t xml:space="preserve">            Service Charge gross (₹)</t>
        </is>
      </c>
      <c r="B125" s="78">
        <f>IF('Final Calculation Sheet'!$M$7="","",'Final Calculation Sheet'!$M$7)</f>
        <v/>
      </c>
    </row>
    <row r="126" outlineLevel="3" ht="15" customHeight="1">
      <c r="A126" s="69" t="inlineStr">
        <is>
          <t xml:space="preserve">            TDS u/s 194(H) (₹)</t>
        </is>
      </c>
      <c r="B126" s="78">
        <f>IF('Final Calculation Sheet'!$N$7="","",'Final Calculation Sheet'!$N$7)</f>
        <v/>
      </c>
    </row>
    <row r="127" outlineLevel="3" ht="15" customHeight="1">
      <c r="A127" s="69" t="inlineStr">
        <is>
          <t xml:space="preserve">            Net Service Charge (₹)</t>
        </is>
      </c>
      <c r="B127" s="78">
        <f>IF('Final Calculation Sheet'!$O$7="","",'Final Calculation Sheet'!$O$7)</f>
        <v/>
      </c>
    </row>
    <row r="128" outlineLevel="3" ht="15" customHeight="1">
      <c r="A128" s="69" t="inlineStr">
        <is>
          <t xml:space="preserve">            Svc Charge to MSTC (₹)</t>
        </is>
      </c>
      <c r="B128" s="70">
        <f>IF('Final Calculation Sheet'!$P$7="","",'Final Calculation Sheet'!$P$7)</f>
        <v/>
      </c>
    </row>
    <row r="129" outlineLevel="3" ht="15" customHeight="1">
      <c r="A129" s="69" t="inlineStr">
        <is>
          <t xml:space="preserve">            GST TDS Rate</t>
        </is>
      </c>
      <c r="B129" s="80">
        <f>IF('Final Calculation Sheet'!$Q$7="","",'Final Calculation Sheet'!$Q$7)</f>
        <v/>
      </c>
    </row>
    <row r="130" outlineLevel="3" ht="15" customHeight="1">
      <c r="A130" s="69" t="inlineStr">
        <is>
          <t xml:space="preserve">            GST TDS (₹)</t>
        </is>
      </c>
      <c r="B130" s="70">
        <f>IF('Final Calculation Sheet'!$R$7="","",'Final Calculation Sheet'!$R$7)</f>
        <v/>
      </c>
    </row>
    <row r="131" outlineLevel="3" ht="15" customHeight="1">
      <c r="A131" s="69" t="inlineStr">
        <is>
          <t xml:space="preserve">            Total Receivables (₹)</t>
        </is>
      </c>
      <c r="B131" s="70">
        <f>IF('Final Calculation Sheet'!$S$7="","",'Final Calculation Sheet'!$S$7)</f>
        <v/>
      </c>
    </row>
    <row r="132" outlineLevel="2" ht="16" customHeight="1">
      <c r="A132" s="433" t="inlineStr">
        <is>
          <t xml:space="preserve">      ▸ SECURITY DEPOSIT</t>
        </is>
      </c>
      <c r="B132" s="434" t="n"/>
    </row>
    <row r="133" outlineLevel="3" ht="15" customHeight="1">
      <c r="A133" s="69" t="inlineStr">
        <is>
          <t xml:space="preserve">            SD Expected (₹)</t>
        </is>
      </c>
      <c r="B133" s="70">
        <f>IF('Final Calculation Sheet'!$T$7="","",'Final Calculation Sheet'!$T$7)</f>
        <v/>
      </c>
    </row>
    <row r="134" outlineLevel="3" ht="15" customHeight="1">
      <c r="A134" s="69" t="inlineStr">
        <is>
          <t xml:space="preserve">            SD Received (₹)</t>
        </is>
      </c>
      <c r="B134" s="70">
        <f>IF('Final Calculation Sheet'!$U$7="","",'Final Calculation Sheet'!$U$7)</f>
        <v/>
      </c>
    </row>
    <row r="135" outlineLevel="3" ht="15" customHeight="1">
      <c r="A135" s="69" t="inlineStr">
        <is>
          <t xml:space="preserve">            SD Receipt Date</t>
        </is>
      </c>
      <c r="B135" s="76">
        <f>IF('Final Calculation Sheet'!$V$7="","",'Final Calculation Sheet'!$V$7)</f>
        <v/>
      </c>
    </row>
    <row r="136" outlineLevel="2" ht="16" customHeight="1">
      <c r="A136" s="433" t="inlineStr">
        <is>
          <t xml:space="preserve">      ▸ FINAL PAYMENT</t>
        </is>
      </c>
      <c r="B136" s="434" t="n"/>
    </row>
    <row r="137" outlineLevel="3" ht="15" customHeight="1">
      <c r="A137" s="69" t="inlineStr">
        <is>
          <t xml:space="preserve">            FP Expected (₹)</t>
        </is>
      </c>
      <c r="B137" s="70">
        <f>IF('Final Calculation Sheet'!$W$7="","",'Final Calculation Sheet'!$W$7)</f>
        <v/>
      </c>
    </row>
    <row r="138" outlineLevel="3" ht="15" customHeight="1">
      <c r="A138" s="69" t="inlineStr">
        <is>
          <t xml:space="preserve">            FP Received (₹)</t>
        </is>
      </c>
      <c r="B138" s="70">
        <f>IF('Final Calculation Sheet'!$X$7="","",'Final Calculation Sheet'!$X$7)</f>
        <v/>
      </c>
    </row>
    <row r="139" outlineLevel="3" ht="15" customHeight="1">
      <c r="A139" s="69" t="inlineStr">
        <is>
          <t xml:space="preserve">            FP Receipt Date</t>
        </is>
      </c>
      <c r="B139" s="76">
        <f>IF('Final Calculation Sheet'!$Y$7="","",'Final Calculation Sheet'!$Y$7)</f>
        <v/>
      </c>
    </row>
    <row r="140" outlineLevel="2" ht="16" customHeight="1">
      <c r="A140" s="433" t="inlineStr">
        <is>
          <t xml:space="preserve">      ▸ LPP</t>
        </is>
      </c>
      <c r="B140" s="434" t="n"/>
    </row>
    <row r="141" outlineLevel="3" ht="15" customHeight="1">
      <c r="A141" s="69" t="inlineStr">
        <is>
          <t xml:space="preserve">            LPP Expected (₹)</t>
        </is>
      </c>
      <c r="B141" s="70">
        <f>IF('Final Calculation Sheet'!$Z$7="","",'Final Calculation Sheet'!$Z$7)</f>
        <v/>
      </c>
    </row>
    <row r="142" outlineLevel="3" ht="15" customHeight="1">
      <c r="A142" s="69" t="inlineStr">
        <is>
          <t xml:space="preserve">            LPP Received (₹)</t>
        </is>
      </c>
      <c r="B142" s="70">
        <f>IF('Final Calculation Sheet'!$AA$7="","",'Final Calculation Sheet'!$AA$7)</f>
        <v/>
      </c>
    </row>
    <row r="143" outlineLevel="3" ht="15" customHeight="1">
      <c r="A143" s="69" t="inlineStr">
        <is>
          <t xml:space="preserve">            LPP Receipt Date</t>
        </is>
      </c>
      <c r="B143" s="76">
        <f>IF('Final Calculation Sheet'!$AB$7="","",'Final Calculation Sheet'!$AB$7)</f>
        <v/>
      </c>
    </row>
    <row r="144" outlineLevel="2" ht="16" customHeight="1">
      <c r="A144" s="433" t="inlineStr">
        <is>
          <t xml:space="preserve">      ▸ SUMMARY</t>
        </is>
      </c>
      <c r="B144" s="434" t="n"/>
    </row>
    <row r="145" outlineLevel="3" ht="15" customHeight="1">
      <c r="A145" s="69" t="inlineStr">
        <is>
          <t xml:space="preserve">            Total Received (₹)</t>
        </is>
      </c>
      <c r="B145" s="70">
        <f>IF('Final Calculation Sheet'!$AC$7="","",'Final Calculation Sheet'!$AC$7)</f>
        <v/>
      </c>
    </row>
    <row r="146" outlineLevel="3" ht="15" customHeight="1">
      <c r="A146" s="69" t="inlineStr">
        <is>
          <t xml:space="preserve">            Outstanding (₹)</t>
        </is>
      </c>
      <c r="B146" s="70">
        <f>IF('Final Calculation Sheet'!$AD$7="","",'Final Calculation Sheet'!$AD$7)</f>
        <v/>
      </c>
    </row>
    <row r="147" outlineLevel="3" ht="15" customHeight="1">
      <c r="A147" s="69" t="inlineStr">
        <is>
          <t xml:space="preserve">            Payment Status</t>
        </is>
      </c>
      <c r="B147" s="81">
        <f>IF('Final Calculation Sheet'!$AD$7="","",IF('Final Calculation Sheet'!$AD$7&lt;=0,"SETTLED","OUTSTANDING"))</f>
        <v/>
      </c>
    </row>
    <row r="148" outlineLevel="2" ht="16" customHeight="1">
      <c r="A148" s="433" t="inlineStr">
        <is>
          <t xml:space="preserve">      ▸ DOCUMENT</t>
        </is>
      </c>
      <c r="B148" s="434" t="n"/>
    </row>
    <row r="149" outlineLevel="3" ht="15" customHeight="1">
      <c r="A149" s="69" t="inlineStr">
        <is>
          <t xml:space="preserve">            Invoice No.</t>
        </is>
      </c>
      <c r="B149" s="76">
        <f>IF('Final Calculation Sheet'!$AE$7="","",'Final Calculation Sheet'!$AE$7)</f>
        <v/>
      </c>
    </row>
    <row r="150" outlineLevel="3" ht="15" customHeight="1">
      <c r="A150" s="69" t="inlineStr">
        <is>
          <t xml:space="preserve">            SAP Document</t>
        </is>
      </c>
      <c r="B150" s="70">
        <f>IF('Final Calculation Sheet'!$AF$7="","",'Final Calculation Sheet'!$AF$7)</f>
        <v/>
      </c>
    </row>
    <row r="151" outlineLevel="3" ht="15" customHeight="1">
      <c r="A151" s="69" t="inlineStr">
        <is>
          <t xml:space="preserve">            Doc./Invoice Date</t>
        </is>
      </c>
      <c r="B151" s="76">
        <f>IF('Final Calculation Sheet'!$AG$7="","",'Final Calculation Sheet'!$AG$7)</f>
        <v/>
      </c>
    </row>
    <row r="152" outlineLevel="1" ht="20" customHeight="1">
      <c r="A152" s="435" t="inlineStr">
        <is>
          <t xml:space="preserve">   ∑  F R KHANS ENTERPRISES — TOTALS (all its lots)</t>
        </is>
      </c>
      <c r="B152" s="254" t="n"/>
    </row>
    <row r="153" outlineLevel="2" ht="15" customHeight="1">
      <c r="A153" s="436" t="inlineStr">
        <is>
          <t xml:space="preserve">         Quantity</t>
        </is>
      </c>
      <c r="B153" s="437">
        <f>SUMIF('Final Calculation Sheet'!$G$4:$G$1000,"F R KHANS ENTERPRISES",'Final Calculation Sheet'!$A$4:$A$1000)</f>
        <v/>
      </c>
    </row>
    <row r="154" outlineLevel="2" ht="15" customHeight="1">
      <c r="A154" s="436" t="inlineStr">
        <is>
          <t xml:space="preserve">         Mat. Value (₹)</t>
        </is>
      </c>
      <c r="B154" s="438">
        <f>SUMIF('Final Calculation Sheet'!$G$4:$G$1000,"F R KHANS ENTERPRISES",'Final Calculation Sheet'!$H$4:$H$1000)</f>
        <v/>
      </c>
    </row>
    <row r="155" outlineLevel="2" ht="15" customHeight="1">
      <c r="A155" s="436" t="inlineStr">
        <is>
          <t xml:space="preserve">         GST @ 18% (₹)</t>
        </is>
      </c>
      <c r="B155" s="438">
        <f>SUMIF('Final Calculation Sheet'!$G$4:$G$1000,"F R KHANS ENTERPRISES",'Final Calculation Sheet'!$I$4:$I$1000)</f>
        <v/>
      </c>
    </row>
    <row r="156" outlineLevel="2" ht="15" customHeight="1">
      <c r="A156" s="436" t="inlineStr">
        <is>
          <t xml:space="preserve">         Mat. Value + GST (₹)</t>
        </is>
      </c>
      <c r="B156" s="438">
        <f>SUMIF('Final Calculation Sheet'!$G$4:$G$1000,"F R KHANS ENTERPRISES",'Final Calculation Sheet'!$J$4:$J$1000)</f>
        <v/>
      </c>
    </row>
    <row r="157" outlineLevel="2" ht="15" customHeight="1">
      <c r="A157" s="436" t="inlineStr">
        <is>
          <t xml:space="preserve">         TCS @ 2% (₹)</t>
        </is>
      </c>
      <c r="B157" s="438">
        <f>SUMIF('Final Calculation Sheet'!$G$4:$G$1000,"F R KHANS ENTERPRISES",'Final Calculation Sheet'!$K$4:$K$1000)</f>
        <v/>
      </c>
    </row>
    <row r="158" outlineLevel="2" ht="15" customHeight="1">
      <c r="A158" s="436" t="inlineStr">
        <is>
          <t xml:space="preserve">         TDS u/s 194(O) (₹)</t>
        </is>
      </c>
      <c r="B158" s="439">
        <f>SUMIF('Final Calculation Sheet'!$G$4:$G$1000,"F R KHANS ENTERPRISES",'Final Calculation Sheet'!$L$4:$L$1000)</f>
        <v/>
      </c>
    </row>
    <row r="159" outlineLevel="2" ht="15" customHeight="1">
      <c r="A159" s="436" t="inlineStr">
        <is>
          <t xml:space="preserve">         Service Charge gross (₹)</t>
        </is>
      </c>
      <c r="B159" s="439">
        <f>SUMIF('Final Calculation Sheet'!$G$4:$G$1000,"F R KHANS ENTERPRISES",'Final Calculation Sheet'!$M$4:$M$1000)</f>
        <v/>
      </c>
    </row>
    <row r="160" outlineLevel="2" ht="15" customHeight="1">
      <c r="A160" s="436" t="inlineStr">
        <is>
          <t xml:space="preserve">         TDS u/s 194(H) (₹)</t>
        </is>
      </c>
      <c r="B160" s="439">
        <f>SUMIF('Final Calculation Sheet'!$G$4:$G$1000,"F R KHANS ENTERPRISES",'Final Calculation Sheet'!$N$4:$N$1000)</f>
        <v/>
      </c>
    </row>
    <row r="161" outlineLevel="2" ht="15" customHeight="1">
      <c r="A161" s="436" t="inlineStr">
        <is>
          <t xml:space="preserve">         Net Service Charge (₹)</t>
        </is>
      </c>
      <c r="B161" s="439">
        <f>SUMIF('Final Calculation Sheet'!$G$4:$G$1000,"F R KHANS ENTERPRISES",'Final Calculation Sheet'!$O$4:$O$1000)</f>
        <v/>
      </c>
    </row>
    <row r="162" outlineLevel="2" ht="15" customHeight="1">
      <c r="A162" s="436" t="inlineStr">
        <is>
          <t xml:space="preserve">         Svc Charge to MSTC (₹)</t>
        </is>
      </c>
      <c r="B162" s="438">
        <f>SUMIF('Final Calculation Sheet'!$G$4:$G$1000,"F R KHANS ENTERPRISES",'Final Calculation Sheet'!$P$4:$P$1000)</f>
        <v/>
      </c>
    </row>
    <row r="163" outlineLevel="2" ht="15" customHeight="1">
      <c r="A163" s="436" t="inlineStr">
        <is>
          <t xml:space="preserve">         GST TDS (₹)</t>
        </is>
      </c>
      <c r="B163" s="438">
        <f>SUMIF('Final Calculation Sheet'!$G$4:$G$1000,"F R KHANS ENTERPRISES",'Final Calculation Sheet'!$R$4:$R$1000)</f>
        <v/>
      </c>
    </row>
    <row r="164" outlineLevel="2" ht="15" customHeight="1">
      <c r="A164" s="436" t="inlineStr">
        <is>
          <t xml:space="preserve">         Total Receivables (₹)</t>
        </is>
      </c>
      <c r="B164" s="438">
        <f>SUMIF('Final Calculation Sheet'!$G$4:$G$1000,"F R KHANS ENTERPRISES",'Final Calculation Sheet'!$S$4:$S$1000)</f>
        <v/>
      </c>
    </row>
    <row r="165" outlineLevel="2" ht="15" customHeight="1">
      <c r="A165" s="436" t="inlineStr">
        <is>
          <t xml:space="preserve">         SD Expected (₹)</t>
        </is>
      </c>
      <c r="B165" s="438">
        <f>SUMIF('Final Calculation Sheet'!$G$4:$G$1000,"F R KHANS ENTERPRISES",'Final Calculation Sheet'!$T$4:$T$1000)</f>
        <v/>
      </c>
    </row>
    <row r="166" outlineLevel="2" ht="15" customHeight="1">
      <c r="A166" s="436" t="inlineStr">
        <is>
          <t xml:space="preserve">         SD Received (₹)</t>
        </is>
      </c>
      <c r="B166" s="438">
        <f>SUMIF('Final Calculation Sheet'!$G$4:$G$1000,"F R KHANS ENTERPRISES",'Final Calculation Sheet'!$U$4:$U$1000)</f>
        <v/>
      </c>
    </row>
    <row r="167" outlineLevel="2" ht="15" customHeight="1">
      <c r="A167" s="436" t="inlineStr">
        <is>
          <t xml:space="preserve">         FP Expected (₹)</t>
        </is>
      </c>
      <c r="B167" s="438">
        <f>SUMIF('Final Calculation Sheet'!$G$4:$G$1000,"F R KHANS ENTERPRISES",'Final Calculation Sheet'!$W$4:$W$1000)</f>
        <v/>
      </c>
    </row>
    <row r="168" outlineLevel="2" ht="15" customHeight="1">
      <c r="A168" s="436" t="inlineStr">
        <is>
          <t xml:space="preserve">         FP Received (₹)</t>
        </is>
      </c>
      <c r="B168" s="438">
        <f>SUMIF('Final Calculation Sheet'!$G$4:$G$1000,"F R KHANS ENTERPRISES",'Final Calculation Sheet'!$X$4:$X$1000)</f>
        <v/>
      </c>
    </row>
    <row r="169" outlineLevel="2" ht="15" customHeight="1">
      <c r="A169" s="436" t="inlineStr">
        <is>
          <t xml:space="preserve">         LPP Expected (₹)</t>
        </is>
      </c>
      <c r="B169" s="438">
        <f>SUMIF('Final Calculation Sheet'!$G$4:$G$1000,"F R KHANS ENTERPRISES",'Final Calculation Sheet'!$Z$4:$Z$1000)</f>
        <v/>
      </c>
    </row>
    <row r="170" outlineLevel="2" ht="15" customHeight="1">
      <c r="A170" s="436" t="inlineStr">
        <is>
          <t xml:space="preserve">         LPP Received (₹)</t>
        </is>
      </c>
      <c r="B170" s="438">
        <f>SUMIF('Final Calculation Sheet'!$G$4:$G$1000,"F R KHANS ENTERPRISES",'Final Calculation Sheet'!$AA$4:$AA$1000)</f>
        <v/>
      </c>
    </row>
    <row r="171" outlineLevel="2" ht="15" customHeight="1">
      <c r="A171" s="436" t="inlineStr">
        <is>
          <t xml:space="preserve">         Total Received (₹)</t>
        </is>
      </c>
      <c r="B171" s="438">
        <f>SUMIF('Final Calculation Sheet'!$G$4:$G$1000,"F R KHANS ENTERPRISES",'Final Calculation Sheet'!$AC$4:$AC$1000)</f>
        <v/>
      </c>
    </row>
    <row r="172" outlineLevel="2" ht="15" customHeight="1">
      <c r="A172" s="436" t="inlineStr">
        <is>
          <t xml:space="preserve">         Outstanding (₹)</t>
        </is>
      </c>
      <c r="B172" s="438">
        <f>SUMIF('Final Calculation Sheet'!$G$4:$G$1000,"F R KHANS ENTERPRISES",'Final Calculation Sheet'!$AD$4:$AD$1000)</f>
        <v/>
      </c>
    </row>
    <row r="173" ht="7" customHeight="1">
      <c r="A173" s="82" t="n"/>
      <c r="B173" s="82" t="n"/>
    </row>
    <row r="174" ht="24" customHeight="1">
      <c r="A174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74" s="272" t="n"/>
    </row>
    <row r="175" outlineLevel="1" ht="20" customHeight="1">
      <c r="A175" s="440">
        <f>"   ▸  LOT "&amp;'Final Calculation Sheet'!$F$15&amp;"   •   "&amp;'Final Calculation Sheet'!$B$15&amp;"   •   MAT. VALUE ₹"&amp;TEXT('Final Calculation Sheet'!$H$15,"#,##0")&amp;"   •   OUTSTANDING ₹"&amp;TEXT('Final Calculation Sheet'!$AD$15,"#,##0")</f>
        <v/>
      </c>
      <c r="B175" s="102" t="n"/>
    </row>
    <row r="176" outlineLevel="2" ht="16" customHeight="1">
      <c r="A176" s="441" t="inlineStr">
        <is>
          <t xml:space="preserve">      ▸ LOT INFORMATION</t>
        </is>
      </c>
      <c r="B176" s="442" t="n"/>
    </row>
    <row r="177" outlineLevel="3" ht="15" customHeight="1">
      <c r="A177" s="69" t="inlineStr">
        <is>
          <t xml:space="preserve">            Lot No.</t>
        </is>
      </c>
      <c r="B177" s="70">
        <f>IF('Final Calculation Sheet'!$F$15="","",'Final Calculation Sheet'!$F$15)</f>
        <v/>
      </c>
    </row>
    <row r="178" outlineLevel="3" ht="15" customHeight="1">
      <c r="A178" s="69" t="inlineStr">
        <is>
          <t xml:space="preserve">            Lot Name</t>
        </is>
      </c>
      <c r="B178" s="76">
        <f>IF('Final Calculation Sheet'!$B$15="","",'Final Calculation Sheet'!$B$15)</f>
        <v/>
      </c>
    </row>
    <row r="179" outlineLevel="3" ht="15" customHeight="1">
      <c r="A179" s="69" t="inlineStr">
        <is>
          <t xml:space="preserve">            Bid Sheet / Auction</t>
        </is>
      </c>
      <c r="B179" s="70">
        <f>IF('Final Calculation Sheet'!$D$15="","",'Final Calculation Sheet'!$D$15)</f>
        <v/>
      </c>
    </row>
    <row r="180" outlineLevel="3" ht="15" customHeight="1">
      <c r="A180" s="69" t="inlineStr">
        <is>
          <t xml:space="preserve">            Quantity</t>
        </is>
      </c>
      <c r="B180" s="74">
        <f>IF('Final Calculation Sheet'!$A$15="","",'Final Calculation Sheet'!$A$15)</f>
        <v/>
      </c>
    </row>
    <row r="181" outlineLevel="3" ht="15" customHeight="1">
      <c r="A181" s="69" t="inlineStr">
        <is>
          <t xml:space="preserve">            Unit</t>
        </is>
      </c>
      <c r="B181" s="76">
        <f>IF('Final Calculation Sheet'!$E$15="","",'Final Calculation Sheet'!$E$15)</f>
        <v/>
      </c>
    </row>
    <row r="182" outlineLevel="3" ht="15" customHeight="1">
      <c r="A182" s="69" t="inlineStr">
        <is>
          <t xml:space="preserve">            Rate (₹)</t>
        </is>
      </c>
      <c r="B182" s="70">
        <f>IF('Final Calculation Sheet'!$C$15="","",'Final Calculation Sheet'!$C$15)</f>
        <v/>
      </c>
    </row>
    <row r="183" outlineLevel="2" ht="16" customHeight="1">
      <c r="A183" s="441" t="inlineStr">
        <is>
          <t xml:space="preserve">      ▸ FINANCIALS</t>
        </is>
      </c>
      <c r="B183" s="442" t="n"/>
    </row>
    <row r="184" outlineLevel="3" ht="15" customHeight="1">
      <c r="A184" s="69" t="inlineStr">
        <is>
          <t xml:space="preserve">            Mat. Value (₹)</t>
        </is>
      </c>
      <c r="B184" s="70">
        <f>IF('Final Calculation Sheet'!$H$15="","",'Final Calculation Sheet'!$H$15)</f>
        <v/>
      </c>
    </row>
    <row r="185" outlineLevel="3" ht="15" customHeight="1">
      <c r="A185" s="69" t="inlineStr">
        <is>
          <t xml:space="preserve">            GST @ 18% (₹)</t>
        </is>
      </c>
      <c r="B185" s="70">
        <f>IF('Final Calculation Sheet'!$I$15="","",'Final Calculation Sheet'!$I$15)</f>
        <v/>
      </c>
    </row>
    <row r="186" outlineLevel="3" ht="15" customHeight="1">
      <c r="A186" s="69" t="inlineStr">
        <is>
          <t xml:space="preserve">            Mat. Value + GST (₹)</t>
        </is>
      </c>
      <c r="B186" s="70">
        <f>IF('Final Calculation Sheet'!$J$15="","",'Final Calculation Sheet'!$J$15)</f>
        <v/>
      </c>
    </row>
    <row r="187" outlineLevel="3" ht="15" customHeight="1">
      <c r="A187" s="69" t="inlineStr">
        <is>
          <t xml:space="preserve">            TCS @ 2% (₹)</t>
        </is>
      </c>
      <c r="B187" s="70">
        <f>IF('Final Calculation Sheet'!$K$15="","",'Final Calculation Sheet'!$K$15)</f>
        <v/>
      </c>
    </row>
    <row r="188" outlineLevel="3" ht="15" customHeight="1">
      <c r="A188" s="69" t="inlineStr">
        <is>
          <t xml:space="preserve">            TDS u/s 194(O) (₹)</t>
        </is>
      </c>
      <c r="B188" s="78">
        <f>IF('Final Calculation Sheet'!$L$15="","",'Final Calculation Sheet'!$L$15)</f>
        <v/>
      </c>
    </row>
    <row r="189" outlineLevel="3" ht="15" customHeight="1">
      <c r="A189" s="69" t="inlineStr">
        <is>
          <t xml:space="preserve">            Service Charge gross (₹)</t>
        </is>
      </c>
      <c r="B189" s="78">
        <f>IF('Final Calculation Sheet'!$M$15="","",'Final Calculation Sheet'!$M$15)</f>
        <v/>
      </c>
    </row>
    <row r="190" outlineLevel="3" ht="15" customHeight="1">
      <c r="A190" s="69" t="inlineStr">
        <is>
          <t xml:space="preserve">            TDS u/s 194(H) (₹)</t>
        </is>
      </c>
      <c r="B190" s="78">
        <f>IF('Final Calculation Sheet'!$N$15="","",'Final Calculation Sheet'!$N$15)</f>
        <v/>
      </c>
    </row>
    <row r="191" outlineLevel="3" ht="15" customHeight="1">
      <c r="A191" s="69" t="inlineStr">
        <is>
          <t xml:space="preserve">            Net Service Charge (₹)</t>
        </is>
      </c>
      <c r="B191" s="78">
        <f>IF('Final Calculation Sheet'!$O$15="","",'Final Calculation Sheet'!$O$15)</f>
        <v/>
      </c>
    </row>
    <row r="192" outlineLevel="3" ht="15" customHeight="1">
      <c r="A192" s="69" t="inlineStr">
        <is>
          <t xml:space="preserve">            Svc Charge to MSTC (₹)</t>
        </is>
      </c>
      <c r="B192" s="70">
        <f>IF('Final Calculation Sheet'!$P$15="","",'Final Calculation Sheet'!$P$15)</f>
        <v/>
      </c>
    </row>
    <row r="193" outlineLevel="3" ht="15" customHeight="1">
      <c r="A193" s="69" t="inlineStr">
        <is>
          <t xml:space="preserve">            GST TDS Rate</t>
        </is>
      </c>
      <c r="B193" s="80">
        <f>IF('Final Calculation Sheet'!$Q$15="","",'Final Calculation Sheet'!$Q$15)</f>
        <v/>
      </c>
    </row>
    <row r="194" outlineLevel="3" ht="15" customHeight="1">
      <c r="A194" s="69" t="inlineStr">
        <is>
          <t xml:space="preserve">            GST TDS (₹)</t>
        </is>
      </c>
      <c r="B194" s="70">
        <f>IF('Final Calculation Sheet'!$R$15="","",'Final Calculation Sheet'!$R$15)</f>
        <v/>
      </c>
    </row>
    <row r="195" outlineLevel="3" ht="15" customHeight="1">
      <c r="A195" s="69" t="inlineStr">
        <is>
          <t xml:space="preserve">            Total Receivables (₹)</t>
        </is>
      </c>
      <c r="B195" s="70">
        <f>IF('Final Calculation Sheet'!$S$15="","",'Final Calculation Sheet'!$S$15)</f>
        <v/>
      </c>
    </row>
    <row r="196" outlineLevel="2" ht="16" customHeight="1">
      <c r="A196" s="441" t="inlineStr">
        <is>
          <t xml:space="preserve">      ▸ SECURITY DEPOSIT</t>
        </is>
      </c>
      <c r="B196" s="442" t="n"/>
    </row>
    <row r="197" outlineLevel="3" ht="15" customHeight="1">
      <c r="A197" s="69" t="inlineStr">
        <is>
          <t xml:space="preserve">            SD Expected (₹)</t>
        </is>
      </c>
      <c r="B197" s="70">
        <f>IF('Final Calculation Sheet'!$T$15="","",'Final Calculation Sheet'!$T$15)</f>
        <v/>
      </c>
    </row>
    <row r="198" outlineLevel="3" ht="15" customHeight="1">
      <c r="A198" s="69" t="inlineStr">
        <is>
          <t xml:space="preserve">            SD Received (₹)</t>
        </is>
      </c>
      <c r="B198" s="70">
        <f>IF('Final Calculation Sheet'!$U$15="","",'Final Calculation Sheet'!$U$15)</f>
        <v/>
      </c>
    </row>
    <row r="199" outlineLevel="3" ht="15" customHeight="1">
      <c r="A199" s="69" t="inlineStr">
        <is>
          <t xml:space="preserve">            SD Receipt Date</t>
        </is>
      </c>
      <c r="B199" s="76">
        <f>IF('Final Calculation Sheet'!$V$15="","",'Final Calculation Sheet'!$V$15)</f>
        <v/>
      </c>
    </row>
    <row r="200" outlineLevel="2" ht="16" customHeight="1">
      <c r="A200" s="441" t="inlineStr">
        <is>
          <t xml:space="preserve">      ▸ FINAL PAYMENT</t>
        </is>
      </c>
      <c r="B200" s="442" t="n"/>
    </row>
    <row r="201" outlineLevel="3" ht="15" customHeight="1">
      <c r="A201" s="69" t="inlineStr">
        <is>
          <t xml:space="preserve">            FP Expected (₹)</t>
        </is>
      </c>
      <c r="B201" s="70">
        <f>IF('Final Calculation Sheet'!$W$15="","",'Final Calculation Sheet'!$W$15)</f>
        <v/>
      </c>
    </row>
    <row r="202" outlineLevel="3" ht="15" customHeight="1">
      <c r="A202" s="69" t="inlineStr">
        <is>
          <t xml:space="preserve">            FP Received (₹)</t>
        </is>
      </c>
      <c r="B202" s="70">
        <f>IF('Final Calculation Sheet'!$X$15="","",'Final Calculation Sheet'!$X$15)</f>
        <v/>
      </c>
    </row>
    <row r="203" outlineLevel="3" ht="15" customHeight="1">
      <c r="A203" s="69" t="inlineStr">
        <is>
          <t xml:space="preserve">            FP Receipt Date</t>
        </is>
      </c>
      <c r="B203" s="76">
        <f>IF('Final Calculation Sheet'!$Y$15="","",'Final Calculation Sheet'!$Y$15)</f>
        <v/>
      </c>
    </row>
    <row r="204" outlineLevel="2" ht="16" customHeight="1">
      <c r="A204" s="441" t="inlineStr">
        <is>
          <t xml:space="preserve">      ▸ LPP</t>
        </is>
      </c>
      <c r="B204" s="442" t="n"/>
    </row>
    <row r="205" outlineLevel="3" ht="15" customHeight="1">
      <c r="A205" s="69" t="inlineStr">
        <is>
          <t xml:space="preserve">            LPP Expected (₹)</t>
        </is>
      </c>
      <c r="B205" s="70">
        <f>IF('Final Calculation Sheet'!$Z$15="","",'Final Calculation Sheet'!$Z$15)</f>
        <v/>
      </c>
    </row>
    <row r="206" outlineLevel="3" ht="15" customHeight="1">
      <c r="A206" s="69" t="inlineStr">
        <is>
          <t xml:space="preserve">            LPP Received (₹)</t>
        </is>
      </c>
      <c r="B206" s="70">
        <f>IF('Final Calculation Sheet'!$AA$15="","",'Final Calculation Sheet'!$AA$15)</f>
        <v/>
      </c>
    </row>
    <row r="207" outlineLevel="3" ht="15" customHeight="1">
      <c r="A207" s="69" t="inlineStr">
        <is>
          <t xml:space="preserve">            LPP Receipt Date</t>
        </is>
      </c>
      <c r="B207" s="76">
        <f>IF('Final Calculation Sheet'!$AB$15="","",'Final Calculation Sheet'!$AB$15)</f>
        <v/>
      </c>
    </row>
    <row r="208" outlineLevel="2" ht="16" customHeight="1">
      <c r="A208" s="441" t="inlineStr">
        <is>
          <t xml:space="preserve">      ▸ SUMMARY</t>
        </is>
      </c>
      <c r="B208" s="442" t="n"/>
    </row>
    <row r="209" outlineLevel="3" ht="15" customHeight="1">
      <c r="A209" s="69" t="inlineStr">
        <is>
          <t xml:space="preserve">            Total Received (₹)</t>
        </is>
      </c>
      <c r="B209" s="70">
        <f>IF('Final Calculation Sheet'!$AC$15="","",'Final Calculation Sheet'!$AC$15)</f>
        <v/>
      </c>
    </row>
    <row r="210" outlineLevel="3" ht="15" customHeight="1">
      <c r="A210" s="69" t="inlineStr">
        <is>
          <t xml:space="preserve">            Outstanding (₹)</t>
        </is>
      </c>
      <c r="B210" s="70">
        <f>IF('Final Calculation Sheet'!$AD$15="","",'Final Calculation Sheet'!$AD$15)</f>
        <v/>
      </c>
    </row>
    <row r="211" outlineLevel="3" ht="15" customHeight="1">
      <c r="A211" s="69" t="inlineStr">
        <is>
          <t xml:space="preserve">            Payment Status</t>
        </is>
      </c>
      <c r="B211" s="81">
        <f>IF('Final Calculation Sheet'!$AD$15="","",IF('Final Calculation Sheet'!$AD$15&lt;=0,"SETTLED","OUTSTANDING"))</f>
        <v/>
      </c>
    </row>
    <row r="212" outlineLevel="2" ht="16" customHeight="1">
      <c r="A212" s="441" t="inlineStr">
        <is>
          <t xml:space="preserve">      ▸ DOCUMENT</t>
        </is>
      </c>
      <c r="B212" s="442" t="n"/>
    </row>
    <row r="213" outlineLevel="3" ht="15" customHeight="1">
      <c r="A213" s="69" t="inlineStr">
        <is>
          <t xml:space="preserve">            Invoice No.</t>
        </is>
      </c>
      <c r="B213" s="76">
        <f>IF('Final Calculation Sheet'!$AE$15="","",'Final Calculation Sheet'!$AE$15)</f>
        <v/>
      </c>
    </row>
    <row r="214" outlineLevel="3" ht="15" customHeight="1">
      <c r="A214" s="69" t="inlineStr">
        <is>
          <t xml:space="preserve">            SAP Document</t>
        </is>
      </c>
      <c r="B214" s="70">
        <f>IF('Final Calculation Sheet'!$AF$15="","",'Final Calculation Sheet'!$AF$15)</f>
        <v/>
      </c>
    </row>
    <row r="215" outlineLevel="3" ht="15" customHeight="1">
      <c r="A215" s="69" t="inlineStr">
        <is>
          <t xml:space="preserve">            Doc./Invoice Date</t>
        </is>
      </c>
      <c r="B215" s="76">
        <f>IF('Final Calculation Sheet'!$AG$15="","",'Final Calculation Sheet'!$AG$15)</f>
        <v/>
      </c>
    </row>
    <row r="216" outlineLevel="1" ht="20" customHeight="1">
      <c r="A216" s="443" t="inlineStr">
        <is>
          <t xml:space="preserve">   ∑  HIND TRADERS — TOTALS (all its lots)</t>
        </is>
      </c>
      <c r="B216" s="272" t="n"/>
    </row>
    <row r="217" outlineLevel="2" ht="15" customHeight="1">
      <c r="A217" s="444" t="inlineStr">
        <is>
          <t xml:space="preserve">         Quantity</t>
        </is>
      </c>
      <c r="B217" s="445">
        <f>SUMIF('Final Calculation Sheet'!$G$4:$G$1000,"HIND TRADERS",'Final Calculation Sheet'!$A$4:$A$1000)</f>
        <v/>
      </c>
    </row>
    <row r="218" outlineLevel="2" ht="15" customHeight="1">
      <c r="A218" s="444" t="inlineStr">
        <is>
          <t xml:space="preserve">         Mat. Value (₹)</t>
        </is>
      </c>
      <c r="B218" s="206">
        <f>SUMIF('Final Calculation Sheet'!$G$4:$G$1000,"HIND TRADERS",'Final Calculation Sheet'!$H$4:$H$1000)</f>
        <v/>
      </c>
    </row>
    <row r="219" outlineLevel="2" ht="15" customHeight="1">
      <c r="A219" s="444" t="inlineStr">
        <is>
          <t xml:space="preserve">         GST @ 18% (₹)</t>
        </is>
      </c>
      <c r="B219" s="206">
        <f>SUMIF('Final Calculation Sheet'!$G$4:$G$1000,"HIND TRADERS",'Final Calculation Sheet'!$I$4:$I$1000)</f>
        <v/>
      </c>
    </row>
    <row r="220" outlineLevel="2" ht="15" customHeight="1">
      <c r="A220" s="444" t="inlineStr">
        <is>
          <t xml:space="preserve">         Mat. Value + GST (₹)</t>
        </is>
      </c>
      <c r="B220" s="206">
        <f>SUMIF('Final Calculation Sheet'!$G$4:$G$1000,"HIND TRADERS",'Final Calculation Sheet'!$J$4:$J$1000)</f>
        <v/>
      </c>
    </row>
    <row r="221" outlineLevel="2" ht="15" customHeight="1">
      <c r="A221" s="444" t="inlineStr">
        <is>
          <t xml:space="preserve">         TCS @ 2% (₹)</t>
        </is>
      </c>
      <c r="B221" s="206">
        <f>SUMIF('Final Calculation Sheet'!$G$4:$G$1000,"HIND TRADERS",'Final Calculation Sheet'!$K$4:$K$1000)</f>
        <v/>
      </c>
    </row>
    <row r="222" outlineLevel="2" ht="15" customHeight="1">
      <c r="A222" s="444" t="inlineStr">
        <is>
          <t xml:space="preserve">         TDS u/s 194(O) (₹)</t>
        </is>
      </c>
      <c r="B222" s="446">
        <f>SUMIF('Final Calculation Sheet'!$G$4:$G$1000,"HIND TRADERS",'Final Calculation Sheet'!$L$4:$L$1000)</f>
        <v/>
      </c>
    </row>
    <row r="223" outlineLevel="2" ht="15" customHeight="1">
      <c r="A223" s="444" t="inlineStr">
        <is>
          <t xml:space="preserve">         Service Charge gross (₹)</t>
        </is>
      </c>
      <c r="B223" s="446">
        <f>SUMIF('Final Calculation Sheet'!$G$4:$G$1000,"HIND TRADERS",'Final Calculation Sheet'!$M$4:$M$1000)</f>
        <v/>
      </c>
    </row>
    <row r="224" outlineLevel="2" ht="15" customHeight="1">
      <c r="A224" s="444" t="inlineStr">
        <is>
          <t xml:space="preserve">         TDS u/s 194(H) (₹)</t>
        </is>
      </c>
      <c r="B224" s="446">
        <f>SUMIF('Final Calculation Sheet'!$G$4:$G$1000,"HIND TRADERS",'Final Calculation Sheet'!$N$4:$N$1000)</f>
        <v/>
      </c>
    </row>
    <row r="225" outlineLevel="2" ht="15" customHeight="1">
      <c r="A225" s="444" t="inlineStr">
        <is>
          <t xml:space="preserve">         Net Service Charge (₹)</t>
        </is>
      </c>
      <c r="B225" s="446">
        <f>SUMIF('Final Calculation Sheet'!$G$4:$G$1000,"HIND TRADERS",'Final Calculation Sheet'!$O$4:$O$1000)</f>
        <v/>
      </c>
    </row>
    <row r="226" outlineLevel="2" ht="15" customHeight="1">
      <c r="A226" s="444" t="inlineStr">
        <is>
          <t xml:space="preserve">         Svc Charge to MSTC (₹)</t>
        </is>
      </c>
      <c r="B226" s="206">
        <f>SUMIF('Final Calculation Sheet'!$G$4:$G$1000,"HIND TRADERS",'Final Calculation Sheet'!$P$4:$P$1000)</f>
        <v/>
      </c>
    </row>
    <row r="227" outlineLevel="2" ht="15" customHeight="1">
      <c r="A227" s="444" t="inlineStr">
        <is>
          <t xml:space="preserve">         GST TDS (₹)</t>
        </is>
      </c>
      <c r="B227" s="206">
        <f>SUMIF('Final Calculation Sheet'!$G$4:$G$1000,"HIND TRADERS",'Final Calculation Sheet'!$R$4:$R$1000)</f>
        <v/>
      </c>
    </row>
    <row r="228" outlineLevel="2" ht="15" customHeight="1">
      <c r="A228" s="444" t="inlineStr">
        <is>
          <t xml:space="preserve">         Total Receivables (₹)</t>
        </is>
      </c>
      <c r="B228" s="206">
        <f>SUMIF('Final Calculation Sheet'!$G$4:$G$1000,"HIND TRADERS",'Final Calculation Sheet'!$S$4:$S$1000)</f>
        <v/>
      </c>
    </row>
    <row r="229" outlineLevel="2" ht="15" customHeight="1">
      <c r="A229" s="444" t="inlineStr">
        <is>
          <t xml:space="preserve">         SD Expected (₹)</t>
        </is>
      </c>
      <c r="B229" s="206">
        <f>SUMIF('Final Calculation Sheet'!$G$4:$G$1000,"HIND TRADERS",'Final Calculation Sheet'!$T$4:$T$1000)</f>
        <v/>
      </c>
    </row>
    <row r="230" outlineLevel="2" ht="15" customHeight="1">
      <c r="A230" s="444" t="inlineStr">
        <is>
          <t xml:space="preserve">         SD Received (₹)</t>
        </is>
      </c>
      <c r="B230" s="206">
        <f>SUMIF('Final Calculation Sheet'!$G$4:$G$1000,"HIND TRADERS",'Final Calculation Sheet'!$U$4:$U$1000)</f>
        <v/>
      </c>
    </row>
    <row r="231" outlineLevel="2" ht="15" customHeight="1">
      <c r="A231" s="444" t="inlineStr">
        <is>
          <t xml:space="preserve">         FP Expected (₹)</t>
        </is>
      </c>
      <c r="B231" s="206">
        <f>SUMIF('Final Calculation Sheet'!$G$4:$G$1000,"HIND TRADERS",'Final Calculation Sheet'!$W$4:$W$1000)</f>
        <v/>
      </c>
    </row>
    <row r="232" outlineLevel="2" ht="15" customHeight="1">
      <c r="A232" s="444" t="inlineStr">
        <is>
          <t xml:space="preserve">         FP Received (₹)</t>
        </is>
      </c>
      <c r="B232" s="206">
        <f>SUMIF('Final Calculation Sheet'!$G$4:$G$1000,"HIND TRADERS",'Final Calculation Sheet'!$X$4:$X$1000)</f>
        <v/>
      </c>
    </row>
    <row r="233" outlineLevel="2" ht="15" customHeight="1">
      <c r="A233" s="444" t="inlineStr">
        <is>
          <t xml:space="preserve">         LPP Expected (₹)</t>
        </is>
      </c>
      <c r="B233" s="206">
        <f>SUMIF('Final Calculation Sheet'!$G$4:$G$1000,"HIND TRADERS",'Final Calculation Sheet'!$Z$4:$Z$1000)</f>
        <v/>
      </c>
    </row>
    <row r="234" outlineLevel="2" ht="15" customHeight="1">
      <c r="A234" s="444" t="inlineStr">
        <is>
          <t xml:space="preserve">         LPP Received (₹)</t>
        </is>
      </c>
      <c r="B234" s="206">
        <f>SUMIF('Final Calculation Sheet'!$G$4:$G$1000,"HIND TRADERS",'Final Calculation Sheet'!$AA$4:$AA$1000)</f>
        <v/>
      </c>
    </row>
    <row r="235" outlineLevel="2" ht="15" customHeight="1">
      <c r="A235" s="444" t="inlineStr">
        <is>
          <t xml:space="preserve">         Total Received (₹)</t>
        </is>
      </c>
      <c r="B235" s="206">
        <f>SUMIF('Final Calculation Sheet'!$G$4:$G$1000,"HIND TRADERS",'Final Calculation Sheet'!$AC$4:$AC$1000)</f>
        <v/>
      </c>
    </row>
    <row r="236" outlineLevel="2" ht="15" customHeight="1">
      <c r="A236" s="444" t="inlineStr">
        <is>
          <t xml:space="preserve">         Outstanding (₹)</t>
        </is>
      </c>
      <c r="B236" s="206">
        <f>SUMIF('Final Calculation Sheet'!$G$4:$G$1000,"HIND TRADERS",'Final Calculation Sheet'!$AD$4:$AD$1000)</f>
        <v/>
      </c>
    </row>
    <row r="237" ht="7" customHeight="1">
      <c r="A237" s="82" t="n"/>
      <c r="B237" s="82" t="n"/>
    </row>
    <row r="238" ht="24" customHeight="1">
      <c r="A238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238" s="284" t="n"/>
    </row>
    <row r="239" outlineLevel="1" ht="20" customHeight="1">
      <c r="A239" s="447">
        <f>"   ▸  LOT "&amp;'Final Calculation Sheet'!$F$38&amp;"   •   "&amp;'Final Calculation Sheet'!$B$38&amp;"   •   MAT. VALUE ₹"&amp;TEXT('Final Calculation Sheet'!$H$38,"#,##0")&amp;"   •   OUTSTANDING ₹"&amp;TEXT('Final Calculation Sheet'!$AD$38,"#,##0")</f>
        <v/>
      </c>
      <c r="B239" s="111" t="n"/>
    </row>
    <row r="240" outlineLevel="2" ht="16" customHeight="1">
      <c r="A240" s="448" t="inlineStr">
        <is>
          <t xml:space="preserve">      ▸ LOT INFORMATION</t>
        </is>
      </c>
      <c r="B240" s="449" t="n"/>
    </row>
    <row r="241" outlineLevel="3" ht="15" customHeight="1">
      <c r="A241" s="69" t="inlineStr">
        <is>
          <t xml:space="preserve">            Lot No.</t>
        </is>
      </c>
      <c r="B241" s="70">
        <f>IF('Final Calculation Sheet'!$F$38="","",'Final Calculation Sheet'!$F$38)</f>
        <v/>
      </c>
    </row>
    <row r="242" outlineLevel="3" ht="15" customHeight="1">
      <c r="A242" s="69" t="inlineStr">
        <is>
          <t xml:space="preserve">            Lot Name</t>
        </is>
      </c>
      <c r="B242" s="76">
        <f>IF('Final Calculation Sheet'!$B$38="","",'Final Calculation Sheet'!$B$38)</f>
        <v/>
      </c>
    </row>
    <row r="243" outlineLevel="3" ht="15" customHeight="1">
      <c r="A243" s="69" t="inlineStr">
        <is>
          <t xml:space="preserve">            Bid Sheet / Auction</t>
        </is>
      </c>
      <c r="B243" s="70">
        <f>IF('Final Calculation Sheet'!$D$38="","",'Final Calculation Sheet'!$D$38)</f>
        <v/>
      </c>
    </row>
    <row r="244" outlineLevel="3" ht="15" customHeight="1">
      <c r="A244" s="69" t="inlineStr">
        <is>
          <t xml:space="preserve">            Quantity</t>
        </is>
      </c>
      <c r="B244" s="74">
        <f>IF('Final Calculation Sheet'!$A$38="","",'Final Calculation Sheet'!$A$38)</f>
        <v/>
      </c>
    </row>
    <row r="245" outlineLevel="3" ht="15" customHeight="1">
      <c r="A245" s="69" t="inlineStr">
        <is>
          <t xml:space="preserve">            Unit</t>
        </is>
      </c>
      <c r="B245" s="76">
        <f>IF('Final Calculation Sheet'!$E$38="","",'Final Calculation Sheet'!$E$38)</f>
        <v/>
      </c>
    </row>
    <row r="246" outlineLevel="3" ht="15" customHeight="1">
      <c r="A246" s="69" t="inlineStr">
        <is>
          <t xml:space="preserve">            Rate (₹)</t>
        </is>
      </c>
      <c r="B246" s="70">
        <f>IF('Final Calculation Sheet'!$C$38="","",'Final Calculation Sheet'!$C$38)</f>
        <v/>
      </c>
    </row>
    <row r="247" outlineLevel="2" ht="16" customHeight="1">
      <c r="A247" s="448" t="inlineStr">
        <is>
          <t xml:space="preserve">      ▸ FINANCIALS</t>
        </is>
      </c>
      <c r="B247" s="449" t="n"/>
    </row>
    <row r="248" outlineLevel="3" ht="15" customHeight="1">
      <c r="A248" s="69" t="inlineStr">
        <is>
          <t xml:space="preserve">            Mat. Value (₹)</t>
        </is>
      </c>
      <c r="B248" s="70">
        <f>IF('Final Calculation Sheet'!$H$38="","",'Final Calculation Sheet'!$H$38)</f>
        <v/>
      </c>
    </row>
    <row r="249" outlineLevel="3" ht="15" customHeight="1">
      <c r="A249" s="69" t="inlineStr">
        <is>
          <t xml:space="preserve">            GST @ 18% (₹)</t>
        </is>
      </c>
      <c r="B249" s="70">
        <f>IF('Final Calculation Sheet'!$I$38="","",'Final Calculation Sheet'!$I$38)</f>
        <v/>
      </c>
    </row>
    <row r="250" outlineLevel="3" ht="15" customHeight="1">
      <c r="A250" s="69" t="inlineStr">
        <is>
          <t xml:space="preserve">            Mat. Value + GST (₹)</t>
        </is>
      </c>
      <c r="B250" s="70">
        <f>IF('Final Calculation Sheet'!$J$38="","",'Final Calculation Sheet'!$J$38)</f>
        <v/>
      </c>
    </row>
    <row r="251" outlineLevel="3" ht="15" customHeight="1">
      <c r="A251" s="69" t="inlineStr">
        <is>
          <t xml:space="preserve">            TCS @ 2% (₹)</t>
        </is>
      </c>
      <c r="B251" s="70">
        <f>IF('Final Calculation Sheet'!$K$38="","",'Final Calculation Sheet'!$K$38)</f>
        <v/>
      </c>
    </row>
    <row r="252" outlineLevel="3" ht="15" customHeight="1">
      <c r="A252" s="69" t="inlineStr">
        <is>
          <t xml:space="preserve">            TDS u/s 194(O) (₹)</t>
        </is>
      </c>
      <c r="B252" s="78">
        <f>IF('Final Calculation Sheet'!$L$38="","",'Final Calculation Sheet'!$L$38)</f>
        <v/>
      </c>
    </row>
    <row r="253" outlineLevel="3" ht="15" customHeight="1">
      <c r="A253" s="69" t="inlineStr">
        <is>
          <t xml:space="preserve">            Service Charge gross (₹)</t>
        </is>
      </c>
      <c r="B253" s="78">
        <f>IF('Final Calculation Sheet'!$M$38="","",'Final Calculation Sheet'!$M$38)</f>
        <v/>
      </c>
    </row>
    <row r="254" outlineLevel="3" ht="15" customHeight="1">
      <c r="A254" s="69" t="inlineStr">
        <is>
          <t xml:space="preserve">            TDS u/s 194(H) (₹)</t>
        </is>
      </c>
      <c r="B254" s="78">
        <f>IF('Final Calculation Sheet'!$N$38="","",'Final Calculation Sheet'!$N$38)</f>
        <v/>
      </c>
    </row>
    <row r="255" outlineLevel="3" ht="15" customHeight="1">
      <c r="A255" s="69" t="inlineStr">
        <is>
          <t xml:space="preserve">            Net Service Charge (₹)</t>
        </is>
      </c>
      <c r="B255" s="78">
        <f>IF('Final Calculation Sheet'!$O$38="","",'Final Calculation Sheet'!$O$38)</f>
        <v/>
      </c>
    </row>
    <row r="256" outlineLevel="3" ht="15" customHeight="1">
      <c r="A256" s="69" t="inlineStr">
        <is>
          <t xml:space="preserve">            Svc Charge to MSTC (₹)</t>
        </is>
      </c>
      <c r="B256" s="70">
        <f>IF('Final Calculation Sheet'!$P$38="","",'Final Calculation Sheet'!$P$38)</f>
        <v/>
      </c>
    </row>
    <row r="257" outlineLevel="3" ht="15" customHeight="1">
      <c r="A257" s="69" t="inlineStr">
        <is>
          <t xml:space="preserve">            GST TDS Rate</t>
        </is>
      </c>
      <c r="B257" s="80">
        <f>IF('Final Calculation Sheet'!$Q$38="","",'Final Calculation Sheet'!$Q$38)</f>
        <v/>
      </c>
    </row>
    <row r="258" outlineLevel="3" ht="15" customHeight="1">
      <c r="A258" s="69" t="inlineStr">
        <is>
          <t xml:space="preserve">            GST TDS (₹)</t>
        </is>
      </c>
      <c r="B258" s="70">
        <f>IF('Final Calculation Sheet'!$R$38="","",'Final Calculation Sheet'!$R$38)</f>
        <v/>
      </c>
    </row>
    <row r="259" outlineLevel="3" ht="15" customHeight="1">
      <c r="A259" s="69" t="inlineStr">
        <is>
          <t xml:space="preserve">            Total Receivables (₹)</t>
        </is>
      </c>
      <c r="B259" s="70">
        <f>IF('Final Calculation Sheet'!$S$38="","",'Final Calculation Sheet'!$S$38)</f>
        <v/>
      </c>
    </row>
    <row r="260" outlineLevel="2" ht="16" customHeight="1">
      <c r="A260" s="448" t="inlineStr">
        <is>
          <t xml:space="preserve">      ▸ SECURITY DEPOSIT</t>
        </is>
      </c>
      <c r="B260" s="449" t="n"/>
    </row>
    <row r="261" outlineLevel="3" ht="15" customHeight="1">
      <c r="A261" s="69" t="inlineStr">
        <is>
          <t xml:space="preserve">            SD Expected (₹)</t>
        </is>
      </c>
      <c r="B261" s="70">
        <f>IF('Final Calculation Sheet'!$T$38="","",'Final Calculation Sheet'!$T$38)</f>
        <v/>
      </c>
    </row>
    <row r="262" outlineLevel="3" ht="15" customHeight="1">
      <c r="A262" s="69" t="inlineStr">
        <is>
          <t xml:space="preserve">            SD Received (₹)</t>
        </is>
      </c>
      <c r="B262" s="70">
        <f>IF('Final Calculation Sheet'!$U$38="","",'Final Calculation Sheet'!$U$38)</f>
        <v/>
      </c>
    </row>
    <row r="263" outlineLevel="3" ht="15" customHeight="1">
      <c r="A263" s="69" t="inlineStr">
        <is>
          <t xml:space="preserve">            SD Receipt Date</t>
        </is>
      </c>
      <c r="B263" s="76">
        <f>IF('Final Calculation Sheet'!$V$38="","",'Final Calculation Sheet'!$V$38)</f>
        <v/>
      </c>
    </row>
    <row r="264" outlineLevel="2" ht="16" customHeight="1">
      <c r="A264" s="448" t="inlineStr">
        <is>
          <t xml:space="preserve">      ▸ FINAL PAYMENT</t>
        </is>
      </c>
      <c r="B264" s="449" t="n"/>
    </row>
    <row r="265" outlineLevel="3" ht="15" customHeight="1">
      <c r="A265" s="69" t="inlineStr">
        <is>
          <t xml:space="preserve">            FP Expected (₹)</t>
        </is>
      </c>
      <c r="B265" s="70">
        <f>IF('Final Calculation Sheet'!$W$38="","",'Final Calculation Sheet'!$W$38)</f>
        <v/>
      </c>
    </row>
    <row r="266" outlineLevel="3" ht="15" customHeight="1">
      <c r="A266" s="69" t="inlineStr">
        <is>
          <t xml:space="preserve">            FP Received (₹)</t>
        </is>
      </c>
      <c r="B266" s="70">
        <f>IF('Final Calculation Sheet'!$X$38="","",'Final Calculation Sheet'!$X$38)</f>
        <v/>
      </c>
    </row>
    <row r="267" outlineLevel="3" ht="15" customHeight="1">
      <c r="A267" s="69" t="inlineStr">
        <is>
          <t xml:space="preserve">            FP Receipt Date</t>
        </is>
      </c>
      <c r="B267" s="76">
        <f>IF('Final Calculation Sheet'!$Y$38="","",'Final Calculation Sheet'!$Y$38)</f>
        <v/>
      </c>
    </row>
    <row r="268" outlineLevel="2" ht="16" customHeight="1">
      <c r="A268" s="448" t="inlineStr">
        <is>
          <t xml:space="preserve">      ▸ LPP</t>
        </is>
      </c>
      <c r="B268" s="449" t="n"/>
    </row>
    <row r="269" outlineLevel="3" ht="15" customHeight="1">
      <c r="A269" s="69" t="inlineStr">
        <is>
          <t xml:space="preserve">            LPP Expected (₹)</t>
        </is>
      </c>
      <c r="B269" s="70">
        <f>IF('Final Calculation Sheet'!$Z$38="","",'Final Calculation Sheet'!$Z$38)</f>
        <v/>
      </c>
    </row>
    <row r="270" outlineLevel="3" ht="15" customHeight="1">
      <c r="A270" s="69" t="inlineStr">
        <is>
          <t xml:space="preserve">            LPP Received (₹)</t>
        </is>
      </c>
      <c r="B270" s="70">
        <f>IF('Final Calculation Sheet'!$AA$38="","",'Final Calculation Sheet'!$AA$38)</f>
        <v/>
      </c>
    </row>
    <row r="271" outlineLevel="3" ht="15" customHeight="1">
      <c r="A271" s="69" t="inlineStr">
        <is>
          <t xml:space="preserve">            LPP Receipt Date</t>
        </is>
      </c>
      <c r="B271" s="76">
        <f>IF('Final Calculation Sheet'!$AB$38="","",'Final Calculation Sheet'!$AB$38)</f>
        <v/>
      </c>
    </row>
    <row r="272" outlineLevel="2" ht="16" customHeight="1">
      <c r="A272" s="448" t="inlineStr">
        <is>
          <t xml:space="preserve">      ▸ SUMMARY</t>
        </is>
      </c>
      <c r="B272" s="449" t="n"/>
    </row>
    <row r="273" outlineLevel="3" ht="15" customHeight="1">
      <c r="A273" s="69" t="inlineStr">
        <is>
          <t xml:space="preserve">            Total Received (₹)</t>
        </is>
      </c>
      <c r="B273" s="70">
        <f>IF('Final Calculation Sheet'!$AC$38="","",'Final Calculation Sheet'!$AC$38)</f>
        <v/>
      </c>
    </row>
    <row r="274" outlineLevel="3" ht="15" customHeight="1">
      <c r="A274" s="69" t="inlineStr">
        <is>
          <t xml:space="preserve">            Outstanding (₹)</t>
        </is>
      </c>
      <c r="B274" s="70">
        <f>IF('Final Calculation Sheet'!$AD$38="","",'Final Calculation Sheet'!$AD$38)</f>
        <v/>
      </c>
    </row>
    <row r="275" outlineLevel="3" ht="15" customHeight="1">
      <c r="A275" s="69" t="inlineStr">
        <is>
          <t xml:space="preserve">            Payment Status</t>
        </is>
      </c>
      <c r="B275" s="81">
        <f>IF('Final Calculation Sheet'!$AD$38="","",IF('Final Calculation Sheet'!$AD$38&lt;=0,"SETTLED","OUTSTANDING"))</f>
        <v/>
      </c>
    </row>
    <row r="276" outlineLevel="2" ht="16" customHeight="1">
      <c r="A276" s="448" t="inlineStr">
        <is>
          <t xml:space="preserve">      ▸ DOCUMENT</t>
        </is>
      </c>
      <c r="B276" s="449" t="n"/>
    </row>
    <row r="277" outlineLevel="3" ht="15" customHeight="1">
      <c r="A277" s="69" t="inlineStr">
        <is>
          <t xml:space="preserve">            Invoice No.</t>
        </is>
      </c>
      <c r="B277" s="76">
        <f>IF('Final Calculation Sheet'!$AE$38="","",'Final Calculation Sheet'!$AE$38)</f>
        <v/>
      </c>
    </row>
    <row r="278" outlineLevel="3" ht="15" customHeight="1">
      <c r="A278" s="69" t="inlineStr">
        <is>
          <t xml:space="preserve">            SAP Document</t>
        </is>
      </c>
      <c r="B278" s="70">
        <f>IF('Final Calculation Sheet'!$AF$38="","",'Final Calculation Sheet'!$AF$38)</f>
        <v/>
      </c>
    </row>
    <row r="279" outlineLevel="3" ht="15" customHeight="1">
      <c r="A279" s="69" t="inlineStr">
        <is>
          <t xml:space="preserve">            Doc./Invoice Date</t>
        </is>
      </c>
      <c r="B279" s="76">
        <f>IF('Final Calculation Sheet'!$AG$38="","",'Final Calculation Sheet'!$AG$38)</f>
        <v/>
      </c>
    </row>
    <row r="280" outlineLevel="1" ht="20" customHeight="1">
      <c r="A280" s="450" t="inlineStr">
        <is>
          <t xml:space="preserve">   ∑  KASHYAP TRADING CO — TOTALS (all its lots)</t>
        </is>
      </c>
      <c r="B280" s="284" t="n"/>
    </row>
    <row r="281" outlineLevel="2" ht="15" customHeight="1">
      <c r="A281" s="451" t="inlineStr">
        <is>
          <t xml:space="preserve">         Quantity</t>
        </is>
      </c>
      <c r="B281" s="452">
        <f>SUMIF('Final Calculation Sheet'!$G$4:$G$1000,"KASHYAP TRADING CO",'Final Calculation Sheet'!$A$4:$A$1000)</f>
        <v/>
      </c>
    </row>
    <row r="282" outlineLevel="2" ht="15" customHeight="1">
      <c r="A282" s="451" t="inlineStr">
        <is>
          <t xml:space="preserve">         Mat. Value (₹)</t>
        </is>
      </c>
      <c r="B282" s="453">
        <f>SUMIF('Final Calculation Sheet'!$G$4:$G$1000,"KASHYAP TRADING CO",'Final Calculation Sheet'!$H$4:$H$1000)</f>
        <v/>
      </c>
    </row>
    <row r="283" outlineLevel="2" ht="15" customHeight="1">
      <c r="A283" s="451" t="inlineStr">
        <is>
          <t xml:space="preserve">         GST @ 18% (₹)</t>
        </is>
      </c>
      <c r="B283" s="453">
        <f>SUMIF('Final Calculation Sheet'!$G$4:$G$1000,"KASHYAP TRADING CO",'Final Calculation Sheet'!$I$4:$I$1000)</f>
        <v/>
      </c>
    </row>
    <row r="284" outlineLevel="2" ht="15" customHeight="1">
      <c r="A284" s="451" t="inlineStr">
        <is>
          <t xml:space="preserve">         Mat. Value + GST (₹)</t>
        </is>
      </c>
      <c r="B284" s="453">
        <f>SUMIF('Final Calculation Sheet'!$G$4:$G$1000,"KASHYAP TRADING CO",'Final Calculation Sheet'!$J$4:$J$1000)</f>
        <v/>
      </c>
    </row>
    <row r="285" outlineLevel="2" ht="15" customHeight="1">
      <c r="A285" s="451" t="inlineStr">
        <is>
          <t xml:space="preserve">         TCS @ 2% (₹)</t>
        </is>
      </c>
      <c r="B285" s="453">
        <f>SUMIF('Final Calculation Sheet'!$G$4:$G$1000,"KASHYAP TRADING CO",'Final Calculation Sheet'!$K$4:$K$1000)</f>
        <v/>
      </c>
    </row>
    <row r="286" outlineLevel="2" ht="15" customHeight="1">
      <c r="A286" s="451" t="inlineStr">
        <is>
          <t xml:space="preserve">         TDS u/s 194(O) (₹)</t>
        </is>
      </c>
      <c r="B286" s="454">
        <f>SUMIF('Final Calculation Sheet'!$G$4:$G$1000,"KASHYAP TRADING CO",'Final Calculation Sheet'!$L$4:$L$1000)</f>
        <v/>
      </c>
    </row>
    <row r="287" outlineLevel="2" ht="15" customHeight="1">
      <c r="A287" s="451" t="inlineStr">
        <is>
          <t xml:space="preserve">         Service Charge gross (₹)</t>
        </is>
      </c>
      <c r="B287" s="454">
        <f>SUMIF('Final Calculation Sheet'!$G$4:$G$1000,"KASHYAP TRADING CO",'Final Calculation Sheet'!$M$4:$M$1000)</f>
        <v/>
      </c>
    </row>
    <row r="288" outlineLevel="2" ht="15" customHeight="1">
      <c r="A288" s="451" t="inlineStr">
        <is>
          <t xml:space="preserve">         TDS u/s 194(H) (₹)</t>
        </is>
      </c>
      <c r="B288" s="454">
        <f>SUMIF('Final Calculation Sheet'!$G$4:$G$1000,"KASHYAP TRADING CO",'Final Calculation Sheet'!$N$4:$N$1000)</f>
        <v/>
      </c>
    </row>
    <row r="289" outlineLevel="2" ht="15" customHeight="1">
      <c r="A289" s="451" t="inlineStr">
        <is>
          <t xml:space="preserve">         Net Service Charge (₹)</t>
        </is>
      </c>
      <c r="B289" s="454">
        <f>SUMIF('Final Calculation Sheet'!$G$4:$G$1000,"KASHYAP TRADING CO",'Final Calculation Sheet'!$O$4:$O$1000)</f>
        <v/>
      </c>
    </row>
    <row r="290" outlineLevel="2" ht="15" customHeight="1">
      <c r="A290" s="451" t="inlineStr">
        <is>
          <t xml:space="preserve">         Svc Charge to MSTC (₹)</t>
        </is>
      </c>
      <c r="B290" s="453">
        <f>SUMIF('Final Calculation Sheet'!$G$4:$G$1000,"KASHYAP TRADING CO",'Final Calculation Sheet'!$P$4:$P$1000)</f>
        <v/>
      </c>
    </row>
    <row r="291" outlineLevel="2" ht="15" customHeight="1">
      <c r="A291" s="451" t="inlineStr">
        <is>
          <t xml:space="preserve">         GST TDS (₹)</t>
        </is>
      </c>
      <c r="B291" s="453">
        <f>SUMIF('Final Calculation Sheet'!$G$4:$G$1000,"KASHYAP TRADING CO",'Final Calculation Sheet'!$R$4:$R$1000)</f>
        <v/>
      </c>
    </row>
    <row r="292" outlineLevel="2" ht="15" customHeight="1">
      <c r="A292" s="451" t="inlineStr">
        <is>
          <t xml:space="preserve">         Total Receivables (₹)</t>
        </is>
      </c>
      <c r="B292" s="453">
        <f>SUMIF('Final Calculation Sheet'!$G$4:$G$1000,"KASHYAP TRADING CO",'Final Calculation Sheet'!$S$4:$S$1000)</f>
        <v/>
      </c>
    </row>
    <row r="293" outlineLevel="2" ht="15" customHeight="1">
      <c r="A293" s="451" t="inlineStr">
        <is>
          <t xml:space="preserve">         SD Expected (₹)</t>
        </is>
      </c>
      <c r="B293" s="453">
        <f>SUMIF('Final Calculation Sheet'!$G$4:$G$1000,"KASHYAP TRADING CO",'Final Calculation Sheet'!$T$4:$T$1000)</f>
        <v/>
      </c>
    </row>
    <row r="294" outlineLevel="2" ht="15" customHeight="1">
      <c r="A294" s="451" t="inlineStr">
        <is>
          <t xml:space="preserve">         SD Received (₹)</t>
        </is>
      </c>
      <c r="B294" s="453">
        <f>SUMIF('Final Calculation Sheet'!$G$4:$G$1000,"KASHYAP TRADING CO",'Final Calculation Sheet'!$U$4:$U$1000)</f>
        <v/>
      </c>
    </row>
    <row r="295" outlineLevel="2" ht="15" customHeight="1">
      <c r="A295" s="451" t="inlineStr">
        <is>
          <t xml:space="preserve">         FP Expected (₹)</t>
        </is>
      </c>
      <c r="B295" s="453">
        <f>SUMIF('Final Calculation Sheet'!$G$4:$G$1000,"KASHYAP TRADING CO",'Final Calculation Sheet'!$W$4:$W$1000)</f>
        <v/>
      </c>
    </row>
    <row r="296" outlineLevel="2" ht="15" customHeight="1">
      <c r="A296" s="451" t="inlineStr">
        <is>
          <t xml:space="preserve">         FP Received (₹)</t>
        </is>
      </c>
      <c r="B296" s="453">
        <f>SUMIF('Final Calculation Sheet'!$G$4:$G$1000,"KASHYAP TRADING CO",'Final Calculation Sheet'!$X$4:$X$1000)</f>
        <v/>
      </c>
    </row>
    <row r="297" outlineLevel="2" ht="15" customHeight="1">
      <c r="A297" s="451" t="inlineStr">
        <is>
          <t xml:space="preserve">         LPP Expected (₹)</t>
        </is>
      </c>
      <c r="B297" s="453">
        <f>SUMIF('Final Calculation Sheet'!$G$4:$G$1000,"KASHYAP TRADING CO",'Final Calculation Sheet'!$Z$4:$Z$1000)</f>
        <v/>
      </c>
    </row>
    <row r="298" outlineLevel="2" ht="15" customHeight="1">
      <c r="A298" s="451" t="inlineStr">
        <is>
          <t xml:space="preserve">         LPP Received (₹)</t>
        </is>
      </c>
      <c r="B298" s="453">
        <f>SUMIF('Final Calculation Sheet'!$G$4:$G$1000,"KASHYAP TRADING CO",'Final Calculation Sheet'!$AA$4:$AA$1000)</f>
        <v/>
      </c>
    </row>
    <row r="299" outlineLevel="2" ht="15" customHeight="1">
      <c r="A299" s="451" t="inlineStr">
        <is>
          <t xml:space="preserve">         Total Received (₹)</t>
        </is>
      </c>
      <c r="B299" s="453">
        <f>SUMIF('Final Calculation Sheet'!$G$4:$G$1000,"KASHYAP TRADING CO",'Final Calculation Sheet'!$AC$4:$AC$1000)</f>
        <v/>
      </c>
    </row>
    <row r="300" outlineLevel="2" ht="15" customHeight="1">
      <c r="A300" s="451" t="inlineStr">
        <is>
          <t xml:space="preserve">         Outstanding (₹)</t>
        </is>
      </c>
      <c r="B300" s="453">
        <f>SUMIF('Final Calculation Sheet'!$G$4:$G$1000,"KASHYAP TRADING CO",'Final Calculation Sheet'!$AD$4:$AD$1000)</f>
        <v/>
      </c>
    </row>
    <row r="301" ht="7" customHeight="1">
      <c r="A301" s="82" t="n"/>
      <c r="B301" s="82" t="n"/>
    </row>
    <row r="302" ht="24" customHeight="1">
      <c r="A302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302" s="296" t="n"/>
    </row>
    <row r="303" outlineLevel="1" ht="20" customHeight="1">
      <c r="A303" s="455">
        <f>"   ▸  LOT "&amp;'Final Calculation Sheet'!$F$27&amp;"   •   "&amp;'Final Calculation Sheet'!$B$27&amp;"   •   MAT. VALUE ₹"&amp;TEXT('Final Calculation Sheet'!$H$27,"#,##0")&amp;"   •   OUTSTANDING ₹"&amp;TEXT('Final Calculation Sheet'!$AD$27,"#,##0")</f>
        <v/>
      </c>
      <c r="B303" s="120" t="n"/>
    </row>
    <row r="304" outlineLevel="2" ht="16" customHeight="1">
      <c r="A304" s="456" t="inlineStr">
        <is>
          <t xml:space="preserve">      ▸ LOT INFORMATION</t>
        </is>
      </c>
      <c r="B304" s="457" t="n"/>
    </row>
    <row r="305" outlineLevel="3" ht="15" customHeight="1">
      <c r="A305" s="69" t="inlineStr">
        <is>
          <t xml:space="preserve">            Lot No.</t>
        </is>
      </c>
      <c r="B305" s="70">
        <f>IF('Final Calculation Sheet'!$F$27="","",'Final Calculation Sheet'!$F$27)</f>
        <v/>
      </c>
    </row>
    <row r="306" outlineLevel="3" ht="15" customHeight="1">
      <c r="A306" s="69" t="inlineStr">
        <is>
          <t xml:space="preserve">            Lot Name</t>
        </is>
      </c>
      <c r="B306" s="76">
        <f>IF('Final Calculation Sheet'!$B$27="","",'Final Calculation Sheet'!$B$27)</f>
        <v/>
      </c>
    </row>
    <row r="307" outlineLevel="3" ht="15" customHeight="1">
      <c r="A307" s="69" t="inlineStr">
        <is>
          <t xml:space="preserve">            Bid Sheet / Auction</t>
        </is>
      </c>
      <c r="B307" s="70">
        <f>IF('Final Calculation Sheet'!$D$27="","",'Final Calculation Sheet'!$D$27)</f>
        <v/>
      </c>
    </row>
    <row r="308" outlineLevel="3" ht="15" customHeight="1">
      <c r="A308" s="69" t="inlineStr">
        <is>
          <t xml:space="preserve">            Quantity</t>
        </is>
      </c>
      <c r="B308" s="74">
        <f>IF('Final Calculation Sheet'!$A$27="","",'Final Calculation Sheet'!$A$27)</f>
        <v/>
      </c>
    </row>
    <row r="309" outlineLevel="3" ht="15" customHeight="1">
      <c r="A309" s="69" t="inlineStr">
        <is>
          <t xml:space="preserve">            Unit</t>
        </is>
      </c>
      <c r="B309" s="76">
        <f>IF('Final Calculation Sheet'!$E$27="","",'Final Calculation Sheet'!$E$27)</f>
        <v/>
      </c>
    </row>
    <row r="310" outlineLevel="3" ht="15" customHeight="1">
      <c r="A310" s="69" t="inlineStr">
        <is>
          <t xml:space="preserve">            Rate (₹)</t>
        </is>
      </c>
      <c r="B310" s="70">
        <f>IF('Final Calculation Sheet'!$C$27="","",'Final Calculation Sheet'!$C$27)</f>
        <v/>
      </c>
    </row>
    <row r="311" outlineLevel="2" ht="16" customHeight="1">
      <c r="A311" s="456" t="inlineStr">
        <is>
          <t xml:space="preserve">      ▸ FINANCIALS</t>
        </is>
      </c>
      <c r="B311" s="457" t="n"/>
    </row>
    <row r="312" outlineLevel="3" ht="15" customHeight="1">
      <c r="A312" s="69" t="inlineStr">
        <is>
          <t xml:space="preserve">            Mat. Value (₹)</t>
        </is>
      </c>
      <c r="B312" s="70">
        <f>IF('Final Calculation Sheet'!$H$27="","",'Final Calculation Sheet'!$H$27)</f>
        <v/>
      </c>
    </row>
    <row r="313" outlineLevel="3" ht="15" customHeight="1">
      <c r="A313" s="69" t="inlineStr">
        <is>
          <t xml:space="preserve">            GST @ 18% (₹)</t>
        </is>
      </c>
      <c r="B313" s="70">
        <f>IF('Final Calculation Sheet'!$I$27="","",'Final Calculation Sheet'!$I$27)</f>
        <v/>
      </c>
    </row>
    <row r="314" outlineLevel="3" ht="15" customHeight="1">
      <c r="A314" s="69" t="inlineStr">
        <is>
          <t xml:space="preserve">            Mat. Value + GST (₹)</t>
        </is>
      </c>
      <c r="B314" s="70">
        <f>IF('Final Calculation Sheet'!$J$27="","",'Final Calculation Sheet'!$J$27)</f>
        <v/>
      </c>
    </row>
    <row r="315" outlineLevel="3" ht="15" customHeight="1">
      <c r="A315" s="69" t="inlineStr">
        <is>
          <t xml:space="preserve">            TCS @ 2% (₹)</t>
        </is>
      </c>
      <c r="B315" s="70">
        <f>IF('Final Calculation Sheet'!$K$27="","",'Final Calculation Sheet'!$K$27)</f>
        <v/>
      </c>
    </row>
    <row r="316" outlineLevel="3" ht="15" customHeight="1">
      <c r="A316" s="69" t="inlineStr">
        <is>
          <t xml:space="preserve">            TDS u/s 194(O) (₹)</t>
        </is>
      </c>
      <c r="B316" s="78">
        <f>IF('Final Calculation Sheet'!$L$27="","",'Final Calculation Sheet'!$L$27)</f>
        <v/>
      </c>
    </row>
    <row r="317" outlineLevel="3" ht="15" customHeight="1">
      <c r="A317" s="69" t="inlineStr">
        <is>
          <t xml:space="preserve">            Service Charge gross (₹)</t>
        </is>
      </c>
      <c r="B317" s="78">
        <f>IF('Final Calculation Sheet'!$M$27="","",'Final Calculation Sheet'!$M$27)</f>
        <v/>
      </c>
    </row>
    <row r="318" outlineLevel="3" ht="15" customHeight="1">
      <c r="A318" s="69" t="inlineStr">
        <is>
          <t xml:space="preserve">            TDS u/s 194(H) (₹)</t>
        </is>
      </c>
      <c r="B318" s="78">
        <f>IF('Final Calculation Sheet'!$N$27="","",'Final Calculation Sheet'!$N$27)</f>
        <v/>
      </c>
    </row>
    <row r="319" outlineLevel="3" ht="15" customHeight="1">
      <c r="A319" s="69" t="inlineStr">
        <is>
          <t xml:space="preserve">            Net Service Charge (₹)</t>
        </is>
      </c>
      <c r="B319" s="78">
        <f>IF('Final Calculation Sheet'!$O$27="","",'Final Calculation Sheet'!$O$27)</f>
        <v/>
      </c>
    </row>
    <row r="320" outlineLevel="3" ht="15" customHeight="1">
      <c r="A320" s="69" t="inlineStr">
        <is>
          <t xml:space="preserve">            Svc Charge to MSTC (₹)</t>
        </is>
      </c>
      <c r="B320" s="70">
        <f>IF('Final Calculation Sheet'!$P$27="","",'Final Calculation Sheet'!$P$27)</f>
        <v/>
      </c>
    </row>
    <row r="321" outlineLevel="3" ht="15" customHeight="1">
      <c r="A321" s="69" t="inlineStr">
        <is>
          <t xml:space="preserve">            GST TDS Rate</t>
        </is>
      </c>
      <c r="B321" s="80">
        <f>IF('Final Calculation Sheet'!$Q$27="","",'Final Calculation Sheet'!$Q$27)</f>
        <v/>
      </c>
    </row>
    <row r="322" outlineLevel="3" ht="15" customHeight="1">
      <c r="A322" s="69" t="inlineStr">
        <is>
          <t xml:space="preserve">            GST TDS (₹)</t>
        </is>
      </c>
      <c r="B322" s="70">
        <f>IF('Final Calculation Sheet'!$R$27="","",'Final Calculation Sheet'!$R$27)</f>
        <v/>
      </c>
    </row>
    <row r="323" outlineLevel="3" ht="15" customHeight="1">
      <c r="A323" s="69" t="inlineStr">
        <is>
          <t xml:space="preserve">            Total Receivables (₹)</t>
        </is>
      </c>
      <c r="B323" s="70">
        <f>IF('Final Calculation Sheet'!$S$27="","",'Final Calculation Sheet'!$S$27)</f>
        <v/>
      </c>
    </row>
    <row r="324" outlineLevel="2" ht="16" customHeight="1">
      <c r="A324" s="456" t="inlineStr">
        <is>
          <t xml:space="preserve">      ▸ SECURITY DEPOSIT</t>
        </is>
      </c>
      <c r="B324" s="457" t="n"/>
    </row>
    <row r="325" outlineLevel="3" ht="15" customHeight="1">
      <c r="A325" s="69" t="inlineStr">
        <is>
          <t xml:space="preserve">            SD Expected (₹)</t>
        </is>
      </c>
      <c r="B325" s="70">
        <f>IF('Final Calculation Sheet'!$T$27="","",'Final Calculation Sheet'!$T$27)</f>
        <v/>
      </c>
    </row>
    <row r="326" outlineLevel="3" ht="15" customHeight="1">
      <c r="A326" s="69" t="inlineStr">
        <is>
          <t xml:space="preserve">            SD Received (₹)</t>
        </is>
      </c>
      <c r="B326" s="70">
        <f>IF('Final Calculation Sheet'!$U$27="","",'Final Calculation Sheet'!$U$27)</f>
        <v/>
      </c>
    </row>
    <row r="327" outlineLevel="3" ht="15" customHeight="1">
      <c r="A327" s="69" t="inlineStr">
        <is>
          <t xml:space="preserve">            SD Receipt Date</t>
        </is>
      </c>
      <c r="B327" s="76">
        <f>IF('Final Calculation Sheet'!$V$27="","",'Final Calculation Sheet'!$V$27)</f>
        <v/>
      </c>
    </row>
    <row r="328" outlineLevel="2" ht="16" customHeight="1">
      <c r="A328" s="456" t="inlineStr">
        <is>
          <t xml:space="preserve">      ▸ FINAL PAYMENT</t>
        </is>
      </c>
      <c r="B328" s="457" t="n"/>
    </row>
    <row r="329" outlineLevel="3" ht="15" customHeight="1">
      <c r="A329" s="69" t="inlineStr">
        <is>
          <t xml:space="preserve">            FP Expected (₹)</t>
        </is>
      </c>
      <c r="B329" s="70">
        <f>IF('Final Calculation Sheet'!$W$27="","",'Final Calculation Sheet'!$W$27)</f>
        <v/>
      </c>
    </row>
    <row r="330" outlineLevel="3" ht="15" customHeight="1">
      <c r="A330" s="69" t="inlineStr">
        <is>
          <t xml:space="preserve">            FP Received (₹)</t>
        </is>
      </c>
      <c r="B330" s="70">
        <f>IF('Final Calculation Sheet'!$X$27="","",'Final Calculation Sheet'!$X$27)</f>
        <v/>
      </c>
    </row>
    <row r="331" outlineLevel="3" ht="15" customHeight="1">
      <c r="A331" s="69" t="inlineStr">
        <is>
          <t xml:space="preserve">            FP Receipt Date</t>
        </is>
      </c>
      <c r="B331" s="76">
        <f>IF('Final Calculation Sheet'!$Y$27="","",'Final Calculation Sheet'!$Y$27)</f>
        <v/>
      </c>
    </row>
    <row r="332" outlineLevel="2" ht="16" customHeight="1">
      <c r="A332" s="456" t="inlineStr">
        <is>
          <t xml:space="preserve">      ▸ LPP</t>
        </is>
      </c>
      <c r="B332" s="457" t="n"/>
    </row>
    <row r="333" outlineLevel="3" ht="15" customHeight="1">
      <c r="A333" s="69" t="inlineStr">
        <is>
          <t xml:space="preserve">            LPP Expected (₹)</t>
        </is>
      </c>
      <c r="B333" s="70">
        <f>IF('Final Calculation Sheet'!$Z$27="","",'Final Calculation Sheet'!$Z$27)</f>
        <v/>
      </c>
    </row>
    <row r="334" outlineLevel="3" ht="15" customHeight="1">
      <c r="A334" s="69" t="inlineStr">
        <is>
          <t xml:space="preserve">            LPP Received (₹)</t>
        </is>
      </c>
      <c r="B334" s="70">
        <f>IF('Final Calculation Sheet'!$AA$27="","",'Final Calculation Sheet'!$AA$27)</f>
        <v/>
      </c>
    </row>
    <row r="335" outlineLevel="3" ht="15" customHeight="1">
      <c r="A335" s="69" t="inlineStr">
        <is>
          <t xml:space="preserve">            LPP Receipt Date</t>
        </is>
      </c>
      <c r="B335" s="76">
        <f>IF('Final Calculation Sheet'!$AB$27="","",'Final Calculation Sheet'!$AB$27)</f>
        <v/>
      </c>
    </row>
    <row r="336" outlineLevel="2" ht="16" customHeight="1">
      <c r="A336" s="456" t="inlineStr">
        <is>
          <t xml:space="preserve">      ▸ SUMMARY</t>
        </is>
      </c>
      <c r="B336" s="457" t="n"/>
    </row>
    <row r="337" outlineLevel="3" ht="15" customHeight="1">
      <c r="A337" s="69" t="inlineStr">
        <is>
          <t xml:space="preserve">            Total Received (₹)</t>
        </is>
      </c>
      <c r="B337" s="70">
        <f>IF('Final Calculation Sheet'!$AC$27="","",'Final Calculation Sheet'!$AC$27)</f>
        <v/>
      </c>
    </row>
    <row r="338" outlineLevel="3" ht="15" customHeight="1">
      <c r="A338" s="69" t="inlineStr">
        <is>
          <t xml:space="preserve">            Outstanding (₹)</t>
        </is>
      </c>
      <c r="B338" s="70">
        <f>IF('Final Calculation Sheet'!$AD$27="","",'Final Calculation Sheet'!$AD$27)</f>
        <v/>
      </c>
    </row>
    <row r="339" outlineLevel="3" ht="15" customHeight="1">
      <c r="A339" s="69" t="inlineStr">
        <is>
          <t xml:space="preserve">            Payment Status</t>
        </is>
      </c>
      <c r="B339" s="81">
        <f>IF('Final Calculation Sheet'!$AD$27="","",IF('Final Calculation Sheet'!$AD$27&lt;=0,"SETTLED","OUTSTANDING"))</f>
        <v/>
      </c>
    </row>
    <row r="340" outlineLevel="2" ht="16" customHeight="1">
      <c r="A340" s="456" t="inlineStr">
        <is>
          <t xml:space="preserve">      ▸ DOCUMENT</t>
        </is>
      </c>
      <c r="B340" s="457" t="n"/>
    </row>
    <row r="341" outlineLevel="3" ht="15" customHeight="1">
      <c r="A341" s="69" t="inlineStr">
        <is>
          <t xml:space="preserve">            Invoice No.</t>
        </is>
      </c>
      <c r="B341" s="76">
        <f>IF('Final Calculation Sheet'!$AE$27="","",'Final Calculation Sheet'!$AE$27)</f>
        <v/>
      </c>
    </row>
    <row r="342" outlineLevel="3" ht="15" customHeight="1">
      <c r="A342" s="69" t="inlineStr">
        <is>
          <t xml:space="preserve">            SAP Document</t>
        </is>
      </c>
      <c r="B342" s="70">
        <f>IF('Final Calculation Sheet'!$AF$27="","",'Final Calculation Sheet'!$AF$27)</f>
        <v/>
      </c>
    </row>
    <row r="343" outlineLevel="3" ht="15" customHeight="1">
      <c r="A343" s="69" t="inlineStr">
        <is>
          <t xml:space="preserve">            Doc./Invoice Date</t>
        </is>
      </c>
      <c r="B343" s="76">
        <f>IF('Final Calculation Sheet'!$AG$27="","",'Final Calculation Sheet'!$AG$27)</f>
        <v/>
      </c>
    </row>
    <row r="344" outlineLevel="1" ht="20" customHeight="1">
      <c r="A344" s="458" t="inlineStr">
        <is>
          <t xml:space="preserve">   ∑  M I SCRAP TRADERS — TOTALS (all its lots)</t>
        </is>
      </c>
      <c r="B344" s="296" t="n"/>
    </row>
    <row r="345" outlineLevel="2" ht="15" customHeight="1">
      <c r="A345" s="459" t="inlineStr">
        <is>
          <t xml:space="preserve">         Quantity</t>
        </is>
      </c>
      <c r="B345" s="460">
        <f>SUMIF('Final Calculation Sheet'!$G$4:$G$1000,"M I SCRAP TRADERS",'Final Calculation Sheet'!$A$4:$A$1000)</f>
        <v/>
      </c>
    </row>
    <row r="346" outlineLevel="2" ht="15" customHeight="1">
      <c r="A346" s="459" t="inlineStr">
        <is>
          <t xml:space="preserve">         Mat. Value (₹)</t>
        </is>
      </c>
      <c r="B346" s="213">
        <f>SUMIF('Final Calculation Sheet'!$G$4:$G$1000,"M I SCRAP TRADERS",'Final Calculation Sheet'!$H$4:$H$1000)</f>
        <v/>
      </c>
    </row>
    <row r="347" outlineLevel="2" ht="15" customHeight="1">
      <c r="A347" s="459" t="inlineStr">
        <is>
          <t xml:space="preserve">         GST @ 18% (₹)</t>
        </is>
      </c>
      <c r="B347" s="213">
        <f>SUMIF('Final Calculation Sheet'!$G$4:$G$1000,"M I SCRAP TRADERS",'Final Calculation Sheet'!$I$4:$I$1000)</f>
        <v/>
      </c>
    </row>
    <row r="348" outlineLevel="2" ht="15" customHeight="1">
      <c r="A348" s="459" t="inlineStr">
        <is>
          <t xml:space="preserve">         Mat. Value + GST (₹)</t>
        </is>
      </c>
      <c r="B348" s="213">
        <f>SUMIF('Final Calculation Sheet'!$G$4:$G$1000,"M I SCRAP TRADERS",'Final Calculation Sheet'!$J$4:$J$1000)</f>
        <v/>
      </c>
    </row>
    <row r="349" outlineLevel="2" ht="15" customHeight="1">
      <c r="A349" s="459" t="inlineStr">
        <is>
          <t xml:space="preserve">         TCS @ 2% (₹)</t>
        </is>
      </c>
      <c r="B349" s="213">
        <f>SUMIF('Final Calculation Sheet'!$G$4:$G$1000,"M I SCRAP TRADERS",'Final Calculation Sheet'!$K$4:$K$1000)</f>
        <v/>
      </c>
    </row>
    <row r="350" outlineLevel="2" ht="15" customHeight="1">
      <c r="A350" s="459" t="inlineStr">
        <is>
          <t xml:space="preserve">         TDS u/s 194(O) (₹)</t>
        </is>
      </c>
      <c r="B350" s="461">
        <f>SUMIF('Final Calculation Sheet'!$G$4:$G$1000,"M I SCRAP TRADERS",'Final Calculation Sheet'!$L$4:$L$1000)</f>
        <v/>
      </c>
    </row>
    <row r="351" outlineLevel="2" ht="15" customHeight="1">
      <c r="A351" s="459" t="inlineStr">
        <is>
          <t xml:space="preserve">         Service Charge gross (₹)</t>
        </is>
      </c>
      <c r="B351" s="461">
        <f>SUMIF('Final Calculation Sheet'!$G$4:$G$1000,"M I SCRAP TRADERS",'Final Calculation Sheet'!$M$4:$M$1000)</f>
        <v/>
      </c>
    </row>
    <row r="352" outlineLevel="2" ht="15" customHeight="1">
      <c r="A352" s="459" t="inlineStr">
        <is>
          <t xml:space="preserve">         TDS u/s 194(H) (₹)</t>
        </is>
      </c>
      <c r="B352" s="461">
        <f>SUMIF('Final Calculation Sheet'!$G$4:$G$1000,"M I SCRAP TRADERS",'Final Calculation Sheet'!$N$4:$N$1000)</f>
        <v/>
      </c>
    </row>
    <row r="353" outlineLevel="2" ht="15" customHeight="1">
      <c r="A353" s="459" t="inlineStr">
        <is>
          <t xml:space="preserve">         Net Service Charge (₹)</t>
        </is>
      </c>
      <c r="B353" s="461">
        <f>SUMIF('Final Calculation Sheet'!$G$4:$G$1000,"M I SCRAP TRADERS",'Final Calculation Sheet'!$O$4:$O$1000)</f>
        <v/>
      </c>
    </row>
    <row r="354" outlineLevel="2" ht="15" customHeight="1">
      <c r="A354" s="459" t="inlineStr">
        <is>
          <t xml:space="preserve">         Svc Charge to MSTC (₹)</t>
        </is>
      </c>
      <c r="B354" s="213">
        <f>SUMIF('Final Calculation Sheet'!$G$4:$G$1000,"M I SCRAP TRADERS",'Final Calculation Sheet'!$P$4:$P$1000)</f>
        <v/>
      </c>
    </row>
    <row r="355" outlineLevel="2" ht="15" customHeight="1">
      <c r="A355" s="459" t="inlineStr">
        <is>
          <t xml:space="preserve">         GST TDS (₹)</t>
        </is>
      </c>
      <c r="B355" s="213">
        <f>SUMIF('Final Calculation Sheet'!$G$4:$G$1000,"M I SCRAP TRADERS",'Final Calculation Sheet'!$R$4:$R$1000)</f>
        <v/>
      </c>
    </row>
    <row r="356" outlineLevel="2" ht="15" customHeight="1">
      <c r="A356" s="459" t="inlineStr">
        <is>
          <t xml:space="preserve">         Total Receivables (₹)</t>
        </is>
      </c>
      <c r="B356" s="213">
        <f>SUMIF('Final Calculation Sheet'!$G$4:$G$1000,"M I SCRAP TRADERS",'Final Calculation Sheet'!$S$4:$S$1000)</f>
        <v/>
      </c>
    </row>
    <row r="357" outlineLevel="2" ht="15" customHeight="1">
      <c r="A357" s="459" t="inlineStr">
        <is>
          <t xml:space="preserve">         SD Expected (₹)</t>
        </is>
      </c>
      <c r="B357" s="213">
        <f>SUMIF('Final Calculation Sheet'!$G$4:$G$1000,"M I SCRAP TRADERS",'Final Calculation Sheet'!$T$4:$T$1000)</f>
        <v/>
      </c>
    </row>
    <row r="358" outlineLevel="2" ht="15" customHeight="1">
      <c r="A358" s="459" t="inlineStr">
        <is>
          <t xml:space="preserve">         SD Received (₹)</t>
        </is>
      </c>
      <c r="B358" s="213">
        <f>SUMIF('Final Calculation Sheet'!$G$4:$G$1000,"M I SCRAP TRADERS",'Final Calculation Sheet'!$U$4:$U$1000)</f>
        <v/>
      </c>
    </row>
    <row r="359" outlineLevel="2" ht="15" customHeight="1">
      <c r="A359" s="459" t="inlineStr">
        <is>
          <t xml:space="preserve">         FP Expected (₹)</t>
        </is>
      </c>
      <c r="B359" s="213">
        <f>SUMIF('Final Calculation Sheet'!$G$4:$G$1000,"M I SCRAP TRADERS",'Final Calculation Sheet'!$W$4:$W$1000)</f>
        <v/>
      </c>
    </row>
    <row r="360" outlineLevel="2" ht="15" customHeight="1">
      <c r="A360" s="459" t="inlineStr">
        <is>
          <t xml:space="preserve">         FP Received (₹)</t>
        </is>
      </c>
      <c r="B360" s="213">
        <f>SUMIF('Final Calculation Sheet'!$G$4:$G$1000,"M I SCRAP TRADERS",'Final Calculation Sheet'!$X$4:$X$1000)</f>
        <v/>
      </c>
    </row>
    <row r="361" outlineLevel="2" ht="15" customHeight="1">
      <c r="A361" s="459" t="inlineStr">
        <is>
          <t xml:space="preserve">         LPP Expected (₹)</t>
        </is>
      </c>
      <c r="B361" s="213">
        <f>SUMIF('Final Calculation Sheet'!$G$4:$G$1000,"M I SCRAP TRADERS",'Final Calculation Sheet'!$Z$4:$Z$1000)</f>
        <v/>
      </c>
    </row>
    <row r="362" outlineLevel="2" ht="15" customHeight="1">
      <c r="A362" s="459" t="inlineStr">
        <is>
          <t xml:space="preserve">         LPP Received (₹)</t>
        </is>
      </c>
      <c r="B362" s="213">
        <f>SUMIF('Final Calculation Sheet'!$G$4:$G$1000,"M I SCRAP TRADERS",'Final Calculation Sheet'!$AA$4:$AA$1000)</f>
        <v/>
      </c>
    </row>
    <row r="363" outlineLevel="2" ht="15" customHeight="1">
      <c r="A363" s="459" t="inlineStr">
        <is>
          <t xml:space="preserve">         Total Received (₹)</t>
        </is>
      </c>
      <c r="B363" s="213">
        <f>SUMIF('Final Calculation Sheet'!$G$4:$G$1000,"M I SCRAP TRADERS",'Final Calculation Sheet'!$AC$4:$AC$1000)</f>
        <v/>
      </c>
    </row>
    <row r="364" outlineLevel="2" ht="15" customHeight="1">
      <c r="A364" s="459" t="inlineStr">
        <is>
          <t xml:space="preserve">         Outstanding (₹)</t>
        </is>
      </c>
      <c r="B364" s="213">
        <f>SUMIF('Final Calculation Sheet'!$G$4:$G$1000,"M I SCRAP TRADERS",'Final Calculation Sheet'!$AD$4:$AD$1000)</f>
        <v/>
      </c>
    </row>
    <row r="365" ht="7" customHeight="1">
      <c r="A365" s="82" t="n"/>
      <c r="B365" s="82" t="n"/>
    </row>
    <row r="366" ht="24" customHeight="1">
      <c r="A366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366" s="308" t="n"/>
    </row>
    <row r="367" outlineLevel="1" ht="20" customHeight="1">
      <c r="A367" s="462">
        <f>"   ▸  LOT "&amp;'Final Calculation Sheet'!$F$5&amp;"   •   "&amp;'Final Calculation Sheet'!$B$5&amp;"   •   MAT. VALUE ₹"&amp;TEXT('Final Calculation Sheet'!$H$5,"#,##0")&amp;"   •   OUTSTANDING ₹"&amp;TEXT('Final Calculation Sheet'!$AD$5,"#,##0")</f>
        <v/>
      </c>
      <c r="B367" s="130" t="n"/>
    </row>
    <row r="368" outlineLevel="2" ht="16" customHeight="1">
      <c r="A368" s="463" t="inlineStr">
        <is>
          <t xml:space="preserve">      ▸ LOT INFORMATION</t>
        </is>
      </c>
      <c r="B368" s="464" t="n"/>
    </row>
    <row r="369" outlineLevel="3" ht="15" customHeight="1">
      <c r="A369" s="69" t="inlineStr">
        <is>
          <t xml:space="preserve">            Lot No.</t>
        </is>
      </c>
      <c r="B369" s="70">
        <f>IF('Final Calculation Sheet'!$F$5="","",'Final Calculation Sheet'!$F$5)</f>
        <v/>
      </c>
    </row>
    <row r="370" outlineLevel="3" ht="15" customHeight="1">
      <c r="A370" s="69" t="inlineStr">
        <is>
          <t xml:space="preserve">            Lot Name</t>
        </is>
      </c>
      <c r="B370" s="76">
        <f>IF('Final Calculation Sheet'!$B$5="","",'Final Calculation Sheet'!$B$5)</f>
        <v/>
      </c>
    </row>
    <row r="371" outlineLevel="3" ht="15" customHeight="1">
      <c r="A371" s="69" t="inlineStr">
        <is>
          <t xml:space="preserve">            Bid Sheet / Auction</t>
        </is>
      </c>
      <c r="B371" s="70">
        <f>IF('Final Calculation Sheet'!$D$5="","",'Final Calculation Sheet'!$D$5)</f>
        <v/>
      </c>
    </row>
    <row r="372" outlineLevel="3" ht="15" customHeight="1">
      <c r="A372" s="69" t="inlineStr">
        <is>
          <t xml:space="preserve">            Quantity</t>
        </is>
      </c>
      <c r="B372" s="74">
        <f>IF('Final Calculation Sheet'!$A$5="","",'Final Calculation Sheet'!$A$5)</f>
        <v/>
      </c>
    </row>
    <row r="373" outlineLevel="3" ht="15" customHeight="1">
      <c r="A373" s="69" t="inlineStr">
        <is>
          <t xml:space="preserve">            Unit</t>
        </is>
      </c>
      <c r="B373" s="76">
        <f>IF('Final Calculation Sheet'!$E$5="","",'Final Calculation Sheet'!$E$5)</f>
        <v/>
      </c>
    </row>
    <row r="374" outlineLevel="3" ht="15" customHeight="1">
      <c r="A374" s="69" t="inlineStr">
        <is>
          <t xml:space="preserve">            Rate (₹)</t>
        </is>
      </c>
      <c r="B374" s="70">
        <f>IF('Final Calculation Sheet'!$C$5="","",'Final Calculation Sheet'!$C$5)</f>
        <v/>
      </c>
    </row>
    <row r="375" outlineLevel="2" ht="16" customHeight="1">
      <c r="A375" s="463" t="inlineStr">
        <is>
          <t xml:space="preserve">      ▸ FINANCIALS</t>
        </is>
      </c>
      <c r="B375" s="464" t="n"/>
    </row>
    <row r="376" outlineLevel="3" ht="15" customHeight="1">
      <c r="A376" s="69" t="inlineStr">
        <is>
          <t xml:space="preserve">            Mat. Value (₹)</t>
        </is>
      </c>
      <c r="B376" s="70">
        <f>IF('Final Calculation Sheet'!$H$5="","",'Final Calculation Sheet'!$H$5)</f>
        <v/>
      </c>
    </row>
    <row r="377" outlineLevel="3" ht="15" customHeight="1">
      <c r="A377" s="69" t="inlineStr">
        <is>
          <t xml:space="preserve">            GST @ 18% (₹)</t>
        </is>
      </c>
      <c r="B377" s="70">
        <f>IF('Final Calculation Sheet'!$I$5="","",'Final Calculation Sheet'!$I$5)</f>
        <v/>
      </c>
    </row>
    <row r="378" outlineLevel="3" ht="15" customHeight="1">
      <c r="A378" s="69" t="inlineStr">
        <is>
          <t xml:space="preserve">            Mat. Value + GST (₹)</t>
        </is>
      </c>
      <c r="B378" s="70">
        <f>IF('Final Calculation Sheet'!$J$5="","",'Final Calculation Sheet'!$J$5)</f>
        <v/>
      </c>
    </row>
    <row r="379" outlineLevel="3" ht="15" customHeight="1">
      <c r="A379" s="69" t="inlineStr">
        <is>
          <t xml:space="preserve">            TCS @ 2% (₹)</t>
        </is>
      </c>
      <c r="B379" s="70">
        <f>IF('Final Calculation Sheet'!$K$5="","",'Final Calculation Sheet'!$K$5)</f>
        <v/>
      </c>
    </row>
    <row r="380" outlineLevel="3" ht="15" customHeight="1">
      <c r="A380" s="69" t="inlineStr">
        <is>
          <t xml:space="preserve">            TDS u/s 194(O) (₹)</t>
        </is>
      </c>
      <c r="B380" s="78">
        <f>IF('Final Calculation Sheet'!$L$5="","",'Final Calculation Sheet'!$L$5)</f>
        <v/>
      </c>
    </row>
    <row r="381" outlineLevel="3" ht="15" customHeight="1">
      <c r="A381" s="69" t="inlineStr">
        <is>
          <t xml:space="preserve">            Service Charge gross (₹)</t>
        </is>
      </c>
      <c r="B381" s="78">
        <f>IF('Final Calculation Sheet'!$M$5="","",'Final Calculation Sheet'!$M$5)</f>
        <v/>
      </c>
    </row>
    <row r="382" outlineLevel="3" ht="15" customHeight="1">
      <c r="A382" s="69" t="inlineStr">
        <is>
          <t xml:space="preserve">            TDS u/s 194(H) (₹)</t>
        </is>
      </c>
      <c r="B382" s="78">
        <f>IF('Final Calculation Sheet'!$N$5="","",'Final Calculation Sheet'!$N$5)</f>
        <v/>
      </c>
    </row>
    <row r="383" outlineLevel="3" ht="15" customHeight="1">
      <c r="A383" s="69" t="inlineStr">
        <is>
          <t xml:space="preserve">            Net Service Charge (₹)</t>
        </is>
      </c>
      <c r="B383" s="78">
        <f>IF('Final Calculation Sheet'!$O$5="","",'Final Calculation Sheet'!$O$5)</f>
        <v/>
      </c>
    </row>
    <row r="384" outlineLevel="3" ht="15" customHeight="1">
      <c r="A384" s="69" t="inlineStr">
        <is>
          <t xml:space="preserve">            Svc Charge to MSTC (₹)</t>
        </is>
      </c>
      <c r="B384" s="70">
        <f>IF('Final Calculation Sheet'!$P$5="","",'Final Calculation Sheet'!$P$5)</f>
        <v/>
      </c>
    </row>
    <row r="385" outlineLevel="3" ht="15" customHeight="1">
      <c r="A385" s="69" t="inlineStr">
        <is>
          <t xml:space="preserve">            GST TDS Rate</t>
        </is>
      </c>
      <c r="B385" s="80">
        <f>IF('Final Calculation Sheet'!$Q$5="","",'Final Calculation Sheet'!$Q$5)</f>
        <v/>
      </c>
    </row>
    <row r="386" outlineLevel="3" ht="15" customHeight="1">
      <c r="A386" s="69" t="inlineStr">
        <is>
          <t xml:space="preserve">            GST TDS (₹)</t>
        </is>
      </c>
      <c r="B386" s="70">
        <f>IF('Final Calculation Sheet'!$R$5="","",'Final Calculation Sheet'!$R$5)</f>
        <v/>
      </c>
    </row>
    <row r="387" outlineLevel="3" ht="15" customHeight="1">
      <c r="A387" s="69" t="inlineStr">
        <is>
          <t xml:space="preserve">            Total Receivables (₹)</t>
        </is>
      </c>
      <c r="B387" s="70">
        <f>IF('Final Calculation Sheet'!$S$5="","",'Final Calculation Sheet'!$S$5)</f>
        <v/>
      </c>
    </row>
    <row r="388" outlineLevel="2" ht="16" customHeight="1">
      <c r="A388" s="463" t="inlineStr">
        <is>
          <t xml:space="preserve">      ▸ SECURITY DEPOSIT</t>
        </is>
      </c>
      <c r="B388" s="464" t="n"/>
    </row>
    <row r="389" outlineLevel="3" ht="15" customHeight="1">
      <c r="A389" s="69" t="inlineStr">
        <is>
          <t xml:space="preserve">            SD Expected (₹)</t>
        </is>
      </c>
      <c r="B389" s="70">
        <f>IF('Final Calculation Sheet'!$T$5="","",'Final Calculation Sheet'!$T$5)</f>
        <v/>
      </c>
    </row>
    <row r="390" outlineLevel="3" ht="15" customHeight="1">
      <c r="A390" s="69" t="inlineStr">
        <is>
          <t xml:space="preserve">            SD Received (₹)</t>
        </is>
      </c>
      <c r="B390" s="70">
        <f>IF('Final Calculation Sheet'!$U$5="","",'Final Calculation Sheet'!$U$5)</f>
        <v/>
      </c>
    </row>
    <row r="391" outlineLevel="3" ht="15" customHeight="1">
      <c r="A391" s="69" t="inlineStr">
        <is>
          <t xml:space="preserve">            SD Receipt Date</t>
        </is>
      </c>
      <c r="B391" s="76">
        <f>IF('Final Calculation Sheet'!$V$5="","",'Final Calculation Sheet'!$V$5)</f>
        <v/>
      </c>
    </row>
    <row r="392" outlineLevel="2" ht="16" customHeight="1">
      <c r="A392" s="463" t="inlineStr">
        <is>
          <t xml:space="preserve">      ▸ FINAL PAYMENT</t>
        </is>
      </c>
      <c r="B392" s="464" t="n"/>
    </row>
    <row r="393" outlineLevel="3" ht="15" customHeight="1">
      <c r="A393" s="69" t="inlineStr">
        <is>
          <t xml:space="preserve">            FP Expected (₹)</t>
        </is>
      </c>
      <c r="B393" s="70">
        <f>IF('Final Calculation Sheet'!$W$5="","",'Final Calculation Sheet'!$W$5)</f>
        <v/>
      </c>
    </row>
    <row r="394" outlineLevel="3" ht="15" customHeight="1">
      <c r="A394" s="69" t="inlineStr">
        <is>
          <t xml:space="preserve">            FP Received (₹)</t>
        </is>
      </c>
      <c r="B394" s="70">
        <f>IF('Final Calculation Sheet'!$X$5="","",'Final Calculation Sheet'!$X$5)</f>
        <v/>
      </c>
    </row>
    <row r="395" outlineLevel="3" ht="15" customHeight="1">
      <c r="A395" s="69" t="inlineStr">
        <is>
          <t xml:space="preserve">            FP Receipt Date</t>
        </is>
      </c>
      <c r="B395" s="76">
        <f>IF('Final Calculation Sheet'!$Y$5="","",'Final Calculation Sheet'!$Y$5)</f>
        <v/>
      </c>
    </row>
    <row r="396" outlineLevel="2" ht="16" customHeight="1">
      <c r="A396" s="463" t="inlineStr">
        <is>
          <t xml:space="preserve">      ▸ LPP</t>
        </is>
      </c>
      <c r="B396" s="464" t="n"/>
    </row>
    <row r="397" outlineLevel="3" ht="15" customHeight="1">
      <c r="A397" s="69" t="inlineStr">
        <is>
          <t xml:space="preserve">            LPP Expected (₹)</t>
        </is>
      </c>
      <c r="B397" s="70">
        <f>IF('Final Calculation Sheet'!$Z$5="","",'Final Calculation Sheet'!$Z$5)</f>
        <v/>
      </c>
    </row>
    <row r="398" outlineLevel="3" ht="15" customHeight="1">
      <c r="A398" s="69" t="inlineStr">
        <is>
          <t xml:space="preserve">            LPP Received (₹)</t>
        </is>
      </c>
      <c r="B398" s="70">
        <f>IF('Final Calculation Sheet'!$AA$5="","",'Final Calculation Sheet'!$AA$5)</f>
        <v/>
      </c>
    </row>
    <row r="399" outlineLevel="3" ht="15" customHeight="1">
      <c r="A399" s="69" t="inlineStr">
        <is>
          <t xml:space="preserve">            LPP Receipt Date</t>
        </is>
      </c>
      <c r="B399" s="76">
        <f>IF('Final Calculation Sheet'!$AB$5="","",'Final Calculation Sheet'!$AB$5)</f>
        <v/>
      </c>
    </row>
    <row r="400" outlineLevel="2" ht="16" customHeight="1">
      <c r="A400" s="463" t="inlineStr">
        <is>
          <t xml:space="preserve">      ▸ SUMMARY</t>
        </is>
      </c>
      <c r="B400" s="464" t="n"/>
    </row>
    <row r="401" outlineLevel="3" ht="15" customHeight="1">
      <c r="A401" s="69" t="inlineStr">
        <is>
          <t xml:space="preserve">            Total Received (₹)</t>
        </is>
      </c>
      <c r="B401" s="70">
        <f>IF('Final Calculation Sheet'!$AC$5="","",'Final Calculation Sheet'!$AC$5)</f>
        <v/>
      </c>
    </row>
    <row r="402" outlineLevel="3" ht="15" customHeight="1">
      <c r="A402" s="69" t="inlineStr">
        <is>
          <t xml:space="preserve">            Outstanding (₹)</t>
        </is>
      </c>
      <c r="B402" s="70">
        <f>IF('Final Calculation Sheet'!$AD$5="","",'Final Calculation Sheet'!$AD$5)</f>
        <v/>
      </c>
    </row>
    <row r="403" outlineLevel="3" ht="15" customHeight="1">
      <c r="A403" s="69" t="inlineStr">
        <is>
          <t xml:space="preserve">            Payment Status</t>
        </is>
      </c>
      <c r="B403" s="81">
        <f>IF('Final Calculation Sheet'!$AD$5="","",IF('Final Calculation Sheet'!$AD$5&lt;=0,"SETTLED","OUTSTANDING"))</f>
        <v/>
      </c>
    </row>
    <row r="404" outlineLevel="2" ht="16" customHeight="1">
      <c r="A404" s="463" t="inlineStr">
        <is>
          <t xml:space="preserve">      ▸ DOCUMENT</t>
        </is>
      </c>
      <c r="B404" s="464" t="n"/>
    </row>
    <row r="405" outlineLevel="3" ht="15" customHeight="1">
      <c r="A405" s="69" t="inlineStr">
        <is>
          <t xml:space="preserve">            Invoice No.</t>
        </is>
      </c>
      <c r="B405" s="76">
        <f>IF('Final Calculation Sheet'!$AE$5="","",'Final Calculation Sheet'!$AE$5)</f>
        <v/>
      </c>
    </row>
    <row r="406" outlineLevel="3" ht="15" customHeight="1">
      <c r="A406" s="69" t="inlineStr">
        <is>
          <t xml:space="preserve">            SAP Document</t>
        </is>
      </c>
      <c r="B406" s="70">
        <f>IF('Final Calculation Sheet'!$AF$5="","",'Final Calculation Sheet'!$AF$5)</f>
        <v/>
      </c>
    </row>
    <row r="407" outlineLevel="3" ht="15" customHeight="1">
      <c r="A407" s="69" t="inlineStr">
        <is>
          <t xml:space="preserve">            Doc./Invoice Date</t>
        </is>
      </c>
      <c r="B407" s="76">
        <f>IF('Final Calculation Sheet'!$AG$5="","",'Final Calculation Sheet'!$AG$5)</f>
        <v/>
      </c>
    </row>
    <row r="408" outlineLevel="1" ht="20" customHeight="1">
      <c r="A408" s="462">
        <f>"   ▸  LOT "&amp;'Final Calculation Sheet'!$F$10&amp;"   •   "&amp;'Final Calculation Sheet'!$B$10&amp;"   •   MAT. VALUE ₹"&amp;TEXT('Final Calculation Sheet'!$H$10,"#,##0")&amp;"   •   OUTSTANDING ₹"&amp;TEXT('Final Calculation Sheet'!$AD$10,"#,##0")</f>
        <v/>
      </c>
      <c r="B408" s="130" t="n"/>
    </row>
    <row r="409" outlineLevel="2" ht="16" customHeight="1">
      <c r="A409" s="463" t="inlineStr">
        <is>
          <t xml:space="preserve">      ▸ LOT INFORMATION</t>
        </is>
      </c>
      <c r="B409" s="464" t="n"/>
    </row>
    <row r="410" outlineLevel="3" ht="15" customHeight="1">
      <c r="A410" s="69" t="inlineStr">
        <is>
          <t xml:space="preserve">            Lot No.</t>
        </is>
      </c>
      <c r="B410" s="70">
        <f>IF('Final Calculation Sheet'!$F$10="","",'Final Calculation Sheet'!$F$10)</f>
        <v/>
      </c>
    </row>
    <row r="411" outlineLevel="3" ht="15" customHeight="1">
      <c r="A411" s="69" t="inlineStr">
        <is>
          <t xml:space="preserve">            Lot Name</t>
        </is>
      </c>
      <c r="B411" s="76">
        <f>IF('Final Calculation Sheet'!$B$10="","",'Final Calculation Sheet'!$B$10)</f>
        <v/>
      </c>
    </row>
    <row r="412" outlineLevel="3" ht="15" customHeight="1">
      <c r="A412" s="69" t="inlineStr">
        <is>
          <t xml:space="preserve">            Bid Sheet / Auction</t>
        </is>
      </c>
      <c r="B412" s="70">
        <f>IF('Final Calculation Sheet'!$D$10="","",'Final Calculation Sheet'!$D$10)</f>
        <v/>
      </c>
    </row>
    <row r="413" outlineLevel="3" ht="15" customHeight="1">
      <c r="A413" s="69" t="inlineStr">
        <is>
          <t xml:space="preserve">            Quantity</t>
        </is>
      </c>
      <c r="B413" s="74">
        <f>IF('Final Calculation Sheet'!$A$10="","",'Final Calculation Sheet'!$A$10)</f>
        <v/>
      </c>
    </row>
    <row r="414" outlineLevel="3" ht="15" customHeight="1">
      <c r="A414" s="69" t="inlineStr">
        <is>
          <t xml:space="preserve">            Unit</t>
        </is>
      </c>
      <c r="B414" s="76">
        <f>IF('Final Calculation Sheet'!$E$10="","",'Final Calculation Sheet'!$E$10)</f>
        <v/>
      </c>
    </row>
    <row r="415" outlineLevel="3" ht="15" customHeight="1">
      <c r="A415" s="69" t="inlineStr">
        <is>
          <t xml:space="preserve">            Rate (₹)</t>
        </is>
      </c>
      <c r="B415" s="70">
        <f>IF('Final Calculation Sheet'!$C$10="","",'Final Calculation Sheet'!$C$10)</f>
        <v/>
      </c>
    </row>
    <row r="416" outlineLevel="2" ht="16" customHeight="1">
      <c r="A416" s="463" t="inlineStr">
        <is>
          <t xml:space="preserve">      ▸ FINANCIALS</t>
        </is>
      </c>
      <c r="B416" s="464" t="n"/>
    </row>
    <row r="417" outlineLevel="3" ht="15" customHeight="1">
      <c r="A417" s="69" t="inlineStr">
        <is>
          <t xml:space="preserve">            Mat. Value (₹)</t>
        </is>
      </c>
      <c r="B417" s="70">
        <f>IF('Final Calculation Sheet'!$H$10="","",'Final Calculation Sheet'!$H$10)</f>
        <v/>
      </c>
    </row>
    <row r="418" outlineLevel="3" ht="15" customHeight="1">
      <c r="A418" s="69" t="inlineStr">
        <is>
          <t xml:space="preserve">            GST @ 18% (₹)</t>
        </is>
      </c>
      <c r="B418" s="70">
        <f>IF('Final Calculation Sheet'!$I$10="","",'Final Calculation Sheet'!$I$10)</f>
        <v/>
      </c>
    </row>
    <row r="419" outlineLevel="3" ht="15" customHeight="1">
      <c r="A419" s="69" t="inlineStr">
        <is>
          <t xml:space="preserve">            Mat. Value + GST (₹)</t>
        </is>
      </c>
      <c r="B419" s="70">
        <f>IF('Final Calculation Sheet'!$J$10="","",'Final Calculation Sheet'!$J$10)</f>
        <v/>
      </c>
    </row>
    <row r="420" outlineLevel="3" ht="15" customHeight="1">
      <c r="A420" s="69" t="inlineStr">
        <is>
          <t xml:space="preserve">            TCS @ 2% (₹)</t>
        </is>
      </c>
      <c r="B420" s="70">
        <f>IF('Final Calculation Sheet'!$K$10="","",'Final Calculation Sheet'!$K$10)</f>
        <v/>
      </c>
    </row>
    <row r="421" outlineLevel="3" ht="15" customHeight="1">
      <c r="A421" s="69" t="inlineStr">
        <is>
          <t xml:space="preserve">            TDS u/s 194(O) (₹)</t>
        </is>
      </c>
      <c r="B421" s="78">
        <f>IF('Final Calculation Sheet'!$L$10="","",'Final Calculation Sheet'!$L$10)</f>
        <v/>
      </c>
    </row>
    <row r="422" outlineLevel="3" ht="15" customHeight="1">
      <c r="A422" s="69" t="inlineStr">
        <is>
          <t xml:space="preserve">            Service Charge gross (₹)</t>
        </is>
      </c>
      <c r="B422" s="78">
        <f>IF('Final Calculation Sheet'!$M$10="","",'Final Calculation Sheet'!$M$10)</f>
        <v/>
      </c>
    </row>
    <row r="423" outlineLevel="3" ht="15" customHeight="1">
      <c r="A423" s="69" t="inlineStr">
        <is>
          <t xml:space="preserve">            TDS u/s 194(H) (₹)</t>
        </is>
      </c>
      <c r="B423" s="78">
        <f>IF('Final Calculation Sheet'!$N$10="","",'Final Calculation Sheet'!$N$10)</f>
        <v/>
      </c>
    </row>
    <row r="424" outlineLevel="3" ht="15" customHeight="1">
      <c r="A424" s="69" t="inlineStr">
        <is>
          <t xml:space="preserve">            Net Service Charge (₹)</t>
        </is>
      </c>
      <c r="B424" s="78">
        <f>IF('Final Calculation Sheet'!$O$10="","",'Final Calculation Sheet'!$O$10)</f>
        <v/>
      </c>
    </row>
    <row r="425" outlineLevel="3" ht="15" customHeight="1">
      <c r="A425" s="69" t="inlineStr">
        <is>
          <t xml:space="preserve">            Svc Charge to MSTC (₹)</t>
        </is>
      </c>
      <c r="B425" s="70">
        <f>IF('Final Calculation Sheet'!$P$10="","",'Final Calculation Sheet'!$P$10)</f>
        <v/>
      </c>
    </row>
    <row r="426" outlineLevel="3" ht="15" customHeight="1">
      <c r="A426" s="69" t="inlineStr">
        <is>
          <t xml:space="preserve">            GST TDS Rate</t>
        </is>
      </c>
      <c r="B426" s="80">
        <f>IF('Final Calculation Sheet'!$Q$10="","",'Final Calculation Sheet'!$Q$10)</f>
        <v/>
      </c>
    </row>
    <row r="427" outlineLevel="3" ht="15" customHeight="1">
      <c r="A427" s="69" t="inlineStr">
        <is>
          <t xml:space="preserve">            GST TDS (₹)</t>
        </is>
      </c>
      <c r="B427" s="70">
        <f>IF('Final Calculation Sheet'!$R$10="","",'Final Calculation Sheet'!$R$10)</f>
        <v/>
      </c>
    </row>
    <row r="428" outlineLevel="3" ht="15" customHeight="1">
      <c r="A428" s="69" t="inlineStr">
        <is>
          <t xml:space="preserve">            Total Receivables (₹)</t>
        </is>
      </c>
      <c r="B428" s="70">
        <f>IF('Final Calculation Sheet'!$S$10="","",'Final Calculation Sheet'!$S$10)</f>
        <v/>
      </c>
    </row>
    <row r="429" outlineLevel="2" ht="16" customHeight="1">
      <c r="A429" s="463" t="inlineStr">
        <is>
          <t xml:space="preserve">      ▸ SECURITY DEPOSIT</t>
        </is>
      </c>
      <c r="B429" s="464" t="n"/>
    </row>
    <row r="430" outlineLevel="3" ht="15" customHeight="1">
      <c r="A430" s="69" t="inlineStr">
        <is>
          <t xml:space="preserve">            SD Expected (₹)</t>
        </is>
      </c>
      <c r="B430" s="70">
        <f>IF('Final Calculation Sheet'!$T$10="","",'Final Calculation Sheet'!$T$10)</f>
        <v/>
      </c>
    </row>
    <row r="431" outlineLevel="3" ht="15" customHeight="1">
      <c r="A431" s="69" t="inlineStr">
        <is>
          <t xml:space="preserve">            SD Received (₹)</t>
        </is>
      </c>
      <c r="B431" s="70">
        <f>IF('Final Calculation Sheet'!$U$10="","",'Final Calculation Sheet'!$U$10)</f>
        <v/>
      </c>
    </row>
    <row r="432" outlineLevel="3" ht="15" customHeight="1">
      <c r="A432" s="69" t="inlineStr">
        <is>
          <t xml:space="preserve">            SD Receipt Date</t>
        </is>
      </c>
      <c r="B432" s="76">
        <f>IF('Final Calculation Sheet'!$V$10="","",'Final Calculation Sheet'!$V$10)</f>
        <v/>
      </c>
    </row>
    <row r="433" outlineLevel="2" ht="16" customHeight="1">
      <c r="A433" s="463" t="inlineStr">
        <is>
          <t xml:space="preserve">      ▸ FINAL PAYMENT</t>
        </is>
      </c>
      <c r="B433" s="464" t="n"/>
    </row>
    <row r="434" outlineLevel="3" ht="15" customHeight="1">
      <c r="A434" s="69" t="inlineStr">
        <is>
          <t xml:space="preserve">            FP Expected (₹)</t>
        </is>
      </c>
      <c r="B434" s="70">
        <f>IF('Final Calculation Sheet'!$W$10="","",'Final Calculation Sheet'!$W$10)</f>
        <v/>
      </c>
    </row>
    <row r="435" outlineLevel="3" ht="15" customHeight="1">
      <c r="A435" s="69" t="inlineStr">
        <is>
          <t xml:space="preserve">            FP Received (₹)</t>
        </is>
      </c>
      <c r="B435" s="70">
        <f>IF('Final Calculation Sheet'!$X$10="","",'Final Calculation Sheet'!$X$10)</f>
        <v/>
      </c>
    </row>
    <row r="436" outlineLevel="3" ht="15" customHeight="1">
      <c r="A436" s="69" t="inlineStr">
        <is>
          <t xml:space="preserve">            FP Receipt Date</t>
        </is>
      </c>
      <c r="B436" s="76">
        <f>IF('Final Calculation Sheet'!$Y$10="","",'Final Calculation Sheet'!$Y$10)</f>
        <v/>
      </c>
    </row>
    <row r="437" outlineLevel="2" ht="16" customHeight="1">
      <c r="A437" s="463" t="inlineStr">
        <is>
          <t xml:space="preserve">      ▸ LPP</t>
        </is>
      </c>
      <c r="B437" s="464" t="n"/>
    </row>
    <row r="438" outlineLevel="3" ht="15" customHeight="1">
      <c r="A438" s="69" t="inlineStr">
        <is>
          <t xml:space="preserve">            LPP Expected (₹)</t>
        </is>
      </c>
      <c r="B438" s="70">
        <f>IF('Final Calculation Sheet'!$Z$10="","",'Final Calculation Sheet'!$Z$10)</f>
        <v/>
      </c>
    </row>
    <row r="439" outlineLevel="3" ht="15" customHeight="1">
      <c r="A439" s="69" t="inlineStr">
        <is>
          <t xml:space="preserve">            LPP Received (₹)</t>
        </is>
      </c>
      <c r="B439" s="70">
        <f>IF('Final Calculation Sheet'!$AA$10="","",'Final Calculation Sheet'!$AA$10)</f>
        <v/>
      </c>
    </row>
    <row r="440" outlineLevel="3" ht="15" customHeight="1">
      <c r="A440" s="69" t="inlineStr">
        <is>
          <t xml:space="preserve">            LPP Receipt Date</t>
        </is>
      </c>
      <c r="B440" s="76">
        <f>IF('Final Calculation Sheet'!$AB$10="","",'Final Calculation Sheet'!$AB$10)</f>
        <v/>
      </c>
    </row>
    <row r="441" outlineLevel="2" ht="16" customHeight="1">
      <c r="A441" s="463" t="inlineStr">
        <is>
          <t xml:space="preserve">      ▸ SUMMARY</t>
        </is>
      </c>
      <c r="B441" s="464" t="n"/>
    </row>
    <row r="442" outlineLevel="3" ht="15" customHeight="1">
      <c r="A442" s="69" t="inlineStr">
        <is>
          <t xml:space="preserve">            Total Received (₹)</t>
        </is>
      </c>
      <c r="B442" s="70">
        <f>IF('Final Calculation Sheet'!$AC$10="","",'Final Calculation Sheet'!$AC$10)</f>
        <v/>
      </c>
    </row>
    <row r="443" outlineLevel="3" ht="15" customHeight="1">
      <c r="A443" s="69" t="inlineStr">
        <is>
          <t xml:space="preserve">            Outstanding (₹)</t>
        </is>
      </c>
      <c r="B443" s="70">
        <f>IF('Final Calculation Sheet'!$AD$10="","",'Final Calculation Sheet'!$AD$10)</f>
        <v/>
      </c>
    </row>
    <row r="444" outlineLevel="3" ht="15" customHeight="1">
      <c r="A444" s="69" t="inlineStr">
        <is>
          <t xml:space="preserve">            Payment Status</t>
        </is>
      </c>
      <c r="B444" s="81">
        <f>IF('Final Calculation Sheet'!$AD$10="","",IF('Final Calculation Sheet'!$AD$10&lt;=0,"SETTLED","OUTSTANDING"))</f>
        <v/>
      </c>
    </row>
    <row r="445" outlineLevel="2" ht="16" customHeight="1">
      <c r="A445" s="463" t="inlineStr">
        <is>
          <t xml:space="preserve">      ▸ DOCUMENT</t>
        </is>
      </c>
      <c r="B445" s="464" t="n"/>
    </row>
    <row r="446" outlineLevel="3" ht="15" customHeight="1">
      <c r="A446" s="69" t="inlineStr">
        <is>
          <t xml:space="preserve">            Invoice No.</t>
        </is>
      </c>
      <c r="B446" s="76">
        <f>IF('Final Calculation Sheet'!$AE$10="","",'Final Calculation Sheet'!$AE$10)</f>
        <v/>
      </c>
    </row>
    <row r="447" outlineLevel="3" ht="15" customHeight="1">
      <c r="A447" s="69" t="inlineStr">
        <is>
          <t xml:space="preserve">            SAP Document</t>
        </is>
      </c>
      <c r="B447" s="70">
        <f>IF('Final Calculation Sheet'!$AF$10="","",'Final Calculation Sheet'!$AF$10)</f>
        <v/>
      </c>
    </row>
    <row r="448" outlineLevel="3" ht="15" customHeight="1">
      <c r="A448" s="69" t="inlineStr">
        <is>
          <t xml:space="preserve">            Doc./Invoice Date</t>
        </is>
      </c>
      <c r="B448" s="76">
        <f>IF('Final Calculation Sheet'!$AG$10="","",'Final Calculation Sheet'!$AG$10)</f>
        <v/>
      </c>
    </row>
    <row r="449" outlineLevel="1" ht="20" customHeight="1">
      <c r="A449" s="462">
        <f>"   ▸  LOT "&amp;'Final Calculation Sheet'!$F$11&amp;"   •   "&amp;'Final Calculation Sheet'!$B$11&amp;"   •   MAT. VALUE ₹"&amp;TEXT('Final Calculation Sheet'!$H$11,"#,##0")&amp;"   •   OUTSTANDING ₹"&amp;TEXT('Final Calculation Sheet'!$AD$11,"#,##0")</f>
        <v/>
      </c>
      <c r="B449" s="130" t="n"/>
    </row>
    <row r="450" outlineLevel="2" ht="16" customHeight="1">
      <c r="A450" s="463" t="inlineStr">
        <is>
          <t xml:space="preserve">      ▸ LOT INFORMATION</t>
        </is>
      </c>
      <c r="B450" s="464" t="n"/>
    </row>
    <row r="451" outlineLevel="3" ht="15" customHeight="1">
      <c r="A451" s="69" t="inlineStr">
        <is>
          <t xml:space="preserve">            Lot No.</t>
        </is>
      </c>
      <c r="B451" s="70">
        <f>IF('Final Calculation Sheet'!$F$11="","",'Final Calculation Sheet'!$F$11)</f>
        <v/>
      </c>
    </row>
    <row r="452" outlineLevel="3" ht="15" customHeight="1">
      <c r="A452" s="69" t="inlineStr">
        <is>
          <t xml:space="preserve">            Lot Name</t>
        </is>
      </c>
      <c r="B452" s="76">
        <f>IF('Final Calculation Sheet'!$B$11="","",'Final Calculation Sheet'!$B$11)</f>
        <v/>
      </c>
    </row>
    <row r="453" outlineLevel="3" ht="15" customHeight="1">
      <c r="A453" s="69" t="inlineStr">
        <is>
          <t xml:space="preserve">            Bid Sheet / Auction</t>
        </is>
      </c>
      <c r="B453" s="70">
        <f>IF('Final Calculation Sheet'!$D$11="","",'Final Calculation Sheet'!$D$11)</f>
        <v/>
      </c>
    </row>
    <row r="454" outlineLevel="3" ht="15" customHeight="1">
      <c r="A454" s="69" t="inlineStr">
        <is>
          <t xml:space="preserve">            Quantity</t>
        </is>
      </c>
      <c r="B454" s="74">
        <f>IF('Final Calculation Sheet'!$A$11="","",'Final Calculation Sheet'!$A$11)</f>
        <v/>
      </c>
    </row>
    <row r="455" outlineLevel="3" ht="15" customHeight="1">
      <c r="A455" s="69" t="inlineStr">
        <is>
          <t xml:space="preserve">            Unit</t>
        </is>
      </c>
      <c r="B455" s="76">
        <f>IF('Final Calculation Sheet'!$E$11="","",'Final Calculation Sheet'!$E$11)</f>
        <v/>
      </c>
    </row>
    <row r="456" outlineLevel="3" ht="15" customHeight="1">
      <c r="A456" s="69" t="inlineStr">
        <is>
          <t xml:space="preserve">            Rate (₹)</t>
        </is>
      </c>
      <c r="B456" s="70">
        <f>IF('Final Calculation Sheet'!$C$11="","",'Final Calculation Sheet'!$C$11)</f>
        <v/>
      </c>
    </row>
    <row r="457" outlineLevel="2" ht="16" customHeight="1">
      <c r="A457" s="463" t="inlineStr">
        <is>
          <t xml:space="preserve">      ▸ FINANCIALS</t>
        </is>
      </c>
      <c r="B457" s="464" t="n"/>
    </row>
    <row r="458" outlineLevel="3" ht="15" customHeight="1">
      <c r="A458" s="69" t="inlineStr">
        <is>
          <t xml:space="preserve">            Mat. Value (₹)</t>
        </is>
      </c>
      <c r="B458" s="70">
        <f>IF('Final Calculation Sheet'!$H$11="","",'Final Calculation Sheet'!$H$11)</f>
        <v/>
      </c>
    </row>
    <row r="459" outlineLevel="3" ht="15" customHeight="1">
      <c r="A459" s="69" t="inlineStr">
        <is>
          <t xml:space="preserve">            GST @ 18% (₹)</t>
        </is>
      </c>
      <c r="B459" s="70">
        <f>IF('Final Calculation Sheet'!$I$11="","",'Final Calculation Sheet'!$I$11)</f>
        <v/>
      </c>
    </row>
    <row r="460" outlineLevel="3" ht="15" customHeight="1">
      <c r="A460" s="69" t="inlineStr">
        <is>
          <t xml:space="preserve">            Mat. Value + GST (₹)</t>
        </is>
      </c>
      <c r="B460" s="70">
        <f>IF('Final Calculation Sheet'!$J$11="","",'Final Calculation Sheet'!$J$11)</f>
        <v/>
      </c>
    </row>
    <row r="461" outlineLevel="3" ht="15" customHeight="1">
      <c r="A461" s="69" t="inlineStr">
        <is>
          <t xml:space="preserve">            TCS @ 2% (₹)</t>
        </is>
      </c>
      <c r="B461" s="70">
        <f>IF('Final Calculation Sheet'!$K$11="","",'Final Calculation Sheet'!$K$11)</f>
        <v/>
      </c>
    </row>
    <row r="462" outlineLevel="3" ht="15" customHeight="1">
      <c r="A462" s="69" t="inlineStr">
        <is>
          <t xml:space="preserve">            TDS u/s 194(O) (₹)</t>
        </is>
      </c>
      <c r="B462" s="78">
        <f>IF('Final Calculation Sheet'!$L$11="","",'Final Calculation Sheet'!$L$11)</f>
        <v/>
      </c>
    </row>
    <row r="463" outlineLevel="3" ht="15" customHeight="1">
      <c r="A463" s="69" t="inlineStr">
        <is>
          <t xml:space="preserve">            Service Charge gross (₹)</t>
        </is>
      </c>
      <c r="B463" s="78">
        <f>IF('Final Calculation Sheet'!$M$11="","",'Final Calculation Sheet'!$M$11)</f>
        <v/>
      </c>
    </row>
    <row r="464" outlineLevel="3" ht="15" customHeight="1">
      <c r="A464" s="69" t="inlineStr">
        <is>
          <t xml:space="preserve">            TDS u/s 194(H) (₹)</t>
        </is>
      </c>
      <c r="B464" s="78">
        <f>IF('Final Calculation Sheet'!$N$11="","",'Final Calculation Sheet'!$N$11)</f>
        <v/>
      </c>
    </row>
    <row r="465" outlineLevel="3" ht="15" customHeight="1">
      <c r="A465" s="69" t="inlineStr">
        <is>
          <t xml:space="preserve">            Net Service Charge (₹)</t>
        </is>
      </c>
      <c r="B465" s="78">
        <f>IF('Final Calculation Sheet'!$O$11="","",'Final Calculation Sheet'!$O$11)</f>
        <v/>
      </c>
    </row>
    <row r="466" outlineLevel="3" ht="15" customHeight="1">
      <c r="A466" s="69" t="inlineStr">
        <is>
          <t xml:space="preserve">            Svc Charge to MSTC (₹)</t>
        </is>
      </c>
      <c r="B466" s="70">
        <f>IF('Final Calculation Sheet'!$P$11="","",'Final Calculation Sheet'!$P$11)</f>
        <v/>
      </c>
    </row>
    <row r="467" outlineLevel="3" ht="15" customHeight="1">
      <c r="A467" s="69" t="inlineStr">
        <is>
          <t xml:space="preserve">            GST TDS Rate</t>
        </is>
      </c>
      <c r="B467" s="80">
        <f>IF('Final Calculation Sheet'!$Q$11="","",'Final Calculation Sheet'!$Q$11)</f>
        <v/>
      </c>
    </row>
    <row r="468" outlineLevel="3" ht="15" customHeight="1">
      <c r="A468" s="69" t="inlineStr">
        <is>
          <t xml:space="preserve">            GST TDS (₹)</t>
        </is>
      </c>
      <c r="B468" s="70">
        <f>IF('Final Calculation Sheet'!$R$11="","",'Final Calculation Sheet'!$R$11)</f>
        <v/>
      </c>
    </row>
    <row r="469" outlineLevel="3" ht="15" customHeight="1">
      <c r="A469" s="69" t="inlineStr">
        <is>
          <t xml:space="preserve">            Total Receivables (₹)</t>
        </is>
      </c>
      <c r="B469" s="70">
        <f>IF('Final Calculation Sheet'!$S$11="","",'Final Calculation Sheet'!$S$11)</f>
        <v/>
      </c>
    </row>
    <row r="470" outlineLevel="2" ht="16" customHeight="1">
      <c r="A470" s="463" t="inlineStr">
        <is>
          <t xml:space="preserve">      ▸ SECURITY DEPOSIT</t>
        </is>
      </c>
      <c r="B470" s="464" t="n"/>
    </row>
    <row r="471" outlineLevel="3" ht="15" customHeight="1">
      <c r="A471" s="69" t="inlineStr">
        <is>
          <t xml:space="preserve">            SD Expected (₹)</t>
        </is>
      </c>
      <c r="B471" s="70">
        <f>IF('Final Calculation Sheet'!$T$11="","",'Final Calculation Sheet'!$T$11)</f>
        <v/>
      </c>
    </row>
    <row r="472" outlineLevel="3" ht="15" customHeight="1">
      <c r="A472" s="69" t="inlineStr">
        <is>
          <t xml:space="preserve">            SD Received (₹)</t>
        </is>
      </c>
      <c r="B472" s="70">
        <f>IF('Final Calculation Sheet'!$U$11="","",'Final Calculation Sheet'!$U$11)</f>
        <v/>
      </c>
    </row>
    <row r="473" outlineLevel="3" ht="15" customHeight="1">
      <c r="A473" s="69" t="inlineStr">
        <is>
          <t xml:space="preserve">            SD Receipt Date</t>
        </is>
      </c>
      <c r="B473" s="76">
        <f>IF('Final Calculation Sheet'!$V$11="","",'Final Calculation Sheet'!$V$11)</f>
        <v/>
      </c>
    </row>
    <row r="474" outlineLevel="2" ht="16" customHeight="1">
      <c r="A474" s="463" t="inlineStr">
        <is>
          <t xml:space="preserve">      ▸ FINAL PAYMENT</t>
        </is>
      </c>
      <c r="B474" s="464" t="n"/>
    </row>
    <row r="475" outlineLevel="3" ht="15" customHeight="1">
      <c r="A475" s="69" t="inlineStr">
        <is>
          <t xml:space="preserve">            FP Expected (₹)</t>
        </is>
      </c>
      <c r="B475" s="70">
        <f>IF('Final Calculation Sheet'!$W$11="","",'Final Calculation Sheet'!$W$11)</f>
        <v/>
      </c>
    </row>
    <row r="476" outlineLevel="3" ht="15" customHeight="1">
      <c r="A476" s="69" t="inlineStr">
        <is>
          <t xml:space="preserve">            FP Received (₹)</t>
        </is>
      </c>
      <c r="B476" s="70">
        <f>IF('Final Calculation Sheet'!$X$11="","",'Final Calculation Sheet'!$X$11)</f>
        <v/>
      </c>
    </row>
    <row r="477" outlineLevel="3" ht="15" customHeight="1">
      <c r="A477" s="69" t="inlineStr">
        <is>
          <t xml:space="preserve">            FP Receipt Date</t>
        </is>
      </c>
      <c r="B477" s="76">
        <f>IF('Final Calculation Sheet'!$Y$11="","",'Final Calculation Sheet'!$Y$11)</f>
        <v/>
      </c>
    </row>
    <row r="478" outlineLevel="2" ht="16" customHeight="1">
      <c r="A478" s="463" t="inlineStr">
        <is>
          <t xml:space="preserve">      ▸ LPP</t>
        </is>
      </c>
      <c r="B478" s="464" t="n"/>
    </row>
    <row r="479" outlineLevel="3" ht="15" customHeight="1">
      <c r="A479" s="69" t="inlineStr">
        <is>
          <t xml:space="preserve">            LPP Expected (₹)</t>
        </is>
      </c>
      <c r="B479" s="70">
        <f>IF('Final Calculation Sheet'!$Z$11="","",'Final Calculation Sheet'!$Z$11)</f>
        <v/>
      </c>
    </row>
    <row r="480" outlineLevel="3" ht="15" customHeight="1">
      <c r="A480" s="69" t="inlineStr">
        <is>
          <t xml:space="preserve">            LPP Received (₹)</t>
        </is>
      </c>
      <c r="B480" s="70">
        <f>IF('Final Calculation Sheet'!$AA$11="","",'Final Calculation Sheet'!$AA$11)</f>
        <v/>
      </c>
    </row>
    <row r="481" outlineLevel="3" ht="15" customHeight="1">
      <c r="A481" s="69" t="inlineStr">
        <is>
          <t xml:space="preserve">            LPP Receipt Date</t>
        </is>
      </c>
      <c r="B481" s="76">
        <f>IF('Final Calculation Sheet'!$AB$11="","",'Final Calculation Sheet'!$AB$11)</f>
        <v/>
      </c>
    </row>
    <row r="482" outlineLevel="2" ht="16" customHeight="1">
      <c r="A482" s="463" t="inlineStr">
        <is>
          <t xml:space="preserve">      ▸ SUMMARY</t>
        </is>
      </c>
      <c r="B482" s="464" t="n"/>
    </row>
    <row r="483" outlineLevel="3" ht="15" customHeight="1">
      <c r="A483" s="69" t="inlineStr">
        <is>
          <t xml:space="preserve">            Total Received (₹)</t>
        </is>
      </c>
      <c r="B483" s="70">
        <f>IF('Final Calculation Sheet'!$AC$11="","",'Final Calculation Sheet'!$AC$11)</f>
        <v/>
      </c>
    </row>
    <row r="484" outlineLevel="3" ht="15" customHeight="1">
      <c r="A484" s="69" t="inlineStr">
        <is>
          <t xml:space="preserve">            Outstanding (₹)</t>
        </is>
      </c>
      <c r="B484" s="70">
        <f>IF('Final Calculation Sheet'!$AD$11="","",'Final Calculation Sheet'!$AD$11)</f>
        <v/>
      </c>
    </row>
    <row r="485" outlineLevel="3" ht="15" customHeight="1">
      <c r="A485" s="69" t="inlineStr">
        <is>
          <t xml:space="preserve">            Payment Status</t>
        </is>
      </c>
      <c r="B485" s="81">
        <f>IF('Final Calculation Sheet'!$AD$11="","",IF('Final Calculation Sheet'!$AD$11&lt;=0,"SETTLED","OUTSTANDING"))</f>
        <v/>
      </c>
    </row>
    <row r="486" outlineLevel="2" ht="16" customHeight="1">
      <c r="A486" s="463" t="inlineStr">
        <is>
          <t xml:space="preserve">      ▸ DOCUMENT</t>
        </is>
      </c>
      <c r="B486" s="464" t="n"/>
    </row>
    <row r="487" outlineLevel="3" ht="15" customHeight="1">
      <c r="A487" s="69" t="inlineStr">
        <is>
          <t xml:space="preserve">            Invoice No.</t>
        </is>
      </c>
      <c r="B487" s="76">
        <f>IF('Final Calculation Sheet'!$AE$11="","",'Final Calculation Sheet'!$AE$11)</f>
        <v/>
      </c>
    </row>
    <row r="488" outlineLevel="3" ht="15" customHeight="1">
      <c r="A488" s="69" t="inlineStr">
        <is>
          <t xml:space="preserve">            SAP Document</t>
        </is>
      </c>
      <c r="B488" s="70">
        <f>IF('Final Calculation Sheet'!$AF$11="","",'Final Calculation Sheet'!$AF$11)</f>
        <v/>
      </c>
    </row>
    <row r="489" outlineLevel="3" ht="15" customHeight="1">
      <c r="A489" s="69" t="inlineStr">
        <is>
          <t xml:space="preserve">            Doc./Invoice Date</t>
        </is>
      </c>
      <c r="B489" s="76">
        <f>IF('Final Calculation Sheet'!$AG$11="","",'Final Calculation Sheet'!$AG$11)</f>
        <v/>
      </c>
    </row>
    <row r="490" outlineLevel="1" ht="20" customHeight="1">
      <c r="A490" s="462">
        <f>"   ▸  LOT "&amp;'Final Calculation Sheet'!$F$12&amp;"   •   "&amp;'Final Calculation Sheet'!$B$12&amp;"   •   MAT. VALUE ₹"&amp;TEXT('Final Calculation Sheet'!$H$12,"#,##0")&amp;"   •   OUTSTANDING ₹"&amp;TEXT('Final Calculation Sheet'!$AD$12,"#,##0")</f>
        <v/>
      </c>
      <c r="B490" s="130" t="n"/>
    </row>
    <row r="491" outlineLevel="2" ht="16" customHeight="1">
      <c r="A491" s="463" t="inlineStr">
        <is>
          <t xml:space="preserve">      ▸ LOT INFORMATION</t>
        </is>
      </c>
      <c r="B491" s="464" t="n"/>
    </row>
    <row r="492" outlineLevel="3" ht="15" customHeight="1">
      <c r="A492" s="69" t="inlineStr">
        <is>
          <t xml:space="preserve">            Lot No.</t>
        </is>
      </c>
      <c r="B492" s="70">
        <f>IF('Final Calculation Sheet'!$F$12="","",'Final Calculation Sheet'!$F$12)</f>
        <v/>
      </c>
    </row>
    <row r="493" outlineLevel="3" ht="15" customHeight="1">
      <c r="A493" s="69" t="inlineStr">
        <is>
          <t xml:space="preserve">            Lot Name</t>
        </is>
      </c>
      <c r="B493" s="76">
        <f>IF('Final Calculation Sheet'!$B$12="","",'Final Calculation Sheet'!$B$12)</f>
        <v/>
      </c>
    </row>
    <row r="494" outlineLevel="3" ht="15" customHeight="1">
      <c r="A494" s="69" t="inlineStr">
        <is>
          <t xml:space="preserve">            Bid Sheet / Auction</t>
        </is>
      </c>
      <c r="B494" s="70">
        <f>IF('Final Calculation Sheet'!$D$12="","",'Final Calculation Sheet'!$D$12)</f>
        <v/>
      </c>
    </row>
    <row r="495" outlineLevel="3" ht="15" customHeight="1">
      <c r="A495" s="69" t="inlineStr">
        <is>
          <t xml:space="preserve">            Quantity</t>
        </is>
      </c>
      <c r="B495" s="74">
        <f>IF('Final Calculation Sheet'!$A$12="","",'Final Calculation Sheet'!$A$12)</f>
        <v/>
      </c>
    </row>
    <row r="496" outlineLevel="3" ht="15" customHeight="1">
      <c r="A496" s="69" t="inlineStr">
        <is>
          <t xml:space="preserve">            Unit</t>
        </is>
      </c>
      <c r="B496" s="76">
        <f>IF('Final Calculation Sheet'!$E$12="","",'Final Calculation Sheet'!$E$12)</f>
        <v/>
      </c>
    </row>
    <row r="497" outlineLevel="3" ht="15" customHeight="1">
      <c r="A497" s="69" t="inlineStr">
        <is>
          <t xml:space="preserve">            Rate (₹)</t>
        </is>
      </c>
      <c r="B497" s="70">
        <f>IF('Final Calculation Sheet'!$C$12="","",'Final Calculation Sheet'!$C$12)</f>
        <v/>
      </c>
    </row>
    <row r="498" outlineLevel="2" ht="16" customHeight="1">
      <c r="A498" s="463" t="inlineStr">
        <is>
          <t xml:space="preserve">      ▸ FINANCIALS</t>
        </is>
      </c>
      <c r="B498" s="464" t="n"/>
    </row>
    <row r="499" outlineLevel="3" ht="15" customHeight="1">
      <c r="A499" s="69" t="inlineStr">
        <is>
          <t xml:space="preserve">            Mat. Value (₹)</t>
        </is>
      </c>
      <c r="B499" s="70">
        <f>IF('Final Calculation Sheet'!$H$12="","",'Final Calculation Sheet'!$H$12)</f>
        <v/>
      </c>
    </row>
    <row r="500" outlineLevel="3" ht="15" customHeight="1">
      <c r="A500" s="69" t="inlineStr">
        <is>
          <t xml:space="preserve">            GST @ 18% (₹)</t>
        </is>
      </c>
      <c r="B500" s="70">
        <f>IF('Final Calculation Sheet'!$I$12="","",'Final Calculation Sheet'!$I$12)</f>
        <v/>
      </c>
    </row>
    <row r="501" outlineLevel="3" ht="15" customHeight="1">
      <c r="A501" s="69" t="inlineStr">
        <is>
          <t xml:space="preserve">            Mat. Value + GST (₹)</t>
        </is>
      </c>
      <c r="B501" s="70">
        <f>IF('Final Calculation Sheet'!$J$12="","",'Final Calculation Sheet'!$J$12)</f>
        <v/>
      </c>
    </row>
    <row r="502" outlineLevel="3" ht="15" customHeight="1">
      <c r="A502" s="69" t="inlineStr">
        <is>
          <t xml:space="preserve">            TCS @ 2% (₹)</t>
        </is>
      </c>
      <c r="B502" s="70">
        <f>IF('Final Calculation Sheet'!$K$12="","",'Final Calculation Sheet'!$K$12)</f>
        <v/>
      </c>
    </row>
    <row r="503" outlineLevel="3" ht="15" customHeight="1">
      <c r="A503" s="69" t="inlineStr">
        <is>
          <t xml:space="preserve">            TDS u/s 194(O) (₹)</t>
        </is>
      </c>
      <c r="B503" s="78">
        <f>IF('Final Calculation Sheet'!$L$12="","",'Final Calculation Sheet'!$L$12)</f>
        <v/>
      </c>
    </row>
    <row r="504" outlineLevel="3" ht="15" customHeight="1">
      <c r="A504" s="69" t="inlineStr">
        <is>
          <t xml:space="preserve">            Service Charge gross (₹)</t>
        </is>
      </c>
      <c r="B504" s="78">
        <f>IF('Final Calculation Sheet'!$M$12="","",'Final Calculation Sheet'!$M$12)</f>
        <v/>
      </c>
    </row>
    <row r="505" outlineLevel="3" ht="15" customHeight="1">
      <c r="A505" s="69" t="inlineStr">
        <is>
          <t xml:space="preserve">            TDS u/s 194(H) (₹)</t>
        </is>
      </c>
      <c r="B505" s="78">
        <f>IF('Final Calculation Sheet'!$N$12="","",'Final Calculation Sheet'!$N$12)</f>
        <v/>
      </c>
    </row>
    <row r="506" outlineLevel="3" ht="15" customHeight="1">
      <c r="A506" s="69" t="inlineStr">
        <is>
          <t xml:space="preserve">            Net Service Charge (₹)</t>
        </is>
      </c>
      <c r="B506" s="78">
        <f>IF('Final Calculation Sheet'!$O$12="","",'Final Calculation Sheet'!$O$12)</f>
        <v/>
      </c>
    </row>
    <row r="507" outlineLevel="3" ht="15" customHeight="1">
      <c r="A507" s="69" t="inlineStr">
        <is>
          <t xml:space="preserve">            Svc Charge to MSTC (₹)</t>
        </is>
      </c>
      <c r="B507" s="70">
        <f>IF('Final Calculation Sheet'!$P$12="","",'Final Calculation Sheet'!$P$12)</f>
        <v/>
      </c>
    </row>
    <row r="508" outlineLevel="3" ht="15" customHeight="1">
      <c r="A508" s="69" t="inlineStr">
        <is>
          <t xml:space="preserve">            GST TDS Rate</t>
        </is>
      </c>
      <c r="B508" s="80">
        <f>IF('Final Calculation Sheet'!$Q$12="","",'Final Calculation Sheet'!$Q$12)</f>
        <v/>
      </c>
    </row>
    <row r="509" outlineLevel="3" ht="15" customHeight="1">
      <c r="A509" s="69" t="inlineStr">
        <is>
          <t xml:space="preserve">            GST TDS (₹)</t>
        </is>
      </c>
      <c r="B509" s="70">
        <f>IF('Final Calculation Sheet'!$R$12="","",'Final Calculation Sheet'!$R$12)</f>
        <v/>
      </c>
    </row>
    <row r="510" outlineLevel="3" ht="15" customHeight="1">
      <c r="A510" s="69" t="inlineStr">
        <is>
          <t xml:space="preserve">            Total Receivables (₹)</t>
        </is>
      </c>
      <c r="B510" s="70">
        <f>IF('Final Calculation Sheet'!$S$12="","",'Final Calculation Sheet'!$S$12)</f>
        <v/>
      </c>
    </row>
    <row r="511" outlineLevel="2" ht="16" customHeight="1">
      <c r="A511" s="463" t="inlineStr">
        <is>
          <t xml:space="preserve">      ▸ SECURITY DEPOSIT</t>
        </is>
      </c>
      <c r="B511" s="464" t="n"/>
    </row>
    <row r="512" outlineLevel="3" ht="15" customHeight="1">
      <c r="A512" s="69" t="inlineStr">
        <is>
          <t xml:space="preserve">            SD Expected (₹)</t>
        </is>
      </c>
      <c r="B512" s="70">
        <f>IF('Final Calculation Sheet'!$T$12="","",'Final Calculation Sheet'!$T$12)</f>
        <v/>
      </c>
    </row>
    <row r="513" outlineLevel="3" ht="15" customHeight="1">
      <c r="A513" s="69" t="inlineStr">
        <is>
          <t xml:space="preserve">            SD Received (₹)</t>
        </is>
      </c>
      <c r="B513" s="70">
        <f>IF('Final Calculation Sheet'!$U$12="","",'Final Calculation Sheet'!$U$12)</f>
        <v/>
      </c>
    </row>
    <row r="514" outlineLevel="3" ht="15" customHeight="1">
      <c r="A514" s="69" t="inlineStr">
        <is>
          <t xml:space="preserve">            SD Receipt Date</t>
        </is>
      </c>
      <c r="B514" s="76">
        <f>IF('Final Calculation Sheet'!$V$12="","",'Final Calculation Sheet'!$V$12)</f>
        <v/>
      </c>
    </row>
    <row r="515" outlineLevel="2" ht="16" customHeight="1">
      <c r="A515" s="463" t="inlineStr">
        <is>
          <t xml:space="preserve">      ▸ FINAL PAYMENT</t>
        </is>
      </c>
      <c r="B515" s="464" t="n"/>
    </row>
    <row r="516" outlineLevel="3" ht="15" customHeight="1">
      <c r="A516" s="69" t="inlineStr">
        <is>
          <t xml:space="preserve">            FP Expected (₹)</t>
        </is>
      </c>
      <c r="B516" s="70">
        <f>IF('Final Calculation Sheet'!$W$12="","",'Final Calculation Sheet'!$W$12)</f>
        <v/>
      </c>
    </row>
    <row r="517" outlineLevel="3" ht="15" customHeight="1">
      <c r="A517" s="69" t="inlineStr">
        <is>
          <t xml:space="preserve">            FP Received (₹)</t>
        </is>
      </c>
      <c r="B517" s="70">
        <f>IF('Final Calculation Sheet'!$X$12="","",'Final Calculation Sheet'!$X$12)</f>
        <v/>
      </c>
    </row>
    <row r="518" outlineLevel="3" ht="15" customHeight="1">
      <c r="A518" s="69" t="inlineStr">
        <is>
          <t xml:space="preserve">            FP Receipt Date</t>
        </is>
      </c>
      <c r="B518" s="76">
        <f>IF('Final Calculation Sheet'!$Y$12="","",'Final Calculation Sheet'!$Y$12)</f>
        <v/>
      </c>
    </row>
    <row r="519" outlineLevel="2" ht="16" customHeight="1">
      <c r="A519" s="463" t="inlineStr">
        <is>
          <t xml:space="preserve">      ▸ LPP</t>
        </is>
      </c>
      <c r="B519" s="464" t="n"/>
    </row>
    <row r="520" outlineLevel="3" ht="15" customHeight="1">
      <c r="A520" s="69" t="inlineStr">
        <is>
          <t xml:space="preserve">            LPP Expected (₹)</t>
        </is>
      </c>
      <c r="B520" s="70">
        <f>IF('Final Calculation Sheet'!$Z$12="","",'Final Calculation Sheet'!$Z$12)</f>
        <v/>
      </c>
    </row>
    <row r="521" outlineLevel="3" ht="15" customHeight="1">
      <c r="A521" s="69" t="inlineStr">
        <is>
          <t xml:space="preserve">            LPP Received (₹)</t>
        </is>
      </c>
      <c r="B521" s="70">
        <f>IF('Final Calculation Sheet'!$AA$12="","",'Final Calculation Sheet'!$AA$12)</f>
        <v/>
      </c>
    </row>
    <row r="522" outlineLevel="3" ht="15" customHeight="1">
      <c r="A522" s="69" t="inlineStr">
        <is>
          <t xml:space="preserve">            LPP Receipt Date</t>
        </is>
      </c>
      <c r="B522" s="76">
        <f>IF('Final Calculation Sheet'!$AB$12="","",'Final Calculation Sheet'!$AB$12)</f>
        <v/>
      </c>
    </row>
    <row r="523" outlineLevel="2" ht="16" customHeight="1">
      <c r="A523" s="463" t="inlineStr">
        <is>
          <t xml:space="preserve">      ▸ SUMMARY</t>
        </is>
      </c>
      <c r="B523" s="464" t="n"/>
    </row>
    <row r="524" outlineLevel="3" ht="15" customHeight="1">
      <c r="A524" s="69" t="inlineStr">
        <is>
          <t xml:space="preserve">            Total Received (₹)</t>
        </is>
      </c>
      <c r="B524" s="70">
        <f>IF('Final Calculation Sheet'!$AC$12="","",'Final Calculation Sheet'!$AC$12)</f>
        <v/>
      </c>
    </row>
    <row r="525" outlineLevel="3" ht="15" customHeight="1">
      <c r="A525" s="69" t="inlineStr">
        <is>
          <t xml:space="preserve">            Outstanding (₹)</t>
        </is>
      </c>
      <c r="B525" s="70">
        <f>IF('Final Calculation Sheet'!$AD$12="","",'Final Calculation Sheet'!$AD$12)</f>
        <v/>
      </c>
    </row>
    <row r="526" outlineLevel="3" ht="15" customHeight="1">
      <c r="A526" s="69" t="inlineStr">
        <is>
          <t xml:space="preserve">            Payment Status</t>
        </is>
      </c>
      <c r="B526" s="81">
        <f>IF('Final Calculation Sheet'!$AD$12="","",IF('Final Calculation Sheet'!$AD$12&lt;=0,"SETTLED","OUTSTANDING"))</f>
        <v/>
      </c>
    </row>
    <row r="527" outlineLevel="2" ht="16" customHeight="1">
      <c r="A527" s="463" t="inlineStr">
        <is>
          <t xml:space="preserve">      ▸ DOCUMENT</t>
        </is>
      </c>
      <c r="B527" s="464" t="n"/>
    </row>
    <row r="528" outlineLevel="3" ht="15" customHeight="1">
      <c r="A528" s="69" t="inlineStr">
        <is>
          <t xml:space="preserve">            Invoice No.</t>
        </is>
      </c>
      <c r="B528" s="76">
        <f>IF('Final Calculation Sheet'!$AE$12="","",'Final Calculation Sheet'!$AE$12)</f>
        <v/>
      </c>
    </row>
    <row r="529" outlineLevel="3" ht="15" customHeight="1">
      <c r="A529" s="69" t="inlineStr">
        <is>
          <t xml:space="preserve">            SAP Document</t>
        </is>
      </c>
      <c r="B529" s="70">
        <f>IF('Final Calculation Sheet'!$AF$12="","",'Final Calculation Sheet'!$AF$12)</f>
        <v/>
      </c>
    </row>
    <row r="530" outlineLevel="3" ht="15" customHeight="1">
      <c r="A530" s="69" t="inlineStr">
        <is>
          <t xml:space="preserve">            Doc./Invoice Date</t>
        </is>
      </c>
      <c r="B530" s="76">
        <f>IF('Final Calculation Sheet'!$AG$12="","",'Final Calculation Sheet'!$AG$12)</f>
        <v/>
      </c>
    </row>
    <row r="531" outlineLevel="1" ht="20" customHeight="1">
      <c r="A531" s="462">
        <f>"   ▸  LOT "&amp;'Final Calculation Sheet'!$F$18&amp;"   •   "&amp;'Final Calculation Sheet'!$B$18&amp;"   •   MAT. VALUE ₹"&amp;TEXT('Final Calculation Sheet'!$H$18,"#,##0")&amp;"   •   OUTSTANDING ₹"&amp;TEXT('Final Calculation Sheet'!$AD$18,"#,##0")</f>
        <v/>
      </c>
      <c r="B531" s="130" t="n"/>
    </row>
    <row r="532" outlineLevel="2" ht="16" customHeight="1">
      <c r="A532" s="463" t="inlineStr">
        <is>
          <t xml:space="preserve">      ▸ LOT INFORMATION</t>
        </is>
      </c>
      <c r="B532" s="464" t="n"/>
    </row>
    <row r="533" outlineLevel="3" ht="15" customHeight="1">
      <c r="A533" s="69" t="inlineStr">
        <is>
          <t xml:space="preserve">            Lot No.</t>
        </is>
      </c>
      <c r="B533" s="70">
        <f>IF('Final Calculation Sheet'!$F$18="","",'Final Calculation Sheet'!$F$18)</f>
        <v/>
      </c>
    </row>
    <row r="534" outlineLevel="3" ht="15" customHeight="1">
      <c r="A534" s="69" t="inlineStr">
        <is>
          <t xml:space="preserve">            Lot Name</t>
        </is>
      </c>
      <c r="B534" s="76">
        <f>IF('Final Calculation Sheet'!$B$18="","",'Final Calculation Sheet'!$B$18)</f>
        <v/>
      </c>
    </row>
    <row r="535" outlineLevel="3" ht="15" customHeight="1">
      <c r="A535" s="69" t="inlineStr">
        <is>
          <t xml:space="preserve">            Bid Sheet / Auction</t>
        </is>
      </c>
      <c r="B535" s="70">
        <f>IF('Final Calculation Sheet'!$D$18="","",'Final Calculation Sheet'!$D$18)</f>
        <v/>
      </c>
    </row>
    <row r="536" outlineLevel="3" ht="15" customHeight="1">
      <c r="A536" s="69" t="inlineStr">
        <is>
          <t xml:space="preserve">            Quantity</t>
        </is>
      </c>
      <c r="B536" s="74">
        <f>IF('Final Calculation Sheet'!$A$18="","",'Final Calculation Sheet'!$A$18)</f>
        <v/>
      </c>
    </row>
    <row r="537" outlineLevel="3" ht="15" customHeight="1">
      <c r="A537" s="69" t="inlineStr">
        <is>
          <t xml:space="preserve">            Unit</t>
        </is>
      </c>
      <c r="B537" s="76">
        <f>IF('Final Calculation Sheet'!$E$18="","",'Final Calculation Sheet'!$E$18)</f>
        <v/>
      </c>
    </row>
    <row r="538" outlineLevel="3" ht="15" customHeight="1">
      <c r="A538" s="69" t="inlineStr">
        <is>
          <t xml:space="preserve">            Rate (₹)</t>
        </is>
      </c>
      <c r="B538" s="70">
        <f>IF('Final Calculation Sheet'!$C$18="","",'Final Calculation Sheet'!$C$18)</f>
        <v/>
      </c>
    </row>
    <row r="539" outlineLevel="2" ht="16" customHeight="1">
      <c r="A539" s="463" t="inlineStr">
        <is>
          <t xml:space="preserve">      ▸ FINANCIALS</t>
        </is>
      </c>
      <c r="B539" s="464" t="n"/>
    </row>
    <row r="540" outlineLevel="3" ht="15" customHeight="1">
      <c r="A540" s="69" t="inlineStr">
        <is>
          <t xml:space="preserve">            Mat. Value (₹)</t>
        </is>
      </c>
      <c r="B540" s="70">
        <f>IF('Final Calculation Sheet'!$H$18="","",'Final Calculation Sheet'!$H$18)</f>
        <v/>
      </c>
    </row>
    <row r="541" outlineLevel="3" ht="15" customHeight="1">
      <c r="A541" s="69" t="inlineStr">
        <is>
          <t xml:space="preserve">            GST @ 18% (₹)</t>
        </is>
      </c>
      <c r="B541" s="70">
        <f>IF('Final Calculation Sheet'!$I$18="","",'Final Calculation Sheet'!$I$18)</f>
        <v/>
      </c>
    </row>
    <row r="542" outlineLevel="3" ht="15" customHeight="1">
      <c r="A542" s="69" t="inlineStr">
        <is>
          <t xml:space="preserve">            Mat. Value + GST (₹)</t>
        </is>
      </c>
      <c r="B542" s="70">
        <f>IF('Final Calculation Sheet'!$J$18="","",'Final Calculation Sheet'!$J$18)</f>
        <v/>
      </c>
    </row>
    <row r="543" outlineLevel="3" ht="15" customHeight="1">
      <c r="A543" s="69" t="inlineStr">
        <is>
          <t xml:space="preserve">            TCS @ 2% (₹)</t>
        </is>
      </c>
      <c r="B543" s="70">
        <f>IF('Final Calculation Sheet'!$K$18="","",'Final Calculation Sheet'!$K$18)</f>
        <v/>
      </c>
    </row>
    <row r="544" outlineLevel="3" ht="15" customHeight="1">
      <c r="A544" s="69" t="inlineStr">
        <is>
          <t xml:space="preserve">            TDS u/s 194(O) (₹)</t>
        </is>
      </c>
      <c r="B544" s="78">
        <f>IF('Final Calculation Sheet'!$L$18="","",'Final Calculation Sheet'!$L$18)</f>
        <v/>
      </c>
    </row>
    <row r="545" outlineLevel="3" ht="15" customHeight="1">
      <c r="A545" s="69" t="inlineStr">
        <is>
          <t xml:space="preserve">            Service Charge gross (₹)</t>
        </is>
      </c>
      <c r="B545" s="78">
        <f>IF('Final Calculation Sheet'!$M$18="","",'Final Calculation Sheet'!$M$18)</f>
        <v/>
      </c>
    </row>
    <row r="546" outlineLevel="3" ht="15" customHeight="1">
      <c r="A546" s="69" t="inlineStr">
        <is>
          <t xml:space="preserve">            TDS u/s 194(H) (₹)</t>
        </is>
      </c>
      <c r="B546" s="78">
        <f>IF('Final Calculation Sheet'!$N$18="","",'Final Calculation Sheet'!$N$18)</f>
        <v/>
      </c>
    </row>
    <row r="547" outlineLevel="3" ht="15" customHeight="1">
      <c r="A547" s="69" t="inlineStr">
        <is>
          <t xml:space="preserve">            Net Service Charge (₹)</t>
        </is>
      </c>
      <c r="B547" s="78">
        <f>IF('Final Calculation Sheet'!$O$18="","",'Final Calculation Sheet'!$O$18)</f>
        <v/>
      </c>
    </row>
    <row r="548" outlineLevel="3" ht="15" customHeight="1">
      <c r="A548" s="69" t="inlineStr">
        <is>
          <t xml:space="preserve">            Svc Charge to MSTC (₹)</t>
        </is>
      </c>
      <c r="B548" s="70">
        <f>IF('Final Calculation Sheet'!$P$18="","",'Final Calculation Sheet'!$P$18)</f>
        <v/>
      </c>
    </row>
    <row r="549" outlineLevel="3" ht="15" customHeight="1">
      <c r="A549" s="69" t="inlineStr">
        <is>
          <t xml:space="preserve">            GST TDS Rate</t>
        </is>
      </c>
      <c r="B549" s="80">
        <f>IF('Final Calculation Sheet'!$Q$18="","",'Final Calculation Sheet'!$Q$18)</f>
        <v/>
      </c>
    </row>
    <row r="550" outlineLevel="3" ht="15" customHeight="1">
      <c r="A550" s="69" t="inlineStr">
        <is>
          <t xml:space="preserve">            GST TDS (₹)</t>
        </is>
      </c>
      <c r="B550" s="70">
        <f>IF('Final Calculation Sheet'!$R$18="","",'Final Calculation Sheet'!$R$18)</f>
        <v/>
      </c>
    </row>
    <row r="551" outlineLevel="3" ht="15" customHeight="1">
      <c r="A551" s="69" t="inlineStr">
        <is>
          <t xml:space="preserve">            Total Receivables (₹)</t>
        </is>
      </c>
      <c r="B551" s="70">
        <f>IF('Final Calculation Sheet'!$S$18="","",'Final Calculation Sheet'!$S$18)</f>
        <v/>
      </c>
    </row>
    <row r="552" outlineLevel="2" ht="16" customHeight="1">
      <c r="A552" s="463" t="inlineStr">
        <is>
          <t xml:space="preserve">      ▸ SECURITY DEPOSIT</t>
        </is>
      </c>
      <c r="B552" s="464" t="n"/>
    </row>
    <row r="553" outlineLevel="3" ht="15" customHeight="1">
      <c r="A553" s="69" t="inlineStr">
        <is>
          <t xml:space="preserve">            SD Expected (₹)</t>
        </is>
      </c>
      <c r="B553" s="70">
        <f>IF('Final Calculation Sheet'!$T$18="","",'Final Calculation Sheet'!$T$18)</f>
        <v/>
      </c>
    </row>
    <row r="554" outlineLevel="3" ht="15" customHeight="1">
      <c r="A554" s="69" t="inlineStr">
        <is>
          <t xml:space="preserve">            SD Received (₹)</t>
        </is>
      </c>
      <c r="B554" s="70">
        <f>IF('Final Calculation Sheet'!$U$18="","",'Final Calculation Sheet'!$U$18)</f>
        <v/>
      </c>
    </row>
    <row r="555" outlineLevel="3" ht="15" customHeight="1">
      <c r="A555" s="69" t="inlineStr">
        <is>
          <t xml:space="preserve">            SD Receipt Date</t>
        </is>
      </c>
      <c r="B555" s="76">
        <f>IF('Final Calculation Sheet'!$V$18="","",'Final Calculation Sheet'!$V$18)</f>
        <v/>
      </c>
    </row>
    <row r="556" outlineLevel="2" ht="16" customHeight="1">
      <c r="A556" s="463" t="inlineStr">
        <is>
          <t xml:space="preserve">      ▸ FINAL PAYMENT</t>
        </is>
      </c>
      <c r="B556" s="464" t="n"/>
    </row>
    <row r="557" outlineLevel="3" ht="15" customHeight="1">
      <c r="A557" s="69" t="inlineStr">
        <is>
          <t xml:space="preserve">            FP Expected (₹)</t>
        </is>
      </c>
      <c r="B557" s="70">
        <f>IF('Final Calculation Sheet'!$W$18="","",'Final Calculation Sheet'!$W$18)</f>
        <v/>
      </c>
    </row>
    <row r="558" outlineLevel="3" ht="15" customHeight="1">
      <c r="A558" s="69" t="inlineStr">
        <is>
          <t xml:space="preserve">            FP Received (₹)</t>
        </is>
      </c>
      <c r="B558" s="70">
        <f>IF('Final Calculation Sheet'!$X$18="","",'Final Calculation Sheet'!$X$18)</f>
        <v/>
      </c>
    </row>
    <row r="559" outlineLevel="3" ht="15" customHeight="1">
      <c r="A559" s="69" t="inlineStr">
        <is>
          <t xml:space="preserve">            FP Receipt Date</t>
        </is>
      </c>
      <c r="B559" s="76">
        <f>IF('Final Calculation Sheet'!$Y$18="","",'Final Calculation Sheet'!$Y$18)</f>
        <v/>
      </c>
    </row>
    <row r="560" outlineLevel="2" ht="16" customHeight="1">
      <c r="A560" s="463" t="inlineStr">
        <is>
          <t xml:space="preserve">      ▸ LPP</t>
        </is>
      </c>
      <c r="B560" s="464" t="n"/>
    </row>
    <row r="561" outlineLevel="3" ht="15" customHeight="1">
      <c r="A561" s="69" t="inlineStr">
        <is>
          <t xml:space="preserve">            LPP Expected (₹)</t>
        </is>
      </c>
      <c r="B561" s="70">
        <f>IF('Final Calculation Sheet'!$Z$18="","",'Final Calculation Sheet'!$Z$18)</f>
        <v/>
      </c>
    </row>
    <row r="562" outlineLevel="3" ht="15" customHeight="1">
      <c r="A562" s="69" t="inlineStr">
        <is>
          <t xml:space="preserve">            LPP Received (₹)</t>
        </is>
      </c>
      <c r="B562" s="70">
        <f>IF('Final Calculation Sheet'!$AA$18="","",'Final Calculation Sheet'!$AA$18)</f>
        <v/>
      </c>
    </row>
    <row r="563" outlineLevel="3" ht="15" customHeight="1">
      <c r="A563" s="69" t="inlineStr">
        <is>
          <t xml:space="preserve">            LPP Receipt Date</t>
        </is>
      </c>
      <c r="B563" s="76">
        <f>IF('Final Calculation Sheet'!$AB$18="","",'Final Calculation Sheet'!$AB$18)</f>
        <v/>
      </c>
    </row>
    <row r="564" outlineLevel="2" ht="16" customHeight="1">
      <c r="A564" s="463" t="inlineStr">
        <is>
          <t xml:space="preserve">      ▸ SUMMARY</t>
        </is>
      </c>
      <c r="B564" s="464" t="n"/>
    </row>
    <row r="565" outlineLevel="3" ht="15" customHeight="1">
      <c r="A565" s="69" t="inlineStr">
        <is>
          <t xml:space="preserve">            Total Received (₹)</t>
        </is>
      </c>
      <c r="B565" s="70">
        <f>IF('Final Calculation Sheet'!$AC$18="","",'Final Calculation Sheet'!$AC$18)</f>
        <v/>
      </c>
    </row>
    <row r="566" outlineLevel="3" ht="15" customHeight="1">
      <c r="A566" s="69" t="inlineStr">
        <is>
          <t xml:space="preserve">            Outstanding (₹)</t>
        </is>
      </c>
      <c r="B566" s="70">
        <f>IF('Final Calculation Sheet'!$AD$18="","",'Final Calculation Sheet'!$AD$18)</f>
        <v/>
      </c>
    </row>
    <row r="567" outlineLevel="3" ht="15" customHeight="1">
      <c r="A567" s="69" t="inlineStr">
        <is>
          <t xml:space="preserve">            Payment Status</t>
        </is>
      </c>
      <c r="B567" s="81">
        <f>IF('Final Calculation Sheet'!$AD$18="","",IF('Final Calculation Sheet'!$AD$18&lt;=0,"SETTLED","OUTSTANDING"))</f>
        <v/>
      </c>
    </row>
    <row r="568" outlineLevel="2" ht="16" customHeight="1">
      <c r="A568" s="463" t="inlineStr">
        <is>
          <t xml:space="preserve">      ▸ DOCUMENT</t>
        </is>
      </c>
      <c r="B568" s="464" t="n"/>
    </row>
    <row r="569" outlineLevel="3" ht="15" customHeight="1">
      <c r="A569" s="69" t="inlineStr">
        <is>
          <t xml:space="preserve">            Invoice No.</t>
        </is>
      </c>
      <c r="B569" s="76">
        <f>IF('Final Calculation Sheet'!$AE$18="","",'Final Calculation Sheet'!$AE$18)</f>
        <v/>
      </c>
    </row>
    <row r="570" outlineLevel="3" ht="15" customHeight="1">
      <c r="A570" s="69" t="inlineStr">
        <is>
          <t xml:space="preserve">            SAP Document</t>
        </is>
      </c>
      <c r="B570" s="70">
        <f>IF('Final Calculation Sheet'!$AF$18="","",'Final Calculation Sheet'!$AF$18)</f>
        <v/>
      </c>
    </row>
    <row r="571" outlineLevel="3" ht="15" customHeight="1">
      <c r="A571" s="69" t="inlineStr">
        <is>
          <t xml:space="preserve">            Doc./Invoice Date</t>
        </is>
      </c>
      <c r="B571" s="76">
        <f>IF('Final Calculation Sheet'!$AG$18="","",'Final Calculation Sheet'!$AG$18)</f>
        <v/>
      </c>
    </row>
    <row r="572" outlineLevel="1" ht="20" customHeight="1">
      <c r="A572" s="462">
        <f>"   ▸  LOT "&amp;'Final Calculation Sheet'!$F$19&amp;"   •   "&amp;'Final Calculation Sheet'!$B$19&amp;"   •   MAT. VALUE ₹"&amp;TEXT('Final Calculation Sheet'!$H$19,"#,##0")&amp;"   •   OUTSTANDING ₹"&amp;TEXT('Final Calculation Sheet'!$AD$19,"#,##0")</f>
        <v/>
      </c>
      <c r="B572" s="130" t="n"/>
    </row>
    <row r="573" outlineLevel="2" ht="16" customHeight="1">
      <c r="A573" s="463" t="inlineStr">
        <is>
          <t xml:space="preserve">      ▸ LOT INFORMATION</t>
        </is>
      </c>
      <c r="B573" s="464" t="n"/>
    </row>
    <row r="574" outlineLevel="3" ht="15" customHeight="1">
      <c r="A574" s="69" t="inlineStr">
        <is>
          <t xml:space="preserve">            Lot No.</t>
        </is>
      </c>
      <c r="B574" s="70">
        <f>IF('Final Calculation Sheet'!$F$19="","",'Final Calculation Sheet'!$F$19)</f>
        <v/>
      </c>
    </row>
    <row r="575" outlineLevel="3" ht="15" customHeight="1">
      <c r="A575" s="69" t="inlineStr">
        <is>
          <t xml:space="preserve">            Lot Name</t>
        </is>
      </c>
      <c r="B575" s="76">
        <f>IF('Final Calculation Sheet'!$B$19="","",'Final Calculation Sheet'!$B$19)</f>
        <v/>
      </c>
    </row>
    <row r="576" outlineLevel="3" ht="15" customHeight="1">
      <c r="A576" s="69" t="inlineStr">
        <is>
          <t xml:space="preserve">            Bid Sheet / Auction</t>
        </is>
      </c>
      <c r="B576" s="70">
        <f>IF('Final Calculation Sheet'!$D$19="","",'Final Calculation Sheet'!$D$19)</f>
        <v/>
      </c>
    </row>
    <row r="577" outlineLevel="3" ht="15" customHeight="1">
      <c r="A577" s="69" t="inlineStr">
        <is>
          <t xml:space="preserve">            Quantity</t>
        </is>
      </c>
      <c r="B577" s="74">
        <f>IF('Final Calculation Sheet'!$A$19="","",'Final Calculation Sheet'!$A$19)</f>
        <v/>
      </c>
    </row>
    <row r="578" outlineLevel="3" ht="15" customHeight="1">
      <c r="A578" s="69" t="inlineStr">
        <is>
          <t xml:space="preserve">            Unit</t>
        </is>
      </c>
      <c r="B578" s="76">
        <f>IF('Final Calculation Sheet'!$E$19="","",'Final Calculation Sheet'!$E$19)</f>
        <v/>
      </c>
    </row>
    <row r="579" outlineLevel="3" ht="15" customHeight="1">
      <c r="A579" s="69" t="inlineStr">
        <is>
          <t xml:space="preserve">            Rate (₹)</t>
        </is>
      </c>
      <c r="B579" s="70">
        <f>IF('Final Calculation Sheet'!$C$19="","",'Final Calculation Sheet'!$C$19)</f>
        <v/>
      </c>
    </row>
    <row r="580" outlineLevel="2" ht="16" customHeight="1">
      <c r="A580" s="463" t="inlineStr">
        <is>
          <t xml:space="preserve">      ▸ FINANCIALS</t>
        </is>
      </c>
      <c r="B580" s="464" t="n"/>
    </row>
    <row r="581" outlineLevel="3" ht="15" customHeight="1">
      <c r="A581" s="69" t="inlineStr">
        <is>
          <t xml:space="preserve">            Mat. Value (₹)</t>
        </is>
      </c>
      <c r="B581" s="70">
        <f>IF('Final Calculation Sheet'!$H$19="","",'Final Calculation Sheet'!$H$19)</f>
        <v/>
      </c>
    </row>
    <row r="582" outlineLevel="3" ht="15" customHeight="1">
      <c r="A582" s="69" t="inlineStr">
        <is>
          <t xml:space="preserve">            GST @ 18% (₹)</t>
        </is>
      </c>
      <c r="B582" s="70">
        <f>IF('Final Calculation Sheet'!$I$19="","",'Final Calculation Sheet'!$I$19)</f>
        <v/>
      </c>
    </row>
    <row r="583" outlineLevel="3" ht="15" customHeight="1">
      <c r="A583" s="69" t="inlineStr">
        <is>
          <t xml:space="preserve">            Mat. Value + GST (₹)</t>
        </is>
      </c>
      <c r="B583" s="70">
        <f>IF('Final Calculation Sheet'!$J$19="","",'Final Calculation Sheet'!$J$19)</f>
        <v/>
      </c>
    </row>
    <row r="584" outlineLevel="3" ht="15" customHeight="1">
      <c r="A584" s="69" t="inlineStr">
        <is>
          <t xml:space="preserve">            TCS @ 2% (₹)</t>
        </is>
      </c>
      <c r="B584" s="70">
        <f>IF('Final Calculation Sheet'!$K$19="","",'Final Calculation Sheet'!$K$19)</f>
        <v/>
      </c>
    </row>
    <row r="585" outlineLevel="3" ht="15" customHeight="1">
      <c r="A585" s="69" t="inlineStr">
        <is>
          <t xml:space="preserve">            TDS u/s 194(O) (₹)</t>
        </is>
      </c>
      <c r="B585" s="78">
        <f>IF('Final Calculation Sheet'!$L$19="","",'Final Calculation Sheet'!$L$19)</f>
        <v/>
      </c>
    </row>
    <row r="586" outlineLevel="3" ht="15" customHeight="1">
      <c r="A586" s="69" t="inlineStr">
        <is>
          <t xml:space="preserve">            Service Charge gross (₹)</t>
        </is>
      </c>
      <c r="B586" s="78">
        <f>IF('Final Calculation Sheet'!$M$19="","",'Final Calculation Sheet'!$M$19)</f>
        <v/>
      </c>
    </row>
    <row r="587" outlineLevel="3" ht="15" customHeight="1">
      <c r="A587" s="69" t="inlineStr">
        <is>
          <t xml:space="preserve">            TDS u/s 194(H) (₹)</t>
        </is>
      </c>
      <c r="B587" s="78">
        <f>IF('Final Calculation Sheet'!$N$19="","",'Final Calculation Sheet'!$N$19)</f>
        <v/>
      </c>
    </row>
    <row r="588" outlineLevel="3" ht="15" customHeight="1">
      <c r="A588" s="69" t="inlineStr">
        <is>
          <t xml:space="preserve">            Net Service Charge (₹)</t>
        </is>
      </c>
      <c r="B588" s="78">
        <f>IF('Final Calculation Sheet'!$O$19="","",'Final Calculation Sheet'!$O$19)</f>
        <v/>
      </c>
    </row>
    <row r="589" outlineLevel="3" ht="15" customHeight="1">
      <c r="A589" s="69" t="inlineStr">
        <is>
          <t xml:space="preserve">            Svc Charge to MSTC (₹)</t>
        </is>
      </c>
      <c r="B589" s="70">
        <f>IF('Final Calculation Sheet'!$P$19="","",'Final Calculation Sheet'!$P$19)</f>
        <v/>
      </c>
    </row>
    <row r="590" outlineLevel="3" ht="15" customHeight="1">
      <c r="A590" s="69" t="inlineStr">
        <is>
          <t xml:space="preserve">            GST TDS Rate</t>
        </is>
      </c>
      <c r="B590" s="80">
        <f>IF('Final Calculation Sheet'!$Q$19="","",'Final Calculation Sheet'!$Q$19)</f>
        <v/>
      </c>
    </row>
    <row r="591" outlineLevel="3" ht="15" customHeight="1">
      <c r="A591" s="69" t="inlineStr">
        <is>
          <t xml:space="preserve">            GST TDS (₹)</t>
        </is>
      </c>
      <c r="B591" s="70">
        <f>IF('Final Calculation Sheet'!$R$19="","",'Final Calculation Sheet'!$R$19)</f>
        <v/>
      </c>
    </row>
    <row r="592" outlineLevel="3" ht="15" customHeight="1">
      <c r="A592" s="69" t="inlineStr">
        <is>
          <t xml:space="preserve">            Total Receivables (₹)</t>
        </is>
      </c>
      <c r="B592" s="70">
        <f>IF('Final Calculation Sheet'!$S$19="","",'Final Calculation Sheet'!$S$19)</f>
        <v/>
      </c>
    </row>
    <row r="593" outlineLevel="2" ht="16" customHeight="1">
      <c r="A593" s="463" t="inlineStr">
        <is>
          <t xml:space="preserve">      ▸ SECURITY DEPOSIT</t>
        </is>
      </c>
      <c r="B593" s="464" t="n"/>
    </row>
    <row r="594" outlineLevel="3" ht="15" customHeight="1">
      <c r="A594" s="69" t="inlineStr">
        <is>
          <t xml:space="preserve">            SD Expected (₹)</t>
        </is>
      </c>
      <c r="B594" s="70">
        <f>IF('Final Calculation Sheet'!$T$19="","",'Final Calculation Sheet'!$T$19)</f>
        <v/>
      </c>
    </row>
    <row r="595" outlineLevel="3" ht="15" customHeight="1">
      <c r="A595" s="69" t="inlineStr">
        <is>
          <t xml:space="preserve">            SD Received (₹)</t>
        </is>
      </c>
      <c r="B595" s="70">
        <f>IF('Final Calculation Sheet'!$U$19="","",'Final Calculation Sheet'!$U$19)</f>
        <v/>
      </c>
    </row>
    <row r="596" outlineLevel="3" ht="15" customHeight="1">
      <c r="A596" s="69" t="inlineStr">
        <is>
          <t xml:space="preserve">            SD Receipt Date</t>
        </is>
      </c>
      <c r="B596" s="76">
        <f>IF('Final Calculation Sheet'!$V$19="","",'Final Calculation Sheet'!$V$19)</f>
        <v/>
      </c>
    </row>
    <row r="597" outlineLevel="2" ht="16" customHeight="1">
      <c r="A597" s="463" t="inlineStr">
        <is>
          <t xml:space="preserve">      ▸ FINAL PAYMENT</t>
        </is>
      </c>
      <c r="B597" s="464" t="n"/>
    </row>
    <row r="598" outlineLevel="3" ht="15" customHeight="1">
      <c r="A598" s="69" t="inlineStr">
        <is>
          <t xml:space="preserve">            FP Expected (₹)</t>
        </is>
      </c>
      <c r="B598" s="70">
        <f>IF('Final Calculation Sheet'!$W$19="","",'Final Calculation Sheet'!$W$19)</f>
        <v/>
      </c>
    </row>
    <row r="599" outlineLevel="3" ht="15" customHeight="1">
      <c r="A599" s="69" t="inlineStr">
        <is>
          <t xml:space="preserve">            FP Received (₹)</t>
        </is>
      </c>
      <c r="B599" s="70">
        <f>IF('Final Calculation Sheet'!$X$19="","",'Final Calculation Sheet'!$X$19)</f>
        <v/>
      </c>
    </row>
    <row r="600" outlineLevel="3" ht="15" customHeight="1">
      <c r="A600" s="69" t="inlineStr">
        <is>
          <t xml:space="preserve">            FP Receipt Date</t>
        </is>
      </c>
      <c r="B600" s="76">
        <f>IF('Final Calculation Sheet'!$Y$19="","",'Final Calculation Sheet'!$Y$19)</f>
        <v/>
      </c>
    </row>
    <row r="601" outlineLevel="2" ht="16" customHeight="1">
      <c r="A601" s="463" t="inlineStr">
        <is>
          <t xml:space="preserve">      ▸ LPP</t>
        </is>
      </c>
      <c r="B601" s="464" t="n"/>
    </row>
    <row r="602" outlineLevel="3" ht="15" customHeight="1">
      <c r="A602" s="69" t="inlineStr">
        <is>
          <t xml:space="preserve">            LPP Expected (₹)</t>
        </is>
      </c>
      <c r="B602" s="70">
        <f>IF('Final Calculation Sheet'!$Z$19="","",'Final Calculation Sheet'!$Z$19)</f>
        <v/>
      </c>
    </row>
    <row r="603" outlineLevel="3" ht="15" customHeight="1">
      <c r="A603" s="69" t="inlineStr">
        <is>
          <t xml:space="preserve">            LPP Received (₹)</t>
        </is>
      </c>
      <c r="B603" s="70">
        <f>IF('Final Calculation Sheet'!$AA$19="","",'Final Calculation Sheet'!$AA$19)</f>
        <v/>
      </c>
    </row>
    <row r="604" outlineLevel="3" ht="15" customHeight="1">
      <c r="A604" s="69" t="inlineStr">
        <is>
          <t xml:space="preserve">            LPP Receipt Date</t>
        </is>
      </c>
      <c r="B604" s="76">
        <f>IF('Final Calculation Sheet'!$AB$19="","",'Final Calculation Sheet'!$AB$19)</f>
        <v/>
      </c>
    </row>
    <row r="605" outlineLevel="2" ht="16" customHeight="1">
      <c r="A605" s="463" t="inlineStr">
        <is>
          <t xml:space="preserve">      ▸ SUMMARY</t>
        </is>
      </c>
      <c r="B605" s="464" t="n"/>
    </row>
    <row r="606" outlineLevel="3" ht="15" customHeight="1">
      <c r="A606" s="69" t="inlineStr">
        <is>
          <t xml:space="preserve">            Total Received (₹)</t>
        </is>
      </c>
      <c r="B606" s="70">
        <f>IF('Final Calculation Sheet'!$AC$19="","",'Final Calculation Sheet'!$AC$19)</f>
        <v/>
      </c>
    </row>
    <row r="607" outlineLevel="3" ht="15" customHeight="1">
      <c r="A607" s="69" t="inlineStr">
        <is>
          <t xml:space="preserve">            Outstanding (₹)</t>
        </is>
      </c>
      <c r="B607" s="70">
        <f>IF('Final Calculation Sheet'!$AD$19="","",'Final Calculation Sheet'!$AD$19)</f>
        <v/>
      </c>
    </row>
    <row r="608" outlineLevel="3" ht="15" customHeight="1">
      <c r="A608" s="69" t="inlineStr">
        <is>
          <t xml:space="preserve">            Payment Status</t>
        </is>
      </c>
      <c r="B608" s="81">
        <f>IF('Final Calculation Sheet'!$AD$19="","",IF('Final Calculation Sheet'!$AD$19&lt;=0,"SETTLED","OUTSTANDING"))</f>
        <v/>
      </c>
    </row>
    <row r="609" outlineLevel="2" ht="16" customHeight="1">
      <c r="A609" s="463" t="inlineStr">
        <is>
          <t xml:space="preserve">      ▸ DOCUMENT</t>
        </is>
      </c>
      <c r="B609" s="464" t="n"/>
    </row>
    <row r="610" outlineLevel="3" ht="15" customHeight="1">
      <c r="A610" s="69" t="inlineStr">
        <is>
          <t xml:space="preserve">            Invoice No.</t>
        </is>
      </c>
      <c r="B610" s="76">
        <f>IF('Final Calculation Sheet'!$AE$19="","",'Final Calculation Sheet'!$AE$19)</f>
        <v/>
      </c>
    </row>
    <row r="611" outlineLevel="3" ht="15" customHeight="1">
      <c r="A611" s="69" t="inlineStr">
        <is>
          <t xml:space="preserve">            SAP Document</t>
        </is>
      </c>
      <c r="B611" s="70">
        <f>IF('Final Calculation Sheet'!$AF$19="","",'Final Calculation Sheet'!$AF$19)</f>
        <v/>
      </c>
    </row>
    <row r="612" outlineLevel="3" ht="15" customHeight="1">
      <c r="A612" s="69" t="inlineStr">
        <is>
          <t xml:space="preserve">            Doc./Invoice Date</t>
        </is>
      </c>
      <c r="B612" s="76">
        <f>IF('Final Calculation Sheet'!$AG$19="","",'Final Calculation Sheet'!$AG$19)</f>
        <v/>
      </c>
    </row>
    <row r="613" outlineLevel="1" ht="20" customHeight="1">
      <c r="A613" s="462">
        <f>"   ▸  LOT "&amp;'Final Calculation Sheet'!$F$22&amp;"   •   "&amp;'Final Calculation Sheet'!$B$22&amp;"   •   MAT. VALUE ₹"&amp;TEXT('Final Calculation Sheet'!$H$22,"#,##0")&amp;"   •   OUTSTANDING ₹"&amp;TEXT('Final Calculation Sheet'!$AD$22,"#,##0")</f>
        <v/>
      </c>
      <c r="B613" s="130" t="n"/>
    </row>
    <row r="614" outlineLevel="2" ht="16" customHeight="1">
      <c r="A614" s="463" t="inlineStr">
        <is>
          <t xml:space="preserve">      ▸ LOT INFORMATION</t>
        </is>
      </c>
      <c r="B614" s="464" t="n"/>
    </row>
    <row r="615" outlineLevel="3" ht="15" customHeight="1">
      <c r="A615" s="69" t="inlineStr">
        <is>
          <t xml:space="preserve">            Lot No.</t>
        </is>
      </c>
      <c r="B615" s="70">
        <f>IF('Final Calculation Sheet'!$F$22="","",'Final Calculation Sheet'!$F$22)</f>
        <v/>
      </c>
    </row>
    <row r="616" outlineLevel="3" ht="15" customHeight="1">
      <c r="A616" s="69" t="inlineStr">
        <is>
          <t xml:space="preserve">            Lot Name</t>
        </is>
      </c>
      <c r="B616" s="76">
        <f>IF('Final Calculation Sheet'!$B$22="","",'Final Calculation Sheet'!$B$22)</f>
        <v/>
      </c>
    </row>
    <row r="617" outlineLevel="3" ht="15" customHeight="1">
      <c r="A617" s="69" t="inlineStr">
        <is>
          <t xml:space="preserve">            Bid Sheet / Auction</t>
        </is>
      </c>
      <c r="B617" s="70">
        <f>IF('Final Calculation Sheet'!$D$22="","",'Final Calculation Sheet'!$D$22)</f>
        <v/>
      </c>
    </row>
    <row r="618" outlineLevel="3" ht="15" customHeight="1">
      <c r="A618" s="69" t="inlineStr">
        <is>
          <t xml:space="preserve">            Quantity</t>
        </is>
      </c>
      <c r="B618" s="74">
        <f>IF('Final Calculation Sheet'!$A$22="","",'Final Calculation Sheet'!$A$22)</f>
        <v/>
      </c>
    </row>
    <row r="619" outlineLevel="3" ht="15" customHeight="1">
      <c r="A619" s="69" t="inlineStr">
        <is>
          <t xml:space="preserve">            Unit</t>
        </is>
      </c>
      <c r="B619" s="76">
        <f>IF('Final Calculation Sheet'!$E$22="","",'Final Calculation Sheet'!$E$22)</f>
        <v/>
      </c>
    </row>
    <row r="620" outlineLevel="3" ht="15" customHeight="1">
      <c r="A620" s="69" t="inlineStr">
        <is>
          <t xml:space="preserve">            Rate (₹)</t>
        </is>
      </c>
      <c r="B620" s="70">
        <f>IF('Final Calculation Sheet'!$C$22="","",'Final Calculation Sheet'!$C$22)</f>
        <v/>
      </c>
    </row>
    <row r="621" outlineLevel="2" ht="16" customHeight="1">
      <c r="A621" s="463" t="inlineStr">
        <is>
          <t xml:space="preserve">      ▸ FINANCIALS</t>
        </is>
      </c>
      <c r="B621" s="464" t="n"/>
    </row>
    <row r="622" outlineLevel="3" ht="15" customHeight="1">
      <c r="A622" s="69" t="inlineStr">
        <is>
          <t xml:space="preserve">            Mat. Value (₹)</t>
        </is>
      </c>
      <c r="B622" s="70">
        <f>IF('Final Calculation Sheet'!$H$22="","",'Final Calculation Sheet'!$H$22)</f>
        <v/>
      </c>
    </row>
    <row r="623" outlineLevel="3" ht="15" customHeight="1">
      <c r="A623" s="69" t="inlineStr">
        <is>
          <t xml:space="preserve">            GST @ 18% (₹)</t>
        </is>
      </c>
      <c r="B623" s="70">
        <f>IF('Final Calculation Sheet'!$I$22="","",'Final Calculation Sheet'!$I$22)</f>
        <v/>
      </c>
    </row>
    <row r="624" outlineLevel="3" ht="15" customHeight="1">
      <c r="A624" s="69" t="inlineStr">
        <is>
          <t xml:space="preserve">            Mat. Value + GST (₹)</t>
        </is>
      </c>
      <c r="B624" s="70">
        <f>IF('Final Calculation Sheet'!$J$22="","",'Final Calculation Sheet'!$J$22)</f>
        <v/>
      </c>
    </row>
    <row r="625" outlineLevel="3" ht="15" customHeight="1">
      <c r="A625" s="69" t="inlineStr">
        <is>
          <t xml:space="preserve">            TCS @ 2% (₹)</t>
        </is>
      </c>
      <c r="B625" s="70">
        <f>IF('Final Calculation Sheet'!$K$22="","",'Final Calculation Sheet'!$K$22)</f>
        <v/>
      </c>
    </row>
    <row r="626" outlineLevel="3" ht="15" customHeight="1">
      <c r="A626" s="69" t="inlineStr">
        <is>
          <t xml:space="preserve">            TDS u/s 194(O) (₹)</t>
        </is>
      </c>
      <c r="B626" s="78">
        <f>IF('Final Calculation Sheet'!$L$22="","",'Final Calculation Sheet'!$L$22)</f>
        <v/>
      </c>
    </row>
    <row r="627" outlineLevel="3" ht="15" customHeight="1">
      <c r="A627" s="69" t="inlineStr">
        <is>
          <t xml:space="preserve">            Service Charge gross (₹)</t>
        </is>
      </c>
      <c r="B627" s="78">
        <f>IF('Final Calculation Sheet'!$M$22="","",'Final Calculation Sheet'!$M$22)</f>
        <v/>
      </c>
    </row>
    <row r="628" outlineLevel="3" ht="15" customHeight="1">
      <c r="A628" s="69" t="inlineStr">
        <is>
          <t xml:space="preserve">            TDS u/s 194(H) (₹)</t>
        </is>
      </c>
      <c r="B628" s="78">
        <f>IF('Final Calculation Sheet'!$N$22="","",'Final Calculation Sheet'!$N$22)</f>
        <v/>
      </c>
    </row>
    <row r="629" outlineLevel="3" ht="15" customHeight="1">
      <c r="A629" s="69" t="inlineStr">
        <is>
          <t xml:space="preserve">            Net Service Charge (₹)</t>
        </is>
      </c>
      <c r="B629" s="78">
        <f>IF('Final Calculation Sheet'!$O$22="","",'Final Calculation Sheet'!$O$22)</f>
        <v/>
      </c>
    </row>
    <row r="630" outlineLevel="3" ht="15" customHeight="1">
      <c r="A630" s="69" t="inlineStr">
        <is>
          <t xml:space="preserve">            Svc Charge to MSTC (₹)</t>
        </is>
      </c>
      <c r="B630" s="70">
        <f>IF('Final Calculation Sheet'!$P$22="","",'Final Calculation Sheet'!$P$22)</f>
        <v/>
      </c>
    </row>
    <row r="631" outlineLevel="3" ht="15" customHeight="1">
      <c r="A631" s="69" t="inlineStr">
        <is>
          <t xml:space="preserve">            GST TDS Rate</t>
        </is>
      </c>
      <c r="B631" s="80">
        <f>IF('Final Calculation Sheet'!$Q$22="","",'Final Calculation Sheet'!$Q$22)</f>
        <v/>
      </c>
    </row>
    <row r="632" outlineLevel="3" ht="15" customHeight="1">
      <c r="A632" s="69" t="inlineStr">
        <is>
          <t xml:space="preserve">            GST TDS (₹)</t>
        </is>
      </c>
      <c r="B632" s="70">
        <f>IF('Final Calculation Sheet'!$R$22="","",'Final Calculation Sheet'!$R$22)</f>
        <v/>
      </c>
    </row>
    <row r="633" outlineLevel="3" ht="15" customHeight="1">
      <c r="A633" s="69" t="inlineStr">
        <is>
          <t xml:space="preserve">            Total Receivables (₹)</t>
        </is>
      </c>
      <c r="B633" s="70">
        <f>IF('Final Calculation Sheet'!$S$22="","",'Final Calculation Sheet'!$S$22)</f>
        <v/>
      </c>
    </row>
    <row r="634" outlineLevel="2" ht="16" customHeight="1">
      <c r="A634" s="463" t="inlineStr">
        <is>
          <t xml:space="preserve">      ▸ SECURITY DEPOSIT</t>
        </is>
      </c>
      <c r="B634" s="464" t="n"/>
    </row>
    <row r="635" outlineLevel="3" ht="15" customHeight="1">
      <c r="A635" s="69" t="inlineStr">
        <is>
          <t xml:space="preserve">            SD Expected (₹)</t>
        </is>
      </c>
      <c r="B635" s="70">
        <f>IF('Final Calculation Sheet'!$T$22="","",'Final Calculation Sheet'!$T$22)</f>
        <v/>
      </c>
    </row>
    <row r="636" outlineLevel="3" ht="15" customHeight="1">
      <c r="A636" s="69" t="inlineStr">
        <is>
          <t xml:space="preserve">            SD Received (₹)</t>
        </is>
      </c>
      <c r="B636" s="70">
        <f>IF('Final Calculation Sheet'!$U$22="","",'Final Calculation Sheet'!$U$22)</f>
        <v/>
      </c>
    </row>
    <row r="637" outlineLevel="3" ht="15" customHeight="1">
      <c r="A637" s="69" t="inlineStr">
        <is>
          <t xml:space="preserve">            SD Receipt Date</t>
        </is>
      </c>
      <c r="B637" s="76">
        <f>IF('Final Calculation Sheet'!$V$22="","",'Final Calculation Sheet'!$V$22)</f>
        <v/>
      </c>
    </row>
    <row r="638" outlineLevel="2" ht="16" customHeight="1">
      <c r="A638" s="463" t="inlineStr">
        <is>
          <t xml:space="preserve">      ▸ FINAL PAYMENT</t>
        </is>
      </c>
      <c r="B638" s="464" t="n"/>
    </row>
    <row r="639" outlineLevel="3" ht="15" customHeight="1">
      <c r="A639" s="69" t="inlineStr">
        <is>
          <t xml:space="preserve">            FP Expected (₹)</t>
        </is>
      </c>
      <c r="B639" s="70">
        <f>IF('Final Calculation Sheet'!$W$22="","",'Final Calculation Sheet'!$W$22)</f>
        <v/>
      </c>
    </row>
    <row r="640" outlineLevel="3" ht="15" customHeight="1">
      <c r="A640" s="69" t="inlineStr">
        <is>
          <t xml:space="preserve">            FP Received (₹)</t>
        </is>
      </c>
      <c r="B640" s="70">
        <f>IF('Final Calculation Sheet'!$X$22="","",'Final Calculation Sheet'!$X$22)</f>
        <v/>
      </c>
    </row>
    <row r="641" outlineLevel="3" ht="15" customHeight="1">
      <c r="A641" s="69" t="inlineStr">
        <is>
          <t xml:space="preserve">            FP Receipt Date</t>
        </is>
      </c>
      <c r="B641" s="76">
        <f>IF('Final Calculation Sheet'!$Y$22="","",'Final Calculation Sheet'!$Y$22)</f>
        <v/>
      </c>
    </row>
    <row r="642" outlineLevel="2" ht="16" customHeight="1">
      <c r="A642" s="463" t="inlineStr">
        <is>
          <t xml:space="preserve">      ▸ LPP</t>
        </is>
      </c>
      <c r="B642" s="464" t="n"/>
    </row>
    <row r="643" outlineLevel="3" ht="15" customHeight="1">
      <c r="A643" s="69" t="inlineStr">
        <is>
          <t xml:space="preserve">            LPP Expected (₹)</t>
        </is>
      </c>
      <c r="B643" s="70">
        <f>IF('Final Calculation Sheet'!$Z$22="","",'Final Calculation Sheet'!$Z$22)</f>
        <v/>
      </c>
    </row>
    <row r="644" outlineLevel="3" ht="15" customHeight="1">
      <c r="A644" s="69" t="inlineStr">
        <is>
          <t xml:space="preserve">            LPP Received (₹)</t>
        </is>
      </c>
      <c r="B644" s="70">
        <f>IF('Final Calculation Sheet'!$AA$22="","",'Final Calculation Sheet'!$AA$22)</f>
        <v/>
      </c>
    </row>
    <row r="645" outlineLevel="3" ht="15" customHeight="1">
      <c r="A645" s="69" t="inlineStr">
        <is>
          <t xml:space="preserve">            LPP Receipt Date</t>
        </is>
      </c>
      <c r="B645" s="76">
        <f>IF('Final Calculation Sheet'!$AB$22="","",'Final Calculation Sheet'!$AB$22)</f>
        <v/>
      </c>
    </row>
    <row r="646" outlineLevel="2" ht="16" customHeight="1">
      <c r="A646" s="463" t="inlineStr">
        <is>
          <t xml:space="preserve">      ▸ SUMMARY</t>
        </is>
      </c>
      <c r="B646" s="464" t="n"/>
    </row>
    <row r="647" outlineLevel="3" ht="15" customHeight="1">
      <c r="A647" s="69" t="inlineStr">
        <is>
          <t xml:space="preserve">            Total Received (₹)</t>
        </is>
      </c>
      <c r="B647" s="70">
        <f>IF('Final Calculation Sheet'!$AC$22="","",'Final Calculation Sheet'!$AC$22)</f>
        <v/>
      </c>
    </row>
    <row r="648" outlineLevel="3" ht="15" customHeight="1">
      <c r="A648" s="69" t="inlineStr">
        <is>
          <t xml:space="preserve">            Outstanding (₹)</t>
        </is>
      </c>
      <c r="B648" s="70">
        <f>IF('Final Calculation Sheet'!$AD$22="","",'Final Calculation Sheet'!$AD$22)</f>
        <v/>
      </c>
    </row>
    <row r="649" outlineLevel="3" ht="15" customHeight="1">
      <c r="A649" s="69" t="inlineStr">
        <is>
          <t xml:space="preserve">            Payment Status</t>
        </is>
      </c>
      <c r="B649" s="81">
        <f>IF('Final Calculation Sheet'!$AD$22="","",IF('Final Calculation Sheet'!$AD$22&lt;=0,"SETTLED","OUTSTANDING"))</f>
        <v/>
      </c>
    </row>
    <row r="650" outlineLevel="2" ht="16" customHeight="1">
      <c r="A650" s="463" t="inlineStr">
        <is>
          <t xml:space="preserve">      ▸ DOCUMENT</t>
        </is>
      </c>
      <c r="B650" s="464" t="n"/>
    </row>
    <row r="651" outlineLevel="3" ht="15" customHeight="1">
      <c r="A651" s="69" t="inlineStr">
        <is>
          <t xml:space="preserve">            Invoice No.</t>
        </is>
      </c>
      <c r="B651" s="76">
        <f>IF('Final Calculation Sheet'!$AE$22="","",'Final Calculation Sheet'!$AE$22)</f>
        <v/>
      </c>
    </row>
    <row r="652" outlineLevel="3" ht="15" customHeight="1">
      <c r="A652" s="69" t="inlineStr">
        <is>
          <t xml:space="preserve">            SAP Document</t>
        </is>
      </c>
      <c r="B652" s="70">
        <f>IF('Final Calculation Sheet'!$AF$22="","",'Final Calculation Sheet'!$AF$22)</f>
        <v/>
      </c>
    </row>
    <row r="653" outlineLevel="3" ht="15" customHeight="1">
      <c r="A653" s="69" t="inlineStr">
        <is>
          <t xml:space="preserve">            Doc./Invoice Date</t>
        </is>
      </c>
      <c r="B653" s="76">
        <f>IF('Final Calculation Sheet'!$AG$22="","",'Final Calculation Sheet'!$AG$22)</f>
        <v/>
      </c>
    </row>
    <row r="654" outlineLevel="1" ht="20" customHeight="1">
      <c r="A654" s="462">
        <f>"   ▸  LOT "&amp;'Final Calculation Sheet'!$F$24&amp;"   •   "&amp;'Final Calculation Sheet'!$B$24&amp;"   •   MAT. VALUE ₹"&amp;TEXT('Final Calculation Sheet'!$H$24,"#,##0")&amp;"   •   OUTSTANDING ₹"&amp;TEXT('Final Calculation Sheet'!$AD$24,"#,##0")</f>
        <v/>
      </c>
      <c r="B654" s="130" t="n"/>
    </row>
    <row r="655" outlineLevel="2" ht="16" customHeight="1">
      <c r="A655" s="463" t="inlineStr">
        <is>
          <t xml:space="preserve">      ▸ LOT INFORMATION</t>
        </is>
      </c>
      <c r="B655" s="464" t="n"/>
    </row>
    <row r="656" outlineLevel="3" ht="15" customHeight="1">
      <c r="A656" s="69" t="inlineStr">
        <is>
          <t xml:space="preserve">            Lot No.</t>
        </is>
      </c>
      <c r="B656" s="70">
        <f>IF('Final Calculation Sheet'!$F$24="","",'Final Calculation Sheet'!$F$24)</f>
        <v/>
      </c>
    </row>
    <row r="657" outlineLevel="3" ht="15" customHeight="1">
      <c r="A657" s="69" t="inlineStr">
        <is>
          <t xml:space="preserve">            Lot Name</t>
        </is>
      </c>
      <c r="B657" s="76">
        <f>IF('Final Calculation Sheet'!$B$24="","",'Final Calculation Sheet'!$B$24)</f>
        <v/>
      </c>
    </row>
    <row r="658" outlineLevel="3" ht="15" customHeight="1">
      <c r="A658" s="69" t="inlineStr">
        <is>
          <t xml:space="preserve">            Bid Sheet / Auction</t>
        </is>
      </c>
      <c r="B658" s="70">
        <f>IF('Final Calculation Sheet'!$D$24="","",'Final Calculation Sheet'!$D$24)</f>
        <v/>
      </c>
    </row>
    <row r="659" outlineLevel="3" ht="15" customHeight="1">
      <c r="A659" s="69" t="inlineStr">
        <is>
          <t xml:space="preserve">            Quantity</t>
        </is>
      </c>
      <c r="B659" s="74">
        <f>IF('Final Calculation Sheet'!$A$24="","",'Final Calculation Sheet'!$A$24)</f>
        <v/>
      </c>
    </row>
    <row r="660" outlineLevel="3" ht="15" customHeight="1">
      <c r="A660" s="69" t="inlineStr">
        <is>
          <t xml:space="preserve">            Unit</t>
        </is>
      </c>
      <c r="B660" s="76">
        <f>IF('Final Calculation Sheet'!$E$24="","",'Final Calculation Sheet'!$E$24)</f>
        <v/>
      </c>
    </row>
    <row r="661" outlineLevel="3" ht="15" customHeight="1">
      <c r="A661" s="69" t="inlineStr">
        <is>
          <t xml:space="preserve">            Rate (₹)</t>
        </is>
      </c>
      <c r="B661" s="70">
        <f>IF('Final Calculation Sheet'!$C$24="","",'Final Calculation Sheet'!$C$24)</f>
        <v/>
      </c>
    </row>
    <row r="662" outlineLevel="2" ht="16" customHeight="1">
      <c r="A662" s="463" t="inlineStr">
        <is>
          <t xml:space="preserve">      ▸ FINANCIALS</t>
        </is>
      </c>
      <c r="B662" s="464" t="n"/>
    </row>
    <row r="663" outlineLevel="3" ht="15" customHeight="1">
      <c r="A663" s="69" t="inlineStr">
        <is>
          <t xml:space="preserve">            Mat. Value (₹)</t>
        </is>
      </c>
      <c r="B663" s="70">
        <f>IF('Final Calculation Sheet'!$H$24="","",'Final Calculation Sheet'!$H$24)</f>
        <v/>
      </c>
    </row>
    <row r="664" outlineLevel="3" ht="15" customHeight="1">
      <c r="A664" s="69" t="inlineStr">
        <is>
          <t xml:space="preserve">            GST @ 18% (₹)</t>
        </is>
      </c>
      <c r="B664" s="70">
        <f>IF('Final Calculation Sheet'!$I$24="","",'Final Calculation Sheet'!$I$24)</f>
        <v/>
      </c>
    </row>
    <row r="665" outlineLevel="3" ht="15" customHeight="1">
      <c r="A665" s="69" t="inlineStr">
        <is>
          <t xml:space="preserve">            Mat. Value + GST (₹)</t>
        </is>
      </c>
      <c r="B665" s="70">
        <f>IF('Final Calculation Sheet'!$J$24="","",'Final Calculation Sheet'!$J$24)</f>
        <v/>
      </c>
    </row>
    <row r="666" outlineLevel="3" ht="15" customHeight="1">
      <c r="A666" s="69" t="inlineStr">
        <is>
          <t xml:space="preserve">            TCS @ 2% (₹)</t>
        </is>
      </c>
      <c r="B666" s="70">
        <f>IF('Final Calculation Sheet'!$K$24="","",'Final Calculation Sheet'!$K$24)</f>
        <v/>
      </c>
    </row>
    <row r="667" outlineLevel="3" ht="15" customHeight="1">
      <c r="A667" s="69" t="inlineStr">
        <is>
          <t xml:space="preserve">            TDS u/s 194(O) (₹)</t>
        </is>
      </c>
      <c r="B667" s="78">
        <f>IF('Final Calculation Sheet'!$L$24="","",'Final Calculation Sheet'!$L$24)</f>
        <v/>
      </c>
    </row>
    <row r="668" outlineLevel="3" ht="15" customHeight="1">
      <c r="A668" s="69" t="inlineStr">
        <is>
          <t xml:space="preserve">            Service Charge gross (₹)</t>
        </is>
      </c>
      <c r="B668" s="78">
        <f>IF('Final Calculation Sheet'!$M$24="","",'Final Calculation Sheet'!$M$24)</f>
        <v/>
      </c>
    </row>
    <row r="669" outlineLevel="3" ht="15" customHeight="1">
      <c r="A669" s="69" t="inlineStr">
        <is>
          <t xml:space="preserve">            TDS u/s 194(H) (₹)</t>
        </is>
      </c>
      <c r="B669" s="78">
        <f>IF('Final Calculation Sheet'!$N$24="","",'Final Calculation Sheet'!$N$24)</f>
        <v/>
      </c>
    </row>
    <row r="670" outlineLevel="3" ht="15" customHeight="1">
      <c r="A670" s="69" t="inlineStr">
        <is>
          <t xml:space="preserve">            Net Service Charge (₹)</t>
        </is>
      </c>
      <c r="B670" s="78">
        <f>IF('Final Calculation Sheet'!$O$24="","",'Final Calculation Sheet'!$O$24)</f>
        <v/>
      </c>
    </row>
    <row r="671" outlineLevel="3" ht="15" customHeight="1">
      <c r="A671" s="69" t="inlineStr">
        <is>
          <t xml:space="preserve">            Svc Charge to MSTC (₹)</t>
        </is>
      </c>
      <c r="B671" s="70">
        <f>IF('Final Calculation Sheet'!$P$24="","",'Final Calculation Sheet'!$P$24)</f>
        <v/>
      </c>
    </row>
    <row r="672" outlineLevel="3" ht="15" customHeight="1">
      <c r="A672" s="69" t="inlineStr">
        <is>
          <t xml:space="preserve">            GST TDS Rate</t>
        </is>
      </c>
      <c r="B672" s="80">
        <f>IF('Final Calculation Sheet'!$Q$24="","",'Final Calculation Sheet'!$Q$24)</f>
        <v/>
      </c>
    </row>
    <row r="673" outlineLevel="3" ht="15" customHeight="1">
      <c r="A673" s="69" t="inlineStr">
        <is>
          <t xml:space="preserve">            GST TDS (₹)</t>
        </is>
      </c>
      <c r="B673" s="70">
        <f>IF('Final Calculation Sheet'!$R$24="","",'Final Calculation Sheet'!$R$24)</f>
        <v/>
      </c>
    </row>
    <row r="674" outlineLevel="3" ht="15" customHeight="1">
      <c r="A674" s="69" t="inlineStr">
        <is>
          <t xml:space="preserve">            Total Receivables (₹)</t>
        </is>
      </c>
      <c r="B674" s="70">
        <f>IF('Final Calculation Sheet'!$S$24="","",'Final Calculation Sheet'!$S$24)</f>
        <v/>
      </c>
    </row>
    <row r="675" outlineLevel="2" ht="16" customHeight="1">
      <c r="A675" s="463" t="inlineStr">
        <is>
          <t xml:space="preserve">      ▸ SECURITY DEPOSIT</t>
        </is>
      </c>
      <c r="B675" s="464" t="n"/>
    </row>
    <row r="676" outlineLevel="3" ht="15" customHeight="1">
      <c r="A676" s="69" t="inlineStr">
        <is>
          <t xml:space="preserve">            SD Expected (₹)</t>
        </is>
      </c>
      <c r="B676" s="70">
        <f>IF('Final Calculation Sheet'!$T$24="","",'Final Calculation Sheet'!$T$24)</f>
        <v/>
      </c>
    </row>
    <row r="677" outlineLevel="3" ht="15" customHeight="1">
      <c r="A677" s="69" t="inlineStr">
        <is>
          <t xml:space="preserve">            SD Received (₹)</t>
        </is>
      </c>
      <c r="B677" s="70">
        <f>IF('Final Calculation Sheet'!$U$24="","",'Final Calculation Sheet'!$U$24)</f>
        <v/>
      </c>
    </row>
    <row r="678" outlineLevel="3" ht="15" customHeight="1">
      <c r="A678" s="69" t="inlineStr">
        <is>
          <t xml:space="preserve">            SD Receipt Date</t>
        </is>
      </c>
      <c r="B678" s="76">
        <f>IF('Final Calculation Sheet'!$V$24="","",'Final Calculation Sheet'!$V$24)</f>
        <v/>
      </c>
    </row>
    <row r="679" outlineLevel="2" ht="16" customHeight="1">
      <c r="A679" s="463" t="inlineStr">
        <is>
          <t xml:space="preserve">      ▸ FINAL PAYMENT</t>
        </is>
      </c>
      <c r="B679" s="464" t="n"/>
    </row>
    <row r="680" outlineLevel="3" ht="15" customHeight="1">
      <c r="A680" s="69" t="inlineStr">
        <is>
          <t xml:space="preserve">            FP Expected (₹)</t>
        </is>
      </c>
      <c r="B680" s="70">
        <f>IF('Final Calculation Sheet'!$W$24="","",'Final Calculation Sheet'!$W$24)</f>
        <v/>
      </c>
    </row>
    <row r="681" outlineLevel="3" ht="15" customHeight="1">
      <c r="A681" s="69" t="inlineStr">
        <is>
          <t xml:space="preserve">            FP Received (₹)</t>
        </is>
      </c>
      <c r="B681" s="70">
        <f>IF('Final Calculation Sheet'!$X$24="","",'Final Calculation Sheet'!$X$24)</f>
        <v/>
      </c>
    </row>
    <row r="682" outlineLevel="3" ht="15" customHeight="1">
      <c r="A682" s="69" t="inlineStr">
        <is>
          <t xml:space="preserve">            FP Receipt Date</t>
        </is>
      </c>
      <c r="B682" s="76">
        <f>IF('Final Calculation Sheet'!$Y$24="","",'Final Calculation Sheet'!$Y$24)</f>
        <v/>
      </c>
    </row>
    <row r="683" outlineLevel="2" ht="16" customHeight="1">
      <c r="A683" s="463" t="inlineStr">
        <is>
          <t xml:space="preserve">      ▸ LPP</t>
        </is>
      </c>
      <c r="B683" s="464" t="n"/>
    </row>
    <row r="684" outlineLevel="3" ht="15" customHeight="1">
      <c r="A684" s="69" t="inlineStr">
        <is>
          <t xml:space="preserve">            LPP Expected (₹)</t>
        </is>
      </c>
      <c r="B684" s="70">
        <f>IF('Final Calculation Sheet'!$Z$24="","",'Final Calculation Sheet'!$Z$24)</f>
        <v/>
      </c>
    </row>
    <row r="685" outlineLevel="3" ht="15" customHeight="1">
      <c r="A685" s="69" t="inlineStr">
        <is>
          <t xml:space="preserve">            LPP Received (₹)</t>
        </is>
      </c>
      <c r="B685" s="70">
        <f>IF('Final Calculation Sheet'!$AA$24="","",'Final Calculation Sheet'!$AA$24)</f>
        <v/>
      </c>
    </row>
    <row r="686" outlineLevel="3" ht="15" customHeight="1">
      <c r="A686" s="69" t="inlineStr">
        <is>
          <t xml:space="preserve">            LPP Receipt Date</t>
        </is>
      </c>
      <c r="B686" s="76">
        <f>IF('Final Calculation Sheet'!$AB$24="","",'Final Calculation Sheet'!$AB$24)</f>
        <v/>
      </c>
    </row>
    <row r="687" outlineLevel="2" ht="16" customHeight="1">
      <c r="A687" s="463" t="inlineStr">
        <is>
          <t xml:space="preserve">      ▸ SUMMARY</t>
        </is>
      </c>
      <c r="B687" s="464" t="n"/>
    </row>
    <row r="688" outlineLevel="3" ht="15" customHeight="1">
      <c r="A688" s="69" t="inlineStr">
        <is>
          <t xml:space="preserve">            Total Received (₹)</t>
        </is>
      </c>
      <c r="B688" s="70">
        <f>IF('Final Calculation Sheet'!$AC$24="","",'Final Calculation Sheet'!$AC$24)</f>
        <v/>
      </c>
    </row>
    <row r="689" outlineLevel="3" ht="15" customHeight="1">
      <c r="A689" s="69" t="inlineStr">
        <is>
          <t xml:space="preserve">            Outstanding (₹)</t>
        </is>
      </c>
      <c r="B689" s="70">
        <f>IF('Final Calculation Sheet'!$AD$24="","",'Final Calculation Sheet'!$AD$24)</f>
        <v/>
      </c>
    </row>
    <row r="690" outlineLevel="3" ht="15" customHeight="1">
      <c r="A690" s="69" t="inlineStr">
        <is>
          <t xml:space="preserve">            Payment Status</t>
        </is>
      </c>
      <c r="B690" s="81">
        <f>IF('Final Calculation Sheet'!$AD$24="","",IF('Final Calculation Sheet'!$AD$24&lt;=0,"SETTLED","OUTSTANDING"))</f>
        <v/>
      </c>
    </row>
    <row r="691" outlineLevel="2" ht="16" customHeight="1">
      <c r="A691" s="463" t="inlineStr">
        <is>
          <t xml:space="preserve">      ▸ DOCUMENT</t>
        </is>
      </c>
      <c r="B691" s="464" t="n"/>
    </row>
    <row r="692" outlineLevel="3" ht="15" customHeight="1">
      <c r="A692" s="69" t="inlineStr">
        <is>
          <t xml:space="preserve">            Invoice No.</t>
        </is>
      </c>
      <c r="B692" s="76">
        <f>IF('Final Calculation Sheet'!$AE$24="","",'Final Calculation Sheet'!$AE$24)</f>
        <v/>
      </c>
    </row>
    <row r="693" outlineLevel="3" ht="15" customHeight="1">
      <c r="A693" s="69" t="inlineStr">
        <is>
          <t xml:space="preserve">            SAP Document</t>
        </is>
      </c>
      <c r="B693" s="70">
        <f>IF('Final Calculation Sheet'!$AF$24="","",'Final Calculation Sheet'!$AF$24)</f>
        <v/>
      </c>
    </row>
    <row r="694" outlineLevel="3" ht="15" customHeight="1">
      <c r="A694" s="69" t="inlineStr">
        <is>
          <t xml:space="preserve">            Doc./Invoice Date</t>
        </is>
      </c>
      <c r="B694" s="76">
        <f>IF('Final Calculation Sheet'!$AG$24="","",'Final Calculation Sheet'!$AG$24)</f>
        <v/>
      </c>
    </row>
    <row r="695" outlineLevel="1" ht="20" customHeight="1">
      <c r="A695" s="462">
        <f>"   ▸  LOT "&amp;'Final Calculation Sheet'!$F$26&amp;"   •   "&amp;'Final Calculation Sheet'!$B$26&amp;"   •   MAT. VALUE ₹"&amp;TEXT('Final Calculation Sheet'!$H$26,"#,##0")&amp;"   •   OUTSTANDING ₹"&amp;TEXT('Final Calculation Sheet'!$AD$26,"#,##0")</f>
        <v/>
      </c>
      <c r="B695" s="130" t="n"/>
    </row>
    <row r="696" outlineLevel="2" ht="16" customHeight="1">
      <c r="A696" s="463" t="inlineStr">
        <is>
          <t xml:space="preserve">      ▸ LOT INFORMATION</t>
        </is>
      </c>
      <c r="B696" s="464" t="n"/>
    </row>
    <row r="697" outlineLevel="3" ht="15" customHeight="1">
      <c r="A697" s="69" t="inlineStr">
        <is>
          <t xml:space="preserve">            Lot No.</t>
        </is>
      </c>
      <c r="B697" s="70">
        <f>IF('Final Calculation Sheet'!$F$26="","",'Final Calculation Sheet'!$F$26)</f>
        <v/>
      </c>
    </row>
    <row r="698" outlineLevel="3" ht="15" customHeight="1">
      <c r="A698" s="69" t="inlineStr">
        <is>
          <t xml:space="preserve">            Lot Name</t>
        </is>
      </c>
      <c r="B698" s="76">
        <f>IF('Final Calculation Sheet'!$B$26="","",'Final Calculation Sheet'!$B$26)</f>
        <v/>
      </c>
    </row>
    <row r="699" outlineLevel="3" ht="15" customHeight="1">
      <c r="A699" s="69" t="inlineStr">
        <is>
          <t xml:space="preserve">            Bid Sheet / Auction</t>
        </is>
      </c>
      <c r="B699" s="70">
        <f>IF('Final Calculation Sheet'!$D$26="","",'Final Calculation Sheet'!$D$26)</f>
        <v/>
      </c>
    </row>
    <row r="700" outlineLevel="3" ht="15" customHeight="1">
      <c r="A700" s="69" t="inlineStr">
        <is>
          <t xml:space="preserve">            Quantity</t>
        </is>
      </c>
      <c r="B700" s="74">
        <f>IF('Final Calculation Sheet'!$A$26="","",'Final Calculation Sheet'!$A$26)</f>
        <v/>
      </c>
    </row>
    <row r="701" outlineLevel="3" ht="15" customHeight="1">
      <c r="A701" s="69" t="inlineStr">
        <is>
          <t xml:space="preserve">            Unit</t>
        </is>
      </c>
      <c r="B701" s="76">
        <f>IF('Final Calculation Sheet'!$E$26="","",'Final Calculation Sheet'!$E$26)</f>
        <v/>
      </c>
    </row>
    <row r="702" outlineLevel="3" ht="15" customHeight="1">
      <c r="A702" s="69" t="inlineStr">
        <is>
          <t xml:space="preserve">            Rate (₹)</t>
        </is>
      </c>
      <c r="B702" s="70">
        <f>IF('Final Calculation Sheet'!$C$26="","",'Final Calculation Sheet'!$C$26)</f>
        <v/>
      </c>
    </row>
    <row r="703" outlineLevel="2" ht="16" customHeight="1">
      <c r="A703" s="463" t="inlineStr">
        <is>
          <t xml:space="preserve">      ▸ FINANCIALS</t>
        </is>
      </c>
      <c r="B703" s="464" t="n"/>
    </row>
    <row r="704" outlineLevel="3" ht="15" customHeight="1">
      <c r="A704" s="69" t="inlineStr">
        <is>
          <t xml:space="preserve">            Mat. Value (₹)</t>
        </is>
      </c>
      <c r="B704" s="70">
        <f>IF('Final Calculation Sheet'!$H$26="","",'Final Calculation Sheet'!$H$26)</f>
        <v/>
      </c>
    </row>
    <row r="705" outlineLevel="3" ht="15" customHeight="1">
      <c r="A705" s="69" t="inlineStr">
        <is>
          <t xml:space="preserve">            GST @ 18% (₹)</t>
        </is>
      </c>
      <c r="B705" s="70">
        <f>IF('Final Calculation Sheet'!$I$26="","",'Final Calculation Sheet'!$I$26)</f>
        <v/>
      </c>
    </row>
    <row r="706" outlineLevel="3" ht="15" customHeight="1">
      <c r="A706" s="69" t="inlineStr">
        <is>
          <t xml:space="preserve">            Mat. Value + GST (₹)</t>
        </is>
      </c>
      <c r="B706" s="70">
        <f>IF('Final Calculation Sheet'!$J$26="","",'Final Calculation Sheet'!$J$26)</f>
        <v/>
      </c>
    </row>
    <row r="707" outlineLevel="3" ht="15" customHeight="1">
      <c r="A707" s="69" t="inlineStr">
        <is>
          <t xml:space="preserve">            TCS @ 2% (₹)</t>
        </is>
      </c>
      <c r="B707" s="70">
        <f>IF('Final Calculation Sheet'!$K$26="","",'Final Calculation Sheet'!$K$26)</f>
        <v/>
      </c>
    </row>
    <row r="708" outlineLevel="3" ht="15" customHeight="1">
      <c r="A708" s="69" t="inlineStr">
        <is>
          <t xml:space="preserve">            TDS u/s 194(O) (₹)</t>
        </is>
      </c>
      <c r="B708" s="78">
        <f>IF('Final Calculation Sheet'!$L$26="","",'Final Calculation Sheet'!$L$26)</f>
        <v/>
      </c>
    </row>
    <row r="709" outlineLevel="3" ht="15" customHeight="1">
      <c r="A709" s="69" t="inlineStr">
        <is>
          <t xml:space="preserve">            Service Charge gross (₹)</t>
        </is>
      </c>
      <c r="B709" s="78">
        <f>IF('Final Calculation Sheet'!$M$26="","",'Final Calculation Sheet'!$M$26)</f>
        <v/>
      </c>
    </row>
    <row r="710" outlineLevel="3" ht="15" customHeight="1">
      <c r="A710" s="69" t="inlineStr">
        <is>
          <t xml:space="preserve">            TDS u/s 194(H) (₹)</t>
        </is>
      </c>
      <c r="B710" s="78">
        <f>IF('Final Calculation Sheet'!$N$26="","",'Final Calculation Sheet'!$N$26)</f>
        <v/>
      </c>
    </row>
    <row r="711" outlineLevel="3" ht="15" customHeight="1">
      <c r="A711" s="69" t="inlineStr">
        <is>
          <t xml:space="preserve">            Net Service Charge (₹)</t>
        </is>
      </c>
      <c r="B711" s="78">
        <f>IF('Final Calculation Sheet'!$O$26="","",'Final Calculation Sheet'!$O$26)</f>
        <v/>
      </c>
    </row>
    <row r="712" outlineLevel="3" ht="15" customHeight="1">
      <c r="A712" s="69" t="inlineStr">
        <is>
          <t xml:space="preserve">            Svc Charge to MSTC (₹)</t>
        </is>
      </c>
      <c r="B712" s="70">
        <f>IF('Final Calculation Sheet'!$P$26="","",'Final Calculation Sheet'!$P$26)</f>
        <v/>
      </c>
    </row>
    <row r="713" outlineLevel="3" ht="15" customHeight="1">
      <c r="A713" s="69" t="inlineStr">
        <is>
          <t xml:space="preserve">            GST TDS Rate</t>
        </is>
      </c>
      <c r="B713" s="80">
        <f>IF('Final Calculation Sheet'!$Q$26="","",'Final Calculation Sheet'!$Q$26)</f>
        <v/>
      </c>
    </row>
    <row r="714" outlineLevel="3" ht="15" customHeight="1">
      <c r="A714" s="69" t="inlineStr">
        <is>
          <t xml:space="preserve">            GST TDS (₹)</t>
        </is>
      </c>
      <c r="B714" s="70">
        <f>IF('Final Calculation Sheet'!$R$26="","",'Final Calculation Sheet'!$R$26)</f>
        <v/>
      </c>
    </row>
    <row r="715" outlineLevel="3" ht="15" customHeight="1">
      <c r="A715" s="69" t="inlineStr">
        <is>
          <t xml:space="preserve">            Total Receivables (₹)</t>
        </is>
      </c>
      <c r="B715" s="70">
        <f>IF('Final Calculation Sheet'!$S$26="","",'Final Calculation Sheet'!$S$26)</f>
        <v/>
      </c>
    </row>
    <row r="716" outlineLevel="2" ht="16" customHeight="1">
      <c r="A716" s="463" t="inlineStr">
        <is>
          <t xml:space="preserve">      ▸ SECURITY DEPOSIT</t>
        </is>
      </c>
      <c r="B716" s="464" t="n"/>
    </row>
    <row r="717" outlineLevel="3" ht="15" customHeight="1">
      <c r="A717" s="69" t="inlineStr">
        <is>
          <t xml:space="preserve">            SD Expected (₹)</t>
        </is>
      </c>
      <c r="B717" s="70">
        <f>IF('Final Calculation Sheet'!$T$26="","",'Final Calculation Sheet'!$T$26)</f>
        <v/>
      </c>
    </row>
    <row r="718" outlineLevel="3" ht="15" customHeight="1">
      <c r="A718" s="69" t="inlineStr">
        <is>
          <t xml:space="preserve">            SD Received (₹)</t>
        </is>
      </c>
      <c r="B718" s="70">
        <f>IF('Final Calculation Sheet'!$U$26="","",'Final Calculation Sheet'!$U$26)</f>
        <v/>
      </c>
    </row>
    <row r="719" outlineLevel="3" ht="15" customHeight="1">
      <c r="A719" s="69" t="inlineStr">
        <is>
          <t xml:space="preserve">            SD Receipt Date</t>
        </is>
      </c>
      <c r="B719" s="76">
        <f>IF('Final Calculation Sheet'!$V$26="","",'Final Calculation Sheet'!$V$26)</f>
        <v/>
      </c>
    </row>
    <row r="720" outlineLevel="2" ht="16" customHeight="1">
      <c r="A720" s="463" t="inlineStr">
        <is>
          <t xml:space="preserve">      ▸ FINAL PAYMENT</t>
        </is>
      </c>
      <c r="B720" s="464" t="n"/>
    </row>
    <row r="721" outlineLevel="3" ht="15" customHeight="1">
      <c r="A721" s="69" t="inlineStr">
        <is>
          <t xml:space="preserve">            FP Expected (₹)</t>
        </is>
      </c>
      <c r="B721" s="70">
        <f>IF('Final Calculation Sheet'!$W$26="","",'Final Calculation Sheet'!$W$26)</f>
        <v/>
      </c>
    </row>
    <row r="722" outlineLevel="3" ht="15" customHeight="1">
      <c r="A722" s="69" t="inlineStr">
        <is>
          <t xml:space="preserve">            FP Received (₹)</t>
        </is>
      </c>
      <c r="B722" s="70">
        <f>IF('Final Calculation Sheet'!$X$26="","",'Final Calculation Sheet'!$X$26)</f>
        <v/>
      </c>
    </row>
    <row r="723" outlineLevel="3" ht="15" customHeight="1">
      <c r="A723" s="69" t="inlineStr">
        <is>
          <t xml:space="preserve">            FP Receipt Date</t>
        </is>
      </c>
      <c r="B723" s="76">
        <f>IF('Final Calculation Sheet'!$Y$26="","",'Final Calculation Sheet'!$Y$26)</f>
        <v/>
      </c>
    </row>
    <row r="724" outlineLevel="2" ht="16" customHeight="1">
      <c r="A724" s="463" t="inlineStr">
        <is>
          <t xml:space="preserve">      ▸ LPP</t>
        </is>
      </c>
      <c r="B724" s="464" t="n"/>
    </row>
    <row r="725" outlineLevel="3" ht="15" customHeight="1">
      <c r="A725" s="69" t="inlineStr">
        <is>
          <t xml:space="preserve">            LPP Expected (₹)</t>
        </is>
      </c>
      <c r="B725" s="70">
        <f>IF('Final Calculation Sheet'!$Z$26="","",'Final Calculation Sheet'!$Z$26)</f>
        <v/>
      </c>
    </row>
    <row r="726" outlineLevel="3" ht="15" customHeight="1">
      <c r="A726" s="69" t="inlineStr">
        <is>
          <t xml:space="preserve">            LPP Received (₹)</t>
        </is>
      </c>
      <c r="B726" s="70">
        <f>IF('Final Calculation Sheet'!$AA$26="","",'Final Calculation Sheet'!$AA$26)</f>
        <v/>
      </c>
    </row>
    <row r="727" outlineLevel="3" ht="15" customHeight="1">
      <c r="A727" s="69" t="inlineStr">
        <is>
          <t xml:space="preserve">            LPP Receipt Date</t>
        </is>
      </c>
      <c r="B727" s="76">
        <f>IF('Final Calculation Sheet'!$AB$26="","",'Final Calculation Sheet'!$AB$26)</f>
        <v/>
      </c>
    </row>
    <row r="728" outlineLevel="2" ht="16" customHeight="1">
      <c r="A728" s="463" t="inlineStr">
        <is>
          <t xml:space="preserve">      ▸ SUMMARY</t>
        </is>
      </c>
      <c r="B728" s="464" t="n"/>
    </row>
    <row r="729" outlineLevel="3" ht="15" customHeight="1">
      <c r="A729" s="69" t="inlineStr">
        <is>
          <t xml:space="preserve">            Total Received (₹)</t>
        </is>
      </c>
      <c r="B729" s="70">
        <f>IF('Final Calculation Sheet'!$AC$26="","",'Final Calculation Sheet'!$AC$26)</f>
        <v/>
      </c>
    </row>
    <row r="730" outlineLevel="3" ht="15" customHeight="1">
      <c r="A730" s="69" t="inlineStr">
        <is>
          <t xml:space="preserve">            Outstanding (₹)</t>
        </is>
      </c>
      <c r="B730" s="70">
        <f>IF('Final Calculation Sheet'!$AD$26="","",'Final Calculation Sheet'!$AD$26)</f>
        <v/>
      </c>
    </row>
    <row r="731" outlineLevel="3" ht="15" customHeight="1">
      <c r="A731" s="69" t="inlineStr">
        <is>
          <t xml:space="preserve">            Payment Status</t>
        </is>
      </c>
      <c r="B731" s="81">
        <f>IF('Final Calculation Sheet'!$AD$26="","",IF('Final Calculation Sheet'!$AD$26&lt;=0,"SETTLED","OUTSTANDING"))</f>
        <v/>
      </c>
    </row>
    <row r="732" outlineLevel="2" ht="16" customHeight="1">
      <c r="A732" s="463" t="inlineStr">
        <is>
          <t xml:space="preserve">      ▸ DOCUMENT</t>
        </is>
      </c>
      <c r="B732" s="464" t="n"/>
    </row>
    <row r="733" outlineLevel="3" ht="15" customHeight="1">
      <c r="A733" s="69" t="inlineStr">
        <is>
          <t xml:space="preserve">            Invoice No.</t>
        </is>
      </c>
      <c r="B733" s="76">
        <f>IF('Final Calculation Sheet'!$AE$26="","",'Final Calculation Sheet'!$AE$26)</f>
        <v/>
      </c>
    </row>
    <row r="734" outlineLevel="3" ht="15" customHeight="1">
      <c r="A734" s="69" t="inlineStr">
        <is>
          <t xml:space="preserve">            SAP Document</t>
        </is>
      </c>
      <c r="B734" s="70">
        <f>IF('Final Calculation Sheet'!$AF$26="","",'Final Calculation Sheet'!$AF$26)</f>
        <v/>
      </c>
    </row>
    <row r="735" outlineLevel="3" ht="15" customHeight="1">
      <c r="A735" s="69" t="inlineStr">
        <is>
          <t xml:space="preserve">            Doc./Invoice Date</t>
        </is>
      </c>
      <c r="B735" s="76">
        <f>IF('Final Calculation Sheet'!$AG$26="","",'Final Calculation Sheet'!$AG$26)</f>
        <v/>
      </c>
    </row>
    <row r="736" outlineLevel="1" ht="20" customHeight="1">
      <c r="A736" s="462">
        <f>"   ▸  LOT "&amp;'Final Calculation Sheet'!$F$30&amp;"   •   "&amp;'Final Calculation Sheet'!$B$30&amp;"   •   MAT. VALUE ₹"&amp;TEXT('Final Calculation Sheet'!$H$30,"#,##0")&amp;"   •   OUTSTANDING ₹"&amp;TEXT('Final Calculation Sheet'!$AD$30,"#,##0")</f>
        <v/>
      </c>
      <c r="B736" s="130" t="n"/>
    </row>
    <row r="737" outlineLevel="2" ht="16" customHeight="1">
      <c r="A737" s="463" t="inlineStr">
        <is>
          <t xml:space="preserve">      ▸ LOT INFORMATION</t>
        </is>
      </c>
      <c r="B737" s="464" t="n"/>
    </row>
    <row r="738" outlineLevel="3" ht="15" customHeight="1">
      <c r="A738" s="69" t="inlineStr">
        <is>
          <t xml:space="preserve">            Lot No.</t>
        </is>
      </c>
      <c r="B738" s="70">
        <f>IF('Final Calculation Sheet'!$F$30="","",'Final Calculation Sheet'!$F$30)</f>
        <v/>
      </c>
    </row>
    <row r="739" outlineLevel="3" ht="15" customHeight="1">
      <c r="A739" s="69" t="inlineStr">
        <is>
          <t xml:space="preserve">            Lot Name</t>
        </is>
      </c>
      <c r="B739" s="76">
        <f>IF('Final Calculation Sheet'!$B$30="","",'Final Calculation Sheet'!$B$30)</f>
        <v/>
      </c>
    </row>
    <row r="740" outlineLevel="3" ht="15" customHeight="1">
      <c r="A740" s="69" t="inlineStr">
        <is>
          <t xml:space="preserve">            Bid Sheet / Auction</t>
        </is>
      </c>
      <c r="B740" s="70">
        <f>IF('Final Calculation Sheet'!$D$30="","",'Final Calculation Sheet'!$D$30)</f>
        <v/>
      </c>
    </row>
    <row r="741" outlineLevel="3" ht="15" customHeight="1">
      <c r="A741" s="69" t="inlineStr">
        <is>
          <t xml:space="preserve">            Quantity</t>
        </is>
      </c>
      <c r="B741" s="74">
        <f>IF('Final Calculation Sheet'!$A$30="","",'Final Calculation Sheet'!$A$30)</f>
        <v/>
      </c>
    </row>
    <row r="742" outlineLevel="3" ht="15" customHeight="1">
      <c r="A742" s="69" t="inlineStr">
        <is>
          <t xml:space="preserve">            Unit</t>
        </is>
      </c>
      <c r="B742" s="76">
        <f>IF('Final Calculation Sheet'!$E$30="","",'Final Calculation Sheet'!$E$30)</f>
        <v/>
      </c>
    </row>
    <row r="743" outlineLevel="3" ht="15" customHeight="1">
      <c r="A743" s="69" t="inlineStr">
        <is>
          <t xml:space="preserve">            Rate (₹)</t>
        </is>
      </c>
      <c r="B743" s="70">
        <f>IF('Final Calculation Sheet'!$C$30="","",'Final Calculation Sheet'!$C$30)</f>
        <v/>
      </c>
    </row>
    <row r="744" outlineLevel="2" ht="16" customHeight="1">
      <c r="A744" s="463" t="inlineStr">
        <is>
          <t xml:space="preserve">      ▸ FINANCIALS</t>
        </is>
      </c>
      <c r="B744" s="464" t="n"/>
    </row>
    <row r="745" outlineLevel="3" ht="15" customHeight="1">
      <c r="A745" s="69" t="inlineStr">
        <is>
          <t xml:space="preserve">            Mat. Value (₹)</t>
        </is>
      </c>
      <c r="B745" s="70">
        <f>IF('Final Calculation Sheet'!$H$30="","",'Final Calculation Sheet'!$H$30)</f>
        <v/>
      </c>
    </row>
    <row r="746" outlineLevel="3" ht="15" customHeight="1">
      <c r="A746" s="69" t="inlineStr">
        <is>
          <t xml:space="preserve">            GST @ 18% (₹)</t>
        </is>
      </c>
      <c r="B746" s="70">
        <f>IF('Final Calculation Sheet'!$I$30="","",'Final Calculation Sheet'!$I$30)</f>
        <v/>
      </c>
    </row>
    <row r="747" outlineLevel="3" ht="15" customHeight="1">
      <c r="A747" s="69" t="inlineStr">
        <is>
          <t xml:space="preserve">            Mat. Value + GST (₹)</t>
        </is>
      </c>
      <c r="B747" s="70">
        <f>IF('Final Calculation Sheet'!$J$30="","",'Final Calculation Sheet'!$J$30)</f>
        <v/>
      </c>
    </row>
    <row r="748" outlineLevel="3" ht="15" customHeight="1">
      <c r="A748" s="69" t="inlineStr">
        <is>
          <t xml:space="preserve">            TCS @ 2% (₹)</t>
        </is>
      </c>
      <c r="B748" s="70">
        <f>IF('Final Calculation Sheet'!$K$30="","",'Final Calculation Sheet'!$K$30)</f>
        <v/>
      </c>
    </row>
    <row r="749" outlineLevel="3" ht="15" customHeight="1">
      <c r="A749" s="69" t="inlineStr">
        <is>
          <t xml:space="preserve">            TDS u/s 194(O) (₹)</t>
        </is>
      </c>
      <c r="B749" s="78">
        <f>IF('Final Calculation Sheet'!$L$30="","",'Final Calculation Sheet'!$L$30)</f>
        <v/>
      </c>
    </row>
    <row r="750" outlineLevel="3" ht="15" customHeight="1">
      <c r="A750" s="69" t="inlineStr">
        <is>
          <t xml:space="preserve">            Service Charge gross (₹)</t>
        </is>
      </c>
      <c r="B750" s="78">
        <f>IF('Final Calculation Sheet'!$M$30="","",'Final Calculation Sheet'!$M$30)</f>
        <v/>
      </c>
    </row>
    <row r="751" outlineLevel="3" ht="15" customHeight="1">
      <c r="A751" s="69" t="inlineStr">
        <is>
          <t xml:space="preserve">            TDS u/s 194(H) (₹)</t>
        </is>
      </c>
      <c r="B751" s="78">
        <f>IF('Final Calculation Sheet'!$N$30="","",'Final Calculation Sheet'!$N$30)</f>
        <v/>
      </c>
    </row>
    <row r="752" outlineLevel="3" ht="15" customHeight="1">
      <c r="A752" s="69" t="inlineStr">
        <is>
          <t xml:space="preserve">            Net Service Charge (₹)</t>
        </is>
      </c>
      <c r="B752" s="78">
        <f>IF('Final Calculation Sheet'!$O$30="","",'Final Calculation Sheet'!$O$30)</f>
        <v/>
      </c>
    </row>
    <row r="753" outlineLevel="3" ht="15" customHeight="1">
      <c r="A753" s="69" t="inlineStr">
        <is>
          <t xml:space="preserve">            Svc Charge to MSTC (₹)</t>
        </is>
      </c>
      <c r="B753" s="70">
        <f>IF('Final Calculation Sheet'!$P$30="","",'Final Calculation Sheet'!$P$30)</f>
        <v/>
      </c>
    </row>
    <row r="754" outlineLevel="3" ht="15" customHeight="1">
      <c r="A754" s="69" t="inlineStr">
        <is>
          <t xml:space="preserve">            GST TDS Rate</t>
        </is>
      </c>
      <c r="B754" s="80">
        <f>IF('Final Calculation Sheet'!$Q$30="","",'Final Calculation Sheet'!$Q$30)</f>
        <v/>
      </c>
    </row>
    <row r="755" outlineLevel="3" ht="15" customHeight="1">
      <c r="A755" s="69" t="inlineStr">
        <is>
          <t xml:space="preserve">            GST TDS (₹)</t>
        </is>
      </c>
      <c r="B755" s="70">
        <f>IF('Final Calculation Sheet'!$R$30="","",'Final Calculation Sheet'!$R$30)</f>
        <v/>
      </c>
    </row>
    <row r="756" outlineLevel="3" ht="15" customHeight="1">
      <c r="A756" s="69" t="inlineStr">
        <is>
          <t xml:space="preserve">            Total Receivables (₹)</t>
        </is>
      </c>
      <c r="B756" s="70">
        <f>IF('Final Calculation Sheet'!$S$30="","",'Final Calculation Sheet'!$S$30)</f>
        <v/>
      </c>
    </row>
    <row r="757" outlineLevel="2" ht="16" customHeight="1">
      <c r="A757" s="463" t="inlineStr">
        <is>
          <t xml:space="preserve">      ▸ SECURITY DEPOSIT</t>
        </is>
      </c>
      <c r="B757" s="464" t="n"/>
    </row>
    <row r="758" outlineLevel="3" ht="15" customHeight="1">
      <c r="A758" s="69" t="inlineStr">
        <is>
          <t xml:space="preserve">            SD Expected (₹)</t>
        </is>
      </c>
      <c r="B758" s="70">
        <f>IF('Final Calculation Sheet'!$T$30="","",'Final Calculation Sheet'!$T$30)</f>
        <v/>
      </c>
    </row>
    <row r="759" outlineLevel="3" ht="15" customHeight="1">
      <c r="A759" s="69" t="inlineStr">
        <is>
          <t xml:space="preserve">            SD Received (₹)</t>
        </is>
      </c>
      <c r="B759" s="70">
        <f>IF('Final Calculation Sheet'!$U$30="","",'Final Calculation Sheet'!$U$30)</f>
        <v/>
      </c>
    </row>
    <row r="760" outlineLevel="3" ht="15" customHeight="1">
      <c r="A760" s="69" t="inlineStr">
        <is>
          <t xml:space="preserve">            SD Receipt Date</t>
        </is>
      </c>
      <c r="B760" s="76">
        <f>IF('Final Calculation Sheet'!$V$30="","",'Final Calculation Sheet'!$V$30)</f>
        <v/>
      </c>
    </row>
    <row r="761" outlineLevel="2" ht="16" customHeight="1">
      <c r="A761" s="463" t="inlineStr">
        <is>
          <t xml:space="preserve">      ▸ FINAL PAYMENT</t>
        </is>
      </c>
      <c r="B761" s="464" t="n"/>
    </row>
    <row r="762" outlineLevel="3" ht="15" customHeight="1">
      <c r="A762" s="69" t="inlineStr">
        <is>
          <t xml:space="preserve">            FP Expected (₹)</t>
        </is>
      </c>
      <c r="B762" s="70">
        <f>IF('Final Calculation Sheet'!$W$30="","",'Final Calculation Sheet'!$W$30)</f>
        <v/>
      </c>
    </row>
    <row r="763" outlineLevel="3" ht="15" customHeight="1">
      <c r="A763" s="69" t="inlineStr">
        <is>
          <t xml:space="preserve">            FP Received (₹)</t>
        </is>
      </c>
      <c r="B763" s="70">
        <f>IF('Final Calculation Sheet'!$X$30="","",'Final Calculation Sheet'!$X$30)</f>
        <v/>
      </c>
    </row>
    <row r="764" outlineLevel="3" ht="15" customHeight="1">
      <c r="A764" s="69" t="inlineStr">
        <is>
          <t xml:space="preserve">            FP Receipt Date</t>
        </is>
      </c>
      <c r="B764" s="76">
        <f>IF('Final Calculation Sheet'!$Y$30="","",'Final Calculation Sheet'!$Y$30)</f>
        <v/>
      </c>
    </row>
    <row r="765" outlineLevel="2" ht="16" customHeight="1">
      <c r="A765" s="463" t="inlineStr">
        <is>
          <t xml:space="preserve">      ▸ LPP</t>
        </is>
      </c>
      <c r="B765" s="464" t="n"/>
    </row>
    <row r="766" outlineLevel="3" ht="15" customHeight="1">
      <c r="A766" s="69" t="inlineStr">
        <is>
          <t xml:space="preserve">            LPP Expected (₹)</t>
        </is>
      </c>
      <c r="B766" s="70">
        <f>IF('Final Calculation Sheet'!$Z$30="","",'Final Calculation Sheet'!$Z$30)</f>
        <v/>
      </c>
    </row>
    <row r="767" outlineLevel="3" ht="15" customHeight="1">
      <c r="A767" s="69" t="inlineStr">
        <is>
          <t xml:space="preserve">            LPP Received (₹)</t>
        </is>
      </c>
      <c r="B767" s="70">
        <f>IF('Final Calculation Sheet'!$AA$30="","",'Final Calculation Sheet'!$AA$30)</f>
        <v/>
      </c>
    </row>
    <row r="768" outlineLevel="3" ht="15" customHeight="1">
      <c r="A768" s="69" t="inlineStr">
        <is>
          <t xml:space="preserve">            LPP Receipt Date</t>
        </is>
      </c>
      <c r="B768" s="76">
        <f>IF('Final Calculation Sheet'!$AB$30="","",'Final Calculation Sheet'!$AB$30)</f>
        <v/>
      </c>
    </row>
    <row r="769" outlineLevel="2" ht="16" customHeight="1">
      <c r="A769" s="463" t="inlineStr">
        <is>
          <t xml:space="preserve">      ▸ SUMMARY</t>
        </is>
      </c>
      <c r="B769" s="464" t="n"/>
    </row>
    <row r="770" outlineLevel="3" ht="15" customHeight="1">
      <c r="A770" s="69" t="inlineStr">
        <is>
          <t xml:space="preserve">            Total Received (₹)</t>
        </is>
      </c>
      <c r="B770" s="70">
        <f>IF('Final Calculation Sheet'!$AC$30="","",'Final Calculation Sheet'!$AC$30)</f>
        <v/>
      </c>
    </row>
    <row r="771" outlineLevel="3" ht="15" customHeight="1">
      <c r="A771" s="69" t="inlineStr">
        <is>
          <t xml:space="preserve">            Outstanding (₹)</t>
        </is>
      </c>
      <c r="B771" s="70">
        <f>IF('Final Calculation Sheet'!$AD$30="","",'Final Calculation Sheet'!$AD$30)</f>
        <v/>
      </c>
    </row>
    <row r="772" outlineLevel="3" ht="15" customHeight="1">
      <c r="A772" s="69" t="inlineStr">
        <is>
          <t xml:space="preserve">            Payment Status</t>
        </is>
      </c>
      <c r="B772" s="81">
        <f>IF('Final Calculation Sheet'!$AD$30="","",IF('Final Calculation Sheet'!$AD$30&lt;=0,"SETTLED","OUTSTANDING"))</f>
        <v/>
      </c>
    </row>
    <row r="773" outlineLevel="2" ht="16" customHeight="1">
      <c r="A773" s="463" t="inlineStr">
        <is>
          <t xml:space="preserve">      ▸ DOCUMENT</t>
        </is>
      </c>
      <c r="B773" s="464" t="n"/>
    </row>
    <row r="774" outlineLevel="3" ht="15" customHeight="1">
      <c r="A774" s="69" t="inlineStr">
        <is>
          <t xml:space="preserve">            Invoice No.</t>
        </is>
      </c>
      <c r="B774" s="76">
        <f>IF('Final Calculation Sheet'!$AE$30="","",'Final Calculation Sheet'!$AE$30)</f>
        <v/>
      </c>
    </row>
    <row r="775" outlineLevel="3" ht="15" customHeight="1">
      <c r="A775" s="69" t="inlineStr">
        <is>
          <t xml:space="preserve">            SAP Document</t>
        </is>
      </c>
      <c r="B775" s="70">
        <f>IF('Final Calculation Sheet'!$AF$30="","",'Final Calculation Sheet'!$AF$30)</f>
        <v/>
      </c>
    </row>
    <row r="776" outlineLevel="3" ht="15" customHeight="1">
      <c r="A776" s="69" t="inlineStr">
        <is>
          <t xml:space="preserve">            Doc./Invoice Date</t>
        </is>
      </c>
      <c r="B776" s="76">
        <f>IF('Final Calculation Sheet'!$AG$30="","",'Final Calculation Sheet'!$AG$30)</f>
        <v/>
      </c>
    </row>
    <row r="777" outlineLevel="1" ht="20" customHeight="1">
      <c r="A777" s="462">
        <f>"   ▸  LOT "&amp;'Final Calculation Sheet'!$F$32&amp;"   •   "&amp;'Final Calculation Sheet'!$B$32&amp;"   •   MAT. VALUE ₹"&amp;TEXT('Final Calculation Sheet'!$H$32,"#,##0")&amp;"   •   OUTSTANDING ₹"&amp;TEXT('Final Calculation Sheet'!$AD$32,"#,##0")</f>
        <v/>
      </c>
      <c r="B777" s="130" t="n"/>
    </row>
    <row r="778" outlineLevel="2" ht="16" customHeight="1">
      <c r="A778" s="463" t="inlineStr">
        <is>
          <t xml:space="preserve">      ▸ LOT INFORMATION</t>
        </is>
      </c>
      <c r="B778" s="464" t="n"/>
    </row>
    <row r="779" outlineLevel="3" ht="15" customHeight="1">
      <c r="A779" s="69" t="inlineStr">
        <is>
          <t xml:space="preserve">            Lot No.</t>
        </is>
      </c>
      <c r="B779" s="70">
        <f>IF('Final Calculation Sheet'!$F$32="","",'Final Calculation Sheet'!$F$32)</f>
        <v/>
      </c>
    </row>
    <row r="780" outlineLevel="3" ht="15" customHeight="1">
      <c r="A780" s="69" t="inlineStr">
        <is>
          <t xml:space="preserve">            Lot Name</t>
        </is>
      </c>
      <c r="B780" s="76">
        <f>IF('Final Calculation Sheet'!$B$32="","",'Final Calculation Sheet'!$B$32)</f>
        <v/>
      </c>
    </row>
    <row r="781" outlineLevel="3" ht="15" customHeight="1">
      <c r="A781" s="69" t="inlineStr">
        <is>
          <t xml:space="preserve">            Bid Sheet / Auction</t>
        </is>
      </c>
      <c r="B781" s="70">
        <f>IF('Final Calculation Sheet'!$D$32="","",'Final Calculation Sheet'!$D$32)</f>
        <v/>
      </c>
    </row>
    <row r="782" outlineLevel="3" ht="15" customHeight="1">
      <c r="A782" s="69" t="inlineStr">
        <is>
          <t xml:space="preserve">            Quantity</t>
        </is>
      </c>
      <c r="B782" s="74">
        <f>IF('Final Calculation Sheet'!$A$32="","",'Final Calculation Sheet'!$A$32)</f>
        <v/>
      </c>
    </row>
    <row r="783" outlineLevel="3" ht="15" customHeight="1">
      <c r="A783" s="69" t="inlineStr">
        <is>
          <t xml:space="preserve">            Unit</t>
        </is>
      </c>
      <c r="B783" s="76">
        <f>IF('Final Calculation Sheet'!$E$32="","",'Final Calculation Sheet'!$E$32)</f>
        <v/>
      </c>
    </row>
    <row r="784" outlineLevel="3" ht="15" customHeight="1">
      <c r="A784" s="69" t="inlineStr">
        <is>
          <t xml:space="preserve">            Rate (₹)</t>
        </is>
      </c>
      <c r="B784" s="70">
        <f>IF('Final Calculation Sheet'!$C$32="","",'Final Calculation Sheet'!$C$32)</f>
        <v/>
      </c>
    </row>
    <row r="785" outlineLevel="2" ht="16" customHeight="1">
      <c r="A785" s="463" t="inlineStr">
        <is>
          <t xml:space="preserve">      ▸ FINANCIALS</t>
        </is>
      </c>
      <c r="B785" s="464" t="n"/>
    </row>
    <row r="786" outlineLevel="3" ht="15" customHeight="1">
      <c r="A786" s="69" t="inlineStr">
        <is>
          <t xml:space="preserve">            Mat. Value (₹)</t>
        </is>
      </c>
      <c r="B786" s="70">
        <f>IF('Final Calculation Sheet'!$H$32="","",'Final Calculation Sheet'!$H$32)</f>
        <v/>
      </c>
    </row>
    <row r="787" outlineLevel="3" ht="15" customHeight="1">
      <c r="A787" s="69" t="inlineStr">
        <is>
          <t xml:space="preserve">            GST @ 18% (₹)</t>
        </is>
      </c>
      <c r="B787" s="70">
        <f>IF('Final Calculation Sheet'!$I$32="","",'Final Calculation Sheet'!$I$32)</f>
        <v/>
      </c>
    </row>
    <row r="788" outlineLevel="3" ht="15" customHeight="1">
      <c r="A788" s="69" t="inlineStr">
        <is>
          <t xml:space="preserve">            Mat. Value + GST (₹)</t>
        </is>
      </c>
      <c r="B788" s="70">
        <f>IF('Final Calculation Sheet'!$J$32="","",'Final Calculation Sheet'!$J$32)</f>
        <v/>
      </c>
    </row>
    <row r="789" outlineLevel="3" ht="15" customHeight="1">
      <c r="A789" s="69" t="inlineStr">
        <is>
          <t xml:space="preserve">            TCS @ 2% (₹)</t>
        </is>
      </c>
      <c r="B789" s="70">
        <f>IF('Final Calculation Sheet'!$K$32="","",'Final Calculation Sheet'!$K$32)</f>
        <v/>
      </c>
    </row>
    <row r="790" outlineLevel="3" ht="15" customHeight="1">
      <c r="A790" s="69" t="inlineStr">
        <is>
          <t xml:space="preserve">            TDS u/s 194(O) (₹)</t>
        </is>
      </c>
      <c r="B790" s="78">
        <f>IF('Final Calculation Sheet'!$L$32="","",'Final Calculation Sheet'!$L$32)</f>
        <v/>
      </c>
    </row>
    <row r="791" outlineLevel="3" ht="15" customHeight="1">
      <c r="A791" s="69" t="inlineStr">
        <is>
          <t xml:space="preserve">            Service Charge gross (₹)</t>
        </is>
      </c>
      <c r="B791" s="78">
        <f>IF('Final Calculation Sheet'!$M$32="","",'Final Calculation Sheet'!$M$32)</f>
        <v/>
      </c>
    </row>
    <row r="792" outlineLevel="3" ht="15" customHeight="1">
      <c r="A792" s="69" t="inlineStr">
        <is>
          <t xml:space="preserve">            TDS u/s 194(H) (₹)</t>
        </is>
      </c>
      <c r="B792" s="78">
        <f>IF('Final Calculation Sheet'!$N$32="","",'Final Calculation Sheet'!$N$32)</f>
        <v/>
      </c>
    </row>
    <row r="793" outlineLevel="3" ht="15" customHeight="1">
      <c r="A793" s="69" t="inlineStr">
        <is>
          <t xml:space="preserve">            Net Service Charge (₹)</t>
        </is>
      </c>
      <c r="B793" s="78">
        <f>IF('Final Calculation Sheet'!$O$32="","",'Final Calculation Sheet'!$O$32)</f>
        <v/>
      </c>
    </row>
    <row r="794" outlineLevel="3" ht="15" customHeight="1">
      <c r="A794" s="69" t="inlineStr">
        <is>
          <t xml:space="preserve">            Svc Charge to MSTC (₹)</t>
        </is>
      </c>
      <c r="B794" s="70">
        <f>IF('Final Calculation Sheet'!$P$32="","",'Final Calculation Sheet'!$P$32)</f>
        <v/>
      </c>
    </row>
    <row r="795" outlineLevel="3" ht="15" customHeight="1">
      <c r="A795" s="69" t="inlineStr">
        <is>
          <t xml:space="preserve">            GST TDS Rate</t>
        </is>
      </c>
      <c r="B795" s="80">
        <f>IF('Final Calculation Sheet'!$Q$32="","",'Final Calculation Sheet'!$Q$32)</f>
        <v/>
      </c>
    </row>
    <row r="796" outlineLevel="3" ht="15" customHeight="1">
      <c r="A796" s="69" t="inlineStr">
        <is>
          <t xml:space="preserve">            GST TDS (₹)</t>
        </is>
      </c>
      <c r="B796" s="70">
        <f>IF('Final Calculation Sheet'!$R$32="","",'Final Calculation Sheet'!$R$32)</f>
        <v/>
      </c>
    </row>
    <row r="797" outlineLevel="3" ht="15" customHeight="1">
      <c r="A797" s="69" t="inlineStr">
        <is>
          <t xml:space="preserve">            Total Receivables (₹)</t>
        </is>
      </c>
      <c r="B797" s="70">
        <f>IF('Final Calculation Sheet'!$S$32="","",'Final Calculation Sheet'!$S$32)</f>
        <v/>
      </c>
    </row>
    <row r="798" outlineLevel="2" ht="16" customHeight="1">
      <c r="A798" s="463" t="inlineStr">
        <is>
          <t xml:space="preserve">      ▸ SECURITY DEPOSIT</t>
        </is>
      </c>
      <c r="B798" s="464" t="n"/>
    </row>
    <row r="799" outlineLevel="3" ht="15" customHeight="1">
      <c r="A799" s="69" t="inlineStr">
        <is>
          <t xml:space="preserve">            SD Expected (₹)</t>
        </is>
      </c>
      <c r="B799" s="70">
        <f>IF('Final Calculation Sheet'!$T$32="","",'Final Calculation Sheet'!$T$32)</f>
        <v/>
      </c>
    </row>
    <row r="800" outlineLevel="3" ht="15" customHeight="1">
      <c r="A800" s="69" t="inlineStr">
        <is>
          <t xml:space="preserve">            SD Received (₹)</t>
        </is>
      </c>
      <c r="B800" s="70">
        <f>IF('Final Calculation Sheet'!$U$32="","",'Final Calculation Sheet'!$U$32)</f>
        <v/>
      </c>
    </row>
    <row r="801" outlineLevel="3" ht="15" customHeight="1">
      <c r="A801" s="69" t="inlineStr">
        <is>
          <t xml:space="preserve">            SD Receipt Date</t>
        </is>
      </c>
      <c r="B801" s="76">
        <f>IF('Final Calculation Sheet'!$V$32="","",'Final Calculation Sheet'!$V$32)</f>
        <v/>
      </c>
    </row>
    <row r="802" outlineLevel="2" ht="16" customHeight="1">
      <c r="A802" s="463" t="inlineStr">
        <is>
          <t xml:space="preserve">      ▸ FINAL PAYMENT</t>
        </is>
      </c>
      <c r="B802" s="464" t="n"/>
    </row>
    <row r="803" outlineLevel="3" ht="15" customHeight="1">
      <c r="A803" s="69" t="inlineStr">
        <is>
          <t xml:space="preserve">            FP Expected (₹)</t>
        </is>
      </c>
      <c r="B803" s="70">
        <f>IF('Final Calculation Sheet'!$W$32="","",'Final Calculation Sheet'!$W$32)</f>
        <v/>
      </c>
    </row>
    <row r="804" outlineLevel="3" ht="15" customHeight="1">
      <c r="A804" s="69" t="inlineStr">
        <is>
          <t xml:space="preserve">            FP Received (₹)</t>
        </is>
      </c>
      <c r="B804" s="70">
        <f>IF('Final Calculation Sheet'!$X$32="","",'Final Calculation Sheet'!$X$32)</f>
        <v/>
      </c>
    </row>
    <row r="805" outlineLevel="3" ht="15" customHeight="1">
      <c r="A805" s="69" t="inlineStr">
        <is>
          <t xml:space="preserve">            FP Receipt Date</t>
        </is>
      </c>
      <c r="B805" s="76">
        <f>IF('Final Calculation Sheet'!$Y$32="","",'Final Calculation Sheet'!$Y$32)</f>
        <v/>
      </c>
    </row>
    <row r="806" outlineLevel="2" ht="16" customHeight="1">
      <c r="A806" s="463" t="inlineStr">
        <is>
          <t xml:space="preserve">      ▸ LPP</t>
        </is>
      </c>
      <c r="B806" s="464" t="n"/>
    </row>
    <row r="807" outlineLevel="3" ht="15" customHeight="1">
      <c r="A807" s="69" t="inlineStr">
        <is>
          <t xml:space="preserve">            LPP Expected (₹)</t>
        </is>
      </c>
      <c r="B807" s="70">
        <f>IF('Final Calculation Sheet'!$Z$32="","",'Final Calculation Sheet'!$Z$32)</f>
        <v/>
      </c>
    </row>
    <row r="808" outlineLevel="3" ht="15" customHeight="1">
      <c r="A808" s="69" t="inlineStr">
        <is>
          <t xml:space="preserve">            LPP Received (₹)</t>
        </is>
      </c>
      <c r="B808" s="70">
        <f>IF('Final Calculation Sheet'!$AA$32="","",'Final Calculation Sheet'!$AA$32)</f>
        <v/>
      </c>
    </row>
    <row r="809" outlineLevel="3" ht="15" customHeight="1">
      <c r="A809" s="69" t="inlineStr">
        <is>
          <t xml:space="preserve">            LPP Receipt Date</t>
        </is>
      </c>
      <c r="B809" s="76">
        <f>IF('Final Calculation Sheet'!$AB$32="","",'Final Calculation Sheet'!$AB$32)</f>
        <v/>
      </c>
    </row>
    <row r="810" outlineLevel="2" ht="16" customHeight="1">
      <c r="A810" s="463" t="inlineStr">
        <is>
          <t xml:space="preserve">      ▸ SUMMARY</t>
        </is>
      </c>
      <c r="B810" s="464" t="n"/>
    </row>
    <row r="811" outlineLevel="3" ht="15" customHeight="1">
      <c r="A811" s="69" t="inlineStr">
        <is>
          <t xml:space="preserve">            Total Received (₹)</t>
        </is>
      </c>
      <c r="B811" s="70">
        <f>IF('Final Calculation Sheet'!$AC$32="","",'Final Calculation Sheet'!$AC$32)</f>
        <v/>
      </c>
    </row>
    <row r="812" outlineLevel="3" ht="15" customHeight="1">
      <c r="A812" s="69" t="inlineStr">
        <is>
          <t xml:space="preserve">            Outstanding (₹)</t>
        </is>
      </c>
      <c r="B812" s="70">
        <f>IF('Final Calculation Sheet'!$AD$32="","",'Final Calculation Sheet'!$AD$32)</f>
        <v/>
      </c>
    </row>
    <row r="813" outlineLevel="3" ht="15" customHeight="1">
      <c r="A813" s="69" t="inlineStr">
        <is>
          <t xml:space="preserve">            Payment Status</t>
        </is>
      </c>
      <c r="B813" s="81">
        <f>IF('Final Calculation Sheet'!$AD$32="","",IF('Final Calculation Sheet'!$AD$32&lt;=0,"SETTLED","OUTSTANDING"))</f>
        <v/>
      </c>
    </row>
    <row r="814" outlineLevel="2" ht="16" customHeight="1">
      <c r="A814" s="463" t="inlineStr">
        <is>
          <t xml:space="preserve">      ▸ DOCUMENT</t>
        </is>
      </c>
      <c r="B814" s="464" t="n"/>
    </row>
    <row r="815" outlineLevel="3" ht="15" customHeight="1">
      <c r="A815" s="69" t="inlineStr">
        <is>
          <t xml:space="preserve">            Invoice No.</t>
        </is>
      </c>
      <c r="B815" s="76">
        <f>IF('Final Calculation Sheet'!$AE$32="","",'Final Calculation Sheet'!$AE$32)</f>
        <v/>
      </c>
    </row>
    <row r="816" outlineLevel="3" ht="15" customHeight="1">
      <c r="A816" s="69" t="inlineStr">
        <is>
          <t xml:space="preserve">            SAP Document</t>
        </is>
      </c>
      <c r="B816" s="70">
        <f>IF('Final Calculation Sheet'!$AF$32="","",'Final Calculation Sheet'!$AF$32)</f>
        <v/>
      </c>
    </row>
    <row r="817" outlineLevel="3" ht="15" customHeight="1">
      <c r="A817" s="69" t="inlineStr">
        <is>
          <t xml:space="preserve">            Doc./Invoice Date</t>
        </is>
      </c>
      <c r="B817" s="76">
        <f>IF('Final Calculation Sheet'!$AG$32="","",'Final Calculation Sheet'!$AG$32)</f>
        <v/>
      </c>
    </row>
    <row r="818" outlineLevel="1" ht="20" customHeight="1">
      <c r="A818" s="462">
        <f>"   ▸  LOT "&amp;'Final Calculation Sheet'!$F$33&amp;"   •   "&amp;'Final Calculation Sheet'!$B$33&amp;"   •   MAT. VALUE ₹"&amp;TEXT('Final Calculation Sheet'!$H$33,"#,##0")&amp;"   •   OUTSTANDING ₹"&amp;TEXT('Final Calculation Sheet'!$AD$33,"#,##0")</f>
        <v/>
      </c>
      <c r="B818" s="130" t="n"/>
    </row>
    <row r="819" outlineLevel="2" ht="16" customHeight="1">
      <c r="A819" s="463" t="inlineStr">
        <is>
          <t xml:space="preserve">      ▸ LOT INFORMATION</t>
        </is>
      </c>
      <c r="B819" s="464" t="n"/>
    </row>
    <row r="820" outlineLevel="3" ht="15" customHeight="1">
      <c r="A820" s="69" t="inlineStr">
        <is>
          <t xml:space="preserve">            Lot No.</t>
        </is>
      </c>
      <c r="B820" s="70">
        <f>IF('Final Calculation Sheet'!$F$33="","",'Final Calculation Sheet'!$F$33)</f>
        <v/>
      </c>
    </row>
    <row r="821" outlineLevel="3" ht="15" customHeight="1">
      <c r="A821" s="69" t="inlineStr">
        <is>
          <t xml:space="preserve">            Lot Name</t>
        </is>
      </c>
      <c r="B821" s="76">
        <f>IF('Final Calculation Sheet'!$B$33="","",'Final Calculation Sheet'!$B$33)</f>
        <v/>
      </c>
    </row>
    <row r="822" outlineLevel="3" ht="15" customHeight="1">
      <c r="A822" s="69" t="inlineStr">
        <is>
          <t xml:space="preserve">            Bid Sheet / Auction</t>
        </is>
      </c>
      <c r="B822" s="70">
        <f>IF('Final Calculation Sheet'!$D$33="","",'Final Calculation Sheet'!$D$33)</f>
        <v/>
      </c>
    </row>
    <row r="823" outlineLevel="3" ht="15" customHeight="1">
      <c r="A823" s="69" t="inlineStr">
        <is>
          <t xml:space="preserve">            Quantity</t>
        </is>
      </c>
      <c r="B823" s="74">
        <f>IF('Final Calculation Sheet'!$A$33="","",'Final Calculation Sheet'!$A$33)</f>
        <v/>
      </c>
    </row>
    <row r="824" outlineLevel="3" ht="15" customHeight="1">
      <c r="A824" s="69" t="inlineStr">
        <is>
          <t xml:space="preserve">            Unit</t>
        </is>
      </c>
      <c r="B824" s="76">
        <f>IF('Final Calculation Sheet'!$E$33="","",'Final Calculation Sheet'!$E$33)</f>
        <v/>
      </c>
    </row>
    <row r="825" outlineLevel="3" ht="15" customHeight="1">
      <c r="A825" s="69" t="inlineStr">
        <is>
          <t xml:space="preserve">            Rate (₹)</t>
        </is>
      </c>
      <c r="B825" s="70">
        <f>IF('Final Calculation Sheet'!$C$33="","",'Final Calculation Sheet'!$C$33)</f>
        <v/>
      </c>
    </row>
    <row r="826" outlineLevel="2" ht="16" customHeight="1">
      <c r="A826" s="463" t="inlineStr">
        <is>
          <t xml:space="preserve">      ▸ FINANCIALS</t>
        </is>
      </c>
      <c r="B826" s="464" t="n"/>
    </row>
    <row r="827" outlineLevel="3" ht="15" customHeight="1">
      <c r="A827" s="69" t="inlineStr">
        <is>
          <t xml:space="preserve">            Mat. Value (₹)</t>
        </is>
      </c>
      <c r="B827" s="70">
        <f>IF('Final Calculation Sheet'!$H$33="","",'Final Calculation Sheet'!$H$33)</f>
        <v/>
      </c>
    </row>
    <row r="828" outlineLevel="3" ht="15" customHeight="1">
      <c r="A828" s="69" t="inlineStr">
        <is>
          <t xml:space="preserve">            GST @ 18% (₹)</t>
        </is>
      </c>
      <c r="B828" s="70">
        <f>IF('Final Calculation Sheet'!$I$33="","",'Final Calculation Sheet'!$I$33)</f>
        <v/>
      </c>
    </row>
    <row r="829" outlineLevel="3" ht="15" customHeight="1">
      <c r="A829" s="69" t="inlineStr">
        <is>
          <t xml:space="preserve">            Mat. Value + GST (₹)</t>
        </is>
      </c>
      <c r="B829" s="70">
        <f>IF('Final Calculation Sheet'!$J$33="","",'Final Calculation Sheet'!$J$33)</f>
        <v/>
      </c>
    </row>
    <row r="830" outlineLevel="3" ht="15" customHeight="1">
      <c r="A830" s="69" t="inlineStr">
        <is>
          <t xml:space="preserve">            TCS @ 2% (₹)</t>
        </is>
      </c>
      <c r="B830" s="70">
        <f>IF('Final Calculation Sheet'!$K$33="","",'Final Calculation Sheet'!$K$33)</f>
        <v/>
      </c>
    </row>
    <row r="831" outlineLevel="3" ht="15" customHeight="1">
      <c r="A831" s="69" t="inlineStr">
        <is>
          <t xml:space="preserve">            TDS u/s 194(O) (₹)</t>
        </is>
      </c>
      <c r="B831" s="78">
        <f>IF('Final Calculation Sheet'!$L$33="","",'Final Calculation Sheet'!$L$33)</f>
        <v/>
      </c>
    </row>
    <row r="832" outlineLevel="3" ht="15" customHeight="1">
      <c r="A832" s="69" t="inlineStr">
        <is>
          <t xml:space="preserve">            Service Charge gross (₹)</t>
        </is>
      </c>
      <c r="B832" s="78">
        <f>IF('Final Calculation Sheet'!$M$33="","",'Final Calculation Sheet'!$M$33)</f>
        <v/>
      </c>
    </row>
    <row r="833" outlineLevel="3" ht="15" customHeight="1">
      <c r="A833" s="69" t="inlineStr">
        <is>
          <t xml:space="preserve">            TDS u/s 194(H) (₹)</t>
        </is>
      </c>
      <c r="B833" s="78">
        <f>IF('Final Calculation Sheet'!$N$33="","",'Final Calculation Sheet'!$N$33)</f>
        <v/>
      </c>
    </row>
    <row r="834" outlineLevel="3" ht="15" customHeight="1">
      <c r="A834" s="69" t="inlineStr">
        <is>
          <t xml:space="preserve">            Net Service Charge (₹)</t>
        </is>
      </c>
      <c r="B834" s="78">
        <f>IF('Final Calculation Sheet'!$O$33="","",'Final Calculation Sheet'!$O$33)</f>
        <v/>
      </c>
    </row>
    <row r="835" outlineLevel="3" ht="15" customHeight="1">
      <c r="A835" s="69" t="inlineStr">
        <is>
          <t xml:space="preserve">            Svc Charge to MSTC (₹)</t>
        </is>
      </c>
      <c r="B835" s="70">
        <f>IF('Final Calculation Sheet'!$P$33="","",'Final Calculation Sheet'!$P$33)</f>
        <v/>
      </c>
    </row>
    <row r="836" outlineLevel="3" ht="15" customHeight="1">
      <c r="A836" s="69" t="inlineStr">
        <is>
          <t xml:space="preserve">            GST TDS Rate</t>
        </is>
      </c>
      <c r="B836" s="80">
        <f>IF('Final Calculation Sheet'!$Q$33="","",'Final Calculation Sheet'!$Q$33)</f>
        <v/>
      </c>
    </row>
    <row r="837" outlineLevel="3" ht="15" customHeight="1">
      <c r="A837" s="69" t="inlineStr">
        <is>
          <t xml:space="preserve">            GST TDS (₹)</t>
        </is>
      </c>
      <c r="B837" s="70">
        <f>IF('Final Calculation Sheet'!$R$33="","",'Final Calculation Sheet'!$R$33)</f>
        <v/>
      </c>
    </row>
    <row r="838" outlineLevel="3" ht="15" customHeight="1">
      <c r="A838" s="69" t="inlineStr">
        <is>
          <t xml:space="preserve">            Total Receivables (₹)</t>
        </is>
      </c>
      <c r="B838" s="70">
        <f>IF('Final Calculation Sheet'!$S$33="","",'Final Calculation Sheet'!$S$33)</f>
        <v/>
      </c>
    </row>
    <row r="839" outlineLevel="2" ht="16" customHeight="1">
      <c r="A839" s="463" t="inlineStr">
        <is>
          <t xml:space="preserve">      ▸ SECURITY DEPOSIT</t>
        </is>
      </c>
      <c r="B839" s="464" t="n"/>
    </row>
    <row r="840" outlineLevel="3" ht="15" customHeight="1">
      <c r="A840" s="69" t="inlineStr">
        <is>
          <t xml:space="preserve">            SD Expected (₹)</t>
        </is>
      </c>
      <c r="B840" s="70">
        <f>IF('Final Calculation Sheet'!$T$33="","",'Final Calculation Sheet'!$T$33)</f>
        <v/>
      </c>
    </row>
    <row r="841" outlineLevel="3" ht="15" customHeight="1">
      <c r="A841" s="69" t="inlineStr">
        <is>
          <t xml:space="preserve">            SD Received (₹)</t>
        </is>
      </c>
      <c r="B841" s="70">
        <f>IF('Final Calculation Sheet'!$U$33="","",'Final Calculation Sheet'!$U$33)</f>
        <v/>
      </c>
    </row>
    <row r="842" outlineLevel="3" ht="15" customHeight="1">
      <c r="A842" s="69" t="inlineStr">
        <is>
          <t xml:space="preserve">            SD Receipt Date</t>
        </is>
      </c>
      <c r="B842" s="76">
        <f>IF('Final Calculation Sheet'!$V$33="","",'Final Calculation Sheet'!$V$33)</f>
        <v/>
      </c>
    </row>
    <row r="843" outlineLevel="2" ht="16" customHeight="1">
      <c r="A843" s="463" t="inlineStr">
        <is>
          <t xml:space="preserve">      ▸ FINAL PAYMENT</t>
        </is>
      </c>
      <c r="B843" s="464" t="n"/>
    </row>
    <row r="844" outlineLevel="3" ht="15" customHeight="1">
      <c r="A844" s="69" t="inlineStr">
        <is>
          <t xml:space="preserve">            FP Expected (₹)</t>
        </is>
      </c>
      <c r="B844" s="70">
        <f>IF('Final Calculation Sheet'!$W$33="","",'Final Calculation Sheet'!$W$33)</f>
        <v/>
      </c>
    </row>
    <row r="845" outlineLevel="3" ht="15" customHeight="1">
      <c r="A845" s="69" t="inlineStr">
        <is>
          <t xml:space="preserve">            FP Received (₹)</t>
        </is>
      </c>
      <c r="B845" s="70">
        <f>IF('Final Calculation Sheet'!$X$33="","",'Final Calculation Sheet'!$X$33)</f>
        <v/>
      </c>
    </row>
    <row r="846" outlineLevel="3" ht="15" customHeight="1">
      <c r="A846" s="69" t="inlineStr">
        <is>
          <t xml:space="preserve">            FP Receipt Date</t>
        </is>
      </c>
      <c r="B846" s="76">
        <f>IF('Final Calculation Sheet'!$Y$33="","",'Final Calculation Sheet'!$Y$33)</f>
        <v/>
      </c>
    </row>
    <row r="847" outlineLevel="2" ht="16" customHeight="1">
      <c r="A847" s="463" t="inlineStr">
        <is>
          <t xml:space="preserve">      ▸ LPP</t>
        </is>
      </c>
      <c r="B847" s="464" t="n"/>
    </row>
    <row r="848" outlineLevel="3" ht="15" customHeight="1">
      <c r="A848" s="69" t="inlineStr">
        <is>
          <t xml:space="preserve">            LPP Expected (₹)</t>
        </is>
      </c>
      <c r="B848" s="70">
        <f>IF('Final Calculation Sheet'!$Z$33="","",'Final Calculation Sheet'!$Z$33)</f>
        <v/>
      </c>
    </row>
    <row r="849" outlineLevel="3" ht="15" customHeight="1">
      <c r="A849" s="69" t="inlineStr">
        <is>
          <t xml:space="preserve">            LPP Received (₹)</t>
        </is>
      </c>
      <c r="B849" s="70">
        <f>IF('Final Calculation Sheet'!$AA$33="","",'Final Calculation Sheet'!$AA$33)</f>
        <v/>
      </c>
    </row>
    <row r="850" outlineLevel="3" ht="15" customHeight="1">
      <c r="A850" s="69" t="inlineStr">
        <is>
          <t xml:space="preserve">            LPP Receipt Date</t>
        </is>
      </c>
      <c r="B850" s="76">
        <f>IF('Final Calculation Sheet'!$AB$33="","",'Final Calculation Sheet'!$AB$33)</f>
        <v/>
      </c>
    </row>
    <row r="851" outlineLevel="2" ht="16" customHeight="1">
      <c r="A851" s="463" t="inlineStr">
        <is>
          <t xml:space="preserve">      ▸ SUMMARY</t>
        </is>
      </c>
      <c r="B851" s="464" t="n"/>
    </row>
    <row r="852" outlineLevel="3" ht="15" customHeight="1">
      <c r="A852" s="69" t="inlineStr">
        <is>
          <t xml:space="preserve">            Total Received (₹)</t>
        </is>
      </c>
      <c r="B852" s="70">
        <f>IF('Final Calculation Sheet'!$AC$33="","",'Final Calculation Sheet'!$AC$33)</f>
        <v/>
      </c>
    </row>
    <row r="853" outlineLevel="3" ht="15" customHeight="1">
      <c r="A853" s="69" t="inlineStr">
        <is>
          <t xml:space="preserve">            Outstanding (₹)</t>
        </is>
      </c>
      <c r="B853" s="70">
        <f>IF('Final Calculation Sheet'!$AD$33="","",'Final Calculation Sheet'!$AD$33)</f>
        <v/>
      </c>
    </row>
    <row r="854" outlineLevel="3" ht="15" customHeight="1">
      <c r="A854" s="69" t="inlineStr">
        <is>
          <t xml:space="preserve">            Payment Status</t>
        </is>
      </c>
      <c r="B854" s="81">
        <f>IF('Final Calculation Sheet'!$AD$33="","",IF('Final Calculation Sheet'!$AD$33&lt;=0,"SETTLED","OUTSTANDING"))</f>
        <v/>
      </c>
    </row>
    <row r="855" outlineLevel="2" ht="16" customHeight="1">
      <c r="A855" s="463" t="inlineStr">
        <is>
          <t xml:space="preserve">      ▸ DOCUMENT</t>
        </is>
      </c>
      <c r="B855" s="464" t="n"/>
    </row>
    <row r="856" outlineLevel="3" ht="15" customHeight="1">
      <c r="A856" s="69" t="inlineStr">
        <is>
          <t xml:space="preserve">            Invoice No.</t>
        </is>
      </c>
      <c r="B856" s="76">
        <f>IF('Final Calculation Sheet'!$AE$33="","",'Final Calculation Sheet'!$AE$33)</f>
        <v/>
      </c>
    </row>
    <row r="857" outlineLevel="3" ht="15" customHeight="1">
      <c r="A857" s="69" t="inlineStr">
        <is>
          <t xml:space="preserve">            SAP Document</t>
        </is>
      </c>
      <c r="B857" s="70">
        <f>IF('Final Calculation Sheet'!$AF$33="","",'Final Calculation Sheet'!$AF$33)</f>
        <v/>
      </c>
    </row>
    <row r="858" outlineLevel="3" ht="15" customHeight="1">
      <c r="A858" s="69" t="inlineStr">
        <is>
          <t xml:space="preserve">            Doc./Invoice Date</t>
        </is>
      </c>
      <c r="B858" s="76">
        <f>IF('Final Calculation Sheet'!$AG$33="","",'Final Calculation Sheet'!$AG$33)</f>
        <v/>
      </c>
    </row>
    <row r="859" outlineLevel="1" ht="20" customHeight="1">
      <c r="A859" s="462">
        <f>"   ▸  LOT "&amp;'Final Calculation Sheet'!$F$37&amp;"   •   "&amp;'Final Calculation Sheet'!$B$37&amp;"   •   MAT. VALUE ₹"&amp;TEXT('Final Calculation Sheet'!$H$37,"#,##0")&amp;"   •   OUTSTANDING ₹"&amp;TEXT('Final Calculation Sheet'!$AD$37,"#,##0")</f>
        <v/>
      </c>
      <c r="B859" s="130" t="n"/>
    </row>
    <row r="860" outlineLevel="2" ht="16" customHeight="1">
      <c r="A860" s="463" t="inlineStr">
        <is>
          <t xml:space="preserve">      ▸ LOT INFORMATION</t>
        </is>
      </c>
      <c r="B860" s="464" t="n"/>
    </row>
    <row r="861" outlineLevel="3" ht="15" customHeight="1">
      <c r="A861" s="69" t="inlineStr">
        <is>
          <t xml:space="preserve">            Lot No.</t>
        </is>
      </c>
      <c r="B861" s="70">
        <f>IF('Final Calculation Sheet'!$F$37="","",'Final Calculation Sheet'!$F$37)</f>
        <v/>
      </c>
    </row>
    <row r="862" outlineLevel="3" ht="15" customHeight="1">
      <c r="A862" s="69" t="inlineStr">
        <is>
          <t xml:space="preserve">            Lot Name</t>
        </is>
      </c>
      <c r="B862" s="76">
        <f>IF('Final Calculation Sheet'!$B$37="","",'Final Calculation Sheet'!$B$37)</f>
        <v/>
      </c>
    </row>
    <row r="863" outlineLevel="3" ht="15" customHeight="1">
      <c r="A863" s="69" t="inlineStr">
        <is>
          <t xml:space="preserve">            Bid Sheet / Auction</t>
        </is>
      </c>
      <c r="B863" s="70">
        <f>IF('Final Calculation Sheet'!$D$37="","",'Final Calculation Sheet'!$D$37)</f>
        <v/>
      </c>
    </row>
    <row r="864" outlineLevel="3" ht="15" customHeight="1">
      <c r="A864" s="69" t="inlineStr">
        <is>
          <t xml:space="preserve">            Quantity</t>
        </is>
      </c>
      <c r="B864" s="74">
        <f>IF('Final Calculation Sheet'!$A$37="","",'Final Calculation Sheet'!$A$37)</f>
        <v/>
      </c>
    </row>
    <row r="865" outlineLevel="3" ht="15" customHeight="1">
      <c r="A865" s="69" t="inlineStr">
        <is>
          <t xml:space="preserve">            Unit</t>
        </is>
      </c>
      <c r="B865" s="76">
        <f>IF('Final Calculation Sheet'!$E$37="","",'Final Calculation Sheet'!$E$37)</f>
        <v/>
      </c>
    </row>
    <row r="866" outlineLevel="3" ht="15" customHeight="1">
      <c r="A866" s="69" t="inlineStr">
        <is>
          <t xml:space="preserve">            Rate (₹)</t>
        </is>
      </c>
      <c r="B866" s="70">
        <f>IF('Final Calculation Sheet'!$C$37="","",'Final Calculation Sheet'!$C$37)</f>
        <v/>
      </c>
    </row>
    <row r="867" outlineLevel="2" ht="16" customHeight="1">
      <c r="A867" s="463" t="inlineStr">
        <is>
          <t xml:space="preserve">      ▸ FINANCIALS</t>
        </is>
      </c>
      <c r="B867" s="464" t="n"/>
    </row>
    <row r="868" outlineLevel="3" ht="15" customHeight="1">
      <c r="A868" s="69" t="inlineStr">
        <is>
          <t xml:space="preserve">            Mat. Value (₹)</t>
        </is>
      </c>
      <c r="B868" s="70">
        <f>IF('Final Calculation Sheet'!$H$37="","",'Final Calculation Sheet'!$H$37)</f>
        <v/>
      </c>
    </row>
    <row r="869" outlineLevel="3" ht="15" customHeight="1">
      <c r="A869" s="69" t="inlineStr">
        <is>
          <t xml:space="preserve">            GST @ 18% (₹)</t>
        </is>
      </c>
      <c r="B869" s="70">
        <f>IF('Final Calculation Sheet'!$I$37="","",'Final Calculation Sheet'!$I$37)</f>
        <v/>
      </c>
    </row>
    <row r="870" outlineLevel="3" ht="15" customHeight="1">
      <c r="A870" s="69" t="inlineStr">
        <is>
          <t xml:space="preserve">            Mat. Value + GST (₹)</t>
        </is>
      </c>
      <c r="B870" s="70">
        <f>IF('Final Calculation Sheet'!$J$37="","",'Final Calculation Sheet'!$J$37)</f>
        <v/>
      </c>
    </row>
    <row r="871" outlineLevel="3" ht="15" customHeight="1">
      <c r="A871" s="69" t="inlineStr">
        <is>
          <t xml:space="preserve">            TCS @ 2% (₹)</t>
        </is>
      </c>
      <c r="B871" s="70">
        <f>IF('Final Calculation Sheet'!$K$37="","",'Final Calculation Sheet'!$K$37)</f>
        <v/>
      </c>
    </row>
    <row r="872" outlineLevel="3" ht="15" customHeight="1">
      <c r="A872" s="69" t="inlineStr">
        <is>
          <t xml:space="preserve">            TDS u/s 194(O) (₹)</t>
        </is>
      </c>
      <c r="B872" s="78">
        <f>IF('Final Calculation Sheet'!$L$37="","",'Final Calculation Sheet'!$L$37)</f>
        <v/>
      </c>
    </row>
    <row r="873" outlineLevel="3" ht="15" customHeight="1">
      <c r="A873" s="69" t="inlineStr">
        <is>
          <t xml:space="preserve">            Service Charge gross (₹)</t>
        </is>
      </c>
      <c r="B873" s="78">
        <f>IF('Final Calculation Sheet'!$M$37="","",'Final Calculation Sheet'!$M$37)</f>
        <v/>
      </c>
    </row>
    <row r="874" outlineLevel="3" ht="15" customHeight="1">
      <c r="A874" s="69" t="inlineStr">
        <is>
          <t xml:space="preserve">            TDS u/s 194(H) (₹)</t>
        </is>
      </c>
      <c r="B874" s="78">
        <f>IF('Final Calculation Sheet'!$N$37="","",'Final Calculation Sheet'!$N$37)</f>
        <v/>
      </c>
    </row>
    <row r="875" outlineLevel="3" ht="15" customHeight="1">
      <c r="A875" s="69" t="inlineStr">
        <is>
          <t xml:space="preserve">            Net Service Charge (₹)</t>
        </is>
      </c>
      <c r="B875" s="78">
        <f>IF('Final Calculation Sheet'!$O$37="","",'Final Calculation Sheet'!$O$37)</f>
        <v/>
      </c>
    </row>
    <row r="876" outlineLevel="3" ht="15" customHeight="1">
      <c r="A876" s="69" t="inlineStr">
        <is>
          <t xml:space="preserve">            Svc Charge to MSTC (₹)</t>
        </is>
      </c>
      <c r="B876" s="70">
        <f>IF('Final Calculation Sheet'!$P$37="","",'Final Calculation Sheet'!$P$37)</f>
        <v/>
      </c>
    </row>
    <row r="877" outlineLevel="3" ht="15" customHeight="1">
      <c r="A877" s="69" t="inlineStr">
        <is>
          <t xml:space="preserve">            GST TDS Rate</t>
        </is>
      </c>
      <c r="B877" s="80">
        <f>IF('Final Calculation Sheet'!$Q$37="","",'Final Calculation Sheet'!$Q$37)</f>
        <v/>
      </c>
    </row>
    <row r="878" outlineLevel="3" ht="15" customHeight="1">
      <c r="A878" s="69" t="inlineStr">
        <is>
          <t xml:space="preserve">            GST TDS (₹)</t>
        </is>
      </c>
      <c r="B878" s="70">
        <f>IF('Final Calculation Sheet'!$R$37="","",'Final Calculation Sheet'!$R$37)</f>
        <v/>
      </c>
    </row>
    <row r="879" outlineLevel="3" ht="15" customHeight="1">
      <c r="A879" s="69" t="inlineStr">
        <is>
          <t xml:space="preserve">            Total Receivables (₹)</t>
        </is>
      </c>
      <c r="B879" s="70">
        <f>IF('Final Calculation Sheet'!$S$37="","",'Final Calculation Sheet'!$S$37)</f>
        <v/>
      </c>
    </row>
    <row r="880" outlineLevel="2" ht="16" customHeight="1">
      <c r="A880" s="463" t="inlineStr">
        <is>
          <t xml:space="preserve">      ▸ SECURITY DEPOSIT</t>
        </is>
      </c>
      <c r="B880" s="464" t="n"/>
    </row>
    <row r="881" outlineLevel="3" ht="15" customHeight="1">
      <c r="A881" s="69" t="inlineStr">
        <is>
          <t xml:space="preserve">            SD Expected (₹)</t>
        </is>
      </c>
      <c r="B881" s="70">
        <f>IF('Final Calculation Sheet'!$T$37="","",'Final Calculation Sheet'!$T$37)</f>
        <v/>
      </c>
    </row>
    <row r="882" outlineLevel="3" ht="15" customHeight="1">
      <c r="A882" s="69" t="inlineStr">
        <is>
          <t xml:space="preserve">            SD Received (₹)</t>
        </is>
      </c>
      <c r="B882" s="70">
        <f>IF('Final Calculation Sheet'!$U$37="","",'Final Calculation Sheet'!$U$37)</f>
        <v/>
      </c>
    </row>
    <row r="883" outlineLevel="3" ht="15" customHeight="1">
      <c r="A883" s="69" t="inlineStr">
        <is>
          <t xml:space="preserve">            SD Receipt Date</t>
        </is>
      </c>
      <c r="B883" s="76">
        <f>IF('Final Calculation Sheet'!$V$37="","",'Final Calculation Sheet'!$V$37)</f>
        <v/>
      </c>
    </row>
    <row r="884" outlineLevel="2" ht="16" customHeight="1">
      <c r="A884" s="463" t="inlineStr">
        <is>
          <t xml:space="preserve">      ▸ FINAL PAYMENT</t>
        </is>
      </c>
      <c r="B884" s="464" t="n"/>
    </row>
    <row r="885" outlineLevel="3" ht="15" customHeight="1">
      <c r="A885" s="69" t="inlineStr">
        <is>
          <t xml:space="preserve">            FP Expected (₹)</t>
        </is>
      </c>
      <c r="B885" s="70">
        <f>IF('Final Calculation Sheet'!$W$37="","",'Final Calculation Sheet'!$W$37)</f>
        <v/>
      </c>
    </row>
    <row r="886" outlineLevel="3" ht="15" customHeight="1">
      <c r="A886" s="69" t="inlineStr">
        <is>
          <t xml:space="preserve">            FP Received (₹)</t>
        </is>
      </c>
      <c r="B886" s="70">
        <f>IF('Final Calculation Sheet'!$X$37="","",'Final Calculation Sheet'!$X$37)</f>
        <v/>
      </c>
    </row>
    <row r="887" outlineLevel="3" ht="15" customHeight="1">
      <c r="A887" s="69" t="inlineStr">
        <is>
          <t xml:space="preserve">            FP Receipt Date</t>
        </is>
      </c>
      <c r="B887" s="76">
        <f>IF('Final Calculation Sheet'!$Y$37="","",'Final Calculation Sheet'!$Y$37)</f>
        <v/>
      </c>
    </row>
    <row r="888" outlineLevel="2" ht="16" customHeight="1">
      <c r="A888" s="463" t="inlineStr">
        <is>
          <t xml:space="preserve">      ▸ LPP</t>
        </is>
      </c>
      <c r="B888" s="464" t="n"/>
    </row>
    <row r="889" outlineLevel="3" ht="15" customHeight="1">
      <c r="A889" s="69" t="inlineStr">
        <is>
          <t xml:space="preserve">            LPP Expected (₹)</t>
        </is>
      </c>
      <c r="B889" s="70">
        <f>IF('Final Calculation Sheet'!$Z$37="","",'Final Calculation Sheet'!$Z$37)</f>
        <v/>
      </c>
    </row>
    <row r="890" outlineLevel="3" ht="15" customHeight="1">
      <c r="A890" s="69" t="inlineStr">
        <is>
          <t xml:space="preserve">            LPP Received (₹)</t>
        </is>
      </c>
      <c r="B890" s="70">
        <f>IF('Final Calculation Sheet'!$AA$37="","",'Final Calculation Sheet'!$AA$37)</f>
        <v/>
      </c>
    </row>
    <row r="891" outlineLevel="3" ht="15" customHeight="1">
      <c r="A891" s="69" t="inlineStr">
        <is>
          <t xml:space="preserve">            LPP Receipt Date</t>
        </is>
      </c>
      <c r="B891" s="76">
        <f>IF('Final Calculation Sheet'!$AB$37="","",'Final Calculation Sheet'!$AB$37)</f>
        <v/>
      </c>
    </row>
    <row r="892" outlineLevel="2" ht="16" customHeight="1">
      <c r="A892" s="463" t="inlineStr">
        <is>
          <t xml:space="preserve">      ▸ SUMMARY</t>
        </is>
      </c>
      <c r="B892" s="464" t="n"/>
    </row>
    <row r="893" outlineLevel="3" ht="15" customHeight="1">
      <c r="A893" s="69" t="inlineStr">
        <is>
          <t xml:space="preserve">            Total Received (₹)</t>
        </is>
      </c>
      <c r="B893" s="70">
        <f>IF('Final Calculation Sheet'!$AC$37="","",'Final Calculation Sheet'!$AC$37)</f>
        <v/>
      </c>
    </row>
    <row r="894" outlineLevel="3" ht="15" customHeight="1">
      <c r="A894" s="69" t="inlineStr">
        <is>
          <t xml:space="preserve">            Outstanding (₹)</t>
        </is>
      </c>
      <c r="B894" s="70">
        <f>IF('Final Calculation Sheet'!$AD$37="","",'Final Calculation Sheet'!$AD$37)</f>
        <v/>
      </c>
    </row>
    <row r="895" outlineLevel="3" ht="15" customHeight="1">
      <c r="A895" s="69" t="inlineStr">
        <is>
          <t xml:space="preserve">            Payment Status</t>
        </is>
      </c>
      <c r="B895" s="81">
        <f>IF('Final Calculation Sheet'!$AD$37="","",IF('Final Calculation Sheet'!$AD$37&lt;=0,"SETTLED","OUTSTANDING"))</f>
        <v/>
      </c>
    </row>
    <row r="896" outlineLevel="2" ht="16" customHeight="1">
      <c r="A896" s="463" t="inlineStr">
        <is>
          <t xml:space="preserve">      ▸ DOCUMENT</t>
        </is>
      </c>
      <c r="B896" s="464" t="n"/>
    </row>
    <row r="897" outlineLevel="3" ht="15" customHeight="1">
      <c r="A897" s="69" t="inlineStr">
        <is>
          <t xml:space="preserve">            Invoice No.</t>
        </is>
      </c>
      <c r="B897" s="76">
        <f>IF('Final Calculation Sheet'!$AE$37="","",'Final Calculation Sheet'!$AE$37)</f>
        <v/>
      </c>
    </row>
    <row r="898" outlineLevel="3" ht="15" customHeight="1">
      <c r="A898" s="69" t="inlineStr">
        <is>
          <t xml:space="preserve">            SAP Document</t>
        </is>
      </c>
      <c r="B898" s="70">
        <f>IF('Final Calculation Sheet'!$AF$37="","",'Final Calculation Sheet'!$AF$37)</f>
        <v/>
      </c>
    </row>
    <row r="899" outlineLevel="3" ht="15" customHeight="1">
      <c r="A899" s="69" t="inlineStr">
        <is>
          <t xml:space="preserve">            Doc./Invoice Date</t>
        </is>
      </c>
      <c r="B899" s="76">
        <f>IF('Final Calculation Sheet'!$AG$37="","",'Final Calculation Sheet'!$AG$37)</f>
        <v/>
      </c>
    </row>
    <row r="900" outlineLevel="1" ht="20" customHeight="1">
      <c r="A900" s="465" t="inlineStr">
        <is>
          <t xml:space="preserve">   ∑  NATIONAL ENTERPRISES — TOTALS (all its lots)</t>
        </is>
      </c>
      <c r="B900" s="308" t="n"/>
    </row>
    <row r="901" outlineLevel="2" ht="15" customHeight="1">
      <c r="A901" s="466" t="inlineStr">
        <is>
          <t xml:space="preserve">         Quantity</t>
        </is>
      </c>
      <c r="B901" s="467">
        <f>SUMIF('Final Calculation Sheet'!$G$4:$G$1000,"NATIONAL ENTERPRISES",'Final Calculation Sheet'!$A$4:$A$1000)</f>
        <v/>
      </c>
    </row>
    <row r="902" outlineLevel="2" ht="15" customHeight="1">
      <c r="A902" s="466" t="inlineStr">
        <is>
          <t xml:space="preserve">         Mat. Value (₹)</t>
        </is>
      </c>
      <c r="B902" s="468">
        <f>SUMIF('Final Calculation Sheet'!$G$4:$G$1000,"NATIONAL ENTERPRISES",'Final Calculation Sheet'!$H$4:$H$1000)</f>
        <v/>
      </c>
    </row>
    <row r="903" outlineLevel="2" ht="15" customHeight="1">
      <c r="A903" s="466" t="inlineStr">
        <is>
          <t xml:space="preserve">         GST @ 18% (₹)</t>
        </is>
      </c>
      <c r="B903" s="468">
        <f>SUMIF('Final Calculation Sheet'!$G$4:$G$1000,"NATIONAL ENTERPRISES",'Final Calculation Sheet'!$I$4:$I$1000)</f>
        <v/>
      </c>
    </row>
    <row r="904" outlineLevel="2" ht="15" customHeight="1">
      <c r="A904" s="466" t="inlineStr">
        <is>
          <t xml:space="preserve">         Mat. Value + GST (₹)</t>
        </is>
      </c>
      <c r="B904" s="468">
        <f>SUMIF('Final Calculation Sheet'!$G$4:$G$1000,"NATIONAL ENTERPRISES",'Final Calculation Sheet'!$J$4:$J$1000)</f>
        <v/>
      </c>
    </row>
    <row r="905" outlineLevel="2" ht="15" customHeight="1">
      <c r="A905" s="466" t="inlineStr">
        <is>
          <t xml:space="preserve">         TCS @ 2% (₹)</t>
        </is>
      </c>
      <c r="B905" s="468">
        <f>SUMIF('Final Calculation Sheet'!$G$4:$G$1000,"NATIONAL ENTERPRISES",'Final Calculation Sheet'!$K$4:$K$1000)</f>
        <v/>
      </c>
    </row>
    <row r="906" outlineLevel="2" ht="15" customHeight="1">
      <c r="A906" s="466" t="inlineStr">
        <is>
          <t xml:space="preserve">         TDS u/s 194(O) (₹)</t>
        </is>
      </c>
      <c r="B906" s="469">
        <f>SUMIF('Final Calculation Sheet'!$G$4:$G$1000,"NATIONAL ENTERPRISES",'Final Calculation Sheet'!$L$4:$L$1000)</f>
        <v/>
      </c>
    </row>
    <row r="907" outlineLevel="2" ht="15" customHeight="1">
      <c r="A907" s="466" t="inlineStr">
        <is>
          <t xml:space="preserve">         Service Charge gross (₹)</t>
        </is>
      </c>
      <c r="B907" s="469">
        <f>SUMIF('Final Calculation Sheet'!$G$4:$G$1000,"NATIONAL ENTERPRISES",'Final Calculation Sheet'!$M$4:$M$1000)</f>
        <v/>
      </c>
    </row>
    <row r="908" outlineLevel="2" ht="15" customHeight="1">
      <c r="A908" s="466" t="inlineStr">
        <is>
          <t xml:space="preserve">         TDS u/s 194(H) (₹)</t>
        </is>
      </c>
      <c r="B908" s="469">
        <f>SUMIF('Final Calculation Sheet'!$G$4:$G$1000,"NATIONAL ENTERPRISES",'Final Calculation Sheet'!$N$4:$N$1000)</f>
        <v/>
      </c>
    </row>
    <row r="909" outlineLevel="2" ht="15" customHeight="1">
      <c r="A909" s="466" t="inlineStr">
        <is>
          <t xml:space="preserve">         Net Service Charge (₹)</t>
        </is>
      </c>
      <c r="B909" s="469">
        <f>SUMIF('Final Calculation Sheet'!$G$4:$G$1000,"NATIONAL ENTERPRISES",'Final Calculation Sheet'!$O$4:$O$1000)</f>
        <v/>
      </c>
    </row>
    <row r="910" outlineLevel="2" ht="15" customHeight="1">
      <c r="A910" s="466" t="inlineStr">
        <is>
          <t xml:space="preserve">         Svc Charge to MSTC (₹)</t>
        </is>
      </c>
      <c r="B910" s="468">
        <f>SUMIF('Final Calculation Sheet'!$G$4:$G$1000,"NATIONAL ENTERPRISES",'Final Calculation Sheet'!$P$4:$P$1000)</f>
        <v/>
      </c>
    </row>
    <row r="911" outlineLevel="2" ht="15" customHeight="1">
      <c r="A911" s="466" t="inlineStr">
        <is>
          <t xml:space="preserve">         GST TDS (₹)</t>
        </is>
      </c>
      <c r="B911" s="468">
        <f>SUMIF('Final Calculation Sheet'!$G$4:$G$1000,"NATIONAL ENTERPRISES",'Final Calculation Sheet'!$R$4:$R$1000)</f>
        <v/>
      </c>
    </row>
    <row r="912" outlineLevel="2" ht="15" customHeight="1">
      <c r="A912" s="466" t="inlineStr">
        <is>
          <t xml:space="preserve">         Total Receivables (₹)</t>
        </is>
      </c>
      <c r="B912" s="468">
        <f>SUMIF('Final Calculation Sheet'!$G$4:$G$1000,"NATIONAL ENTERPRISES",'Final Calculation Sheet'!$S$4:$S$1000)</f>
        <v/>
      </c>
    </row>
    <row r="913" outlineLevel="2" ht="15" customHeight="1">
      <c r="A913" s="466" t="inlineStr">
        <is>
          <t xml:space="preserve">         SD Expected (₹)</t>
        </is>
      </c>
      <c r="B913" s="468">
        <f>SUMIF('Final Calculation Sheet'!$G$4:$G$1000,"NATIONAL ENTERPRISES",'Final Calculation Sheet'!$T$4:$T$1000)</f>
        <v/>
      </c>
    </row>
    <row r="914" outlineLevel="2" ht="15" customHeight="1">
      <c r="A914" s="466" t="inlineStr">
        <is>
          <t xml:space="preserve">         SD Received (₹)</t>
        </is>
      </c>
      <c r="B914" s="468">
        <f>SUMIF('Final Calculation Sheet'!$G$4:$G$1000,"NATIONAL ENTERPRISES",'Final Calculation Sheet'!$U$4:$U$1000)</f>
        <v/>
      </c>
    </row>
    <row r="915" outlineLevel="2" ht="15" customHeight="1">
      <c r="A915" s="466" t="inlineStr">
        <is>
          <t xml:space="preserve">         FP Expected (₹)</t>
        </is>
      </c>
      <c r="B915" s="468">
        <f>SUMIF('Final Calculation Sheet'!$G$4:$G$1000,"NATIONAL ENTERPRISES",'Final Calculation Sheet'!$W$4:$W$1000)</f>
        <v/>
      </c>
    </row>
    <row r="916" outlineLevel="2" ht="15" customHeight="1">
      <c r="A916" s="466" t="inlineStr">
        <is>
          <t xml:space="preserve">         FP Received (₹)</t>
        </is>
      </c>
      <c r="B916" s="468">
        <f>SUMIF('Final Calculation Sheet'!$G$4:$G$1000,"NATIONAL ENTERPRISES",'Final Calculation Sheet'!$X$4:$X$1000)</f>
        <v/>
      </c>
    </row>
    <row r="917" outlineLevel="2" ht="15" customHeight="1">
      <c r="A917" s="466" t="inlineStr">
        <is>
          <t xml:space="preserve">         LPP Expected (₹)</t>
        </is>
      </c>
      <c r="B917" s="468">
        <f>SUMIF('Final Calculation Sheet'!$G$4:$G$1000,"NATIONAL ENTERPRISES",'Final Calculation Sheet'!$Z$4:$Z$1000)</f>
        <v/>
      </c>
    </row>
    <row r="918" outlineLevel="2" ht="15" customHeight="1">
      <c r="A918" s="466" t="inlineStr">
        <is>
          <t xml:space="preserve">         LPP Received (₹)</t>
        </is>
      </c>
      <c r="B918" s="468">
        <f>SUMIF('Final Calculation Sheet'!$G$4:$G$1000,"NATIONAL ENTERPRISES",'Final Calculation Sheet'!$AA$4:$AA$1000)</f>
        <v/>
      </c>
    </row>
    <row r="919" outlineLevel="2" ht="15" customHeight="1">
      <c r="A919" s="466" t="inlineStr">
        <is>
          <t xml:space="preserve">         Total Received (₹)</t>
        </is>
      </c>
      <c r="B919" s="468">
        <f>SUMIF('Final Calculation Sheet'!$G$4:$G$1000,"NATIONAL ENTERPRISES",'Final Calculation Sheet'!$AC$4:$AC$1000)</f>
        <v/>
      </c>
    </row>
    <row r="920" outlineLevel="2" ht="15" customHeight="1">
      <c r="A920" s="466" t="inlineStr">
        <is>
          <t xml:space="preserve">         Outstanding (₹)</t>
        </is>
      </c>
      <c r="B920" s="468">
        <f>SUMIF('Final Calculation Sheet'!$G$4:$G$1000,"NATIONAL ENTERPRISES",'Final Calculation Sheet'!$AD$4:$AD$1000)</f>
        <v/>
      </c>
    </row>
    <row r="921" ht="7" customHeight="1">
      <c r="A921" s="82" t="n"/>
      <c r="B921" s="82" t="n"/>
    </row>
    <row r="922" ht="24" customHeight="1">
      <c r="A922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922" s="326" t="n"/>
    </row>
    <row r="923" outlineLevel="1" ht="20" customHeight="1">
      <c r="A923" s="470">
        <f>"   ▸  LOT "&amp;'Final Calculation Sheet'!$F$21&amp;"   •   "&amp;'Final Calculation Sheet'!$B$21&amp;"   •   MAT. VALUE ₹"&amp;TEXT('Final Calculation Sheet'!$H$21,"#,##0")&amp;"   •   OUTSTANDING ₹"&amp;TEXT('Final Calculation Sheet'!$AD$21,"#,##0")</f>
        <v/>
      </c>
      <c r="B923" s="145" t="n"/>
    </row>
    <row r="924" outlineLevel="2" ht="16" customHeight="1">
      <c r="A924" s="471" t="inlineStr">
        <is>
          <t xml:space="preserve">      ▸ LOT INFORMATION</t>
        </is>
      </c>
      <c r="B924" s="472" t="n"/>
    </row>
    <row r="925" outlineLevel="3" ht="15" customHeight="1">
      <c r="A925" s="69" t="inlineStr">
        <is>
          <t xml:space="preserve">            Lot No.</t>
        </is>
      </c>
      <c r="B925" s="70">
        <f>IF('Final Calculation Sheet'!$F$21="","",'Final Calculation Sheet'!$F$21)</f>
        <v/>
      </c>
    </row>
    <row r="926" outlineLevel="3" ht="15" customHeight="1">
      <c r="A926" s="69" t="inlineStr">
        <is>
          <t xml:space="preserve">            Lot Name</t>
        </is>
      </c>
      <c r="B926" s="76">
        <f>IF('Final Calculation Sheet'!$B$21="","",'Final Calculation Sheet'!$B$21)</f>
        <v/>
      </c>
    </row>
    <row r="927" outlineLevel="3" ht="15" customHeight="1">
      <c r="A927" s="69" t="inlineStr">
        <is>
          <t xml:space="preserve">            Bid Sheet / Auction</t>
        </is>
      </c>
      <c r="B927" s="70">
        <f>IF('Final Calculation Sheet'!$D$21="","",'Final Calculation Sheet'!$D$21)</f>
        <v/>
      </c>
    </row>
    <row r="928" outlineLevel="3" ht="15" customHeight="1">
      <c r="A928" s="69" t="inlineStr">
        <is>
          <t xml:space="preserve">            Quantity</t>
        </is>
      </c>
      <c r="B928" s="74">
        <f>IF('Final Calculation Sheet'!$A$21="","",'Final Calculation Sheet'!$A$21)</f>
        <v/>
      </c>
    </row>
    <row r="929" outlineLevel="3" ht="15" customHeight="1">
      <c r="A929" s="69" t="inlineStr">
        <is>
          <t xml:space="preserve">            Unit</t>
        </is>
      </c>
      <c r="B929" s="76">
        <f>IF('Final Calculation Sheet'!$E$21="","",'Final Calculation Sheet'!$E$21)</f>
        <v/>
      </c>
    </row>
    <row r="930" outlineLevel="3" ht="15" customHeight="1">
      <c r="A930" s="69" t="inlineStr">
        <is>
          <t xml:space="preserve">            Rate (₹)</t>
        </is>
      </c>
      <c r="B930" s="70">
        <f>IF('Final Calculation Sheet'!$C$21="","",'Final Calculation Sheet'!$C$21)</f>
        <v/>
      </c>
    </row>
    <row r="931" outlineLevel="2" ht="16" customHeight="1">
      <c r="A931" s="471" t="inlineStr">
        <is>
          <t xml:space="preserve">      ▸ FINANCIALS</t>
        </is>
      </c>
      <c r="B931" s="472" t="n"/>
    </row>
    <row r="932" outlineLevel="3" ht="15" customHeight="1">
      <c r="A932" s="69" t="inlineStr">
        <is>
          <t xml:space="preserve">            Mat. Value (₹)</t>
        </is>
      </c>
      <c r="B932" s="70">
        <f>IF('Final Calculation Sheet'!$H$21="","",'Final Calculation Sheet'!$H$21)</f>
        <v/>
      </c>
    </row>
    <row r="933" outlineLevel="3" ht="15" customHeight="1">
      <c r="A933" s="69" t="inlineStr">
        <is>
          <t xml:space="preserve">            GST @ 18% (₹)</t>
        </is>
      </c>
      <c r="B933" s="70">
        <f>IF('Final Calculation Sheet'!$I$21="","",'Final Calculation Sheet'!$I$21)</f>
        <v/>
      </c>
    </row>
    <row r="934" outlineLevel="3" ht="15" customHeight="1">
      <c r="A934" s="69" t="inlineStr">
        <is>
          <t xml:space="preserve">            Mat. Value + GST (₹)</t>
        </is>
      </c>
      <c r="B934" s="70">
        <f>IF('Final Calculation Sheet'!$J$21="","",'Final Calculation Sheet'!$J$21)</f>
        <v/>
      </c>
    </row>
    <row r="935" outlineLevel="3" ht="15" customHeight="1">
      <c r="A935" s="69" t="inlineStr">
        <is>
          <t xml:space="preserve">            TCS @ 2% (₹)</t>
        </is>
      </c>
      <c r="B935" s="70">
        <f>IF('Final Calculation Sheet'!$K$21="","",'Final Calculation Sheet'!$K$21)</f>
        <v/>
      </c>
    </row>
    <row r="936" outlineLevel="3" ht="15" customHeight="1">
      <c r="A936" s="69" t="inlineStr">
        <is>
          <t xml:space="preserve">            TDS u/s 194(O) (₹)</t>
        </is>
      </c>
      <c r="B936" s="78">
        <f>IF('Final Calculation Sheet'!$L$21="","",'Final Calculation Sheet'!$L$21)</f>
        <v/>
      </c>
    </row>
    <row r="937" outlineLevel="3" ht="15" customHeight="1">
      <c r="A937" s="69" t="inlineStr">
        <is>
          <t xml:space="preserve">            Service Charge gross (₹)</t>
        </is>
      </c>
      <c r="B937" s="78">
        <f>IF('Final Calculation Sheet'!$M$21="","",'Final Calculation Sheet'!$M$21)</f>
        <v/>
      </c>
    </row>
    <row r="938" outlineLevel="3" ht="15" customHeight="1">
      <c r="A938" s="69" t="inlineStr">
        <is>
          <t xml:space="preserve">            TDS u/s 194(H) (₹)</t>
        </is>
      </c>
      <c r="B938" s="78">
        <f>IF('Final Calculation Sheet'!$N$21="","",'Final Calculation Sheet'!$N$21)</f>
        <v/>
      </c>
    </row>
    <row r="939" outlineLevel="3" ht="15" customHeight="1">
      <c r="A939" s="69" t="inlineStr">
        <is>
          <t xml:space="preserve">            Net Service Charge (₹)</t>
        </is>
      </c>
      <c r="B939" s="78">
        <f>IF('Final Calculation Sheet'!$O$21="","",'Final Calculation Sheet'!$O$21)</f>
        <v/>
      </c>
    </row>
    <row r="940" outlineLevel="3" ht="15" customHeight="1">
      <c r="A940" s="69" t="inlineStr">
        <is>
          <t xml:space="preserve">            Svc Charge to MSTC (₹)</t>
        </is>
      </c>
      <c r="B940" s="70">
        <f>IF('Final Calculation Sheet'!$P$21="","",'Final Calculation Sheet'!$P$21)</f>
        <v/>
      </c>
    </row>
    <row r="941" outlineLevel="3" ht="15" customHeight="1">
      <c r="A941" s="69" t="inlineStr">
        <is>
          <t xml:space="preserve">            GST TDS Rate</t>
        </is>
      </c>
      <c r="B941" s="80">
        <f>IF('Final Calculation Sheet'!$Q$21="","",'Final Calculation Sheet'!$Q$21)</f>
        <v/>
      </c>
    </row>
    <row r="942" outlineLevel="3" ht="15" customHeight="1">
      <c r="A942" s="69" t="inlineStr">
        <is>
          <t xml:space="preserve">            GST TDS (₹)</t>
        </is>
      </c>
      <c r="B942" s="70">
        <f>IF('Final Calculation Sheet'!$R$21="","",'Final Calculation Sheet'!$R$21)</f>
        <v/>
      </c>
    </row>
    <row r="943" outlineLevel="3" ht="15" customHeight="1">
      <c r="A943" s="69" t="inlineStr">
        <is>
          <t xml:space="preserve">            Total Receivables (₹)</t>
        </is>
      </c>
      <c r="B943" s="70">
        <f>IF('Final Calculation Sheet'!$S$21="","",'Final Calculation Sheet'!$S$21)</f>
        <v/>
      </c>
    </row>
    <row r="944" outlineLevel="2" ht="16" customHeight="1">
      <c r="A944" s="471" t="inlineStr">
        <is>
          <t xml:space="preserve">      ▸ SECURITY DEPOSIT</t>
        </is>
      </c>
      <c r="B944" s="472" t="n"/>
    </row>
    <row r="945" outlineLevel="3" ht="15" customHeight="1">
      <c r="A945" s="69" t="inlineStr">
        <is>
          <t xml:space="preserve">            SD Expected (₹)</t>
        </is>
      </c>
      <c r="B945" s="70">
        <f>IF('Final Calculation Sheet'!$T$21="","",'Final Calculation Sheet'!$T$21)</f>
        <v/>
      </c>
    </row>
    <row r="946" outlineLevel="3" ht="15" customHeight="1">
      <c r="A946" s="69" t="inlineStr">
        <is>
          <t xml:space="preserve">            SD Received (₹)</t>
        </is>
      </c>
      <c r="B946" s="70">
        <f>IF('Final Calculation Sheet'!$U$21="","",'Final Calculation Sheet'!$U$21)</f>
        <v/>
      </c>
    </row>
    <row r="947" outlineLevel="3" ht="15" customHeight="1">
      <c r="A947" s="69" t="inlineStr">
        <is>
          <t xml:space="preserve">            SD Receipt Date</t>
        </is>
      </c>
      <c r="B947" s="76">
        <f>IF('Final Calculation Sheet'!$V$21="","",'Final Calculation Sheet'!$V$21)</f>
        <v/>
      </c>
    </row>
    <row r="948" outlineLevel="2" ht="16" customHeight="1">
      <c r="A948" s="471" t="inlineStr">
        <is>
          <t xml:space="preserve">      ▸ FINAL PAYMENT</t>
        </is>
      </c>
      <c r="B948" s="472" t="n"/>
    </row>
    <row r="949" outlineLevel="3" ht="15" customHeight="1">
      <c r="A949" s="69" t="inlineStr">
        <is>
          <t xml:space="preserve">            FP Expected (₹)</t>
        </is>
      </c>
      <c r="B949" s="70">
        <f>IF('Final Calculation Sheet'!$W$21="","",'Final Calculation Sheet'!$W$21)</f>
        <v/>
      </c>
    </row>
    <row r="950" outlineLevel="3" ht="15" customHeight="1">
      <c r="A950" s="69" t="inlineStr">
        <is>
          <t xml:space="preserve">            FP Received (₹)</t>
        </is>
      </c>
      <c r="B950" s="70">
        <f>IF('Final Calculation Sheet'!$X$21="","",'Final Calculation Sheet'!$X$21)</f>
        <v/>
      </c>
    </row>
    <row r="951" outlineLevel="3" ht="15" customHeight="1">
      <c r="A951" s="69" t="inlineStr">
        <is>
          <t xml:space="preserve">            FP Receipt Date</t>
        </is>
      </c>
      <c r="B951" s="76">
        <f>IF('Final Calculation Sheet'!$Y$21="","",'Final Calculation Sheet'!$Y$21)</f>
        <v/>
      </c>
    </row>
    <row r="952" outlineLevel="2" ht="16" customHeight="1">
      <c r="A952" s="471" t="inlineStr">
        <is>
          <t xml:space="preserve">      ▸ LPP</t>
        </is>
      </c>
      <c r="B952" s="472" t="n"/>
    </row>
    <row r="953" outlineLevel="3" ht="15" customHeight="1">
      <c r="A953" s="69" t="inlineStr">
        <is>
          <t xml:space="preserve">            LPP Expected (₹)</t>
        </is>
      </c>
      <c r="B953" s="70">
        <f>IF('Final Calculation Sheet'!$Z$21="","",'Final Calculation Sheet'!$Z$21)</f>
        <v/>
      </c>
    </row>
    <row r="954" outlineLevel="3" ht="15" customHeight="1">
      <c r="A954" s="69" t="inlineStr">
        <is>
          <t xml:space="preserve">            LPP Received (₹)</t>
        </is>
      </c>
      <c r="B954" s="70">
        <f>IF('Final Calculation Sheet'!$AA$21="","",'Final Calculation Sheet'!$AA$21)</f>
        <v/>
      </c>
    </row>
    <row r="955" outlineLevel="3" ht="15" customHeight="1">
      <c r="A955" s="69" t="inlineStr">
        <is>
          <t xml:space="preserve">            LPP Receipt Date</t>
        </is>
      </c>
      <c r="B955" s="76">
        <f>IF('Final Calculation Sheet'!$AB$21="","",'Final Calculation Sheet'!$AB$21)</f>
        <v/>
      </c>
    </row>
    <row r="956" outlineLevel="2" ht="16" customHeight="1">
      <c r="A956" s="471" t="inlineStr">
        <is>
          <t xml:space="preserve">      ▸ SUMMARY</t>
        </is>
      </c>
      <c r="B956" s="472" t="n"/>
    </row>
    <row r="957" outlineLevel="3" ht="15" customHeight="1">
      <c r="A957" s="69" t="inlineStr">
        <is>
          <t xml:space="preserve">            Total Received (₹)</t>
        </is>
      </c>
      <c r="B957" s="70">
        <f>IF('Final Calculation Sheet'!$AC$21="","",'Final Calculation Sheet'!$AC$21)</f>
        <v/>
      </c>
    </row>
    <row r="958" outlineLevel="3" ht="15" customHeight="1">
      <c r="A958" s="69" t="inlineStr">
        <is>
          <t xml:space="preserve">            Outstanding (₹)</t>
        </is>
      </c>
      <c r="B958" s="70">
        <f>IF('Final Calculation Sheet'!$AD$21="","",'Final Calculation Sheet'!$AD$21)</f>
        <v/>
      </c>
    </row>
    <row r="959" outlineLevel="3" ht="15" customHeight="1">
      <c r="A959" s="69" t="inlineStr">
        <is>
          <t xml:space="preserve">            Payment Status</t>
        </is>
      </c>
      <c r="B959" s="81">
        <f>IF('Final Calculation Sheet'!$AD$21="","",IF('Final Calculation Sheet'!$AD$21&lt;=0,"SETTLED","OUTSTANDING"))</f>
        <v/>
      </c>
    </row>
    <row r="960" outlineLevel="2" ht="16" customHeight="1">
      <c r="A960" s="471" t="inlineStr">
        <is>
          <t xml:space="preserve">      ▸ DOCUMENT</t>
        </is>
      </c>
      <c r="B960" s="472" t="n"/>
    </row>
    <row r="961" outlineLevel="3" ht="15" customHeight="1">
      <c r="A961" s="69" t="inlineStr">
        <is>
          <t xml:space="preserve">            Invoice No.</t>
        </is>
      </c>
      <c r="B961" s="76">
        <f>IF('Final Calculation Sheet'!$AE$21="","",'Final Calculation Sheet'!$AE$21)</f>
        <v/>
      </c>
    </row>
    <row r="962" outlineLevel="3" ht="15" customHeight="1">
      <c r="A962" s="69" t="inlineStr">
        <is>
          <t xml:space="preserve">            SAP Document</t>
        </is>
      </c>
      <c r="B962" s="70">
        <f>IF('Final Calculation Sheet'!$AF$21="","",'Final Calculation Sheet'!$AF$21)</f>
        <v/>
      </c>
    </row>
    <row r="963" outlineLevel="3" ht="15" customHeight="1">
      <c r="A963" s="69" t="inlineStr">
        <is>
          <t xml:space="preserve">            Doc./Invoice Date</t>
        </is>
      </c>
      <c r="B963" s="76">
        <f>IF('Final Calculation Sheet'!$AG$21="","",'Final Calculation Sheet'!$AG$21)</f>
        <v/>
      </c>
    </row>
    <row r="964" outlineLevel="1" ht="20" customHeight="1">
      <c r="A964" s="473" t="inlineStr">
        <is>
          <t xml:space="preserve">   ∑  NATIONAL SCRAP AND BUILDING MATERIAL SUPPLIER — TOTALS (all its lots)</t>
        </is>
      </c>
      <c r="B964" s="326" t="n"/>
    </row>
    <row r="965" outlineLevel="2" ht="15" customHeight="1">
      <c r="A965" s="474" t="inlineStr">
        <is>
          <t xml:space="preserve">         Quantity</t>
        </is>
      </c>
      <c r="B965" s="475">
        <f>SUMIF('Final Calculation Sheet'!$G$4:$G$1000,"NATIONAL SCRAP AND BUILDING MATERIAL SUPPLIER",'Final Calculation Sheet'!$A$4:$A$1000)</f>
        <v/>
      </c>
    </row>
    <row r="966" outlineLevel="2" ht="15" customHeight="1">
      <c r="A966" s="474" t="inlineStr">
        <is>
          <t xml:space="preserve">         Mat. Value (₹)</t>
        </is>
      </c>
      <c r="B966" s="220">
        <f>SUMIF('Final Calculation Sheet'!$G$4:$G$1000,"NATIONAL SCRAP AND BUILDING MATERIAL SUPPLIER",'Final Calculation Sheet'!$H$4:$H$1000)</f>
        <v/>
      </c>
    </row>
    <row r="967" outlineLevel="2" ht="15" customHeight="1">
      <c r="A967" s="474" t="inlineStr">
        <is>
          <t xml:space="preserve">         GST @ 18% (₹)</t>
        </is>
      </c>
      <c r="B967" s="220">
        <f>SUMIF('Final Calculation Sheet'!$G$4:$G$1000,"NATIONAL SCRAP AND BUILDING MATERIAL SUPPLIER",'Final Calculation Sheet'!$I$4:$I$1000)</f>
        <v/>
      </c>
    </row>
    <row r="968" outlineLevel="2" ht="15" customHeight="1">
      <c r="A968" s="474" t="inlineStr">
        <is>
          <t xml:space="preserve">         Mat. Value + GST (₹)</t>
        </is>
      </c>
      <c r="B968" s="220">
        <f>SUMIF('Final Calculation Sheet'!$G$4:$G$1000,"NATIONAL SCRAP AND BUILDING MATERIAL SUPPLIER",'Final Calculation Sheet'!$J$4:$J$1000)</f>
        <v/>
      </c>
    </row>
    <row r="969" outlineLevel="2" ht="15" customHeight="1">
      <c r="A969" s="474" t="inlineStr">
        <is>
          <t xml:space="preserve">         TCS @ 2% (₹)</t>
        </is>
      </c>
      <c r="B969" s="220">
        <f>SUMIF('Final Calculation Sheet'!$G$4:$G$1000,"NATIONAL SCRAP AND BUILDING MATERIAL SUPPLIER",'Final Calculation Sheet'!$K$4:$K$1000)</f>
        <v/>
      </c>
    </row>
    <row r="970" outlineLevel="2" ht="15" customHeight="1">
      <c r="A970" s="474" t="inlineStr">
        <is>
          <t xml:space="preserve">         TDS u/s 194(O) (₹)</t>
        </is>
      </c>
      <c r="B970" s="476">
        <f>SUMIF('Final Calculation Sheet'!$G$4:$G$1000,"NATIONAL SCRAP AND BUILDING MATERIAL SUPPLIER",'Final Calculation Sheet'!$L$4:$L$1000)</f>
        <v/>
      </c>
    </row>
    <row r="971" outlineLevel="2" ht="15" customHeight="1">
      <c r="A971" s="474" t="inlineStr">
        <is>
          <t xml:space="preserve">         Service Charge gross (₹)</t>
        </is>
      </c>
      <c r="B971" s="476">
        <f>SUMIF('Final Calculation Sheet'!$G$4:$G$1000,"NATIONAL SCRAP AND BUILDING MATERIAL SUPPLIER",'Final Calculation Sheet'!$M$4:$M$1000)</f>
        <v/>
      </c>
    </row>
    <row r="972" outlineLevel="2" ht="15" customHeight="1">
      <c r="A972" s="474" t="inlineStr">
        <is>
          <t xml:space="preserve">         TDS u/s 194(H) (₹)</t>
        </is>
      </c>
      <c r="B972" s="476">
        <f>SUMIF('Final Calculation Sheet'!$G$4:$G$1000,"NATIONAL SCRAP AND BUILDING MATERIAL SUPPLIER",'Final Calculation Sheet'!$N$4:$N$1000)</f>
        <v/>
      </c>
    </row>
    <row r="973" outlineLevel="2" ht="15" customHeight="1">
      <c r="A973" s="474" t="inlineStr">
        <is>
          <t xml:space="preserve">         Net Service Charge (₹)</t>
        </is>
      </c>
      <c r="B973" s="476">
        <f>SUMIF('Final Calculation Sheet'!$G$4:$G$1000,"NATIONAL SCRAP AND BUILDING MATERIAL SUPPLIER",'Final Calculation Sheet'!$O$4:$O$1000)</f>
        <v/>
      </c>
    </row>
    <row r="974" outlineLevel="2" ht="15" customHeight="1">
      <c r="A974" s="474" t="inlineStr">
        <is>
          <t xml:space="preserve">         Svc Charge to MSTC (₹)</t>
        </is>
      </c>
      <c r="B974" s="220">
        <f>SUMIF('Final Calculation Sheet'!$G$4:$G$1000,"NATIONAL SCRAP AND BUILDING MATERIAL SUPPLIER",'Final Calculation Sheet'!$P$4:$P$1000)</f>
        <v/>
      </c>
    </row>
    <row r="975" outlineLevel="2" ht="15" customHeight="1">
      <c r="A975" s="474" t="inlineStr">
        <is>
          <t xml:space="preserve">         GST TDS (₹)</t>
        </is>
      </c>
      <c r="B975" s="220">
        <f>SUMIF('Final Calculation Sheet'!$G$4:$G$1000,"NATIONAL SCRAP AND BUILDING MATERIAL SUPPLIER",'Final Calculation Sheet'!$R$4:$R$1000)</f>
        <v/>
      </c>
    </row>
    <row r="976" outlineLevel="2" ht="15" customHeight="1">
      <c r="A976" s="474" t="inlineStr">
        <is>
          <t xml:space="preserve">         Total Receivables (₹)</t>
        </is>
      </c>
      <c r="B976" s="220">
        <f>SUMIF('Final Calculation Sheet'!$G$4:$G$1000,"NATIONAL SCRAP AND BUILDING MATERIAL SUPPLIER",'Final Calculation Sheet'!$S$4:$S$1000)</f>
        <v/>
      </c>
    </row>
    <row r="977" outlineLevel="2" ht="15" customHeight="1">
      <c r="A977" s="474" t="inlineStr">
        <is>
          <t xml:space="preserve">         SD Expected (₹)</t>
        </is>
      </c>
      <c r="B977" s="220">
        <f>SUMIF('Final Calculation Sheet'!$G$4:$G$1000,"NATIONAL SCRAP AND BUILDING MATERIAL SUPPLIER",'Final Calculation Sheet'!$T$4:$T$1000)</f>
        <v/>
      </c>
    </row>
    <row r="978" outlineLevel="2" ht="15" customHeight="1">
      <c r="A978" s="474" t="inlineStr">
        <is>
          <t xml:space="preserve">         SD Received (₹)</t>
        </is>
      </c>
      <c r="B978" s="220">
        <f>SUMIF('Final Calculation Sheet'!$G$4:$G$1000,"NATIONAL SCRAP AND BUILDING MATERIAL SUPPLIER",'Final Calculation Sheet'!$U$4:$U$1000)</f>
        <v/>
      </c>
    </row>
    <row r="979" outlineLevel="2" ht="15" customHeight="1">
      <c r="A979" s="474" t="inlineStr">
        <is>
          <t xml:space="preserve">         FP Expected (₹)</t>
        </is>
      </c>
      <c r="B979" s="220">
        <f>SUMIF('Final Calculation Sheet'!$G$4:$G$1000,"NATIONAL SCRAP AND BUILDING MATERIAL SUPPLIER",'Final Calculation Sheet'!$W$4:$W$1000)</f>
        <v/>
      </c>
    </row>
    <row r="980" outlineLevel="2" ht="15" customHeight="1">
      <c r="A980" s="474" t="inlineStr">
        <is>
          <t xml:space="preserve">         FP Received (₹)</t>
        </is>
      </c>
      <c r="B980" s="220">
        <f>SUMIF('Final Calculation Sheet'!$G$4:$G$1000,"NATIONAL SCRAP AND BUILDING MATERIAL SUPPLIER",'Final Calculation Sheet'!$X$4:$X$1000)</f>
        <v/>
      </c>
    </row>
    <row r="981" outlineLevel="2" ht="15" customHeight="1">
      <c r="A981" s="474" t="inlineStr">
        <is>
          <t xml:space="preserve">         LPP Expected (₹)</t>
        </is>
      </c>
      <c r="B981" s="220">
        <f>SUMIF('Final Calculation Sheet'!$G$4:$G$1000,"NATIONAL SCRAP AND BUILDING MATERIAL SUPPLIER",'Final Calculation Sheet'!$Z$4:$Z$1000)</f>
        <v/>
      </c>
    </row>
    <row r="982" outlineLevel="2" ht="15" customHeight="1">
      <c r="A982" s="474" t="inlineStr">
        <is>
          <t xml:space="preserve">         LPP Received (₹)</t>
        </is>
      </c>
      <c r="B982" s="220">
        <f>SUMIF('Final Calculation Sheet'!$G$4:$G$1000,"NATIONAL SCRAP AND BUILDING MATERIAL SUPPLIER",'Final Calculation Sheet'!$AA$4:$AA$1000)</f>
        <v/>
      </c>
    </row>
    <row r="983" outlineLevel="2" ht="15" customHeight="1">
      <c r="A983" s="474" t="inlineStr">
        <is>
          <t xml:space="preserve">         Total Received (₹)</t>
        </is>
      </c>
      <c r="B983" s="220">
        <f>SUMIF('Final Calculation Sheet'!$G$4:$G$1000,"NATIONAL SCRAP AND BUILDING MATERIAL SUPPLIER",'Final Calculation Sheet'!$AC$4:$AC$1000)</f>
        <v/>
      </c>
    </row>
    <row r="984" outlineLevel="2" ht="15" customHeight="1">
      <c r="A984" s="474" t="inlineStr">
        <is>
          <t xml:space="preserve">         Outstanding (₹)</t>
        </is>
      </c>
      <c r="B984" s="220">
        <f>SUMIF('Final Calculation Sheet'!$G$4:$G$1000,"NATIONAL SCRAP AND BUILDING MATERIAL SUPPLIER",'Final Calculation Sheet'!$AD$4:$AD$1000)</f>
        <v/>
      </c>
    </row>
    <row r="985" ht="7" customHeight="1">
      <c r="A985" s="82" t="n"/>
      <c r="B985" s="82" t="n"/>
    </row>
    <row r="986" ht="24" customHeight="1">
      <c r="A986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986" s="338" t="n"/>
    </row>
    <row r="987" outlineLevel="1" ht="20" customHeight="1">
      <c r="A987" s="477">
        <f>"   ▸  LOT "&amp;'Final Calculation Sheet'!$F$8&amp;"   •   "&amp;'Final Calculation Sheet'!$B$8&amp;"   •   MAT. VALUE ₹"&amp;TEXT('Final Calculation Sheet'!$H$8,"#,##0")&amp;"   •   OUTSTANDING ₹"&amp;TEXT('Final Calculation Sheet'!$AD$8,"#,##0")</f>
        <v/>
      </c>
      <c r="B987" s="154" t="n"/>
    </row>
    <row r="988" outlineLevel="2" ht="16" customHeight="1">
      <c r="A988" s="478" t="inlineStr">
        <is>
          <t xml:space="preserve">      ▸ LOT INFORMATION</t>
        </is>
      </c>
      <c r="B988" s="479" t="n"/>
    </row>
    <row r="989" outlineLevel="3" ht="15" customHeight="1">
      <c r="A989" s="69" t="inlineStr">
        <is>
          <t xml:space="preserve">            Lot No.</t>
        </is>
      </c>
      <c r="B989" s="70">
        <f>IF('Final Calculation Sheet'!$F$8="","",'Final Calculation Sheet'!$F$8)</f>
        <v/>
      </c>
    </row>
    <row r="990" outlineLevel="3" ht="15" customHeight="1">
      <c r="A990" s="69" t="inlineStr">
        <is>
          <t xml:space="preserve">            Lot Name</t>
        </is>
      </c>
      <c r="B990" s="76">
        <f>IF('Final Calculation Sheet'!$B$8="","",'Final Calculation Sheet'!$B$8)</f>
        <v/>
      </c>
    </row>
    <row r="991" outlineLevel="3" ht="15" customHeight="1">
      <c r="A991" s="69" t="inlineStr">
        <is>
          <t xml:space="preserve">            Bid Sheet / Auction</t>
        </is>
      </c>
      <c r="B991" s="70">
        <f>IF('Final Calculation Sheet'!$D$8="","",'Final Calculation Sheet'!$D$8)</f>
        <v/>
      </c>
    </row>
    <row r="992" outlineLevel="3" ht="15" customHeight="1">
      <c r="A992" s="69" t="inlineStr">
        <is>
          <t xml:space="preserve">            Quantity</t>
        </is>
      </c>
      <c r="B992" s="74">
        <f>IF('Final Calculation Sheet'!$A$8="","",'Final Calculation Sheet'!$A$8)</f>
        <v/>
      </c>
    </row>
    <row r="993" outlineLevel="3" ht="15" customHeight="1">
      <c r="A993" s="69" t="inlineStr">
        <is>
          <t xml:space="preserve">            Unit</t>
        </is>
      </c>
      <c r="B993" s="76">
        <f>IF('Final Calculation Sheet'!$E$8="","",'Final Calculation Sheet'!$E$8)</f>
        <v/>
      </c>
    </row>
    <row r="994" outlineLevel="3" ht="15" customHeight="1">
      <c r="A994" s="69" t="inlineStr">
        <is>
          <t xml:space="preserve">            Rate (₹)</t>
        </is>
      </c>
      <c r="B994" s="70">
        <f>IF('Final Calculation Sheet'!$C$8="","",'Final Calculation Sheet'!$C$8)</f>
        <v/>
      </c>
    </row>
    <row r="995" outlineLevel="2" ht="16" customHeight="1">
      <c r="A995" s="478" t="inlineStr">
        <is>
          <t xml:space="preserve">      ▸ FINANCIALS</t>
        </is>
      </c>
      <c r="B995" s="479" t="n"/>
    </row>
    <row r="996" outlineLevel="3" ht="15" customHeight="1">
      <c r="A996" s="69" t="inlineStr">
        <is>
          <t xml:space="preserve">            Mat. Value (₹)</t>
        </is>
      </c>
      <c r="B996" s="70">
        <f>IF('Final Calculation Sheet'!$H$8="","",'Final Calculation Sheet'!$H$8)</f>
        <v/>
      </c>
    </row>
    <row r="997" outlineLevel="3" ht="15" customHeight="1">
      <c r="A997" s="69" t="inlineStr">
        <is>
          <t xml:space="preserve">            GST @ 18% (₹)</t>
        </is>
      </c>
      <c r="B997" s="70">
        <f>IF('Final Calculation Sheet'!$I$8="","",'Final Calculation Sheet'!$I$8)</f>
        <v/>
      </c>
    </row>
    <row r="998" outlineLevel="3" ht="15" customHeight="1">
      <c r="A998" s="69" t="inlineStr">
        <is>
          <t xml:space="preserve">            Mat. Value + GST (₹)</t>
        </is>
      </c>
      <c r="B998" s="70">
        <f>IF('Final Calculation Sheet'!$J$8="","",'Final Calculation Sheet'!$J$8)</f>
        <v/>
      </c>
    </row>
    <row r="999" outlineLevel="3" ht="15" customHeight="1">
      <c r="A999" s="69" t="inlineStr">
        <is>
          <t xml:space="preserve">            TCS @ 2% (₹)</t>
        </is>
      </c>
      <c r="B999" s="70">
        <f>IF('Final Calculation Sheet'!$K$8="","",'Final Calculation Sheet'!$K$8)</f>
        <v/>
      </c>
    </row>
    <row r="1000" outlineLevel="3" ht="15" customHeight="1">
      <c r="A1000" s="69" t="inlineStr">
        <is>
          <t xml:space="preserve">            TDS u/s 194(O) (₹)</t>
        </is>
      </c>
      <c r="B1000" s="78">
        <f>IF('Final Calculation Sheet'!$L$8="","",'Final Calculation Sheet'!$L$8)</f>
        <v/>
      </c>
    </row>
    <row r="1001" outlineLevel="3" ht="15" customHeight="1">
      <c r="A1001" s="69" t="inlineStr">
        <is>
          <t xml:space="preserve">            Service Charge gross (₹)</t>
        </is>
      </c>
      <c r="B1001" s="78">
        <f>IF('Final Calculation Sheet'!$M$8="","",'Final Calculation Sheet'!$M$8)</f>
        <v/>
      </c>
    </row>
    <row r="1002" outlineLevel="3" ht="15" customHeight="1">
      <c r="A1002" s="69" t="inlineStr">
        <is>
          <t xml:space="preserve">            TDS u/s 194(H) (₹)</t>
        </is>
      </c>
      <c r="B1002" s="78">
        <f>IF('Final Calculation Sheet'!$N$8="","",'Final Calculation Sheet'!$N$8)</f>
        <v/>
      </c>
    </row>
    <row r="1003" outlineLevel="3" ht="15" customHeight="1">
      <c r="A1003" s="69" t="inlineStr">
        <is>
          <t xml:space="preserve">            Net Service Charge (₹)</t>
        </is>
      </c>
      <c r="B1003" s="78">
        <f>IF('Final Calculation Sheet'!$O$8="","",'Final Calculation Sheet'!$O$8)</f>
        <v/>
      </c>
    </row>
    <row r="1004" outlineLevel="3" ht="15" customHeight="1">
      <c r="A1004" s="69" t="inlineStr">
        <is>
          <t xml:space="preserve">            Svc Charge to MSTC (₹)</t>
        </is>
      </c>
      <c r="B1004" s="70">
        <f>IF('Final Calculation Sheet'!$P$8="","",'Final Calculation Sheet'!$P$8)</f>
        <v/>
      </c>
    </row>
    <row r="1005" outlineLevel="3" ht="15" customHeight="1">
      <c r="A1005" s="69" t="inlineStr">
        <is>
          <t xml:space="preserve">            GST TDS Rate</t>
        </is>
      </c>
      <c r="B1005" s="80">
        <f>IF('Final Calculation Sheet'!$Q$8="","",'Final Calculation Sheet'!$Q$8)</f>
        <v/>
      </c>
    </row>
    <row r="1006" outlineLevel="3" ht="15" customHeight="1">
      <c r="A1006" s="69" t="inlineStr">
        <is>
          <t xml:space="preserve">            GST TDS (₹)</t>
        </is>
      </c>
      <c r="B1006" s="70">
        <f>IF('Final Calculation Sheet'!$R$8="","",'Final Calculation Sheet'!$R$8)</f>
        <v/>
      </c>
    </row>
    <row r="1007" outlineLevel="3" ht="15" customHeight="1">
      <c r="A1007" s="69" t="inlineStr">
        <is>
          <t xml:space="preserve">            Total Receivables (₹)</t>
        </is>
      </c>
      <c r="B1007" s="70">
        <f>IF('Final Calculation Sheet'!$S$8="","",'Final Calculation Sheet'!$S$8)</f>
        <v/>
      </c>
    </row>
    <row r="1008" outlineLevel="2" ht="16" customHeight="1">
      <c r="A1008" s="478" t="inlineStr">
        <is>
          <t xml:space="preserve">      ▸ SECURITY DEPOSIT</t>
        </is>
      </c>
      <c r="B1008" s="479" t="n"/>
    </row>
    <row r="1009" outlineLevel="3" ht="15" customHeight="1">
      <c r="A1009" s="69" t="inlineStr">
        <is>
          <t xml:space="preserve">            SD Expected (₹)</t>
        </is>
      </c>
      <c r="B1009" s="70">
        <f>IF('Final Calculation Sheet'!$T$8="","",'Final Calculation Sheet'!$T$8)</f>
        <v/>
      </c>
    </row>
    <row r="1010" outlineLevel="3" ht="15" customHeight="1">
      <c r="A1010" s="69" t="inlineStr">
        <is>
          <t xml:space="preserve">            SD Received (₹)</t>
        </is>
      </c>
      <c r="B1010" s="70">
        <f>IF('Final Calculation Sheet'!$U$8="","",'Final Calculation Sheet'!$U$8)</f>
        <v/>
      </c>
    </row>
    <row r="1011" outlineLevel="3" ht="15" customHeight="1">
      <c r="A1011" s="69" t="inlineStr">
        <is>
          <t xml:space="preserve">            SD Receipt Date</t>
        </is>
      </c>
      <c r="B1011" s="76">
        <f>IF('Final Calculation Sheet'!$V$8="","",'Final Calculation Sheet'!$V$8)</f>
        <v/>
      </c>
    </row>
    <row r="1012" outlineLevel="2" ht="16" customHeight="1">
      <c r="A1012" s="478" t="inlineStr">
        <is>
          <t xml:space="preserve">      ▸ FINAL PAYMENT</t>
        </is>
      </c>
      <c r="B1012" s="479" t="n"/>
    </row>
    <row r="1013" outlineLevel="3" ht="15" customHeight="1">
      <c r="A1013" s="69" t="inlineStr">
        <is>
          <t xml:space="preserve">            FP Expected (₹)</t>
        </is>
      </c>
      <c r="B1013" s="70">
        <f>IF('Final Calculation Sheet'!$W$8="","",'Final Calculation Sheet'!$W$8)</f>
        <v/>
      </c>
    </row>
    <row r="1014" outlineLevel="3" ht="15" customHeight="1">
      <c r="A1014" s="69" t="inlineStr">
        <is>
          <t xml:space="preserve">            FP Received (₹)</t>
        </is>
      </c>
      <c r="B1014" s="70">
        <f>IF('Final Calculation Sheet'!$X$8="","",'Final Calculation Sheet'!$X$8)</f>
        <v/>
      </c>
    </row>
    <row r="1015" outlineLevel="3" ht="15" customHeight="1">
      <c r="A1015" s="69" t="inlineStr">
        <is>
          <t xml:space="preserve">            FP Receipt Date</t>
        </is>
      </c>
      <c r="B1015" s="76">
        <f>IF('Final Calculation Sheet'!$Y$8="","",'Final Calculation Sheet'!$Y$8)</f>
        <v/>
      </c>
    </row>
    <row r="1016" outlineLevel="2" ht="16" customHeight="1">
      <c r="A1016" s="478" t="inlineStr">
        <is>
          <t xml:space="preserve">      ▸ LPP</t>
        </is>
      </c>
      <c r="B1016" s="479" t="n"/>
    </row>
    <row r="1017" outlineLevel="3" ht="15" customHeight="1">
      <c r="A1017" s="69" t="inlineStr">
        <is>
          <t xml:space="preserve">            LPP Expected (₹)</t>
        </is>
      </c>
      <c r="B1017" s="70">
        <f>IF('Final Calculation Sheet'!$Z$8="","",'Final Calculation Sheet'!$Z$8)</f>
        <v/>
      </c>
    </row>
    <row r="1018" outlineLevel="3" ht="15" customHeight="1">
      <c r="A1018" s="69" t="inlineStr">
        <is>
          <t xml:space="preserve">            LPP Received (₹)</t>
        </is>
      </c>
      <c r="B1018" s="70">
        <f>IF('Final Calculation Sheet'!$AA$8="","",'Final Calculation Sheet'!$AA$8)</f>
        <v/>
      </c>
    </row>
    <row r="1019" outlineLevel="3" ht="15" customHeight="1">
      <c r="A1019" s="69" t="inlineStr">
        <is>
          <t xml:space="preserve">            LPP Receipt Date</t>
        </is>
      </c>
      <c r="B1019" s="76">
        <f>IF('Final Calculation Sheet'!$AB$8="","",'Final Calculation Sheet'!$AB$8)</f>
        <v/>
      </c>
    </row>
    <row r="1020" outlineLevel="2" ht="16" customHeight="1">
      <c r="A1020" s="478" t="inlineStr">
        <is>
          <t xml:space="preserve">      ▸ SUMMARY</t>
        </is>
      </c>
      <c r="B1020" s="479" t="n"/>
    </row>
    <row r="1021" outlineLevel="3" ht="15" customHeight="1">
      <c r="A1021" s="69" t="inlineStr">
        <is>
          <t xml:space="preserve">            Total Received (₹)</t>
        </is>
      </c>
      <c r="B1021" s="70">
        <f>IF('Final Calculation Sheet'!$AC$8="","",'Final Calculation Sheet'!$AC$8)</f>
        <v/>
      </c>
    </row>
    <row r="1022" outlineLevel="3" ht="15" customHeight="1">
      <c r="A1022" s="69" t="inlineStr">
        <is>
          <t xml:space="preserve">            Outstanding (₹)</t>
        </is>
      </c>
      <c r="B1022" s="70">
        <f>IF('Final Calculation Sheet'!$AD$8="","",'Final Calculation Sheet'!$AD$8)</f>
        <v/>
      </c>
    </row>
    <row r="1023" outlineLevel="3" ht="15" customHeight="1">
      <c r="A1023" s="69" t="inlineStr">
        <is>
          <t xml:space="preserve">            Payment Status</t>
        </is>
      </c>
      <c r="B1023" s="81">
        <f>IF('Final Calculation Sheet'!$AD$8="","",IF('Final Calculation Sheet'!$AD$8&lt;=0,"SETTLED","OUTSTANDING"))</f>
        <v/>
      </c>
    </row>
    <row r="1024" outlineLevel="2" ht="16" customHeight="1">
      <c r="A1024" s="478" t="inlineStr">
        <is>
          <t xml:space="preserve">      ▸ DOCUMENT</t>
        </is>
      </c>
      <c r="B1024" s="479" t="n"/>
    </row>
    <row r="1025" outlineLevel="3" ht="15" customHeight="1">
      <c r="A1025" s="69" t="inlineStr">
        <is>
          <t xml:space="preserve">            Invoice No.</t>
        </is>
      </c>
      <c r="B1025" s="76">
        <f>IF('Final Calculation Sheet'!$AE$8="","",'Final Calculation Sheet'!$AE$8)</f>
        <v/>
      </c>
    </row>
    <row r="1026" outlineLevel="3" ht="15" customHeight="1">
      <c r="A1026" s="69" t="inlineStr">
        <is>
          <t xml:space="preserve">            SAP Document</t>
        </is>
      </c>
      <c r="B1026" s="70">
        <f>IF('Final Calculation Sheet'!$AF$8="","",'Final Calculation Sheet'!$AF$8)</f>
        <v/>
      </c>
    </row>
    <row r="1027" outlineLevel="3" ht="15" customHeight="1">
      <c r="A1027" s="69" t="inlineStr">
        <is>
          <t xml:space="preserve">            Doc./Invoice Date</t>
        </is>
      </c>
      <c r="B1027" s="76">
        <f>IF('Final Calculation Sheet'!$AG$8="","",'Final Calculation Sheet'!$AG$8)</f>
        <v/>
      </c>
    </row>
    <row r="1028" outlineLevel="1" ht="20" customHeight="1">
      <c r="A1028" s="477">
        <f>"   ▸  LOT "&amp;'Final Calculation Sheet'!$F$20&amp;"   •   "&amp;'Final Calculation Sheet'!$B$20&amp;"   •   MAT. VALUE ₹"&amp;TEXT('Final Calculation Sheet'!$H$20,"#,##0")&amp;"   •   OUTSTANDING ₹"&amp;TEXT('Final Calculation Sheet'!$AD$20,"#,##0")</f>
        <v/>
      </c>
      <c r="B1028" s="154" t="n"/>
    </row>
    <row r="1029" outlineLevel="2" ht="16" customHeight="1">
      <c r="A1029" s="478" t="inlineStr">
        <is>
          <t xml:space="preserve">      ▸ LOT INFORMATION</t>
        </is>
      </c>
      <c r="B1029" s="479" t="n"/>
    </row>
    <row r="1030" outlineLevel="3" ht="15" customHeight="1">
      <c r="A1030" s="69" t="inlineStr">
        <is>
          <t xml:space="preserve">            Lot No.</t>
        </is>
      </c>
      <c r="B1030" s="70">
        <f>IF('Final Calculation Sheet'!$F$20="","",'Final Calculation Sheet'!$F$20)</f>
        <v/>
      </c>
    </row>
    <row r="1031" outlineLevel="3" ht="15" customHeight="1">
      <c r="A1031" s="69" t="inlineStr">
        <is>
          <t xml:space="preserve">            Lot Name</t>
        </is>
      </c>
      <c r="B1031" s="76">
        <f>IF('Final Calculation Sheet'!$B$20="","",'Final Calculation Sheet'!$B$20)</f>
        <v/>
      </c>
    </row>
    <row r="1032" outlineLevel="3" ht="15" customHeight="1">
      <c r="A1032" s="69" t="inlineStr">
        <is>
          <t xml:space="preserve">            Bid Sheet / Auction</t>
        </is>
      </c>
      <c r="B1032" s="70">
        <f>IF('Final Calculation Sheet'!$D$20="","",'Final Calculation Sheet'!$D$20)</f>
        <v/>
      </c>
    </row>
    <row r="1033" outlineLevel="3" ht="15" customHeight="1">
      <c r="A1033" s="69" t="inlineStr">
        <is>
          <t xml:space="preserve">            Quantity</t>
        </is>
      </c>
      <c r="B1033" s="74">
        <f>IF('Final Calculation Sheet'!$A$20="","",'Final Calculation Sheet'!$A$20)</f>
        <v/>
      </c>
    </row>
    <row r="1034" outlineLevel="3" ht="15" customHeight="1">
      <c r="A1034" s="69" t="inlineStr">
        <is>
          <t xml:space="preserve">            Unit</t>
        </is>
      </c>
      <c r="B1034" s="76">
        <f>IF('Final Calculation Sheet'!$E$20="","",'Final Calculation Sheet'!$E$20)</f>
        <v/>
      </c>
    </row>
    <row r="1035" outlineLevel="3" ht="15" customHeight="1">
      <c r="A1035" s="69" t="inlineStr">
        <is>
          <t xml:space="preserve">            Rate (₹)</t>
        </is>
      </c>
      <c r="B1035" s="70">
        <f>IF('Final Calculation Sheet'!$C$20="","",'Final Calculation Sheet'!$C$20)</f>
        <v/>
      </c>
    </row>
    <row r="1036" outlineLevel="2" ht="16" customHeight="1">
      <c r="A1036" s="478" t="inlineStr">
        <is>
          <t xml:space="preserve">      ▸ FINANCIALS</t>
        </is>
      </c>
      <c r="B1036" s="479" t="n"/>
    </row>
    <row r="1037" outlineLevel="3" ht="15" customHeight="1">
      <c r="A1037" s="69" t="inlineStr">
        <is>
          <t xml:space="preserve">            Mat. Value (₹)</t>
        </is>
      </c>
      <c r="B1037" s="70">
        <f>IF('Final Calculation Sheet'!$H$20="","",'Final Calculation Sheet'!$H$20)</f>
        <v/>
      </c>
    </row>
    <row r="1038" outlineLevel="3" ht="15" customHeight="1">
      <c r="A1038" s="69" t="inlineStr">
        <is>
          <t xml:space="preserve">            GST @ 18% (₹)</t>
        </is>
      </c>
      <c r="B1038" s="70">
        <f>IF('Final Calculation Sheet'!$I$20="","",'Final Calculation Sheet'!$I$20)</f>
        <v/>
      </c>
    </row>
    <row r="1039" outlineLevel="3" ht="15" customHeight="1">
      <c r="A1039" s="69" t="inlineStr">
        <is>
          <t xml:space="preserve">            Mat. Value + GST (₹)</t>
        </is>
      </c>
      <c r="B1039" s="70">
        <f>IF('Final Calculation Sheet'!$J$20="","",'Final Calculation Sheet'!$J$20)</f>
        <v/>
      </c>
    </row>
    <row r="1040" outlineLevel="3" ht="15" customHeight="1">
      <c r="A1040" s="69" t="inlineStr">
        <is>
          <t xml:space="preserve">            TCS @ 2% (₹)</t>
        </is>
      </c>
      <c r="B1040" s="70">
        <f>IF('Final Calculation Sheet'!$K$20="","",'Final Calculation Sheet'!$K$20)</f>
        <v/>
      </c>
    </row>
    <row r="1041" outlineLevel="3" ht="15" customHeight="1">
      <c r="A1041" s="69" t="inlineStr">
        <is>
          <t xml:space="preserve">            TDS u/s 194(O) (₹)</t>
        </is>
      </c>
      <c r="B1041" s="78">
        <f>IF('Final Calculation Sheet'!$L$20="","",'Final Calculation Sheet'!$L$20)</f>
        <v/>
      </c>
    </row>
    <row r="1042" outlineLevel="3" ht="15" customHeight="1">
      <c r="A1042" s="69" t="inlineStr">
        <is>
          <t xml:space="preserve">            Service Charge gross (₹)</t>
        </is>
      </c>
      <c r="B1042" s="78">
        <f>IF('Final Calculation Sheet'!$M$20="","",'Final Calculation Sheet'!$M$20)</f>
        <v/>
      </c>
    </row>
    <row r="1043" outlineLevel="3" ht="15" customHeight="1">
      <c r="A1043" s="69" t="inlineStr">
        <is>
          <t xml:space="preserve">            TDS u/s 194(H) (₹)</t>
        </is>
      </c>
      <c r="B1043" s="78">
        <f>IF('Final Calculation Sheet'!$N$20="","",'Final Calculation Sheet'!$N$20)</f>
        <v/>
      </c>
    </row>
    <row r="1044" outlineLevel="3" ht="15" customHeight="1">
      <c r="A1044" s="69" t="inlineStr">
        <is>
          <t xml:space="preserve">            Net Service Charge (₹)</t>
        </is>
      </c>
      <c r="B1044" s="78">
        <f>IF('Final Calculation Sheet'!$O$20="","",'Final Calculation Sheet'!$O$20)</f>
        <v/>
      </c>
    </row>
    <row r="1045" outlineLevel="3" ht="15" customHeight="1">
      <c r="A1045" s="69" t="inlineStr">
        <is>
          <t xml:space="preserve">            Svc Charge to MSTC (₹)</t>
        </is>
      </c>
      <c r="B1045" s="70">
        <f>IF('Final Calculation Sheet'!$P$20="","",'Final Calculation Sheet'!$P$20)</f>
        <v/>
      </c>
    </row>
    <row r="1046" outlineLevel="3" ht="15" customHeight="1">
      <c r="A1046" s="69" t="inlineStr">
        <is>
          <t xml:space="preserve">            GST TDS Rate</t>
        </is>
      </c>
      <c r="B1046" s="80">
        <f>IF('Final Calculation Sheet'!$Q$20="","",'Final Calculation Sheet'!$Q$20)</f>
        <v/>
      </c>
    </row>
    <row r="1047" outlineLevel="3" ht="15" customHeight="1">
      <c r="A1047" s="69" t="inlineStr">
        <is>
          <t xml:space="preserve">            GST TDS (₹)</t>
        </is>
      </c>
      <c r="B1047" s="70">
        <f>IF('Final Calculation Sheet'!$R$20="","",'Final Calculation Sheet'!$R$20)</f>
        <v/>
      </c>
    </row>
    <row r="1048" outlineLevel="3" ht="15" customHeight="1">
      <c r="A1048" s="69" t="inlineStr">
        <is>
          <t xml:space="preserve">            Total Receivables (₹)</t>
        </is>
      </c>
      <c r="B1048" s="70">
        <f>IF('Final Calculation Sheet'!$S$20="","",'Final Calculation Sheet'!$S$20)</f>
        <v/>
      </c>
    </row>
    <row r="1049" outlineLevel="2" ht="16" customHeight="1">
      <c r="A1049" s="478" t="inlineStr">
        <is>
          <t xml:space="preserve">      ▸ SECURITY DEPOSIT</t>
        </is>
      </c>
      <c r="B1049" s="479" t="n"/>
    </row>
    <row r="1050" outlineLevel="3" ht="15" customHeight="1">
      <c r="A1050" s="69" t="inlineStr">
        <is>
          <t xml:space="preserve">            SD Expected (₹)</t>
        </is>
      </c>
      <c r="B1050" s="70">
        <f>IF('Final Calculation Sheet'!$T$20="","",'Final Calculation Sheet'!$T$20)</f>
        <v/>
      </c>
    </row>
    <row r="1051" outlineLevel="3" ht="15" customHeight="1">
      <c r="A1051" s="69" t="inlineStr">
        <is>
          <t xml:space="preserve">            SD Received (₹)</t>
        </is>
      </c>
      <c r="B1051" s="70">
        <f>IF('Final Calculation Sheet'!$U$20="","",'Final Calculation Sheet'!$U$20)</f>
        <v/>
      </c>
    </row>
    <row r="1052" outlineLevel="3" ht="15" customHeight="1">
      <c r="A1052" s="69" t="inlineStr">
        <is>
          <t xml:space="preserve">            SD Receipt Date</t>
        </is>
      </c>
      <c r="B1052" s="76">
        <f>IF('Final Calculation Sheet'!$V$20="","",'Final Calculation Sheet'!$V$20)</f>
        <v/>
      </c>
    </row>
    <row r="1053" outlineLevel="2" ht="16" customHeight="1">
      <c r="A1053" s="478" t="inlineStr">
        <is>
          <t xml:space="preserve">      ▸ FINAL PAYMENT</t>
        </is>
      </c>
      <c r="B1053" s="479" t="n"/>
    </row>
    <row r="1054" outlineLevel="3" ht="15" customHeight="1">
      <c r="A1054" s="69" t="inlineStr">
        <is>
          <t xml:space="preserve">            FP Expected (₹)</t>
        </is>
      </c>
      <c r="B1054" s="70">
        <f>IF('Final Calculation Sheet'!$W$20="","",'Final Calculation Sheet'!$W$20)</f>
        <v/>
      </c>
    </row>
    <row r="1055" outlineLevel="3" ht="15" customHeight="1">
      <c r="A1055" s="69" t="inlineStr">
        <is>
          <t xml:space="preserve">            FP Received (₹)</t>
        </is>
      </c>
      <c r="B1055" s="70">
        <f>IF('Final Calculation Sheet'!$X$20="","",'Final Calculation Sheet'!$X$20)</f>
        <v/>
      </c>
    </row>
    <row r="1056" outlineLevel="3" ht="15" customHeight="1">
      <c r="A1056" s="69" t="inlineStr">
        <is>
          <t xml:space="preserve">            FP Receipt Date</t>
        </is>
      </c>
      <c r="B1056" s="76">
        <f>IF('Final Calculation Sheet'!$Y$20="","",'Final Calculation Sheet'!$Y$20)</f>
        <v/>
      </c>
    </row>
    <row r="1057" outlineLevel="2" ht="16" customHeight="1">
      <c r="A1057" s="478" t="inlineStr">
        <is>
          <t xml:space="preserve">      ▸ LPP</t>
        </is>
      </c>
      <c r="B1057" s="479" t="n"/>
    </row>
    <row r="1058" outlineLevel="3" ht="15" customHeight="1">
      <c r="A1058" s="69" t="inlineStr">
        <is>
          <t xml:space="preserve">            LPP Expected (₹)</t>
        </is>
      </c>
      <c r="B1058" s="70">
        <f>IF('Final Calculation Sheet'!$Z$20="","",'Final Calculation Sheet'!$Z$20)</f>
        <v/>
      </c>
    </row>
    <row r="1059" outlineLevel="3" ht="15" customHeight="1">
      <c r="A1059" s="69" t="inlineStr">
        <is>
          <t xml:space="preserve">            LPP Received (₹)</t>
        </is>
      </c>
      <c r="B1059" s="70">
        <f>IF('Final Calculation Sheet'!$AA$20="","",'Final Calculation Sheet'!$AA$20)</f>
        <v/>
      </c>
    </row>
    <row r="1060" outlineLevel="3" ht="15" customHeight="1">
      <c r="A1060" s="69" t="inlineStr">
        <is>
          <t xml:space="preserve">            LPP Receipt Date</t>
        </is>
      </c>
      <c r="B1060" s="76">
        <f>IF('Final Calculation Sheet'!$AB$20="","",'Final Calculation Sheet'!$AB$20)</f>
        <v/>
      </c>
    </row>
    <row r="1061" outlineLevel="2" ht="16" customHeight="1">
      <c r="A1061" s="478" t="inlineStr">
        <is>
          <t xml:space="preserve">      ▸ SUMMARY</t>
        </is>
      </c>
      <c r="B1061" s="479" t="n"/>
    </row>
    <row r="1062" outlineLevel="3" ht="15" customHeight="1">
      <c r="A1062" s="69" t="inlineStr">
        <is>
          <t xml:space="preserve">            Total Received (₹)</t>
        </is>
      </c>
      <c r="B1062" s="70">
        <f>IF('Final Calculation Sheet'!$AC$20="","",'Final Calculation Sheet'!$AC$20)</f>
        <v/>
      </c>
    </row>
    <row r="1063" outlineLevel="3" ht="15" customHeight="1">
      <c r="A1063" s="69" t="inlineStr">
        <is>
          <t xml:space="preserve">            Outstanding (₹)</t>
        </is>
      </c>
      <c r="B1063" s="70">
        <f>IF('Final Calculation Sheet'!$AD$20="","",'Final Calculation Sheet'!$AD$20)</f>
        <v/>
      </c>
    </row>
    <row r="1064" outlineLevel="3" ht="15" customHeight="1">
      <c r="A1064" s="69" t="inlineStr">
        <is>
          <t xml:space="preserve">            Payment Status</t>
        </is>
      </c>
      <c r="B1064" s="81">
        <f>IF('Final Calculation Sheet'!$AD$20="","",IF('Final Calculation Sheet'!$AD$20&lt;=0,"SETTLED","OUTSTANDING"))</f>
        <v/>
      </c>
    </row>
    <row r="1065" outlineLevel="2" ht="16" customHeight="1">
      <c r="A1065" s="478" t="inlineStr">
        <is>
          <t xml:space="preserve">      ▸ DOCUMENT</t>
        </is>
      </c>
      <c r="B1065" s="479" t="n"/>
    </row>
    <row r="1066" outlineLevel="3" ht="15" customHeight="1">
      <c r="A1066" s="69" t="inlineStr">
        <is>
          <t xml:space="preserve">            Invoice No.</t>
        </is>
      </c>
      <c r="B1066" s="76">
        <f>IF('Final Calculation Sheet'!$AE$20="","",'Final Calculation Sheet'!$AE$20)</f>
        <v/>
      </c>
    </row>
    <row r="1067" outlineLevel="3" ht="15" customHeight="1">
      <c r="A1067" s="69" t="inlineStr">
        <is>
          <t xml:space="preserve">            SAP Document</t>
        </is>
      </c>
      <c r="B1067" s="70">
        <f>IF('Final Calculation Sheet'!$AF$20="","",'Final Calculation Sheet'!$AF$20)</f>
        <v/>
      </c>
    </row>
    <row r="1068" outlineLevel="3" ht="15" customHeight="1">
      <c r="A1068" s="69" t="inlineStr">
        <is>
          <t xml:space="preserve">            Doc./Invoice Date</t>
        </is>
      </c>
      <c r="B1068" s="76">
        <f>IF('Final Calculation Sheet'!$AG$20="","",'Final Calculation Sheet'!$AG$20)</f>
        <v/>
      </c>
    </row>
    <row r="1069" outlineLevel="1" ht="20" customHeight="1">
      <c r="A1069" s="480" t="inlineStr">
        <is>
          <t xml:space="preserve">   ∑  OMKAR STEELS — TOTALS (all its lots)</t>
        </is>
      </c>
      <c r="B1069" s="338" t="n"/>
    </row>
    <row r="1070" outlineLevel="2" ht="15" customHeight="1">
      <c r="A1070" s="481" t="inlineStr">
        <is>
          <t xml:space="preserve">         Quantity</t>
        </is>
      </c>
      <c r="B1070" s="482">
        <f>SUMIF('Final Calculation Sheet'!$G$4:$G$1000,"OMKAR STEELS",'Final Calculation Sheet'!$A$4:$A$1000)</f>
        <v/>
      </c>
    </row>
    <row r="1071" outlineLevel="2" ht="15" customHeight="1">
      <c r="A1071" s="481" t="inlineStr">
        <is>
          <t xml:space="preserve">         Mat. Value (₹)</t>
        </is>
      </c>
      <c r="B1071" s="483">
        <f>SUMIF('Final Calculation Sheet'!$G$4:$G$1000,"OMKAR STEELS",'Final Calculation Sheet'!$H$4:$H$1000)</f>
        <v/>
      </c>
    </row>
    <row r="1072" outlineLevel="2" ht="15" customHeight="1">
      <c r="A1072" s="481" t="inlineStr">
        <is>
          <t xml:space="preserve">         GST @ 18% (₹)</t>
        </is>
      </c>
      <c r="B1072" s="483">
        <f>SUMIF('Final Calculation Sheet'!$G$4:$G$1000,"OMKAR STEELS",'Final Calculation Sheet'!$I$4:$I$1000)</f>
        <v/>
      </c>
    </row>
    <row r="1073" outlineLevel="2" ht="15" customHeight="1">
      <c r="A1073" s="481" t="inlineStr">
        <is>
          <t xml:space="preserve">         Mat. Value + GST (₹)</t>
        </is>
      </c>
      <c r="B1073" s="483">
        <f>SUMIF('Final Calculation Sheet'!$G$4:$G$1000,"OMKAR STEELS",'Final Calculation Sheet'!$J$4:$J$1000)</f>
        <v/>
      </c>
    </row>
    <row r="1074" outlineLevel="2" ht="15" customHeight="1">
      <c r="A1074" s="481" t="inlineStr">
        <is>
          <t xml:space="preserve">         TCS @ 2% (₹)</t>
        </is>
      </c>
      <c r="B1074" s="483">
        <f>SUMIF('Final Calculation Sheet'!$G$4:$G$1000,"OMKAR STEELS",'Final Calculation Sheet'!$K$4:$K$1000)</f>
        <v/>
      </c>
    </row>
    <row r="1075" outlineLevel="2" ht="15" customHeight="1">
      <c r="A1075" s="481" t="inlineStr">
        <is>
          <t xml:space="preserve">         TDS u/s 194(O) (₹)</t>
        </is>
      </c>
      <c r="B1075" s="484">
        <f>SUMIF('Final Calculation Sheet'!$G$4:$G$1000,"OMKAR STEELS",'Final Calculation Sheet'!$L$4:$L$1000)</f>
        <v/>
      </c>
    </row>
    <row r="1076" outlineLevel="2" ht="15" customHeight="1">
      <c r="A1076" s="481" t="inlineStr">
        <is>
          <t xml:space="preserve">         Service Charge gross (₹)</t>
        </is>
      </c>
      <c r="B1076" s="484">
        <f>SUMIF('Final Calculation Sheet'!$G$4:$G$1000,"OMKAR STEELS",'Final Calculation Sheet'!$M$4:$M$1000)</f>
        <v/>
      </c>
    </row>
    <row r="1077" outlineLevel="2" ht="15" customHeight="1">
      <c r="A1077" s="481" t="inlineStr">
        <is>
          <t xml:space="preserve">         TDS u/s 194(H) (₹)</t>
        </is>
      </c>
      <c r="B1077" s="484">
        <f>SUMIF('Final Calculation Sheet'!$G$4:$G$1000,"OMKAR STEELS",'Final Calculation Sheet'!$N$4:$N$1000)</f>
        <v/>
      </c>
    </row>
    <row r="1078" outlineLevel="2" ht="15" customHeight="1">
      <c r="A1078" s="481" t="inlineStr">
        <is>
          <t xml:space="preserve">         Net Service Charge (₹)</t>
        </is>
      </c>
      <c r="B1078" s="484">
        <f>SUMIF('Final Calculation Sheet'!$G$4:$G$1000,"OMKAR STEELS",'Final Calculation Sheet'!$O$4:$O$1000)</f>
        <v/>
      </c>
    </row>
    <row r="1079" outlineLevel="2" ht="15" customHeight="1">
      <c r="A1079" s="481" t="inlineStr">
        <is>
          <t xml:space="preserve">         Svc Charge to MSTC (₹)</t>
        </is>
      </c>
      <c r="B1079" s="483">
        <f>SUMIF('Final Calculation Sheet'!$G$4:$G$1000,"OMKAR STEELS",'Final Calculation Sheet'!$P$4:$P$1000)</f>
        <v/>
      </c>
    </row>
    <row r="1080" outlineLevel="2" ht="15" customHeight="1">
      <c r="A1080" s="481" t="inlineStr">
        <is>
          <t xml:space="preserve">         GST TDS (₹)</t>
        </is>
      </c>
      <c r="B1080" s="483">
        <f>SUMIF('Final Calculation Sheet'!$G$4:$G$1000,"OMKAR STEELS",'Final Calculation Sheet'!$R$4:$R$1000)</f>
        <v/>
      </c>
    </row>
    <row r="1081" outlineLevel="2" ht="15" customHeight="1">
      <c r="A1081" s="481" t="inlineStr">
        <is>
          <t xml:space="preserve">         Total Receivables (₹)</t>
        </is>
      </c>
      <c r="B1081" s="483">
        <f>SUMIF('Final Calculation Sheet'!$G$4:$G$1000,"OMKAR STEELS",'Final Calculation Sheet'!$S$4:$S$1000)</f>
        <v/>
      </c>
    </row>
    <row r="1082" outlineLevel="2" ht="15" customHeight="1">
      <c r="A1082" s="481" t="inlineStr">
        <is>
          <t xml:space="preserve">         SD Expected (₹)</t>
        </is>
      </c>
      <c r="B1082" s="483">
        <f>SUMIF('Final Calculation Sheet'!$G$4:$G$1000,"OMKAR STEELS",'Final Calculation Sheet'!$T$4:$T$1000)</f>
        <v/>
      </c>
    </row>
    <row r="1083" outlineLevel="2" ht="15" customHeight="1">
      <c r="A1083" s="481" t="inlineStr">
        <is>
          <t xml:space="preserve">         SD Received (₹)</t>
        </is>
      </c>
      <c r="B1083" s="483">
        <f>SUMIF('Final Calculation Sheet'!$G$4:$G$1000,"OMKAR STEELS",'Final Calculation Sheet'!$U$4:$U$1000)</f>
        <v/>
      </c>
    </row>
    <row r="1084" outlineLevel="2" ht="15" customHeight="1">
      <c r="A1084" s="481" t="inlineStr">
        <is>
          <t xml:space="preserve">         FP Expected (₹)</t>
        </is>
      </c>
      <c r="B1084" s="483">
        <f>SUMIF('Final Calculation Sheet'!$G$4:$G$1000,"OMKAR STEELS",'Final Calculation Sheet'!$W$4:$W$1000)</f>
        <v/>
      </c>
    </row>
    <row r="1085" outlineLevel="2" ht="15" customHeight="1">
      <c r="A1085" s="481" t="inlineStr">
        <is>
          <t xml:space="preserve">         FP Received (₹)</t>
        </is>
      </c>
      <c r="B1085" s="483">
        <f>SUMIF('Final Calculation Sheet'!$G$4:$G$1000,"OMKAR STEELS",'Final Calculation Sheet'!$X$4:$X$1000)</f>
        <v/>
      </c>
    </row>
    <row r="1086" outlineLevel="2" ht="15" customHeight="1">
      <c r="A1086" s="481" t="inlineStr">
        <is>
          <t xml:space="preserve">         LPP Expected (₹)</t>
        </is>
      </c>
      <c r="B1086" s="483">
        <f>SUMIF('Final Calculation Sheet'!$G$4:$G$1000,"OMKAR STEELS",'Final Calculation Sheet'!$Z$4:$Z$1000)</f>
        <v/>
      </c>
    </row>
    <row r="1087" outlineLevel="2" ht="15" customHeight="1">
      <c r="A1087" s="481" t="inlineStr">
        <is>
          <t xml:space="preserve">         LPP Received (₹)</t>
        </is>
      </c>
      <c r="B1087" s="483">
        <f>SUMIF('Final Calculation Sheet'!$G$4:$G$1000,"OMKAR STEELS",'Final Calculation Sheet'!$AA$4:$AA$1000)</f>
        <v/>
      </c>
    </row>
    <row r="1088" outlineLevel="2" ht="15" customHeight="1">
      <c r="A1088" s="481" t="inlineStr">
        <is>
          <t xml:space="preserve">         Total Received (₹)</t>
        </is>
      </c>
      <c r="B1088" s="483">
        <f>SUMIF('Final Calculation Sheet'!$G$4:$G$1000,"OMKAR STEELS",'Final Calculation Sheet'!$AC$4:$AC$1000)</f>
        <v/>
      </c>
    </row>
    <row r="1089" outlineLevel="2" ht="15" customHeight="1">
      <c r="A1089" s="481" t="inlineStr">
        <is>
          <t xml:space="preserve">         Outstanding (₹)</t>
        </is>
      </c>
      <c r="B1089" s="483">
        <f>SUMIF('Final Calculation Sheet'!$G$4:$G$1000,"OMKAR STEELS",'Final Calculation Sheet'!$AD$4:$AD$1000)</f>
        <v/>
      </c>
    </row>
    <row r="1090" ht="7" customHeight="1">
      <c r="A1090" s="82" t="n"/>
      <c r="B1090" s="82" t="n"/>
    </row>
    <row r="1091" ht="24" customHeight="1">
      <c r="A1091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1091" s="242" t="n"/>
    </row>
    <row r="1092" outlineLevel="1" ht="20" customHeight="1">
      <c r="A1092" s="425">
        <f>"   ▸  LOT "&amp;'Final Calculation Sheet'!$F$39&amp;"   •   "&amp;'Final Calculation Sheet'!$B$39&amp;"   •   MAT. VALUE ₹"&amp;TEXT('Final Calculation Sheet'!$H$39,"#,##0")&amp;"   •   OUTSTANDING ₹"&amp;TEXT('Final Calculation Sheet'!$AD$39,"#,##0")</f>
        <v/>
      </c>
      <c r="B1092" s="67" t="n"/>
    </row>
    <row r="1093" outlineLevel="2" ht="16" customHeight="1">
      <c r="A1093" s="426" t="inlineStr">
        <is>
          <t xml:space="preserve">      ▸ LOT INFORMATION</t>
        </is>
      </c>
      <c r="B1093" s="427" t="n"/>
    </row>
    <row r="1094" outlineLevel="3" ht="15" customHeight="1">
      <c r="A1094" s="69" t="inlineStr">
        <is>
          <t xml:space="preserve">            Lot No.</t>
        </is>
      </c>
      <c r="B1094" s="70">
        <f>IF('Final Calculation Sheet'!$F$39="","",'Final Calculation Sheet'!$F$39)</f>
        <v/>
      </c>
    </row>
    <row r="1095" outlineLevel="3" ht="15" customHeight="1">
      <c r="A1095" s="69" t="inlineStr">
        <is>
          <t xml:space="preserve">            Lot Name</t>
        </is>
      </c>
      <c r="B1095" s="76">
        <f>IF('Final Calculation Sheet'!$B$39="","",'Final Calculation Sheet'!$B$39)</f>
        <v/>
      </c>
    </row>
    <row r="1096" outlineLevel="3" ht="15" customHeight="1">
      <c r="A1096" s="69" t="inlineStr">
        <is>
          <t xml:space="preserve">            Bid Sheet / Auction</t>
        </is>
      </c>
      <c r="B1096" s="70">
        <f>IF('Final Calculation Sheet'!$D$39="","",'Final Calculation Sheet'!$D$39)</f>
        <v/>
      </c>
    </row>
    <row r="1097" outlineLevel="3" ht="15" customHeight="1">
      <c r="A1097" s="69" t="inlineStr">
        <is>
          <t xml:space="preserve">            Quantity</t>
        </is>
      </c>
      <c r="B1097" s="74">
        <f>IF('Final Calculation Sheet'!$A$39="","",'Final Calculation Sheet'!$A$39)</f>
        <v/>
      </c>
    </row>
    <row r="1098" outlineLevel="3" ht="15" customHeight="1">
      <c r="A1098" s="69" t="inlineStr">
        <is>
          <t xml:space="preserve">            Unit</t>
        </is>
      </c>
      <c r="B1098" s="76">
        <f>IF('Final Calculation Sheet'!$E$39="","",'Final Calculation Sheet'!$E$39)</f>
        <v/>
      </c>
    </row>
    <row r="1099" outlineLevel="3" ht="15" customHeight="1">
      <c r="A1099" s="69" t="inlineStr">
        <is>
          <t xml:space="preserve">            Rate (₹)</t>
        </is>
      </c>
      <c r="B1099" s="70">
        <f>IF('Final Calculation Sheet'!$C$39="","",'Final Calculation Sheet'!$C$39)</f>
        <v/>
      </c>
    </row>
    <row r="1100" outlineLevel="2" ht="16" customHeight="1">
      <c r="A1100" s="426" t="inlineStr">
        <is>
          <t xml:space="preserve">      ▸ FINANCIALS</t>
        </is>
      </c>
      <c r="B1100" s="427" t="n"/>
    </row>
    <row r="1101" outlineLevel="3" ht="15" customHeight="1">
      <c r="A1101" s="69" t="inlineStr">
        <is>
          <t xml:space="preserve">            Mat. Value (₹)</t>
        </is>
      </c>
      <c r="B1101" s="70">
        <f>IF('Final Calculation Sheet'!$H$39="","",'Final Calculation Sheet'!$H$39)</f>
        <v/>
      </c>
    </row>
    <row r="1102" outlineLevel="3" ht="15" customHeight="1">
      <c r="A1102" s="69" t="inlineStr">
        <is>
          <t xml:space="preserve">            GST @ 18% (₹)</t>
        </is>
      </c>
      <c r="B1102" s="70">
        <f>IF('Final Calculation Sheet'!$I$39="","",'Final Calculation Sheet'!$I$39)</f>
        <v/>
      </c>
    </row>
    <row r="1103" outlineLevel="3" ht="15" customHeight="1">
      <c r="A1103" s="69" t="inlineStr">
        <is>
          <t xml:space="preserve">            Mat. Value + GST (₹)</t>
        </is>
      </c>
      <c r="B1103" s="70">
        <f>IF('Final Calculation Sheet'!$J$39="","",'Final Calculation Sheet'!$J$39)</f>
        <v/>
      </c>
    </row>
    <row r="1104" outlineLevel="3" ht="15" customHeight="1">
      <c r="A1104" s="69" t="inlineStr">
        <is>
          <t xml:space="preserve">            TCS @ 2% (₹)</t>
        </is>
      </c>
      <c r="B1104" s="70">
        <f>IF('Final Calculation Sheet'!$K$39="","",'Final Calculation Sheet'!$K$39)</f>
        <v/>
      </c>
    </row>
    <row r="1105" outlineLevel="3" ht="15" customHeight="1">
      <c r="A1105" s="69" t="inlineStr">
        <is>
          <t xml:space="preserve">            TDS u/s 194(O) (₹)</t>
        </is>
      </c>
      <c r="B1105" s="78">
        <f>IF('Final Calculation Sheet'!$L$39="","",'Final Calculation Sheet'!$L$39)</f>
        <v/>
      </c>
    </row>
    <row r="1106" outlineLevel="3" ht="15" customHeight="1">
      <c r="A1106" s="69" t="inlineStr">
        <is>
          <t xml:space="preserve">            Service Charge gross (₹)</t>
        </is>
      </c>
      <c r="B1106" s="78">
        <f>IF('Final Calculation Sheet'!$M$39="","",'Final Calculation Sheet'!$M$39)</f>
        <v/>
      </c>
    </row>
    <row r="1107" outlineLevel="3" ht="15" customHeight="1">
      <c r="A1107" s="69" t="inlineStr">
        <is>
          <t xml:space="preserve">            TDS u/s 194(H) (₹)</t>
        </is>
      </c>
      <c r="B1107" s="78">
        <f>IF('Final Calculation Sheet'!$N$39="","",'Final Calculation Sheet'!$N$39)</f>
        <v/>
      </c>
    </row>
    <row r="1108" outlineLevel="3" ht="15" customHeight="1">
      <c r="A1108" s="69" t="inlineStr">
        <is>
          <t xml:space="preserve">            Net Service Charge (₹)</t>
        </is>
      </c>
      <c r="B1108" s="78">
        <f>IF('Final Calculation Sheet'!$O$39="","",'Final Calculation Sheet'!$O$39)</f>
        <v/>
      </c>
    </row>
    <row r="1109" outlineLevel="3" ht="15" customHeight="1">
      <c r="A1109" s="69" t="inlineStr">
        <is>
          <t xml:space="preserve">            Svc Charge to MSTC (₹)</t>
        </is>
      </c>
      <c r="B1109" s="70">
        <f>IF('Final Calculation Sheet'!$P$39="","",'Final Calculation Sheet'!$P$39)</f>
        <v/>
      </c>
    </row>
    <row r="1110" outlineLevel="3" ht="15" customHeight="1">
      <c r="A1110" s="69" t="inlineStr">
        <is>
          <t xml:space="preserve">            GST TDS Rate</t>
        </is>
      </c>
      <c r="B1110" s="80">
        <f>IF('Final Calculation Sheet'!$Q$39="","",'Final Calculation Sheet'!$Q$39)</f>
        <v/>
      </c>
    </row>
    <row r="1111" outlineLevel="3" ht="15" customHeight="1">
      <c r="A1111" s="69" t="inlineStr">
        <is>
          <t xml:space="preserve">            GST TDS (₹)</t>
        </is>
      </c>
      <c r="B1111" s="70">
        <f>IF('Final Calculation Sheet'!$R$39="","",'Final Calculation Sheet'!$R$39)</f>
        <v/>
      </c>
    </row>
    <row r="1112" outlineLevel="3" ht="15" customHeight="1">
      <c r="A1112" s="69" t="inlineStr">
        <is>
          <t xml:space="preserve">            Total Receivables (₹)</t>
        </is>
      </c>
      <c r="B1112" s="70">
        <f>IF('Final Calculation Sheet'!$S$39="","",'Final Calculation Sheet'!$S$39)</f>
        <v/>
      </c>
    </row>
    <row r="1113" outlineLevel="2" ht="16" customHeight="1">
      <c r="A1113" s="426" t="inlineStr">
        <is>
          <t xml:space="preserve">      ▸ SECURITY DEPOSIT</t>
        </is>
      </c>
      <c r="B1113" s="427" t="n"/>
    </row>
    <row r="1114" outlineLevel="3" ht="15" customHeight="1">
      <c r="A1114" s="69" t="inlineStr">
        <is>
          <t xml:space="preserve">            SD Expected (₹)</t>
        </is>
      </c>
      <c r="B1114" s="70">
        <f>IF('Final Calculation Sheet'!$T$39="","",'Final Calculation Sheet'!$T$39)</f>
        <v/>
      </c>
    </row>
    <row r="1115" outlineLevel="3" ht="15" customHeight="1">
      <c r="A1115" s="69" t="inlineStr">
        <is>
          <t xml:space="preserve">            SD Received (₹)</t>
        </is>
      </c>
      <c r="B1115" s="70">
        <f>IF('Final Calculation Sheet'!$U$39="","",'Final Calculation Sheet'!$U$39)</f>
        <v/>
      </c>
    </row>
    <row r="1116" outlineLevel="3" ht="15" customHeight="1">
      <c r="A1116" s="69" t="inlineStr">
        <is>
          <t xml:space="preserve">            SD Receipt Date</t>
        </is>
      </c>
      <c r="B1116" s="76">
        <f>IF('Final Calculation Sheet'!$V$39="","",'Final Calculation Sheet'!$V$39)</f>
        <v/>
      </c>
    </row>
    <row r="1117" outlineLevel="2" ht="16" customHeight="1">
      <c r="A1117" s="426" t="inlineStr">
        <is>
          <t xml:space="preserve">      ▸ FINAL PAYMENT</t>
        </is>
      </c>
      <c r="B1117" s="427" t="n"/>
    </row>
    <row r="1118" outlineLevel="3" ht="15" customHeight="1">
      <c r="A1118" s="69" t="inlineStr">
        <is>
          <t xml:space="preserve">            FP Expected (₹)</t>
        </is>
      </c>
      <c r="B1118" s="70">
        <f>IF('Final Calculation Sheet'!$W$39="","",'Final Calculation Sheet'!$W$39)</f>
        <v/>
      </c>
    </row>
    <row r="1119" outlineLevel="3" ht="15" customHeight="1">
      <c r="A1119" s="69" t="inlineStr">
        <is>
          <t xml:space="preserve">            FP Received (₹)</t>
        </is>
      </c>
      <c r="B1119" s="70">
        <f>IF('Final Calculation Sheet'!$X$39="","",'Final Calculation Sheet'!$X$39)</f>
        <v/>
      </c>
    </row>
    <row r="1120" outlineLevel="3" ht="15" customHeight="1">
      <c r="A1120" s="69" t="inlineStr">
        <is>
          <t xml:space="preserve">            FP Receipt Date</t>
        </is>
      </c>
      <c r="B1120" s="76">
        <f>IF('Final Calculation Sheet'!$Y$39="","",'Final Calculation Sheet'!$Y$39)</f>
        <v/>
      </c>
    </row>
    <row r="1121" outlineLevel="2" ht="16" customHeight="1">
      <c r="A1121" s="426" t="inlineStr">
        <is>
          <t xml:space="preserve">      ▸ LPP</t>
        </is>
      </c>
      <c r="B1121" s="427" t="n"/>
    </row>
    <row r="1122" outlineLevel="3" ht="15" customHeight="1">
      <c r="A1122" s="69" t="inlineStr">
        <is>
          <t xml:space="preserve">            LPP Expected (₹)</t>
        </is>
      </c>
      <c r="B1122" s="70">
        <f>IF('Final Calculation Sheet'!$Z$39="","",'Final Calculation Sheet'!$Z$39)</f>
        <v/>
      </c>
    </row>
    <row r="1123" outlineLevel="3" ht="15" customHeight="1">
      <c r="A1123" s="69" t="inlineStr">
        <is>
          <t xml:space="preserve">            LPP Received (₹)</t>
        </is>
      </c>
      <c r="B1123" s="70">
        <f>IF('Final Calculation Sheet'!$AA$39="","",'Final Calculation Sheet'!$AA$39)</f>
        <v/>
      </c>
    </row>
    <row r="1124" outlineLevel="3" ht="15" customHeight="1">
      <c r="A1124" s="69" t="inlineStr">
        <is>
          <t xml:space="preserve">            LPP Receipt Date</t>
        </is>
      </c>
      <c r="B1124" s="76">
        <f>IF('Final Calculation Sheet'!$AB$39="","",'Final Calculation Sheet'!$AB$39)</f>
        <v/>
      </c>
    </row>
    <row r="1125" outlineLevel="2" ht="16" customHeight="1">
      <c r="A1125" s="426" t="inlineStr">
        <is>
          <t xml:space="preserve">      ▸ SUMMARY</t>
        </is>
      </c>
      <c r="B1125" s="427" t="n"/>
    </row>
    <row r="1126" outlineLevel="3" ht="15" customHeight="1">
      <c r="A1126" s="69" t="inlineStr">
        <is>
          <t xml:space="preserve">            Total Received (₹)</t>
        </is>
      </c>
      <c r="B1126" s="70">
        <f>IF('Final Calculation Sheet'!$AC$39="","",'Final Calculation Sheet'!$AC$39)</f>
        <v/>
      </c>
    </row>
    <row r="1127" outlineLevel="3" ht="15" customHeight="1">
      <c r="A1127" s="69" t="inlineStr">
        <is>
          <t xml:space="preserve">            Outstanding (₹)</t>
        </is>
      </c>
      <c r="B1127" s="70">
        <f>IF('Final Calculation Sheet'!$AD$39="","",'Final Calculation Sheet'!$AD$39)</f>
        <v/>
      </c>
    </row>
    <row r="1128" outlineLevel="3" ht="15" customHeight="1">
      <c r="A1128" s="69" t="inlineStr">
        <is>
          <t xml:space="preserve">            Payment Status</t>
        </is>
      </c>
      <c r="B1128" s="81">
        <f>IF('Final Calculation Sheet'!$AD$39="","",IF('Final Calculation Sheet'!$AD$39&lt;=0,"SETTLED","OUTSTANDING"))</f>
        <v/>
      </c>
    </row>
    <row r="1129" outlineLevel="2" ht="16" customHeight="1">
      <c r="A1129" s="426" t="inlineStr">
        <is>
          <t xml:space="preserve">      ▸ DOCUMENT</t>
        </is>
      </c>
      <c r="B1129" s="427" t="n"/>
    </row>
    <row r="1130" outlineLevel="3" ht="15" customHeight="1">
      <c r="A1130" s="69" t="inlineStr">
        <is>
          <t xml:space="preserve">            Invoice No.</t>
        </is>
      </c>
      <c r="B1130" s="76">
        <f>IF('Final Calculation Sheet'!$AE$39="","",'Final Calculation Sheet'!$AE$39)</f>
        <v/>
      </c>
    </row>
    <row r="1131" outlineLevel="3" ht="15" customHeight="1">
      <c r="A1131" s="69" t="inlineStr">
        <is>
          <t xml:space="preserve">            SAP Document</t>
        </is>
      </c>
      <c r="B1131" s="70">
        <f>IF('Final Calculation Sheet'!$AF$39="","",'Final Calculation Sheet'!$AF$39)</f>
        <v/>
      </c>
    </row>
    <row r="1132" outlineLevel="3" ht="15" customHeight="1">
      <c r="A1132" s="69" t="inlineStr">
        <is>
          <t xml:space="preserve">            Doc./Invoice Date</t>
        </is>
      </c>
      <c r="B1132" s="76">
        <f>IF('Final Calculation Sheet'!$AG$39="","",'Final Calculation Sheet'!$AG$39)</f>
        <v/>
      </c>
    </row>
    <row r="1133" outlineLevel="1" ht="20" customHeight="1">
      <c r="A1133" s="425">
        <f>"   ▸  LOT "&amp;'Final Calculation Sheet'!$F$40&amp;"   •   "&amp;'Final Calculation Sheet'!$B$40&amp;"   •   MAT. VALUE ₹"&amp;TEXT('Final Calculation Sheet'!$H$40,"#,##0")&amp;"   •   OUTSTANDING ₹"&amp;TEXT('Final Calculation Sheet'!$AD$40,"#,##0")</f>
        <v/>
      </c>
      <c r="B1133" s="67" t="n"/>
    </row>
    <row r="1134" outlineLevel="2" ht="16" customHeight="1">
      <c r="A1134" s="426" t="inlineStr">
        <is>
          <t xml:space="preserve">      ▸ LOT INFORMATION</t>
        </is>
      </c>
      <c r="B1134" s="427" t="n"/>
    </row>
    <row r="1135" outlineLevel="3" ht="15" customHeight="1">
      <c r="A1135" s="69" t="inlineStr">
        <is>
          <t xml:space="preserve">            Lot No.</t>
        </is>
      </c>
      <c r="B1135" s="70">
        <f>IF('Final Calculation Sheet'!$F$40="","",'Final Calculation Sheet'!$F$40)</f>
        <v/>
      </c>
    </row>
    <row r="1136" outlineLevel="3" ht="15" customHeight="1">
      <c r="A1136" s="69" t="inlineStr">
        <is>
          <t xml:space="preserve">            Lot Name</t>
        </is>
      </c>
      <c r="B1136" s="76">
        <f>IF('Final Calculation Sheet'!$B$40="","",'Final Calculation Sheet'!$B$40)</f>
        <v/>
      </c>
    </row>
    <row r="1137" outlineLevel="3" ht="15" customHeight="1">
      <c r="A1137" s="69" t="inlineStr">
        <is>
          <t xml:space="preserve">            Bid Sheet / Auction</t>
        </is>
      </c>
      <c r="B1137" s="70">
        <f>IF('Final Calculation Sheet'!$D$40="","",'Final Calculation Sheet'!$D$40)</f>
        <v/>
      </c>
    </row>
    <row r="1138" outlineLevel="3" ht="15" customHeight="1">
      <c r="A1138" s="69" t="inlineStr">
        <is>
          <t xml:space="preserve">            Quantity</t>
        </is>
      </c>
      <c r="B1138" s="74">
        <f>IF('Final Calculation Sheet'!$A$40="","",'Final Calculation Sheet'!$A$40)</f>
        <v/>
      </c>
    </row>
    <row r="1139" outlineLevel="3" ht="15" customHeight="1">
      <c r="A1139" s="69" t="inlineStr">
        <is>
          <t xml:space="preserve">            Unit</t>
        </is>
      </c>
      <c r="B1139" s="76">
        <f>IF('Final Calculation Sheet'!$E$40="","",'Final Calculation Sheet'!$E$40)</f>
        <v/>
      </c>
    </row>
    <row r="1140" outlineLevel="3" ht="15" customHeight="1">
      <c r="A1140" s="69" t="inlineStr">
        <is>
          <t xml:space="preserve">            Rate (₹)</t>
        </is>
      </c>
      <c r="B1140" s="70">
        <f>IF('Final Calculation Sheet'!$C$40="","",'Final Calculation Sheet'!$C$40)</f>
        <v/>
      </c>
    </row>
    <row r="1141" outlineLevel="2" ht="16" customHeight="1">
      <c r="A1141" s="426" t="inlineStr">
        <is>
          <t xml:space="preserve">      ▸ FINANCIALS</t>
        </is>
      </c>
      <c r="B1141" s="427" t="n"/>
    </row>
    <row r="1142" outlineLevel="3" ht="15" customHeight="1">
      <c r="A1142" s="69" t="inlineStr">
        <is>
          <t xml:space="preserve">            Mat. Value (₹)</t>
        </is>
      </c>
      <c r="B1142" s="70">
        <f>IF('Final Calculation Sheet'!$H$40="","",'Final Calculation Sheet'!$H$40)</f>
        <v/>
      </c>
    </row>
    <row r="1143" outlineLevel="3" ht="15" customHeight="1">
      <c r="A1143" s="69" t="inlineStr">
        <is>
          <t xml:space="preserve">            GST @ 18% (₹)</t>
        </is>
      </c>
      <c r="B1143" s="70">
        <f>IF('Final Calculation Sheet'!$I$40="","",'Final Calculation Sheet'!$I$40)</f>
        <v/>
      </c>
    </row>
    <row r="1144" outlineLevel="3" ht="15" customHeight="1">
      <c r="A1144" s="69" t="inlineStr">
        <is>
          <t xml:space="preserve">            Mat. Value + GST (₹)</t>
        </is>
      </c>
      <c r="B1144" s="70">
        <f>IF('Final Calculation Sheet'!$J$40="","",'Final Calculation Sheet'!$J$40)</f>
        <v/>
      </c>
    </row>
    <row r="1145" outlineLevel="3" ht="15" customHeight="1">
      <c r="A1145" s="69" t="inlineStr">
        <is>
          <t xml:space="preserve">            TCS @ 2% (₹)</t>
        </is>
      </c>
      <c r="B1145" s="70">
        <f>IF('Final Calculation Sheet'!$K$40="","",'Final Calculation Sheet'!$K$40)</f>
        <v/>
      </c>
    </row>
    <row r="1146" outlineLevel="3" ht="15" customHeight="1">
      <c r="A1146" s="69" t="inlineStr">
        <is>
          <t xml:space="preserve">            TDS u/s 194(O) (₹)</t>
        </is>
      </c>
      <c r="B1146" s="78">
        <f>IF('Final Calculation Sheet'!$L$40="","",'Final Calculation Sheet'!$L$40)</f>
        <v/>
      </c>
    </row>
    <row r="1147" outlineLevel="3" ht="15" customHeight="1">
      <c r="A1147" s="69" t="inlineStr">
        <is>
          <t xml:space="preserve">            Service Charge gross (₹)</t>
        </is>
      </c>
      <c r="B1147" s="78">
        <f>IF('Final Calculation Sheet'!$M$40="","",'Final Calculation Sheet'!$M$40)</f>
        <v/>
      </c>
    </row>
    <row r="1148" outlineLevel="3" ht="15" customHeight="1">
      <c r="A1148" s="69" t="inlineStr">
        <is>
          <t xml:space="preserve">            TDS u/s 194(H) (₹)</t>
        </is>
      </c>
      <c r="B1148" s="78">
        <f>IF('Final Calculation Sheet'!$N$40="","",'Final Calculation Sheet'!$N$40)</f>
        <v/>
      </c>
    </row>
    <row r="1149" outlineLevel="3" ht="15" customHeight="1">
      <c r="A1149" s="69" t="inlineStr">
        <is>
          <t xml:space="preserve">            Net Service Charge (₹)</t>
        </is>
      </c>
      <c r="B1149" s="78">
        <f>IF('Final Calculation Sheet'!$O$40="","",'Final Calculation Sheet'!$O$40)</f>
        <v/>
      </c>
    </row>
    <row r="1150" outlineLevel="3" ht="15" customHeight="1">
      <c r="A1150" s="69" t="inlineStr">
        <is>
          <t xml:space="preserve">            Svc Charge to MSTC (₹)</t>
        </is>
      </c>
      <c r="B1150" s="70">
        <f>IF('Final Calculation Sheet'!$P$40="","",'Final Calculation Sheet'!$P$40)</f>
        <v/>
      </c>
    </row>
    <row r="1151" outlineLevel="3" ht="15" customHeight="1">
      <c r="A1151" s="69" t="inlineStr">
        <is>
          <t xml:space="preserve">            GST TDS Rate</t>
        </is>
      </c>
      <c r="B1151" s="80">
        <f>IF('Final Calculation Sheet'!$Q$40="","",'Final Calculation Sheet'!$Q$40)</f>
        <v/>
      </c>
    </row>
    <row r="1152" outlineLevel="3" ht="15" customHeight="1">
      <c r="A1152" s="69" t="inlineStr">
        <is>
          <t xml:space="preserve">            GST TDS (₹)</t>
        </is>
      </c>
      <c r="B1152" s="70">
        <f>IF('Final Calculation Sheet'!$R$40="","",'Final Calculation Sheet'!$R$40)</f>
        <v/>
      </c>
    </row>
    <row r="1153" outlineLevel="3" ht="15" customHeight="1">
      <c r="A1153" s="69" t="inlineStr">
        <is>
          <t xml:space="preserve">            Total Receivables (₹)</t>
        </is>
      </c>
      <c r="B1153" s="70">
        <f>IF('Final Calculation Sheet'!$S$40="","",'Final Calculation Sheet'!$S$40)</f>
        <v/>
      </c>
    </row>
    <row r="1154" outlineLevel="2" ht="16" customHeight="1">
      <c r="A1154" s="426" t="inlineStr">
        <is>
          <t xml:space="preserve">      ▸ SECURITY DEPOSIT</t>
        </is>
      </c>
      <c r="B1154" s="427" t="n"/>
    </row>
    <row r="1155" outlineLevel="3" ht="15" customHeight="1">
      <c r="A1155" s="69" t="inlineStr">
        <is>
          <t xml:space="preserve">            SD Expected (₹)</t>
        </is>
      </c>
      <c r="B1155" s="70">
        <f>IF('Final Calculation Sheet'!$T$40="","",'Final Calculation Sheet'!$T$40)</f>
        <v/>
      </c>
    </row>
    <row r="1156" outlineLevel="3" ht="15" customHeight="1">
      <c r="A1156" s="69" t="inlineStr">
        <is>
          <t xml:space="preserve">            SD Received (₹)</t>
        </is>
      </c>
      <c r="B1156" s="70">
        <f>IF('Final Calculation Sheet'!$U$40="","",'Final Calculation Sheet'!$U$40)</f>
        <v/>
      </c>
    </row>
    <row r="1157" outlineLevel="3" ht="15" customHeight="1">
      <c r="A1157" s="69" t="inlineStr">
        <is>
          <t xml:space="preserve">            SD Receipt Date</t>
        </is>
      </c>
      <c r="B1157" s="76">
        <f>IF('Final Calculation Sheet'!$V$40="","",'Final Calculation Sheet'!$V$40)</f>
        <v/>
      </c>
    </row>
    <row r="1158" outlineLevel="2" ht="16" customHeight="1">
      <c r="A1158" s="426" t="inlineStr">
        <is>
          <t xml:space="preserve">      ▸ FINAL PAYMENT</t>
        </is>
      </c>
      <c r="B1158" s="427" t="n"/>
    </row>
    <row r="1159" outlineLevel="3" ht="15" customHeight="1">
      <c r="A1159" s="69" t="inlineStr">
        <is>
          <t xml:space="preserve">            FP Expected (₹)</t>
        </is>
      </c>
      <c r="B1159" s="70">
        <f>IF('Final Calculation Sheet'!$W$40="","",'Final Calculation Sheet'!$W$40)</f>
        <v/>
      </c>
    </row>
    <row r="1160" outlineLevel="3" ht="15" customHeight="1">
      <c r="A1160" s="69" t="inlineStr">
        <is>
          <t xml:space="preserve">            FP Received (₹)</t>
        </is>
      </c>
      <c r="B1160" s="70">
        <f>IF('Final Calculation Sheet'!$X$40="","",'Final Calculation Sheet'!$X$40)</f>
        <v/>
      </c>
    </row>
    <row r="1161" outlineLevel="3" ht="15" customHeight="1">
      <c r="A1161" s="69" t="inlineStr">
        <is>
          <t xml:space="preserve">            FP Receipt Date</t>
        </is>
      </c>
      <c r="B1161" s="76">
        <f>IF('Final Calculation Sheet'!$Y$40="","",'Final Calculation Sheet'!$Y$40)</f>
        <v/>
      </c>
    </row>
    <row r="1162" outlineLevel="2" ht="16" customHeight="1">
      <c r="A1162" s="426" t="inlineStr">
        <is>
          <t xml:space="preserve">      ▸ LPP</t>
        </is>
      </c>
      <c r="B1162" s="427" t="n"/>
    </row>
    <row r="1163" outlineLevel="3" ht="15" customHeight="1">
      <c r="A1163" s="69" t="inlineStr">
        <is>
          <t xml:space="preserve">            LPP Expected (₹)</t>
        </is>
      </c>
      <c r="B1163" s="70">
        <f>IF('Final Calculation Sheet'!$Z$40="","",'Final Calculation Sheet'!$Z$40)</f>
        <v/>
      </c>
    </row>
    <row r="1164" outlineLevel="3" ht="15" customHeight="1">
      <c r="A1164" s="69" t="inlineStr">
        <is>
          <t xml:space="preserve">            LPP Received (₹)</t>
        </is>
      </c>
      <c r="B1164" s="70">
        <f>IF('Final Calculation Sheet'!$AA$40="","",'Final Calculation Sheet'!$AA$40)</f>
        <v/>
      </c>
    </row>
    <row r="1165" outlineLevel="3" ht="15" customHeight="1">
      <c r="A1165" s="69" t="inlineStr">
        <is>
          <t xml:space="preserve">            LPP Receipt Date</t>
        </is>
      </c>
      <c r="B1165" s="76">
        <f>IF('Final Calculation Sheet'!$AB$40="","",'Final Calculation Sheet'!$AB$40)</f>
        <v/>
      </c>
    </row>
    <row r="1166" outlineLevel="2" ht="16" customHeight="1">
      <c r="A1166" s="426" t="inlineStr">
        <is>
          <t xml:space="preserve">      ▸ SUMMARY</t>
        </is>
      </c>
      <c r="B1166" s="427" t="n"/>
    </row>
    <row r="1167" outlineLevel="3" ht="15" customHeight="1">
      <c r="A1167" s="69" t="inlineStr">
        <is>
          <t xml:space="preserve">            Total Received (₹)</t>
        </is>
      </c>
      <c r="B1167" s="70">
        <f>IF('Final Calculation Sheet'!$AC$40="","",'Final Calculation Sheet'!$AC$40)</f>
        <v/>
      </c>
    </row>
    <row r="1168" outlineLevel="3" ht="15" customHeight="1">
      <c r="A1168" s="69" t="inlineStr">
        <is>
          <t xml:space="preserve">            Outstanding (₹)</t>
        </is>
      </c>
      <c r="B1168" s="70">
        <f>IF('Final Calculation Sheet'!$AD$40="","",'Final Calculation Sheet'!$AD$40)</f>
        <v/>
      </c>
    </row>
    <row r="1169" outlineLevel="3" ht="15" customHeight="1">
      <c r="A1169" s="69" t="inlineStr">
        <is>
          <t xml:space="preserve">            Payment Status</t>
        </is>
      </c>
      <c r="B1169" s="81">
        <f>IF('Final Calculation Sheet'!$AD$40="","",IF('Final Calculation Sheet'!$AD$40&lt;=0,"SETTLED","OUTSTANDING"))</f>
        <v/>
      </c>
    </row>
    <row r="1170" outlineLevel="2" ht="16" customHeight="1">
      <c r="A1170" s="426" t="inlineStr">
        <is>
          <t xml:space="preserve">      ▸ DOCUMENT</t>
        </is>
      </c>
      <c r="B1170" s="427" t="n"/>
    </row>
    <row r="1171" outlineLevel="3" ht="15" customHeight="1">
      <c r="A1171" s="69" t="inlineStr">
        <is>
          <t xml:space="preserve">            Invoice No.</t>
        </is>
      </c>
      <c r="B1171" s="76">
        <f>IF('Final Calculation Sheet'!$AE$40="","",'Final Calculation Sheet'!$AE$40)</f>
        <v/>
      </c>
    </row>
    <row r="1172" outlineLevel="3" ht="15" customHeight="1">
      <c r="A1172" s="69" t="inlineStr">
        <is>
          <t xml:space="preserve">            SAP Document</t>
        </is>
      </c>
      <c r="B1172" s="70">
        <f>IF('Final Calculation Sheet'!$AF$40="","",'Final Calculation Sheet'!$AF$40)</f>
        <v/>
      </c>
    </row>
    <row r="1173" outlineLevel="3" ht="15" customHeight="1">
      <c r="A1173" s="69" t="inlineStr">
        <is>
          <t xml:space="preserve">            Doc./Invoice Date</t>
        </is>
      </c>
      <c r="B1173" s="76">
        <f>IF('Final Calculation Sheet'!$AG$40="","",'Final Calculation Sheet'!$AG$40)</f>
        <v/>
      </c>
    </row>
    <row r="1174" outlineLevel="1" ht="20" customHeight="1">
      <c r="A1174" s="428" t="inlineStr">
        <is>
          <t xml:space="preserve">   ∑  S M ENTERPRISES — TOTALS (all its lots)</t>
        </is>
      </c>
      <c r="B1174" s="242" t="n"/>
    </row>
    <row r="1175" outlineLevel="2" ht="15" customHeight="1">
      <c r="A1175" s="429" t="inlineStr">
        <is>
          <t xml:space="preserve">         Quantity</t>
        </is>
      </c>
      <c r="B1175" s="430">
        <f>SUMIF('Final Calculation Sheet'!$G$4:$G$1000,"S M ENTERPRISES",'Final Calculation Sheet'!$A$4:$A$1000)</f>
        <v/>
      </c>
    </row>
    <row r="1176" outlineLevel="2" ht="15" customHeight="1">
      <c r="A1176" s="429" t="inlineStr">
        <is>
          <t xml:space="preserve">         Mat. Value (₹)</t>
        </is>
      </c>
      <c r="B1176" s="199">
        <f>SUMIF('Final Calculation Sheet'!$G$4:$G$1000,"S M ENTERPRISES",'Final Calculation Sheet'!$H$4:$H$1000)</f>
        <v/>
      </c>
    </row>
    <row r="1177" outlineLevel="2" ht="15" customHeight="1">
      <c r="A1177" s="429" t="inlineStr">
        <is>
          <t xml:space="preserve">         GST @ 18% (₹)</t>
        </is>
      </c>
      <c r="B1177" s="199">
        <f>SUMIF('Final Calculation Sheet'!$G$4:$G$1000,"S M ENTERPRISES",'Final Calculation Sheet'!$I$4:$I$1000)</f>
        <v/>
      </c>
    </row>
    <row r="1178" outlineLevel="2" ht="15" customHeight="1">
      <c r="A1178" s="429" t="inlineStr">
        <is>
          <t xml:space="preserve">         Mat. Value + GST (₹)</t>
        </is>
      </c>
      <c r="B1178" s="199">
        <f>SUMIF('Final Calculation Sheet'!$G$4:$G$1000,"S M ENTERPRISES",'Final Calculation Sheet'!$J$4:$J$1000)</f>
        <v/>
      </c>
    </row>
    <row r="1179" outlineLevel="2" ht="15" customHeight="1">
      <c r="A1179" s="429" t="inlineStr">
        <is>
          <t xml:space="preserve">         TCS @ 2% (₹)</t>
        </is>
      </c>
      <c r="B1179" s="199">
        <f>SUMIF('Final Calculation Sheet'!$G$4:$G$1000,"S M ENTERPRISES",'Final Calculation Sheet'!$K$4:$K$1000)</f>
        <v/>
      </c>
    </row>
    <row r="1180" outlineLevel="2" ht="15" customHeight="1">
      <c r="A1180" s="429" t="inlineStr">
        <is>
          <t xml:space="preserve">         TDS u/s 194(O) (₹)</t>
        </is>
      </c>
      <c r="B1180" s="431">
        <f>SUMIF('Final Calculation Sheet'!$G$4:$G$1000,"S M ENTERPRISES",'Final Calculation Sheet'!$L$4:$L$1000)</f>
        <v/>
      </c>
    </row>
    <row r="1181" outlineLevel="2" ht="15" customHeight="1">
      <c r="A1181" s="429" t="inlineStr">
        <is>
          <t xml:space="preserve">         Service Charge gross (₹)</t>
        </is>
      </c>
      <c r="B1181" s="431">
        <f>SUMIF('Final Calculation Sheet'!$G$4:$G$1000,"S M ENTERPRISES",'Final Calculation Sheet'!$M$4:$M$1000)</f>
        <v/>
      </c>
    </row>
    <row r="1182" outlineLevel="2" ht="15" customHeight="1">
      <c r="A1182" s="429" t="inlineStr">
        <is>
          <t xml:space="preserve">         TDS u/s 194(H) (₹)</t>
        </is>
      </c>
      <c r="B1182" s="431">
        <f>SUMIF('Final Calculation Sheet'!$G$4:$G$1000,"S M ENTERPRISES",'Final Calculation Sheet'!$N$4:$N$1000)</f>
        <v/>
      </c>
    </row>
    <row r="1183" outlineLevel="2" ht="15" customHeight="1">
      <c r="A1183" s="429" t="inlineStr">
        <is>
          <t xml:space="preserve">         Net Service Charge (₹)</t>
        </is>
      </c>
      <c r="B1183" s="431">
        <f>SUMIF('Final Calculation Sheet'!$G$4:$G$1000,"S M ENTERPRISES",'Final Calculation Sheet'!$O$4:$O$1000)</f>
        <v/>
      </c>
    </row>
    <row r="1184" outlineLevel="2" ht="15" customHeight="1">
      <c r="A1184" s="429" t="inlineStr">
        <is>
          <t xml:space="preserve">         Svc Charge to MSTC (₹)</t>
        </is>
      </c>
      <c r="B1184" s="199">
        <f>SUMIF('Final Calculation Sheet'!$G$4:$G$1000,"S M ENTERPRISES",'Final Calculation Sheet'!$P$4:$P$1000)</f>
        <v/>
      </c>
    </row>
    <row r="1185" outlineLevel="2" ht="15" customHeight="1">
      <c r="A1185" s="429" t="inlineStr">
        <is>
          <t xml:space="preserve">         GST TDS (₹)</t>
        </is>
      </c>
      <c r="B1185" s="199">
        <f>SUMIF('Final Calculation Sheet'!$G$4:$G$1000,"S M ENTERPRISES",'Final Calculation Sheet'!$R$4:$R$1000)</f>
        <v/>
      </c>
    </row>
    <row r="1186" outlineLevel="2" ht="15" customHeight="1">
      <c r="A1186" s="429" t="inlineStr">
        <is>
          <t xml:space="preserve">         Total Receivables (₹)</t>
        </is>
      </c>
      <c r="B1186" s="199">
        <f>SUMIF('Final Calculation Sheet'!$G$4:$G$1000,"S M ENTERPRISES",'Final Calculation Sheet'!$S$4:$S$1000)</f>
        <v/>
      </c>
    </row>
    <row r="1187" outlineLevel="2" ht="15" customHeight="1">
      <c r="A1187" s="429" t="inlineStr">
        <is>
          <t xml:space="preserve">         SD Expected (₹)</t>
        </is>
      </c>
      <c r="B1187" s="199">
        <f>SUMIF('Final Calculation Sheet'!$G$4:$G$1000,"S M ENTERPRISES",'Final Calculation Sheet'!$T$4:$T$1000)</f>
        <v/>
      </c>
    </row>
    <row r="1188" outlineLevel="2" ht="15" customHeight="1">
      <c r="A1188" s="429" t="inlineStr">
        <is>
          <t xml:space="preserve">         SD Received (₹)</t>
        </is>
      </c>
      <c r="B1188" s="199">
        <f>SUMIF('Final Calculation Sheet'!$G$4:$G$1000,"S M ENTERPRISES",'Final Calculation Sheet'!$U$4:$U$1000)</f>
        <v/>
      </c>
    </row>
    <row r="1189" outlineLevel="2" ht="15" customHeight="1">
      <c r="A1189" s="429" t="inlineStr">
        <is>
          <t xml:space="preserve">         FP Expected (₹)</t>
        </is>
      </c>
      <c r="B1189" s="199">
        <f>SUMIF('Final Calculation Sheet'!$G$4:$G$1000,"S M ENTERPRISES",'Final Calculation Sheet'!$W$4:$W$1000)</f>
        <v/>
      </c>
    </row>
    <row r="1190" outlineLevel="2" ht="15" customHeight="1">
      <c r="A1190" s="429" t="inlineStr">
        <is>
          <t xml:space="preserve">         FP Received (₹)</t>
        </is>
      </c>
      <c r="B1190" s="199">
        <f>SUMIF('Final Calculation Sheet'!$G$4:$G$1000,"S M ENTERPRISES",'Final Calculation Sheet'!$X$4:$X$1000)</f>
        <v/>
      </c>
    </row>
    <row r="1191" outlineLevel="2" ht="15" customHeight="1">
      <c r="A1191" s="429" t="inlineStr">
        <is>
          <t xml:space="preserve">         LPP Expected (₹)</t>
        </is>
      </c>
      <c r="B1191" s="199">
        <f>SUMIF('Final Calculation Sheet'!$G$4:$G$1000,"S M ENTERPRISES",'Final Calculation Sheet'!$Z$4:$Z$1000)</f>
        <v/>
      </c>
    </row>
    <row r="1192" outlineLevel="2" ht="15" customHeight="1">
      <c r="A1192" s="429" t="inlineStr">
        <is>
          <t xml:space="preserve">         LPP Received (₹)</t>
        </is>
      </c>
      <c r="B1192" s="199">
        <f>SUMIF('Final Calculation Sheet'!$G$4:$G$1000,"S M ENTERPRISES",'Final Calculation Sheet'!$AA$4:$AA$1000)</f>
        <v/>
      </c>
    </row>
    <row r="1193" outlineLevel="2" ht="15" customHeight="1">
      <c r="A1193" s="429" t="inlineStr">
        <is>
          <t xml:space="preserve">         Total Received (₹)</t>
        </is>
      </c>
      <c r="B1193" s="199">
        <f>SUMIF('Final Calculation Sheet'!$G$4:$G$1000,"S M ENTERPRISES",'Final Calculation Sheet'!$AC$4:$AC$1000)</f>
        <v/>
      </c>
    </row>
    <row r="1194" outlineLevel="2" ht="15" customHeight="1">
      <c r="A1194" s="429" t="inlineStr">
        <is>
          <t xml:space="preserve">         Outstanding (₹)</t>
        </is>
      </c>
      <c r="B1194" s="199">
        <f>SUMIF('Final Calculation Sheet'!$G$4:$G$1000,"S M ENTERPRISES",'Final Calculation Sheet'!$AD$4:$AD$1000)</f>
        <v/>
      </c>
    </row>
    <row r="1195" ht="7" customHeight="1">
      <c r="A1195" s="82" t="n"/>
      <c r="B1195" s="82" t="n"/>
    </row>
    <row r="1196" ht="24" customHeight="1">
      <c r="A1196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1196" s="254" t="n"/>
    </row>
    <row r="1197" outlineLevel="1" ht="20" customHeight="1">
      <c r="A1197" s="432">
        <f>"   ▸  LOT "&amp;'Final Calculation Sheet'!$F$31&amp;"   •   "&amp;'Final Calculation Sheet'!$B$31&amp;"   •   MAT. VALUE ₹"&amp;TEXT('Final Calculation Sheet'!$H$31,"#,##0")&amp;"   •   OUTSTANDING ₹"&amp;TEXT('Final Calculation Sheet'!$AD$31,"#,##0")</f>
        <v/>
      </c>
      <c r="B1197" s="86" t="n"/>
    </row>
    <row r="1198" outlineLevel="2" ht="16" customHeight="1">
      <c r="A1198" s="433" t="inlineStr">
        <is>
          <t xml:space="preserve">      ▸ LOT INFORMATION</t>
        </is>
      </c>
      <c r="B1198" s="434" t="n"/>
    </row>
    <row r="1199" outlineLevel="3" ht="15" customHeight="1">
      <c r="A1199" s="69" t="inlineStr">
        <is>
          <t xml:space="preserve">            Lot No.</t>
        </is>
      </c>
      <c r="B1199" s="70">
        <f>IF('Final Calculation Sheet'!$F$31="","",'Final Calculation Sheet'!$F$31)</f>
        <v/>
      </c>
    </row>
    <row r="1200" outlineLevel="3" ht="15" customHeight="1">
      <c r="A1200" s="69" t="inlineStr">
        <is>
          <t xml:space="preserve">            Lot Name</t>
        </is>
      </c>
      <c r="B1200" s="76">
        <f>IF('Final Calculation Sheet'!$B$31="","",'Final Calculation Sheet'!$B$31)</f>
        <v/>
      </c>
    </row>
    <row r="1201" outlineLevel="3" ht="15" customHeight="1">
      <c r="A1201" s="69" t="inlineStr">
        <is>
          <t xml:space="preserve">            Bid Sheet / Auction</t>
        </is>
      </c>
      <c r="B1201" s="70">
        <f>IF('Final Calculation Sheet'!$D$31="","",'Final Calculation Sheet'!$D$31)</f>
        <v/>
      </c>
    </row>
    <row r="1202" outlineLevel="3" ht="15" customHeight="1">
      <c r="A1202" s="69" t="inlineStr">
        <is>
          <t xml:space="preserve">            Quantity</t>
        </is>
      </c>
      <c r="B1202" s="74">
        <f>IF('Final Calculation Sheet'!$A$31="","",'Final Calculation Sheet'!$A$31)</f>
        <v/>
      </c>
    </row>
    <row r="1203" outlineLevel="3" ht="15" customHeight="1">
      <c r="A1203" s="69" t="inlineStr">
        <is>
          <t xml:space="preserve">            Unit</t>
        </is>
      </c>
      <c r="B1203" s="76">
        <f>IF('Final Calculation Sheet'!$E$31="","",'Final Calculation Sheet'!$E$31)</f>
        <v/>
      </c>
    </row>
    <row r="1204" outlineLevel="3" ht="15" customHeight="1">
      <c r="A1204" s="69" t="inlineStr">
        <is>
          <t xml:space="preserve">            Rate (₹)</t>
        </is>
      </c>
      <c r="B1204" s="70">
        <f>IF('Final Calculation Sheet'!$C$31="","",'Final Calculation Sheet'!$C$31)</f>
        <v/>
      </c>
    </row>
    <row r="1205" outlineLevel="2" ht="16" customHeight="1">
      <c r="A1205" s="433" t="inlineStr">
        <is>
          <t xml:space="preserve">      ▸ FINANCIALS</t>
        </is>
      </c>
      <c r="B1205" s="434" t="n"/>
    </row>
    <row r="1206" outlineLevel="3" ht="15" customHeight="1">
      <c r="A1206" s="69" t="inlineStr">
        <is>
          <t xml:space="preserve">            Mat. Value (₹)</t>
        </is>
      </c>
      <c r="B1206" s="70">
        <f>IF('Final Calculation Sheet'!$H$31="","",'Final Calculation Sheet'!$H$31)</f>
        <v/>
      </c>
    </row>
    <row r="1207" outlineLevel="3" ht="15" customHeight="1">
      <c r="A1207" s="69" t="inlineStr">
        <is>
          <t xml:space="preserve">            GST @ 18% (₹)</t>
        </is>
      </c>
      <c r="B1207" s="70">
        <f>IF('Final Calculation Sheet'!$I$31="","",'Final Calculation Sheet'!$I$31)</f>
        <v/>
      </c>
    </row>
    <row r="1208" outlineLevel="3" ht="15" customHeight="1">
      <c r="A1208" s="69" t="inlineStr">
        <is>
          <t xml:space="preserve">            Mat. Value + GST (₹)</t>
        </is>
      </c>
      <c r="B1208" s="70">
        <f>IF('Final Calculation Sheet'!$J$31="","",'Final Calculation Sheet'!$J$31)</f>
        <v/>
      </c>
    </row>
    <row r="1209" outlineLevel="3" ht="15" customHeight="1">
      <c r="A1209" s="69" t="inlineStr">
        <is>
          <t xml:space="preserve">            TCS @ 2% (₹)</t>
        </is>
      </c>
      <c r="B1209" s="70">
        <f>IF('Final Calculation Sheet'!$K$31="","",'Final Calculation Sheet'!$K$31)</f>
        <v/>
      </c>
    </row>
    <row r="1210" outlineLevel="3" ht="15" customHeight="1">
      <c r="A1210" s="69" t="inlineStr">
        <is>
          <t xml:space="preserve">            TDS u/s 194(O) (₹)</t>
        </is>
      </c>
      <c r="B1210" s="78">
        <f>IF('Final Calculation Sheet'!$L$31="","",'Final Calculation Sheet'!$L$31)</f>
        <v/>
      </c>
    </row>
    <row r="1211" outlineLevel="3" ht="15" customHeight="1">
      <c r="A1211" s="69" t="inlineStr">
        <is>
          <t xml:space="preserve">            Service Charge gross (₹)</t>
        </is>
      </c>
      <c r="B1211" s="78">
        <f>IF('Final Calculation Sheet'!$M$31="","",'Final Calculation Sheet'!$M$31)</f>
        <v/>
      </c>
    </row>
    <row r="1212" outlineLevel="3" ht="15" customHeight="1">
      <c r="A1212" s="69" t="inlineStr">
        <is>
          <t xml:space="preserve">            TDS u/s 194(H) (₹)</t>
        </is>
      </c>
      <c r="B1212" s="78">
        <f>IF('Final Calculation Sheet'!$N$31="","",'Final Calculation Sheet'!$N$31)</f>
        <v/>
      </c>
    </row>
    <row r="1213" outlineLevel="3" ht="15" customHeight="1">
      <c r="A1213" s="69" t="inlineStr">
        <is>
          <t xml:space="preserve">            Net Service Charge (₹)</t>
        </is>
      </c>
      <c r="B1213" s="78">
        <f>IF('Final Calculation Sheet'!$O$31="","",'Final Calculation Sheet'!$O$31)</f>
        <v/>
      </c>
    </row>
    <row r="1214" outlineLevel="3" ht="15" customHeight="1">
      <c r="A1214" s="69" t="inlineStr">
        <is>
          <t xml:space="preserve">            Svc Charge to MSTC (₹)</t>
        </is>
      </c>
      <c r="B1214" s="70">
        <f>IF('Final Calculation Sheet'!$P$31="","",'Final Calculation Sheet'!$P$31)</f>
        <v/>
      </c>
    </row>
    <row r="1215" outlineLevel="3" ht="15" customHeight="1">
      <c r="A1215" s="69" t="inlineStr">
        <is>
          <t xml:space="preserve">            GST TDS Rate</t>
        </is>
      </c>
      <c r="B1215" s="80">
        <f>IF('Final Calculation Sheet'!$Q$31="","",'Final Calculation Sheet'!$Q$31)</f>
        <v/>
      </c>
    </row>
    <row r="1216" outlineLevel="3" ht="15" customHeight="1">
      <c r="A1216" s="69" t="inlineStr">
        <is>
          <t xml:space="preserve">            GST TDS (₹)</t>
        </is>
      </c>
      <c r="B1216" s="70">
        <f>IF('Final Calculation Sheet'!$R$31="","",'Final Calculation Sheet'!$R$31)</f>
        <v/>
      </c>
    </row>
    <row r="1217" outlineLevel="3" ht="15" customHeight="1">
      <c r="A1217" s="69" t="inlineStr">
        <is>
          <t xml:space="preserve">            Total Receivables (₹)</t>
        </is>
      </c>
      <c r="B1217" s="70">
        <f>IF('Final Calculation Sheet'!$S$31="","",'Final Calculation Sheet'!$S$31)</f>
        <v/>
      </c>
    </row>
    <row r="1218" outlineLevel="2" ht="16" customHeight="1">
      <c r="A1218" s="433" t="inlineStr">
        <is>
          <t xml:space="preserve">      ▸ SECURITY DEPOSIT</t>
        </is>
      </c>
      <c r="B1218" s="434" t="n"/>
    </row>
    <row r="1219" outlineLevel="3" ht="15" customHeight="1">
      <c r="A1219" s="69" t="inlineStr">
        <is>
          <t xml:space="preserve">            SD Expected (₹)</t>
        </is>
      </c>
      <c r="B1219" s="70">
        <f>IF('Final Calculation Sheet'!$T$31="","",'Final Calculation Sheet'!$T$31)</f>
        <v/>
      </c>
    </row>
    <row r="1220" outlineLevel="3" ht="15" customHeight="1">
      <c r="A1220" s="69" t="inlineStr">
        <is>
          <t xml:space="preserve">            SD Received (₹)</t>
        </is>
      </c>
      <c r="B1220" s="70">
        <f>IF('Final Calculation Sheet'!$U$31="","",'Final Calculation Sheet'!$U$31)</f>
        <v/>
      </c>
    </row>
    <row r="1221" outlineLevel="3" ht="15" customHeight="1">
      <c r="A1221" s="69" t="inlineStr">
        <is>
          <t xml:space="preserve">            SD Receipt Date</t>
        </is>
      </c>
      <c r="B1221" s="76">
        <f>IF('Final Calculation Sheet'!$V$31="","",'Final Calculation Sheet'!$V$31)</f>
        <v/>
      </c>
    </row>
    <row r="1222" outlineLevel="2" ht="16" customHeight="1">
      <c r="A1222" s="433" t="inlineStr">
        <is>
          <t xml:space="preserve">      ▸ FINAL PAYMENT</t>
        </is>
      </c>
      <c r="B1222" s="434" t="n"/>
    </row>
    <row r="1223" outlineLevel="3" ht="15" customHeight="1">
      <c r="A1223" s="69" t="inlineStr">
        <is>
          <t xml:space="preserve">            FP Expected (₹)</t>
        </is>
      </c>
      <c r="B1223" s="70">
        <f>IF('Final Calculation Sheet'!$W$31="","",'Final Calculation Sheet'!$W$31)</f>
        <v/>
      </c>
    </row>
    <row r="1224" outlineLevel="3" ht="15" customHeight="1">
      <c r="A1224" s="69" t="inlineStr">
        <is>
          <t xml:space="preserve">            FP Received (₹)</t>
        </is>
      </c>
      <c r="B1224" s="70">
        <f>IF('Final Calculation Sheet'!$X$31="","",'Final Calculation Sheet'!$X$31)</f>
        <v/>
      </c>
    </row>
    <row r="1225" outlineLevel="3" ht="15" customHeight="1">
      <c r="A1225" s="69" t="inlineStr">
        <is>
          <t xml:space="preserve">            FP Receipt Date</t>
        </is>
      </c>
      <c r="B1225" s="76">
        <f>IF('Final Calculation Sheet'!$Y$31="","",'Final Calculation Sheet'!$Y$31)</f>
        <v/>
      </c>
    </row>
    <row r="1226" outlineLevel="2" ht="16" customHeight="1">
      <c r="A1226" s="433" t="inlineStr">
        <is>
          <t xml:space="preserve">      ▸ LPP</t>
        </is>
      </c>
      <c r="B1226" s="434" t="n"/>
    </row>
    <row r="1227" outlineLevel="3" ht="15" customHeight="1">
      <c r="A1227" s="69" t="inlineStr">
        <is>
          <t xml:space="preserve">            LPP Expected (₹)</t>
        </is>
      </c>
      <c r="B1227" s="70">
        <f>IF('Final Calculation Sheet'!$Z$31="","",'Final Calculation Sheet'!$Z$31)</f>
        <v/>
      </c>
    </row>
    <row r="1228" outlineLevel="3" ht="15" customHeight="1">
      <c r="A1228" s="69" t="inlineStr">
        <is>
          <t xml:space="preserve">            LPP Received (₹)</t>
        </is>
      </c>
      <c r="B1228" s="70">
        <f>IF('Final Calculation Sheet'!$AA$31="","",'Final Calculation Sheet'!$AA$31)</f>
        <v/>
      </c>
    </row>
    <row r="1229" outlineLevel="3" ht="15" customHeight="1">
      <c r="A1229" s="69" t="inlineStr">
        <is>
          <t xml:space="preserve">            LPP Receipt Date</t>
        </is>
      </c>
      <c r="B1229" s="76">
        <f>IF('Final Calculation Sheet'!$AB$31="","",'Final Calculation Sheet'!$AB$31)</f>
        <v/>
      </c>
    </row>
    <row r="1230" outlineLevel="2" ht="16" customHeight="1">
      <c r="A1230" s="433" t="inlineStr">
        <is>
          <t xml:space="preserve">      ▸ SUMMARY</t>
        </is>
      </c>
      <c r="B1230" s="434" t="n"/>
    </row>
    <row r="1231" outlineLevel="3" ht="15" customHeight="1">
      <c r="A1231" s="69" t="inlineStr">
        <is>
          <t xml:space="preserve">            Total Received (₹)</t>
        </is>
      </c>
      <c r="B1231" s="70">
        <f>IF('Final Calculation Sheet'!$AC$31="","",'Final Calculation Sheet'!$AC$31)</f>
        <v/>
      </c>
    </row>
    <row r="1232" outlineLevel="3" ht="15" customHeight="1">
      <c r="A1232" s="69" t="inlineStr">
        <is>
          <t xml:space="preserve">            Outstanding (₹)</t>
        </is>
      </c>
      <c r="B1232" s="70">
        <f>IF('Final Calculation Sheet'!$AD$31="","",'Final Calculation Sheet'!$AD$31)</f>
        <v/>
      </c>
    </row>
    <row r="1233" outlineLevel="3" ht="15" customHeight="1">
      <c r="A1233" s="69" t="inlineStr">
        <is>
          <t xml:space="preserve">            Payment Status</t>
        </is>
      </c>
      <c r="B1233" s="81">
        <f>IF('Final Calculation Sheet'!$AD$31="","",IF('Final Calculation Sheet'!$AD$31&lt;=0,"SETTLED","OUTSTANDING"))</f>
        <v/>
      </c>
    </row>
    <row r="1234" outlineLevel="2" ht="16" customHeight="1">
      <c r="A1234" s="433" t="inlineStr">
        <is>
          <t xml:space="preserve">      ▸ DOCUMENT</t>
        </is>
      </c>
      <c r="B1234" s="434" t="n"/>
    </row>
    <row r="1235" outlineLevel="3" ht="15" customHeight="1">
      <c r="A1235" s="69" t="inlineStr">
        <is>
          <t xml:space="preserve">            Invoice No.</t>
        </is>
      </c>
      <c r="B1235" s="76">
        <f>IF('Final Calculation Sheet'!$AE$31="","",'Final Calculation Sheet'!$AE$31)</f>
        <v/>
      </c>
    </row>
    <row r="1236" outlineLevel="3" ht="15" customHeight="1">
      <c r="A1236" s="69" t="inlineStr">
        <is>
          <t xml:space="preserve">            SAP Document</t>
        </is>
      </c>
      <c r="B1236" s="70">
        <f>IF('Final Calculation Sheet'!$AF$31="","",'Final Calculation Sheet'!$AF$31)</f>
        <v/>
      </c>
    </row>
    <row r="1237" outlineLevel="3" ht="15" customHeight="1">
      <c r="A1237" s="69" t="inlineStr">
        <is>
          <t xml:space="preserve">            Doc./Invoice Date</t>
        </is>
      </c>
      <c r="B1237" s="76">
        <f>IF('Final Calculation Sheet'!$AG$31="","",'Final Calculation Sheet'!$AG$31)</f>
        <v/>
      </c>
    </row>
    <row r="1238" outlineLevel="1" ht="20" customHeight="1">
      <c r="A1238" s="435" t="inlineStr">
        <is>
          <t xml:space="preserve">   ∑  SAHARA ENTERPRISES — TOTALS (all its lots)</t>
        </is>
      </c>
      <c r="B1238" s="254" t="n"/>
    </row>
    <row r="1239" outlineLevel="2" ht="15" customHeight="1">
      <c r="A1239" s="436" t="inlineStr">
        <is>
          <t xml:space="preserve">         Quantity</t>
        </is>
      </c>
      <c r="B1239" s="437">
        <f>SUMIF('Final Calculation Sheet'!$G$4:$G$1000,"SAHARA ENTERPRISES",'Final Calculation Sheet'!$A$4:$A$1000)</f>
        <v/>
      </c>
    </row>
    <row r="1240" outlineLevel="2" ht="15" customHeight="1">
      <c r="A1240" s="436" t="inlineStr">
        <is>
          <t xml:space="preserve">         Mat. Value (₹)</t>
        </is>
      </c>
      <c r="B1240" s="438">
        <f>SUMIF('Final Calculation Sheet'!$G$4:$G$1000,"SAHARA ENTERPRISES",'Final Calculation Sheet'!$H$4:$H$1000)</f>
        <v/>
      </c>
    </row>
    <row r="1241" outlineLevel="2" ht="15" customHeight="1">
      <c r="A1241" s="436" t="inlineStr">
        <is>
          <t xml:space="preserve">         GST @ 18% (₹)</t>
        </is>
      </c>
      <c r="B1241" s="438">
        <f>SUMIF('Final Calculation Sheet'!$G$4:$G$1000,"SAHARA ENTERPRISES",'Final Calculation Sheet'!$I$4:$I$1000)</f>
        <v/>
      </c>
    </row>
    <row r="1242" outlineLevel="2" ht="15" customHeight="1">
      <c r="A1242" s="436" t="inlineStr">
        <is>
          <t xml:space="preserve">         Mat. Value + GST (₹)</t>
        </is>
      </c>
      <c r="B1242" s="438">
        <f>SUMIF('Final Calculation Sheet'!$G$4:$G$1000,"SAHARA ENTERPRISES",'Final Calculation Sheet'!$J$4:$J$1000)</f>
        <v/>
      </c>
    </row>
    <row r="1243" outlineLevel="2" ht="15" customHeight="1">
      <c r="A1243" s="436" t="inlineStr">
        <is>
          <t xml:space="preserve">         TCS @ 2% (₹)</t>
        </is>
      </c>
      <c r="B1243" s="438">
        <f>SUMIF('Final Calculation Sheet'!$G$4:$G$1000,"SAHARA ENTERPRISES",'Final Calculation Sheet'!$K$4:$K$1000)</f>
        <v/>
      </c>
    </row>
    <row r="1244" outlineLevel="2" ht="15" customHeight="1">
      <c r="A1244" s="436" t="inlineStr">
        <is>
          <t xml:space="preserve">         TDS u/s 194(O) (₹)</t>
        </is>
      </c>
      <c r="B1244" s="439">
        <f>SUMIF('Final Calculation Sheet'!$G$4:$G$1000,"SAHARA ENTERPRISES",'Final Calculation Sheet'!$L$4:$L$1000)</f>
        <v/>
      </c>
    </row>
    <row r="1245" outlineLevel="2" ht="15" customHeight="1">
      <c r="A1245" s="436" t="inlineStr">
        <is>
          <t xml:space="preserve">         Service Charge gross (₹)</t>
        </is>
      </c>
      <c r="B1245" s="439">
        <f>SUMIF('Final Calculation Sheet'!$G$4:$G$1000,"SAHARA ENTERPRISES",'Final Calculation Sheet'!$M$4:$M$1000)</f>
        <v/>
      </c>
    </row>
    <row r="1246" outlineLevel="2" ht="15" customHeight="1">
      <c r="A1246" s="436" t="inlineStr">
        <is>
          <t xml:space="preserve">         TDS u/s 194(H) (₹)</t>
        </is>
      </c>
      <c r="B1246" s="439">
        <f>SUMIF('Final Calculation Sheet'!$G$4:$G$1000,"SAHARA ENTERPRISES",'Final Calculation Sheet'!$N$4:$N$1000)</f>
        <v/>
      </c>
    </row>
    <row r="1247" outlineLevel="2" ht="15" customHeight="1">
      <c r="A1247" s="436" t="inlineStr">
        <is>
          <t xml:space="preserve">         Net Service Charge (₹)</t>
        </is>
      </c>
      <c r="B1247" s="439">
        <f>SUMIF('Final Calculation Sheet'!$G$4:$G$1000,"SAHARA ENTERPRISES",'Final Calculation Sheet'!$O$4:$O$1000)</f>
        <v/>
      </c>
    </row>
    <row r="1248" outlineLevel="2" ht="15" customHeight="1">
      <c r="A1248" s="436" t="inlineStr">
        <is>
          <t xml:space="preserve">         Svc Charge to MSTC (₹)</t>
        </is>
      </c>
      <c r="B1248" s="438">
        <f>SUMIF('Final Calculation Sheet'!$G$4:$G$1000,"SAHARA ENTERPRISES",'Final Calculation Sheet'!$P$4:$P$1000)</f>
        <v/>
      </c>
    </row>
    <row r="1249" outlineLevel="2" ht="15" customHeight="1">
      <c r="A1249" s="436" t="inlineStr">
        <is>
          <t xml:space="preserve">         GST TDS (₹)</t>
        </is>
      </c>
      <c r="B1249" s="438">
        <f>SUMIF('Final Calculation Sheet'!$G$4:$G$1000,"SAHARA ENTERPRISES",'Final Calculation Sheet'!$R$4:$R$1000)</f>
        <v/>
      </c>
    </row>
    <row r="1250" outlineLevel="2" ht="15" customHeight="1">
      <c r="A1250" s="436" t="inlineStr">
        <is>
          <t xml:space="preserve">         Total Receivables (₹)</t>
        </is>
      </c>
      <c r="B1250" s="438">
        <f>SUMIF('Final Calculation Sheet'!$G$4:$G$1000,"SAHARA ENTERPRISES",'Final Calculation Sheet'!$S$4:$S$1000)</f>
        <v/>
      </c>
    </row>
    <row r="1251" outlineLevel="2" ht="15" customHeight="1">
      <c r="A1251" s="436" t="inlineStr">
        <is>
          <t xml:space="preserve">         SD Expected (₹)</t>
        </is>
      </c>
      <c r="B1251" s="438">
        <f>SUMIF('Final Calculation Sheet'!$G$4:$G$1000,"SAHARA ENTERPRISES",'Final Calculation Sheet'!$T$4:$T$1000)</f>
        <v/>
      </c>
    </row>
    <row r="1252" outlineLevel="2" ht="15" customHeight="1">
      <c r="A1252" s="436" t="inlineStr">
        <is>
          <t xml:space="preserve">         SD Received (₹)</t>
        </is>
      </c>
      <c r="B1252" s="438">
        <f>SUMIF('Final Calculation Sheet'!$G$4:$G$1000,"SAHARA ENTERPRISES",'Final Calculation Sheet'!$U$4:$U$1000)</f>
        <v/>
      </c>
    </row>
    <row r="1253" outlineLevel="2" ht="15" customHeight="1">
      <c r="A1253" s="436" t="inlineStr">
        <is>
          <t xml:space="preserve">         FP Expected (₹)</t>
        </is>
      </c>
      <c r="B1253" s="438">
        <f>SUMIF('Final Calculation Sheet'!$G$4:$G$1000,"SAHARA ENTERPRISES",'Final Calculation Sheet'!$W$4:$W$1000)</f>
        <v/>
      </c>
    </row>
    <row r="1254" outlineLevel="2" ht="15" customHeight="1">
      <c r="A1254" s="436" t="inlineStr">
        <is>
          <t xml:space="preserve">         FP Received (₹)</t>
        </is>
      </c>
      <c r="B1254" s="438">
        <f>SUMIF('Final Calculation Sheet'!$G$4:$G$1000,"SAHARA ENTERPRISES",'Final Calculation Sheet'!$X$4:$X$1000)</f>
        <v/>
      </c>
    </row>
    <row r="1255" outlineLevel="2" ht="15" customHeight="1">
      <c r="A1255" s="436" t="inlineStr">
        <is>
          <t xml:space="preserve">         LPP Expected (₹)</t>
        </is>
      </c>
      <c r="B1255" s="438">
        <f>SUMIF('Final Calculation Sheet'!$G$4:$G$1000,"SAHARA ENTERPRISES",'Final Calculation Sheet'!$Z$4:$Z$1000)</f>
        <v/>
      </c>
    </row>
    <row r="1256" outlineLevel="2" ht="15" customHeight="1">
      <c r="A1256" s="436" t="inlineStr">
        <is>
          <t xml:space="preserve">         LPP Received (₹)</t>
        </is>
      </c>
      <c r="B1256" s="438">
        <f>SUMIF('Final Calculation Sheet'!$G$4:$G$1000,"SAHARA ENTERPRISES",'Final Calculation Sheet'!$AA$4:$AA$1000)</f>
        <v/>
      </c>
    </row>
    <row r="1257" outlineLevel="2" ht="15" customHeight="1">
      <c r="A1257" s="436" t="inlineStr">
        <is>
          <t xml:space="preserve">         Total Received (₹)</t>
        </is>
      </c>
      <c r="B1257" s="438">
        <f>SUMIF('Final Calculation Sheet'!$G$4:$G$1000,"SAHARA ENTERPRISES",'Final Calculation Sheet'!$AC$4:$AC$1000)</f>
        <v/>
      </c>
    </row>
    <row r="1258" outlineLevel="2" ht="15" customHeight="1">
      <c r="A1258" s="436" t="inlineStr">
        <is>
          <t xml:space="preserve">         Outstanding (₹)</t>
        </is>
      </c>
      <c r="B1258" s="438">
        <f>SUMIF('Final Calculation Sheet'!$G$4:$G$1000,"SAHARA ENTERPRISES",'Final Calculation Sheet'!$AD$4:$AD$1000)</f>
        <v/>
      </c>
    </row>
    <row r="1259" ht="7" customHeight="1">
      <c r="A1259" s="82" t="n"/>
      <c r="B1259" s="82" t="n"/>
    </row>
    <row r="1260" ht="24" customHeight="1">
      <c r="A1260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1260" s="272" t="n"/>
    </row>
    <row r="1261" outlineLevel="1" ht="20" customHeight="1">
      <c r="A1261" s="440">
        <f>"   ▸  LOT "&amp;'Final Calculation Sheet'!$F$9&amp;"   •   "&amp;'Final Calculation Sheet'!$B$9&amp;"   •   MAT. VALUE ₹"&amp;TEXT('Final Calculation Sheet'!$H$9,"#,##0")&amp;"   •   OUTSTANDING ₹"&amp;TEXT('Final Calculation Sheet'!$AD$9,"#,##0")</f>
        <v/>
      </c>
      <c r="B1261" s="102" t="n"/>
    </row>
    <row r="1262" outlineLevel="2" ht="16" customHeight="1">
      <c r="A1262" s="441" t="inlineStr">
        <is>
          <t xml:space="preserve">      ▸ LOT INFORMATION</t>
        </is>
      </c>
      <c r="B1262" s="442" t="n"/>
    </row>
    <row r="1263" outlineLevel="3" ht="15" customHeight="1">
      <c r="A1263" s="69" t="inlineStr">
        <is>
          <t xml:space="preserve">            Lot No.</t>
        </is>
      </c>
      <c r="B1263" s="70">
        <f>IF('Final Calculation Sheet'!$F$9="","",'Final Calculation Sheet'!$F$9)</f>
        <v/>
      </c>
    </row>
    <row r="1264" outlineLevel="3" ht="15" customHeight="1">
      <c r="A1264" s="69" t="inlineStr">
        <is>
          <t xml:space="preserve">            Lot Name</t>
        </is>
      </c>
      <c r="B1264" s="76">
        <f>IF('Final Calculation Sheet'!$B$9="","",'Final Calculation Sheet'!$B$9)</f>
        <v/>
      </c>
    </row>
    <row r="1265" outlineLevel="3" ht="15" customHeight="1">
      <c r="A1265" s="69" t="inlineStr">
        <is>
          <t xml:space="preserve">            Bid Sheet / Auction</t>
        </is>
      </c>
      <c r="B1265" s="70">
        <f>IF('Final Calculation Sheet'!$D$9="","",'Final Calculation Sheet'!$D$9)</f>
        <v/>
      </c>
    </row>
    <row r="1266" outlineLevel="3" ht="15" customHeight="1">
      <c r="A1266" s="69" t="inlineStr">
        <is>
          <t xml:space="preserve">            Quantity</t>
        </is>
      </c>
      <c r="B1266" s="74">
        <f>IF('Final Calculation Sheet'!$A$9="","",'Final Calculation Sheet'!$A$9)</f>
        <v/>
      </c>
    </row>
    <row r="1267" outlineLevel="3" ht="15" customHeight="1">
      <c r="A1267" s="69" t="inlineStr">
        <is>
          <t xml:space="preserve">            Unit</t>
        </is>
      </c>
      <c r="B1267" s="76">
        <f>IF('Final Calculation Sheet'!$E$9="","",'Final Calculation Sheet'!$E$9)</f>
        <v/>
      </c>
    </row>
    <row r="1268" outlineLevel="3" ht="15" customHeight="1">
      <c r="A1268" s="69" t="inlineStr">
        <is>
          <t xml:space="preserve">            Rate (₹)</t>
        </is>
      </c>
      <c r="B1268" s="70">
        <f>IF('Final Calculation Sheet'!$C$9="","",'Final Calculation Sheet'!$C$9)</f>
        <v/>
      </c>
    </row>
    <row r="1269" outlineLevel="2" ht="16" customHeight="1">
      <c r="A1269" s="441" t="inlineStr">
        <is>
          <t xml:space="preserve">      ▸ FINANCIALS</t>
        </is>
      </c>
      <c r="B1269" s="442" t="n"/>
    </row>
    <row r="1270" outlineLevel="3" ht="15" customHeight="1">
      <c r="A1270" s="69" t="inlineStr">
        <is>
          <t xml:space="preserve">            Mat. Value (₹)</t>
        </is>
      </c>
      <c r="B1270" s="70">
        <f>IF('Final Calculation Sheet'!$H$9="","",'Final Calculation Sheet'!$H$9)</f>
        <v/>
      </c>
    </row>
    <row r="1271" outlineLevel="3" ht="15" customHeight="1">
      <c r="A1271" s="69" t="inlineStr">
        <is>
          <t xml:space="preserve">            GST @ 18% (₹)</t>
        </is>
      </c>
      <c r="B1271" s="70">
        <f>IF('Final Calculation Sheet'!$I$9="","",'Final Calculation Sheet'!$I$9)</f>
        <v/>
      </c>
    </row>
    <row r="1272" outlineLevel="3" ht="15" customHeight="1">
      <c r="A1272" s="69" t="inlineStr">
        <is>
          <t xml:space="preserve">            Mat. Value + GST (₹)</t>
        </is>
      </c>
      <c r="B1272" s="70">
        <f>IF('Final Calculation Sheet'!$J$9="","",'Final Calculation Sheet'!$J$9)</f>
        <v/>
      </c>
    </row>
    <row r="1273" outlineLevel="3" ht="15" customHeight="1">
      <c r="A1273" s="69" t="inlineStr">
        <is>
          <t xml:space="preserve">            TCS @ 2% (₹)</t>
        </is>
      </c>
      <c r="B1273" s="70">
        <f>IF('Final Calculation Sheet'!$K$9="","",'Final Calculation Sheet'!$K$9)</f>
        <v/>
      </c>
    </row>
    <row r="1274" outlineLevel="3" ht="15" customHeight="1">
      <c r="A1274" s="69" t="inlineStr">
        <is>
          <t xml:space="preserve">            TDS u/s 194(O) (₹)</t>
        </is>
      </c>
      <c r="B1274" s="78">
        <f>IF('Final Calculation Sheet'!$L$9="","",'Final Calculation Sheet'!$L$9)</f>
        <v/>
      </c>
    </row>
    <row r="1275" outlineLevel="3" ht="15" customHeight="1">
      <c r="A1275" s="69" t="inlineStr">
        <is>
          <t xml:space="preserve">            Service Charge gross (₹)</t>
        </is>
      </c>
      <c r="B1275" s="78">
        <f>IF('Final Calculation Sheet'!$M$9="","",'Final Calculation Sheet'!$M$9)</f>
        <v/>
      </c>
    </row>
    <row r="1276" outlineLevel="3" ht="15" customHeight="1">
      <c r="A1276" s="69" t="inlineStr">
        <is>
          <t xml:space="preserve">            TDS u/s 194(H) (₹)</t>
        </is>
      </c>
      <c r="B1276" s="78">
        <f>IF('Final Calculation Sheet'!$N$9="","",'Final Calculation Sheet'!$N$9)</f>
        <v/>
      </c>
    </row>
    <row r="1277" outlineLevel="3" ht="15" customHeight="1">
      <c r="A1277" s="69" t="inlineStr">
        <is>
          <t xml:space="preserve">            Net Service Charge (₹)</t>
        </is>
      </c>
      <c r="B1277" s="78">
        <f>IF('Final Calculation Sheet'!$O$9="","",'Final Calculation Sheet'!$O$9)</f>
        <v/>
      </c>
    </row>
    <row r="1278" outlineLevel="3" ht="15" customHeight="1">
      <c r="A1278" s="69" t="inlineStr">
        <is>
          <t xml:space="preserve">            Svc Charge to MSTC (₹)</t>
        </is>
      </c>
      <c r="B1278" s="70">
        <f>IF('Final Calculation Sheet'!$P$9="","",'Final Calculation Sheet'!$P$9)</f>
        <v/>
      </c>
    </row>
    <row r="1279" outlineLevel="3" ht="15" customHeight="1">
      <c r="A1279" s="69" t="inlineStr">
        <is>
          <t xml:space="preserve">            GST TDS Rate</t>
        </is>
      </c>
      <c r="B1279" s="80">
        <f>IF('Final Calculation Sheet'!$Q$9="","",'Final Calculation Sheet'!$Q$9)</f>
        <v/>
      </c>
    </row>
    <row r="1280" outlineLevel="3" ht="15" customHeight="1">
      <c r="A1280" s="69" t="inlineStr">
        <is>
          <t xml:space="preserve">            GST TDS (₹)</t>
        </is>
      </c>
      <c r="B1280" s="70">
        <f>IF('Final Calculation Sheet'!$R$9="","",'Final Calculation Sheet'!$R$9)</f>
        <v/>
      </c>
    </row>
    <row r="1281" outlineLevel="3" ht="15" customHeight="1">
      <c r="A1281" s="69" t="inlineStr">
        <is>
          <t xml:space="preserve">            Total Receivables (₹)</t>
        </is>
      </c>
      <c r="B1281" s="70">
        <f>IF('Final Calculation Sheet'!$S$9="","",'Final Calculation Sheet'!$S$9)</f>
        <v/>
      </c>
    </row>
    <row r="1282" outlineLevel="2" ht="16" customHeight="1">
      <c r="A1282" s="441" t="inlineStr">
        <is>
          <t xml:space="preserve">      ▸ SECURITY DEPOSIT</t>
        </is>
      </c>
      <c r="B1282" s="442" t="n"/>
    </row>
    <row r="1283" outlineLevel="3" ht="15" customHeight="1">
      <c r="A1283" s="69" t="inlineStr">
        <is>
          <t xml:space="preserve">            SD Expected (₹)</t>
        </is>
      </c>
      <c r="B1283" s="70">
        <f>IF('Final Calculation Sheet'!$T$9="","",'Final Calculation Sheet'!$T$9)</f>
        <v/>
      </c>
    </row>
    <row r="1284" outlineLevel="3" ht="15" customHeight="1">
      <c r="A1284" s="69" t="inlineStr">
        <is>
          <t xml:space="preserve">            SD Received (₹)</t>
        </is>
      </c>
      <c r="B1284" s="70">
        <f>IF('Final Calculation Sheet'!$U$9="","",'Final Calculation Sheet'!$U$9)</f>
        <v/>
      </c>
    </row>
    <row r="1285" outlineLevel="3" ht="15" customHeight="1">
      <c r="A1285" s="69" t="inlineStr">
        <is>
          <t xml:space="preserve">            SD Receipt Date</t>
        </is>
      </c>
      <c r="B1285" s="76">
        <f>IF('Final Calculation Sheet'!$V$9="","",'Final Calculation Sheet'!$V$9)</f>
        <v/>
      </c>
    </row>
    <row r="1286" outlineLevel="2" ht="16" customHeight="1">
      <c r="A1286" s="441" t="inlineStr">
        <is>
          <t xml:space="preserve">      ▸ FINAL PAYMENT</t>
        </is>
      </c>
      <c r="B1286" s="442" t="n"/>
    </row>
    <row r="1287" outlineLevel="3" ht="15" customHeight="1">
      <c r="A1287" s="69" t="inlineStr">
        <is>
          <t xml:space="preserve">            FP Expected (₹)</t>
        </is>
      </c>
      <c r="B1287" s="70">
        <f>IF('Final Calculation Sheet'!$W$9="","",'Final Calculation Sheet'!$W$9)</f>
        <v/>
      </c>
    </row>
    <row r="1288" outlineLevel="3" ht="15" customHeight="1">
      <c r="A1288" s="69" t="inlineStr">
        <is>
          <t xml:space="preserve">            FP Received (₹)</t>
        </is>
      </c>
      <c r="B1288" s="70">
        <f>IF('Final Calculation Sheet'!$X$9="","",'Final Calculation Sheet'!$X$9)</f>
        <v/>
      </c>
    </row>
    <row r="1289" outlineLevel="3" ht="15" customHeight="1">
      <c r="A1289" s="69" t="inlineStr">
        <is>
          <t xml:space="preserve">            FP Receipt Date</t>
        </is>
      </c>
      <c r="B1289" s="76">
        <f>IF('Final Calculation Sheet'!$Y$9="","",'Final Calculation Sheet'!$Y$9)</f>
        <v/>
      </c>
    </row>
    <row r="1290" outlineLevel="2" ht="16" customHeight="1">
      <c r="A1290" s="441" t="inlineStr">
        <is>
          <t xml:space="preserve">      ▸ LPP</t>
        </is>
      </c>
      <c r="B1290" s="442" t="n"/>
    </row>
    <row r="1291" outlineLevel="3" ht="15" customHeight="1">
      <c r="A1291" s="69" t="inlineStr">
        <is>
          <t xml:space="preserve">            LPP Expected (₹)</t>
        </is>
      </c>
      <c r="B1291" s="70">
        <f>IF('Final Calculation Sheet'!$Z$9="","",'Final Calculation Sheet'!$Z$9)</f>
        <v/>
      </c>
    </row>
    <row r="1292" outlineLevel="3" ht="15" customHeight="1">
      <c r="A1292" s="69" t="inlineStr">
        <is>
          <t xml:space="preserve">            LPP Received (₹)</t>
        </is>
      </c>
      <c r="B1292" s="70">
        <f>IF('Final Calculation Sheet'!$AA$9="","",'Final Calculation Sheet'!$AA$9)</f>
        <v/>
      </c>
    </row>
    <row r="1293" outlineLevel="3" ht="15" customHeight="1">
      <c r="A1293" s="69" t="inlineStr">
        <is>
          <t xml:space="preserve">            LPP Receipt Date</t>
        </is>
      </c>
      <c r="B1293" s="76">
        <f>IF('Final Calculation Sheet'!$AB$9="","",'Final Calculation Sheet'!$AB$9)</f>
        <v/>
      </c>
    </row>
    <row r="1294" outlineLevel="2" ht="16" customHeight="1">
      <c r="A1294" s="441" t="inlineStr">
        <is>
          <t xml:space="preserve">      ▸ SUMMARY</t>
        </is>
      </c>
      <c r="B1294" s="442" t="n"/>
    </row>
    <row r="1295" outlineLevel="3" ht="15" customHeight="1">
      <c r="A1295" s="69" t="inlineStr">
        <is>
          <t xml:space="preserve">            Total Received (₹)</t>
        </is>
      </c>
      <c r="B1295" s="70">
        <f>IF('Final Calculation Sheet'!$AC$9="","",'Final Calculation Sheet'!$AC$9)</f>
        <v/>
      </c>
    </row>
    <row r="1296" outlineLevel="3" ht="15" customHeight="1">
      <c r="A1296" s="69" t="inlineStr">
        <is>
          <t xml:space="preserve">            Outstanding (₹)</t>
        </is>
      </c>
      <c r="B1296" s="70">
        <f>IF('Final Calculation Sheet'!$AD$9="","",'Final Calculation Sheet'!$AD$9)</f>
        <v/>
      </c>
    </row>
    <row r="1297" outlineLevel="3" ht="15" customHeight="1">
      <c r="A1297" s="69" t="inlineStr">
        <is>
          <t xml:space="preserve">            Payment Status</t>
        </is>
      </c>
      <c r="B1297" s="81">
        <f>IF('Final Calculation Sheet'!$AD$9="","",IF('Final Calculation Sheet'!$AD$9&lt;=0,"SETTLED","OUTSTANDING"))</f>
        <v/>
      </c>
    </row>
    <row r="1298" outlineLevel="2" ht="16" customHeight="1">
      <c r="A1298" s="441" t="inlineStr">
        <is>
          <t xml:space="preserve">      ▸ DOCUMENT</t>
        </is>
      </c>
      <c r="B1298" s="442" t="n"/>
    </row>
    <row r="1299" outlineLevel="3" ht="15" customHeight="1">
      <c r="A1299" s="69" t="inlineStr">
        <is>
          <t xml:space="preserve">            Invoice No.</t>
        </is>
      </c>
      <c r="B1299" s="76">
        <f>IF('Final Calculation Sheet'!$AE$9="","",'Final Calculation Sheet'!$AE$9)</f>
        <v/>
      </c>
    </row>
    <row r="1300" outlineLevel="3" ht="15" customHeight="1">
      <c r="A1300" s="69" t="inlineStr">
        <is>
          <t xml:space="preserve">            SAP Document</t>
        </is>
      </c>
      <c r="B1300" s="70">
        <f>IF('Final Calculation Sheet'!$AF$9="","",'Final Calculation Sheet'!$AF$9)</f>
        <v/>
      </c>
    </row>
    <row r="1301" outlineLevel="3" ht="15" customHeight="1">
      <c r="A1301" s="69" t="inlineStr">
        <is>
          <t xml:space="preserve">            Doc./Invoice Date</t>
        </is>
      </c>
      <c r="B1301" s="76">
        <f>IF('Final Calculation Sheet'!$AG$9="","",'Final Calculation Sheet'!$AG$9)</f>
        <v/>
      </c>
    </row>
    <row r="1302" outlineLevel="1" ht="20" customHeight="1">
      <c r="A1302" s="440">
        <f>"   ▸  LOT "&amp;'Final Calculation Sheet'!$F$14&amp;"   •   "&amp;'Final Calculation Sheet'!$B$14&amp;"   •   MAT. VALUE ₹"&amp;TEXT('Final Calculation Sheet'!$H$14,"#,##0")&amp;"   •   OUTSTANDING ₹"&amp;TEXT('Final Calculation Sheet'!$AD$14,"#,##0")</f>
        <v/>
      </c>
      <c r="B1302" s="102" t="n"/>
    </row>
    <row r="1303" outlineLevel="2" ht="16" customHeight="1">
      <c r="A1303" s="441" t="inlineStr">
        <is>
          <t xml:space="preserve">      ▸ LOT INFORMATION</t>
        </is>
      </c>
      <c r="B1303" s="442" t="n"/>
    </row>
    <row r="1304" outlineLevel="3" ht="15" customHeight="1">
      <c r="A1304" s="69" t="inlineStr">
        <is>
          <t xml:space="preserve">            Lot No.</t>
        </is>
      </c>
      <c r="B1304" s="70">
        <f>IF('Final Calculation Sheet'!$F$14="","",'Final Calculation Sheet'!$F$14)</f>
        <v/>
      </c>
    </row>
    <row r="1305" outlineLevel="3" ht="15" customHeight="1">
      <c r="A1305" s="69" t="inlineStr">
        <is>
          <t xml:space="preserve">            Lot Name</t>
        </is>
      </c>
      <c r="B1305" s="76">
        <f>IF('Final Calculation Sheet'!$B$14="","",'Final Calculation Sheet'!$B$14)</f>
        <v/>
      </c>
    </row>
    <row r="1306" outlineLevel="3" ht="15" customHeight="1">
      <c r="A1306" s="69" t="inlineStr">
        <is>
          <t xml:space="preserve">            Bid Sheet / Auction</t>
        </is>
      </c>
      <c r="B1306" s="70">
        <f>IF('Final Calculation Sheet'!$D$14="","",'Final Calculation Sheet'!$D$14)</f>
        <v/>
      </c>
    </row>
    <row r="1307" outlineLevel="3" ht="15" customHeight="1">
      <c r="A1307" s="69" t="inlineStr">
        <is>
          <t xml:space="preserve">            Quantity</t>
        </is>
      </c>
      <c r="B1307" s="74">
        <f>IF('Final Calculation Sheet'!$A$14="","",'Final Calculation Sheet'!$A$14)</f>
        <v/>
      </c>
    </row>
    <row r="1308" outlineLevel="3" ht="15" customHeight="1">
      <c r="A1308" s="69" t="inlineStr">
        <is>
          <t xml:space="preserve">            Unit</t>
        </is>
      </c>
      <c r="B1308" s="76">
        <f>IF('Final Calculation Sheet'!$E$14="","",'Final Calculation Sheet'!$E$14)</f>
        <v/>
      </c>
    </row>
    <row r="1309" outlineLevel="3" ht="15" customHeight="1">
      <c r="A1309" s="69" t="inlineStr">
        <is>
          <t xml:space="preserve">            Rate (₹)</t>
        </is>
      </c>
      <c r="B1309" s="70">
        <f>IF('Final Calculation Sheet'!$C$14="","",'Final Calculation Sheet'!$C$14)</f>
        <v/>
      </c>
    </row>
    <row r="1310" outlineLevel="2" ht="16" customHeight="1">
      <c r="A1310" s="441" t="inlineStr">
        <is>
          <t xml:space="preserve">      ▸ FINANCIALS</t>
        </is>
      </c>
      <c r="B1310" s="442" t="n"/>
    </row>
    <row r="1311" outlineLevel="3" ht="15" customHeight="1">
      <c r="A1311" s="69" t="inlineStr">
        <is>
          <t xml:space="preserve">            Mat. Value (₹)</t>
        </is>
      </c>
      <c r="B1311" s="70">
        <f>IF('Final Calculation Sheet'!$H$14="","",'Final Calculation Sheet'!$H$14)</f>
        <v/>
      </c>
    </row>
    <row r="1312" outlineLevel="3" ht="15" customHeight="1">
      <c r="A1312" s="69" t="inlineStr">
        <is>
          <t xml:space="preserve">            GST @ 18% (₹)</t>
        </is>
      </c>
      <c r="B1312" s="70">
        <f>IF('Final Calculation Sheet'!$I$14="","",'Final Calculation Sheet'!$I$14)</f>
        <v/>
      </c>
    </row>
    <row r="1313" outlineLevel="3" ht="15" customHeight="1">
      <c r="A1313" s="69" t="inlineStr">
        <is>
          <t xml:space="preserve">            Mat. Value + GST (₹)</t>
        </is>
      </c>
      <c r="B1313" s="70">
        <f>IF('Final Calculation Sheet'!$J$14="","",'Final Calculation Sheet'!$J$14)</f>
        <v/>
      </c>
    </row>
    <row r="1314" outlineLevel="3" ht="15" customHeight="1">
      <c r="A1314" s="69" t="inlineStr">
        <is>
          <t xml:space="preserve">            TCS @ 2% (₹)</t>
        </is>
      </c>
      <c r="B1314" s="70">
        <f>IF('Final Calculation Sheet'!$K$14="","",'Final Calculation Sheet'!$K$14)</f>
        <v/>
      </c>
    </row>
    <row r="1315" outlineLevel="3" ht="15" customHeight="1">
      <c r="A1315" s="69" t="inlineStr">
        <is>
          <t xml:space="preserve">            TDS u/s 194(O) (₹)</t>
        </is>
      </c>
      <c r="B1315" s="78">
        <f>IF('Final Calculation Sheet'!$L$14="","",'Final Calculation Sheet'!$L$14)</f>
        <v/>
      </c>
    </row>
    <row r="1316" outlineLevel="3" ht="15" customHeight="1">
      <c r="A1316" s="69" t="inlineStr">
        <is>
          <t xml:space="preserve">            Service Charge gross (₹)</t>
        </is>
      </c>
      <c r="B1316" s="78">
        <f>IF('Final Calculation Sheet'!$M$14="","",'Final Calculation Sheet'!$M$14)</f>
        <v/>
      </c>
    </row>
    <row r="1317" outlineLevel="3" ht="15" customHeight="1">
      <c r="A1317" s="69" t="inlineStr">
        <is>
          <t xml:space="preserve">            TDS u/s 194(H) (₹)</t>
        </is>
      </c>
      <c r="B1317" s="78">
        <f>IF('Final Calculation Sheet'!$N$14="","",'Final Calculation Sheet'!$N$14)</f>
        <v/>
      </c>
    </row>
    <row r="1318" outlineLevel="3" ht="15" customHeight="1">
      <c r="A1318" s="69" t="inlineStr">
        <is>
          <t xml:space="preserve">            Net Service Charge (₹)</t>
        </is>
      </c>
      <c r="B1318" s="78">
        <f>IF('Final Calculation Sheet'!$O$14="","",'Final Calculation Sheet'!$O$14)</f>
        <v/>
      </c>
    </row>
    <row r="1319" outlineLevel="3" ht="15" customHeight="1">
      <c r="A1319" s="69" t="inlineStr">
        <is>
          <t xml:space="preserve">            Svc Charge to MSTC (₹)</t>
        </is>
      </c>
      <c r="B1319" s="70">
        <f>IF('Final Calculation Sheet'!$P$14="","",'Final Calculation Sheet'!$P$14)</f>
        <v/>
      </c>
    </row>
    <row r="1320" outlineLevel="3" ht="15" customHeight="1">
      <c r="A1320" s="69" t="inlineStr">
        <is>
          <t xml:space="preserve">            GST TDS Rate</t>
        </is>
      </c>
      <c r="B1320" s="80">
        <f>IF('Final Calculation Sheet'!$Q$14="","",'Final Calculation Sheet'!$Q$14)</f>
        <v/>
      </c>
    </row>
    <row r="1321" outlineLevel="3" ht="15" customHeight="1">
      <c r="A1321" s="69" t="inlineStr">
        <is>
          <t xml:space="preserve">            GST TDS (₹)</t>
        </is>
      </c>
      <c r="B1321" s="70">
        <f>IF('Final Calculation Sheet'!$R$14="","",'Final Calculation Sheet'!$R$14)</f>
        <v/>
      </c>
    </row>
    <row r="1322" outlineLevel="3" ht="15" customHeight="1">
      <c r="A1322" s="69" t="inlineStr">
        <is>
          <t xml:space="preserve">            Total Receivables (₹)</t>
        </is>
      </c>
      <c r="B1322" s="70">
        <f>IF('Final Calculation Sheet'!$S$14="","",'Final Calculation Sheet'!$S$14)</f>
        <v/>
      </c>
    </row>
    <row r="1323" outlineLevel="2" ht="16" customHeight="1">
      <c r="A1323" s="441" t="inlineStr">
        <is>
          <t xml:space="preserve">      ▸ SECURITY DEPOSIT</t>
        </is>
      </c>
      <c r="B1323" s="442" t="n"/>
    </row>
    <row r="1324" outlineLevel="3" ht="15" customHeight="1">
      <c r="A1324" s="69" t="inlineStr">
        <is>
          <t xml:space="preserve">            SD Expected (₹)</t>
        </is>
      </c>
      <c r="B1324" s="70">
        <f>IF('Final Calculation Sheet'!$T$14="","",'Final Calculation Sheet'!$T$14)</f>
        <v/>
      </c>
    </row>
    <row r="1325" outlineLevel="3" ht="15" customHeight="1">
      <c r="A1325" s="69" t="inlineStr">
        <is>
          <t xml:space="preserve">            SD Received (₹)</t>
        </is>
      </c>
      <c r="B1325" s="70">
        <f>IF('Final Calculation Sheet'!$U$14="","",'Final Calculation Sheet'!$U$14)</f>
        <v/>
      </c>
    </row>
    <row r="1326" outlineLevel="3" ht="15" customHeight="1">
      <c r="A1326" s="69" t="inlineStr">
        <is>
          <t xml:space="preserve">            SD Receipt Date</t>
        </is>
      </c>
      <c r="B1326" s="76">
        <f>IF('Final Calculation Sheet'!$V$14="","",'Final Calculation Sheet'!$V$14)</f>
        <v/>
      </c>
    </row>
    <row r="1327" outlineLevel="2" ht="16" customHeight="1">
      <c r="A1327" s="441" t="inlineStr">
        <is>
          <t xml:space="preserve">      ▸ FINAL PAYMENT</t>
        </is>
      </c>
      <c r="B1327" s="442" t="n"/>
    </row>
    <row r="1328" outlineLevel="3" ht="15" customHeight="1">
      <c r="A1328" s="69" t="inlineStr">
        <is>
          <t xml:space="preserve">            FP Expected (₹)</t>
        </is>
      </c>
      <c r="B1328" s="70">
        <f>IF('Final Calculation Sheet'!$W$14="","",'Final Calculation Sheet'!$W$14)</f>
        <v/>
      </c>
    </row>
    <row r="1329" outlineLevel="3" ht="15" customHeight="1">
      <c r="A1329" s="69" t="inlineStr">
        <is>
          <t xml:space="preserve">            FP Received (₹)</t>
        </is>
      </c>
      <c r="B1329" s="70">
        <f>IF('Final Calculation Sheet'!$X$14="","",'Final Calculation Sheet'!$X$14)</f>
        <v/>
      </c>
    </row>
    <row r="1330" outlineLevel="3" ht="15" customHeight="1">
      <c r="A1330" s="69" t="inlineStr">
        <is>
          <t xml:space="preserve">            FP Receipt Date</t>
        </is>
      </c>
      <c r="B1330" s="76">
        <f>IF('Final Calculation Sheet'!$Y$14="","",'Final Calculation Sheet'!$Y$14)</f>
        <v/>
      </c>
    </row>
    <row r="1331" outlineLevel="2" ht="16" customHeight="1">
      <c r="A1331" s="441" t="inlineStr">
        <is>
          <t xml:space="preserve">      ▸ LPP</t>
        </is>
      </c>
      <c r="B1331" s="442" t="n"/>
    </row>
    <row r="1332" outlineLevel="3" ht="15" customHeight="1">
      <c r="A1332" s="69" t="inlineStr">
        <is>
          <t xml:space="preserve">            LPP Expected (₹)</t>
        </is>
      </c>
      <c r="B1332" s="70">
        <f>IF('Final Calculation Sheet'!$Z$14="","",'Final Calculation Sheet'!$Z$14)</f>
        <v/>
      </c>
    </row>
    <row r="1333" outlineLevel="3" ht="15" customHeight="1">
      <c r="A1333" s="69" t="inlineStr">
        <is>
          <t xml:space="preserve">            LPP Received (₹)</t>
        </is>
      </c>
      <c r="B1333" s="70">
        <f>IF('Final Calculation Sheet'!$AA$14="","",'Final Calculation Sheet'!$AA$14)</f>
        <v/>
      </c>
    </row>
    <row r="1334" outlineLevel="3" ht="15" customHeight="1">
      <c r="A1334" s="69" t="inlineStr">
        <is>
          <t xml:space="preserve">            LPP Receipt Date</t>
        </is>
      </c>
      <c r="B1334" s="76">
        <f>IF('Final Calculation Sheet'!$AB$14="","",'Final Calculation Sheet'!$AB$14)</f>
        <v/>
      </c>
    </row>
    <row r="1335" outlineLevel="2" ht="16" customHeight="1">
      <c r="A1335" s="441" t="inlineStr">
        <is>
          <t xml:space="preserve">      ▸ SUMMARY</t>
        </is>
      </c>
      <c r="B1335" s="442" t="n"/>
    </row>
    <row r="1336" outlineLevel="3" ht="15" customHeight="1">
      <c r="A1336" s="69" t="inlineStr">
        <is>
          <t xml:space="preserve">            Total Received (₹)</t>
        </is>
      </c>
      <c r="B1336" s="70">
        <f>IF('Final Calculation Sheet'!$AC$14="","",'Final Calculation Sheet'!$AC$14)</f>
        <v/>
      </c>
    </row>
    <row r="1337" outlineLevel="3" ht="15" customHeight="1">
      <c r="A1337" s="69" t="inlineStr">
        <is>
          <t xml:space="preserve">            Outstanding (₹)</t>
        </is>
      </c>
      <c r="B1337" s="70">
        <f>IF('Final Calculation Sheet'!$AD$14="","",'Final Calculation Sheet'!$AD$14)</f>
        <v/>
      </c>
    </row>
    <row r="1338" outlineLevel="3" ht="15" customHeight="1">
      <c r="A1338" s="69" t="inlineStr">
        <is>
          <t xml:space="preserve">            Payment Status</t>
        </is>
      </c>
      <c r="B1338" s="81">
        <f>IF('Final Calculation Sheet'!$AD$14="","",IF('Final Calculation Sheet'!$AD$14&lt;=0,"SETTLED","OUTSTANDING"))</f>
        <v/>
      </c>
    </row>
    <row r="1339" outlineLevel="2" ht="16" customHeight="1">
      <c r="A1339" s="441" t="inlineStr">
        <is>
          <t xml:space="preserve">      ▸ DOCUMENT</t>
        </is>
      </c>
      <c r="B1339" s="442" t="n"/>
    </row>
    <row r="1340" outlineLevel="3" ht="15" customHeight="1">
      <c r="A1340" s="69" t="inlineStr">
        <is>
          <t xml:space="preserve">            Invoice No.</t>
        </is>
      </c>
      <c r="B1340" s="76">
        <f>IF('Final Calculation Sheet'!$AE$14="","",'Final Calculation Sheet'!$AE$14)</f>
        <v/>
      </c>
    </row>
    <row r="1341" outlineLevel="3" ht="15" customHeight="1">
      <c r="A1341" s="69" t="inlineStr">
        <is>
          <t xml:space="preserve">            SAP Document</t>
        </is>
      </c>
      <c r="B1341" s="70">
        <f>IF('Final Calculation Sheet'!$AF$14="","",'Final Calculation Sheet'!$AF$14)</f>
        <v/>
      </c>
    </row>
    <row r="1342" outlineLevel="3" ht="15" customHeight="1">
      <c r="A1342" s="69" t="inlineStr">
        <is>
          <t xml:space="preserve">            Doc./Invoice Date</t>
        </is>
      </c>
      <c r="B1342" s="76">
        <f>IF('Final Calculation Sheet'!$AG$14="","",'Final Calculation Sheet'!$AG$14)</f>
        <v/>
      </c>
    </row>
    <row r="1343" outlineLevel="1" ht="20" customHeight="1">
      <c r="A1343" s="443" t="inlineStr">
        <is>
          <t xml:space="preserve">   ∑  SHAR JAHAN TRADERS — TOTALS (all its lots)</t>
        </is>
      </c>
      <c r="B1343" s="272" t="n"/>
    </row>
    <row r="1344" outlineLevel="2" ht="15" customHeight="1">
      <c r="A1344" s="444" t="inlineStr">
        <is>
          <t xml:space="preserve">         Quantity</t>
        </is>
      </c>
      <c r="B1344" s="445">
        <f>SUMIF('Final Calculation Sheet'!$G$4:$G$1000,"SHAR JAHAN TRADERS",'Final Calculation Sheet'!$A$4:$A$1000)</f>
        <v/>
      </c>
    </row>
    <row r="1345" outlineLevel="2" ht="15" customHeight="1">
      <c r="A1345" s="444" t="inlineStr">
        <is>
          <t xml:space="preserve">         Mat. Value (₹)</t>
        </is>
      </c>
      <c r="B1345" s="206">
        <f>SUMIF('Final Calculation Sheet'!$G$4:$G$1000,"SHAR JAHAN TRADERS",'Final Calculation Sheet'!$H$4:$H$1000)</f>
        <v/>
      </c>
    </row>
    <row r="1346" outlineLevel="2" ht="15" customHeight="1">
      <c r="A1346" s="444" t="inlineStr">
        <is>
          <t xml:space="preserve">         GST @ 18% (₹)</t>
        </is>
      </c>
      <c r="B1346" s="206">
        <f>SUMIF('Final Calculation Sheet'!$G$4:$G$1000,"SHAR JAHAN TRADERS",'Final Calculation Sheet'!$I$4:$I$1000)</f>
        <v/>
      </c>
    </row>
    <row r="1347" outlineLevel="2" ht="15" customHeight="1">
      <c r="A1347" s="444" t="inlineStr">
        <is>
          <t xml:space="preserve">         Mat. Value + GST (₹)</t>
        </is>
      </c>
      <c r="B1347" s="206">
        <f>SUMIF('Final Calculation Sheet'!$G$4:$G$1000,"SHAR JAHAN TRADERS",'Final Calculation Sheet'!$J$4:$J$1000)</f>
        <v/>
      </c>
    </row>
    <row r="1348" outlineLevel="2" ht="15" customHeight="1">
      <c r="A1348" s="444" t="inlineStr">
        <is>
          <t xml:space="preserve">         TCS @ 2% (₹)</t>
        </is>
      </c>
      <c r="B1348" s="206">
        <f>SUMIF('Final Calculation Sheet'!$G$4:$G$1000,"SHAR JAHAN TRADERS",'Final Calculation Sheet'!$K$4:$K$1000)</f>
        <v/>
      </c>
    </row>
    <row r="1349" outlineLevel="2" ht="15" customHeight="1">
      <c r="A1349" s="444" t="inlineStr">
        <is>
          <t xml:space="preserve">         TDS u/s 194(O) (₹)</t>
        </is>
      </c>
      <c r="B1349" s="446">
        <f>SUMIF('Final Calculation Sheet'!$G$4:$G$1000,"SHAR JAHAN TRADERS",'Final Calculation Sheet'!$L$4:$L$1000)</f>
        <v/>
      </c>
    </row>
    <row r="1350" outlineLevel="2" ht="15" customHeight="1">
      <c r="A1350" s="444" t="inlineStr">
        <is>
          <t xml:space="preserve">         Service Charge gross (₹)</t>
        </is>
      </c>
      <c r="B1350" s="446">
        <f>SUMIF('Final Calculation Sheet'!$G$4:$G$1000,"SHAR JAHAN TRADERS",'Final Calculation Sheet'!$M$4:$M$1000)</f>
        <v/>
      </c>
    </row>
    <row r="1351" outlineLevel="2" ht="15" customHeight="1">
      <c r="A1351" s="444" t="inlineStr">
        <is>
          <t xml:space="preserve">         TDS u/s 194(H) (₹)</t>
        </is>
      </c>
      <c r="B1351" s="446">
        <f>SUMIF('Final Calculation Sheet'!$G$4:$G$1000,"SHAR JAHAN TRADERS",'Final Calculation Sheet'!$N$4:$N$1000)</f>
        <v/>
      </c>
    </row>
    <row r="1352" outlineLevel="2" ht="15" customHeight="1">
      <c r="A1352" s="444" t="inlineStr">
        <is>
          <t xml:space="preserve">         Net Service Charge (₹)</t>
        </is>
      </c>
      <c r="B1352" s="446">
        <f>SUMIF('Final Calculation Sheet'!$G$4:$G$1000,"SHAR JAHAN TRADERS",'Final Calculation Sheet'!$O$4:$O$1000)</f>
        <v/>
      </c>
    </row>
    <row r="1353" outlineLevel="2" ht="15" customHeight="1">
      <c r="A1353" s="444" t="inlineStr">
        <is>
          <t xml:space="preserve">         Svc Charge to MSTC (₹)</t>
        </is>
      </c>
      <c r="B1353" s="206">
        <f>SUMIF('Final Calculation Sheet'!$G$4:$G$1000,"SHAR JAHAN TRADERS",'Final Calculation Sheet'!$P$4:$P$1000)</f>
        <v/>
      </c>
    </row>
    <row r="1354" outlineLevel="2" ht="15" customHeight="1">
      <c r="A1354" s="444" t="inlineStr">
        <is>
          <t xml:space="preserve">         GST TDS (₹)</t>
        </is>
      </c>
      <c r="B1354" s="206">
        <f>SUMIF('Final Calculation Sheet'!$G$4:$G$1000,"SHAR JAHAN TRADERS",'Final Calculation Sheet'!$R$4:$R$1000)</f>
        <v/>
      </c>
    </row>
    <row r="1355" outlineLevel="2" ht="15" customHeight="1">
      <c r="A1355" s="444" t="inlineStr">
        <is>
          <t xml:space="preserve">         Total Receivables (₹)</t>
        </is>
      </c>
      <c r="B1355" s="206">
        <f>SUMIF('Final Calculation Sheet'!$G$4:$G$1000,"SHAR JAHAN TRADERS",'Final Calculation Sheet'!$S$4:$S$1000)</f>
        <v/>
      </c>
    </row>
    <row r="1356" outlineLevel="2" ht="15" customHeight="1">
      <c r="A1356" s="444" t="inlineStr">
        <is>
          <t xml:space="preserve">         SD Expected (₹)</t>
        </is>
      </c>
      <c r="B1356" s="206">
        <f>SUMIF('Final Calculation Sheet'!$G$4:$G$1000,"SHAR JAHAN TRADERS",'Final Calculation Sheet'!$T$4:$T$1000)</f>
        <v/>
      </c>
    </row>
    <row r="1357" outlineLevel="2" ht="15" customHeight="1">
      <c r="A1357" s="444" t="inlineStr">
        <is>
          <t xml:space="preserve">         SD Received (₹)</t>
        </is>
      </c>
      <c r="B1357" s="206">
        <f>SUMIF('Final Calculation Sheet'!$G$4:$G$1000,"SHAR JAHAN TRADERS",'Final Calculation Sheet'!$U$4:$U$1000)</f>
        <v/>
      </c>
    </row>
    <row r="1358" outlineLevel="2" ht="15" customHeight="1">
      <c r="A1358" s="444" t="inlineStr">
        <is>
          <t xml:space="preserve">         FP Expected (₹)</t>
        </is>
      </c>
      <c r="B1358" s="206">
        <f>SUMIF('Final Calculation Sheet'!$G$4:$G$1000,"SHAR JAHAN TRADERS",'Final Calculation Sheet'!$W$4:$W$1000)</f>
        <v/>
      </c>
    </row>
    <row r="1359" outlineLevel="2" ht="15" customHeight="1">
      <c r="A1359" s="444" t="inlineStr">
        <is>
          <t xml:space="preserve">         FP Received (₹)</t>
        </is>
      </c>
      <c r="B1359" s="206">
        <f>SUMIF('Final Calculation Sheet'!$G$4:$G$1000,"SHAR JAHAN TRADERS",'Final Calculation Sheet'!$X$4:$X$1000)</f>
        <v/>
      </c>
    </row>
    <row r="1360" outlineLevel="2" ht="15" customHeight="1">
      <c r="A1360" s="444" t="inlineStr">
        <is>
          <t xml:space="preserve">         LPP Expected (₹)</t>
        </is>
      </c>
      <c r="B1360" s="206">
        <f>SUMIF('Final Calculation Sheet'!$G$4:$G$1000,"SHAR JAHAN TRADERS",'Final Calculation Sheet'!$Z$4:$Z$1000)</f>
        <v/>
      </c>
    </row>
    <row r="1361" outlineLevel="2" ht="15" customHeight="1">
      <c r="A1361" s="444" t="inlineStr">
        <is>
          <t xml:space="preserve">         LPP Received (₹)</t>
        </is>
      </c>
      <c r="B1361" s="206">
        <f>SUMIF('Final Calculation Sheet'!$G$4:$G$1000,"SHAR JAHAN TRADERS",'Final Calculation Sheet'!$AA$4:$AA$1000)</f>
        <v/>
      </c>
    </row>
    <row r="1362" outlineLevel="2" ht="15" customHeight="1">
      <c r="A1362" s="444" t="inlineStr">
        <is>
          <t xml:space="preserve">         Total Received (₹)</t>
        </is>
      </c>
      <c r="B1362" s="206">
        <f>SUMIF('Final Calculation Sheet'!$G$4:$G$1000,"SHAR JAHAN TRADERS",'Final Calculation Sheet'!$AC$4:$AC$1000)</f>
        <v/>
      </c>
    </row>
    <row r="1363" outlineLevel="2" ht="15" customHeight="1">
      <c r="A1363" s="444" t="inlineStr">
        <is>
          <t xml:space="preserve">         Outstanding (₹)</t>
        </is>
      </c>
      <c r="B1363" s="206">
        <f>SUMIF('Final Calculation Sheet'!$G$4:$G$1000,"SHAR JAHAN TRADERS",'Final Calculation Sheet'!$AD$4:$AD$1000)</f>
        <v/>
      </c>
    </row>
    <row r="1364" ht="7" customHeight="1">
      <c r="A1364" s="82" t="n"/>
      <c r="B1364" s="82" t="n"/>
    </row>
    <row r="1365" ht="24" customHeight="1">
      <c r="A1365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1365" s="284" t="n"/>
    </row>
    <row r="1366" outlineLevel="1" ht="20" customHeight="1">
      <c r="A1366" s="447">
        <f>"   ▸  LOT "&amp;'Final Calculation Sheet'!$F$13&amp;"   •   "&amp;'Final Calculation Sheet'!$B$13&amp;"   •   MAT. VALUE ₹"&amp;TEXT('Final Calculation Sheet'!$H$13,"#,##0")&amp;"   •   OUTSTANDING ₹"&amp;TEXT('Final Calculation Sheet'!$AD$13,"#,##0")</f>
        <v/>
      </c>
      <c r="B1366" s="111" t="n"/>
    </row>
    <row r="1367" outlineLevel="2" ht="16" customHeight="1">
      <c r="A1367" s="448" t="inlineStr">
        <is>
          <t xml:space="preserve">      ▸ LOT INFORMATION</t>
        </is>
      </c>
      <c r="B1367" s="449" t="n"/>
    </row>
    <row r="1368" outlineLevel="3" ht="15" customHeight="1">
      <c r="A1368" s="69" t="inlineStr">
        <is>
          <t xml:space="preserve">            Lot No.</t>
        </is>
      </c>
      <c r="B1368" s="70">
        <f>IF('Final Calculation Sheet'!$F$13="","",'Final Calculation Sheet'!$F$13)</f>
        <v/>
      </c>
    </row>
    <row r="1369" outlineLevel="3" ht="15" customHeight="1">
      <c r="A1369" s="69" t="inlineStr">
        <is>
          <t xml:space="preserve">            Lot Name</t>
        </is>
      </c>
      <c r="B1369" s="76">
        <f>IF('Final Calculation Sheet'!$B$13="","",'Final Calculation Sheet'!$B$13)</f>
        <v/>
      </c>
    </row>
    <row r="1370" outlineLevel="3" ht="15" customHeight="1">
      <c r="A1370" s="69" t="inlineStr">
        <is>
          <t xml:space="preserve">            Bid Sheet / Auction</t>
        </is>
      </c>
      <c r="B1370" s="70">
        <f>IF('Final Calculation Sheet'!$D$13="","",'Final Calculation Sheet'!$D$13)</f>
        <v/>
      </c>
    </row>
    <row r="1371" outlineLevel="3" ht="15" customHeight="1">
      <c r="A1371" s="69" t="inlineStr">
        <is>
          <t xml:space="preserve">            Quantity</t>
        </is>
      </c>
      <c r="B1371" s="74">
        <f>IF('Final Calculation Sheet'!$A$13="","",'Final Calculation Sheet'!$A$13)</f>
        <v/>
      </c>
    </row>
    <row r="1372" outlineLevel="3" ht="15" customHeight="1">
      <c r="A1372" s="69" t="inlineStr">
        <is>
          <t xml:space="preserve">            Unit</t>
        </is>
      </c>
      <c r="B1372" s="76">
        <f>IF('Final Calculation Sheet'!$E$13="","",'Final Calculation Sheet'!$E$13)</f>
        <v/>
      </c>
    </row>
    <row r="1373" outlineLevel="3" ht="15" customHeight="1">
      <c r="A1373" s="69" t="inlineStr">
        <is>
          <t xml:space="preserve">            Rate (₹)</t>
        </is>
      </c>
      <c r="B1373" s="70">
        <f>IF('Final Calculation Sheet'!$C$13="","",'Final Calculation Sheet'!$C$13)</f>
        <v/>
      </c>
    </row>
    <row r="1374" outlineLevel="2" ht="16" customHeight="1">
      <c r="A1374" s="448" t="inlineStr">
        <is>
          <t xml:space="preserve">      ▸ FINANCIALS</t>
        </is>
      </c>
      <c r="B1374" s="449" t="n"/>
    </row>
    <row r="1375" outlineLevel="3" ht="15" customHeight="1">
      <c r="A1375" s="69" t="inlineStr">
        <is>
          <t xml:space="preserve">            Mat. Value (₹)</t>
        </is>
      </c>
      <c r="B1375" s="70">
        <f>IF('Final Calculation Sheet'!$H$13="","",'Final Calculation Sheet'!$H$13)</f>
        <v/>
      </c>
    </row>
    <row r="1376" outlineLevel="3" ht="15" customHeight="1">
      <c r="A1376" s="69" t="inlineStr">
        <is>
          <t xml:space="preserve">            GST @ 18% (₹)</t>
        </is>
      </c>
      <c r="B1376" s="70">
        <f>IF('Final Calculation Sheet'!$I$13="","",'Final Calculation Sheet'!$I$13)</f>
        <v/>
      </c>
    </row>
    <row r="1377" outlineLevel="3" ht="15" customHeight="1">
      <c r="A1377" s="69" t="inlineStr">
        <is>
          <t xml:space="preserve">            Mat. Value + GST (₹)</t>
        </is>
      </c>
      <c r="B1377" s="70">
        <f>IF('Final Calculation Sheet'!$J$13="","",'Final Calculation Sheet'!$J$13)</f>
        <v/>
      </c>
    </row>
    <row r="1378" outlineLevel="3" ht="15" customHeight="1">
      <c r="A1378" s="69" t="inlineStr">
        <is>
          <t xml:space="preserve">            TCS @ 2% (₹)</t>
        </is>
      </c>
      <c r="B1378" s="70">
        <f>IF('Final Calculation Sheet'!$K$13="","",'Final Calculation Sheet'!$K$13)</f>
        <v/>
      </c>
    </row>
    <row r="1379" outlineLevel="3" ht="15" customHeight="1">
      <c r="A1379" s="69" t="inlineStr">
        <is>
          <t xml:space="preserve">            TDS u/s 194(O) (₹)</t>
        </is>
      </c>
      <c r="B1379" s="78">
        <f>IF('Final Calculation Sheet'!$L$13="","",'Final Calculation Sheet'!$L$13)</f>
        <v/>
      </c>
    </row>
    <row r="1380" outlineLevel="3" ht="15" customHeight="1">
      <c r="A1380" s="69" t="inlineStr">
        <is>
          <t xml:space="preserve">            Service Charge gross (₹)</t>
        </is>
      </c>
      <c r="B1380" s="78">
        <f>IF('Final Calculation Sheet'!$M$13="","",'Final Calculation Sheet'!$M$13)</f>
        <v/>
      </c>
    </row>
    <row r="1381" outlineLevel="3" ht="15" customHeight="1">
      <c r="A1381" s="69" t="inlineStr">
        <is>
          <t xml:space="preserve">            TDS u/s 194(H) (₹)</t>
        </is>
      </c>
      <c r="B1381" s="78">
        <f>IF('Final Calculation Sheet'!$N$13="","",'Final Calculation Sheet'!$N$13)</f>
        <v/>
      </c>
    </row>
    <row r="1382" outlineLevel="3" ht="15" customHeight="1">
      <c r="A1382" s="69" t="inlineStr">
        <is>
          <t xml:space="preserve">            Net Service Charge (₹)</t>
        </is>
      </c>
      <c r="B1382" s="78">
        <f>IF('Final Calculation Sheet'!$O$13="","",'Final Calculation Sheet'!$O$13)</f>
        <v/>
      </c>
    </row>
    <row r="1383" outlineLevel="3" ht="15" customHeight="1">
      <c r="A1383" s="69" t="inlineStr">
        <is>
          <t xml:space="preserve">            Svc Charge to MSTC (₹)</t>
        </is>
      </c>
      <c r="B1383" s="70">
        <f>IF('Final Calculation Sheet'!$P$13="","",'Final Calculation Sheet'!$P$13)</f>
        <v/>
      </c>
    </row>
    <row r="1384" outlineLevel="3" ht="15" customHeight="1">
      <c r="A1384" s="69" t="inlineStr">
        <is>
          <t xml:space="preserve">            GST TDS Rate</t>
        </is>
      </c>
      <c r="B1384" s="80">
        <f>IF('Final Calculation Sheet'!$Q$13="","",'Final Calculation Sheet'!$Q$13)</f>
        <v/>
      </c>
    </row>
    <row r="1385" outlineLevel="3" ht="15" customHeight="1">
      <c r="A1385" s="69" t="inlineStr">
        <is>
          <t xml:space="preserve">            GST TDS (₹)</t>
        </is>
      </c>
      <c r="B1385" s="70">
        <f>IF('Final Calculation Sheet'!$R$13="","",'Final Calculation Sheet'!$R$13)</f>
        <v/>
      </c>
    </row>
    <row r="1386" outlineLevel="3" ht="15" customHeight="1">
      <c r="A1386" s="69" t="inlineStr">
        <is>
          <t xml:space="preserve">            Total Receivables (₹)</t>
        </is>
      </c>
      <c r="B1386" s="70">
        <f>IF('Final Calculation Sheet'!$S$13="","",'Final Calculation Sheet'!$S$13)</f>
        <v/>
      </c>
    </row>
    <row r="1387" outlineLevel="2" ht="16" customHeight="1">
      <c r="A1387" s="448" t="inlineStr">
        <is>
          <t xml:space="preserve">      ▸ SECURITY DEPOSIT</t>
        </is>
      </c>
      <c r="B1387" s="449" t="n"/>
    </row>
    <row r="1388" outlineLevel="3" ht="15" customHeight="1">
      <c r="A1388" s="69" t="inlineStr">
        <is>
          <t xml:space="preserve">            SD Expected (₹)</t>
        </is>
      </c>
      <c r="B1388" s="70">
        <f>IF('Final Calculation Sheet'!$T$13="","",'Final Calculation Sheet'!$T$13)</f>
        <v/>
      </c>
    </row>
    <row r="1389" outlineLevel="3" ht="15" customHeight="1">
      <c r="A1389" s="69" t="inlineStr">
        <is>
          <t xml:space="preserve">            SD Received (₹)</t>
        </is>
      </c>
      <c r="B1389" s="70">
        <f>IF('Final Calculation Sheet'!$U$13="","",'Final Calculation Sheet'!$U$13)</f>
        <v/>
      </c>
    </row>
    <row r="1390" outlineLevel="3" ht="15" customHeight="1">
      <c r="A1390" s="69" t="inlineStr">
        <is>
          <t xml:space="preserve">            SD Receipt Date</t>
        </is>
      </c>
      <c r="B1390" s="76">
        <f>IF('Final Calculation Sheet'!$V$13="","",'Final Calculation Sheet'!$V$13)</f>
        <v/>
      </c>
    </row>
    <row r="1391" outlineLevel="2" ht="16" customHeight="1">
      <c r="A1391" s="448" t="inlineStr">
        <is>
          <t xml:space="preserve">      ▸ FINAL PAYMENT</t>
        </is>
      </c>
      <c r="B1391" s="449" t="n"/>
    </row>
    <row r="1392" outlineLevel="3" ht="15" customHeight="1">
      <c r="A1392" s="69" t="inlineStr">
        <is>
          <t xml:space="preserve">            FP Expected (₹)</t>
        </is>
      </c>
      <c r="B1392" s="70">
        <f>IF('Final Calculation Sheet'!$W$13="","",'Final Calculation Sheet'!$W$13)</f>
        <v/>
      </c>
    </row>
    <row r="1393" outlineLevel="3" ht="15" customHeight="1">
      <c r="A1393" s="69" t="inlineStr">
        <is>
          <t xml:space="preserve">            FP Received (₹)</t>
        </is>
      </c>
      <c r="B1393" s="70">
        <f>IF('Final Calculation Sheet'!$X$13="","",'Final Calculation Sheet'!$X$13)</f>
        <v/>
      </c>
    </row>
    <row r="1394" outlineLevel="3" ht="15" customHeight="1">
      <c r="A1394" s="69" t="inlineStr">
        <is>
          <t xml:space="preserve">            FP Receipt Date</t>
        </is>
      </c>
      <c r="B1394" s="76">
        <f>IF('Final Calculation Sheet'!$Y$13="","",'Final Calculation Sheet'!$Y$13)</f>
        <v/>
      </c>
    </row>
    <row r="1395" outlineLevel="2" ht="16" customHeight="1">
      <c r="A1395" s="448" t="inlineStr">
        <is>
          <t xml:space="preserve">      ▸ LPP</t>
        </is>
      </c>
      <c r="B1395" s="449" t="n"/>
    </row>
    <row r="1396" outlineLevel="3" ht="15" customHeight="1">
      <c r="A1396" s="69" t="inlineStr">
        <is>
          <t xml:space="preserve">            LPP Expected (₹)</t>
        </is>
      </c>
      <c r="B1396" s="70">
        <f>IF('Final Calculation Sheet'!$Z$13="","",'Final Calculation Sheet'!$Z$13)</f>
        <v/>
      </c>
    </row>
    <row r="1397" outlineLevel="3" ht="15" customHeight="1">
      <c r="A1397" s="69" t="inlineStr">
        <is>
          <t xml:space="preserve">            LPP Received (₹)</t>
        </is>
      </c>
      <c r="B1397" s="70">
        <f>IF('Final Calculation Sheet'!$AA$13="","",'Final Calculation Sheet'!$AA$13)</f>
        <v/>
      </c>
    </row>
    <row r="1398" outlineLevel="3" ht="15" customHeight="1">
      <c r="A1398" s="69" t="inlineStr">
        <is>
          <t xml:space="preserve">            LPP Receipt Date</t>
        </is>
      </c>
      <c r="B1398" s="76">
        <f>IF('Final Calculation Sheet'!$AB$13="","",'Final Calculation Sheet'!$AB$13)</f>
        <v/>
      </c>
    </row>
    <row r="1399" outlineLevel="2" ht="16" customHeight="1">
      <c r="A1399" s="448" t="inlineStr">
        <is>
          <t xml:space="preserve">      ▸ SUMMARY</t>
        </is>
      </c>
      <c r="B1399" s="449" t="n"/>
    </row>
    <row r="1400" outlineLevel="3" ht="15" customHeight="1">
      <c r="A1400" s="69" t="inlineStr">
        <is>
          <t xml:space="preserve">            Total Received (₹)</t>
        </is>
      </c>
      <c r="B1400" s="70">
        <f>IF('Final Calculation Sheet'!$AC$13="","",'Final Calculation Sheet'!$AC$13)</f>
        <v/>
      </c>
    </row>
    <row r="1401" outlineLevel="3" ht="15" customHeight="1">
      <c r="A1401" s="69" t="inlineStr">
        <is>
          <t xml:space="preserve">            Outstanding (₹)</t>
        </is>
      </c>
      <c r="B1401" s="70">
        <f>IF('Final Calculation Sheet'!$AD$13="","",'Final Calculation Sheet'!$AD$13)</f>
        <v/>
      </c>
    </row>
    <row r="1402" outlineLevel="3" ht="15" customHeight="1">
      <c r="A1402" s="69" t="inlineStr">
        <is>
          <t xml:space="preserve">            Payment Status</t>
        </is>
      </c>
      <c r="B1402" s="81">
        <f>IF('Final Calculation Sheet'!$AD$13="","",IF('Final Calculation Sheet'!$AD$13&lt;=0,"SETTLED","OUTSTANDING"))</f>
        <v/>
      </c>
    </row>
    <row r="1403" outlineLevel="2" ht="16" customHeight="1">
      <c r="A1403" s="448" t="inlineStr">
        <is>
          <t xml:space="preserve">      ▸ DOCUMENT</t>
        </is>
      </c>
      <c r="B1403" s="449" t="n"/>
    </row>
    <row r="1404" outlineLevel="3" ht="15" customHeight="1">
      <c r="A1404" s="69" t="inlineStr">
        <is>
          <t xml:space="preserve">            Invoice No.</t>
        </is>
      </c>
      <c r="B1404" s="76">
        <f>IF('Final Calculation Sheet'!$AE$13="","",'Final Calculation Sheet'!$AE$13)</f>
        <v/>
      </c>
    </row>
    <row r="1405" outlineLevel="3" ht="15" customHeight="1">
      <c r="A1405" s="69" t="inlineStr">
        <is>
          <t xml:space="preserve">            SAP Document</t>
        </is>
      </c>
      <c r="B1405" s="70">
        <f>IF('Final Calculation Sheet'!$AF$13="","",'Final Calculation Sheet'!$AF$13)</f>
        <v/>
      </c>
    </row>
    <row r="1406" outlineLevel="3" ht="15" customHeight="1">
      <c r="A1406" s="69" t="inlineStr">
        <is>
          <t xml:space="preserve">            Doc./Invoice Date</t>
        </is>
      </c>
      <c r="B1406" s="76">
        <f>IF('Final Calculation Sheet'!$AG$13="","",'Final Calculation Sheet'!$AG$13)</f>
        <v/>
      </c>
    </row>
    <row r="1407" outlineLevel="1" ht="20" customHeight="1">
      <c r="A1407" s="447">
        <f>"   ▸  LOT "&amp;'Final Calculation Sheet'!$F$16&amp;"   •   "&amp;'Final Calculation Sheet'!$B$16&amp;"   •   MAT. VALUE ₹"&amp;TEXT('Final Calculation Sheet'!$H$16,"#,##0")&amp;"   •   OUTSTANDING ₹"&amp;TEXT('Final Calculation Sheet'!$AD$16,"#,##0")</f>
        <v/>
      </c>
      <c r="B1407" s="111" t="n"/>
    </row>
    <row r="1408" outlineLevel="2" ht="16" customHeight="1">
      <c r="A1408" s="448" t="inlineStr">
        <is>
          <t xml:space="preserve">      ▸ LOT INFORMATION</t>
        </is>
      </c>
      <c r="B1408" s="449" t="n"/>
    </row>
    <row r="1409" outlineLevel="3" ht="15" customHeight="1">
      <c r="A1409" s="69" t="inlineStr">
        <is>
          <t xml:space="preserve">            Lot No.</t>
        </is>
      </c>
      <c r="B1409" s="70">
        <f>IF('Final Calculation Sheet'!$F$16="","",'Final Calculation Sheet'!$F$16)</f>
        <v/>
      </c>
    </row>
    <row r="1410" outlineLevel="3" ht="15" customHeight="1">
      <c r="A1410" s="69" t="inlineStr">
        <is>
          <t xml:space="preserve">            Lot Name</t>
        </is>
      </c>
      <c r="B1410" s="76">
        <f>IF('Final Calculation Sheet'!$B$16="","",'Final Calculation Sheet'!$B$16)</f>
        <v/>
      </c>
    </row>
    <row r="1411" outlineLevel="3" ht="15" customHeight="1">
      <c r="A1411" s="69" t="inlineStr">
        <is>
          <t xml:space="preserve">            Bid Sheet / Auction</t>
        </is>
      </c>
      <c r="B1411" s="70">
        <f>IF('Final Calculation Sheet'!$D$16="","",'Final Calculation Sheet'!$D$16)</f>
        <v/>
      </c>
    </row>
    <row r="1412" outlineLevel="3" ht="15" customHeight="1">
      <c r="A1412" s="69" t="inlineStr">
        <is>
          <t xml:space="preserve">            Quantity</t>
        </is>
      </c>
      <c r="B1412" s="74">
        <f>IF('Final Calculation Sheet'!$A$16="","",'Final Calculation Sheet'!$A$16)</f>
        <v/>
      </c>
    </row>
    <row r="1413" outlineLevel="3" ht="15" customHeight="1">
      <c r="A1413" s="69" t="inlineStr">
        <is>
          <t xml:space="preserve">            Unit</t>
        </is>
      </c>
      <c r="B1413" s="76">
        <f>IF('Final Calculation Sheet'!$E$16="","",'Final Calculation Sheet'!$E$16)</f>
        <v/>
      </c>
    </row>
    <row r="1414" outlineLevel="3" ht="15" customHeight="1">
      <c r="A1414" s="69" t="inlineStr">
        <is>
          <t xml:space="preserve">            Rate (₹)</t>
        </is>
      </c>
      <c r="B1414" s="70">
        <f>IF('Final Calculation Sheet'!$C$16="","",'Final Calculation Sheet'!$C$16)</f>
        <v/>
      </c>
    </row>
    <row r="1415" outlineLevel="2" ht="16" customHeight="1">
      <c r="A1415" s="448" t="inlineStr">
        <is>
          <t xml:space="preserve">      ▸ FINANCIALS</t>
        </is>
      </c>
      <c r="B1415" s="449" t="n"/>
    </row>
    <row r="1416" outlineLevel="3" ht="15" customHeight="1">
      <c r="A1416" s="69" t="inlineStr">
        <is>
          <t xml:space="preserve">            Mat. Value (₹)</t>
        </is>
      </c>
      <c r="B1416" s="70">
        <f>IF('Final Calculation Sheet'!$H$16="","",'Final Calculation Sheet'!$H$16)</f>
        <v/>
      </c>
    </row>
    <row r="1417" outlineLevel="3" ht="15" customHeight="1">
      <c r="A1417" s="69" t="inlineStr">
        <is>
          <t xml:space="preserve">            GST @ 18% (₹)</t>
        </is>
      </c>
      <c r="B1417" s="70">
        <f>IF('Final Calculation Sheet'!$I$16="","",'Final Calculation Sheet'!$I$16)</f>
        <v/>
      </c>
    </row>
    <row r="1418" outlineLevel="3" ht="15" customHeight="1">
      <c r="A1418" s="69" t="inlineStr">
        <is>
          <t xml:space="preserve">            Mat. Value + GST (₹)</t>
        </is>
      </c>
      <c r="B1418" s="70">
        <f>IF('Final Calculation Sheet'!$J$16="","",'Final Calculation Sheet'!$J$16)</f>
        <v/>
      </c>
    </row>
    <row r="1419" outlineLevel="3" ht="15" customHeight="1">
      <c r="A1419" s="69" t="inlineStr">
        <is>
          <t xml:space="preserve">            TCS @ 2% (₹)</t>
        </is>
      </c>
      <c r="B1419" s="70">
        <f>IF('Final Calculation Sheet'!$K$16="","",'Final Calculation Sheet'!$K$16)</f>
        <v/>
      </c>
    </row>
    <row r="1420" outlineLevel="3" ht="15" customHeight="1">
      <c r="A1420" s="69" t="inlineStr">
        <is>
          <t xml:space="preserve">            TDS u/s 194(O) (₹)</t>
        </is>
      </c>
      <c r="B1420" s="78">
        <f>IF('Final Calculation Sheet'!$L$16="","",'Final Calculation Sheet'!$L$16)</f>
        <v/>
      </c>
    </row>
    <row r="1421" outlineLevel="3" ht="15" customHeight="1">
      <c r="A1421" s="69" t="inlineStr">
        <is>
          <t xml:space="preserve">            Service Charge gross (₹)</t>
        </is>
      </c>
      <c r="B1421" s="78">
        <f>IF('Final Calculation Sheet'!$M$16="","",'Final Calculation Sheet'!$M$16)</f>
        <v/>
      </c>
    </row>
    <row r="1422" outlineLevel="3" ht="15" customHeight="1">
      <c r="A1422" s="69" t="inlineStr">
        <is>
          <t xml:space="preserve">            TDS u/s 194(H) (₹)</t>
        </is>
      </c>
      <c r="B1422" s="78">
        <f>IF('Final Calculation Sheet'!$N$16="","",'Final Calculation Sheet'!$N$16)</f>
        <v/>
      </c>
    </row>
    <row r="1423" outlineLevel="3" ht="15" customHeight="1">
      <c r="A1423" s="69" t="inlineStr">
        <is>
          <t xml:space="preserve">            Net Service Charge (₹)</t>
        </is>
      </c>
      <c r="B1423" s="78">
        <f>IF('Final Calculation Sheet'!$O$16="","",'Final Calculation Sheet'!$O$16)</f>
        <v/>
      </c>
    </row>
    <row r="1424" outlineLevel="3" ht="15" customHeight="1">
      <c r="A1424" s="69" t="inlineStr">
        <is>
          <t xml:space="preserve">            Svc Charge to MSTC (₹)</t>
        </is>
      </c>
      <c r="B1424" s="70">
        <f>IF('Final Calculation Sheet'!$P$16="","",'Final Calculation Sheet'!$P$16)</f>
        <v/>
      </c>
    </row>
    <row r="1425" outlineLevel="3" ht="15" customHeight="1">
      <c r="A1425" s="69" t="inlineStr">
        <is>
          <t xml:space="preserve">            GST TDS Rate</t>
        </is>
      </c>
      <c r="B1425" s="80">
        <f>IF('Final Calculation Sheet'!$Q$16="","",'Final Calculation Sheet'!$Q$16)</f>
        <v/>
      </c>
    </row>
    <row r="1426" outlineLevel="3" ht="15" customHeight="1">
      <c r="A1426" s="69" t="inlineStr">
        <is>
          <t xml:space="preserve">            GST TDS (₹)</t>
        </is>
      </c>
      <c r="B1426" s="70">
        <f>IF('Final Calculation Sheet'!$R$16="","",'Final Calculation Sheet'!$R$16)</f>
        <v/>
      </c>
    </row>
    <row r="1427" outlineLevel="3" ht="15" customHeight="1">
      <c r="A1427" s="69" t="inlineStr">
        <is>
          <t xml:space="preserve">            Total Receivables (₹)</t>
        </is>
      </c>
      <c r="B1427" s="70">
        <f>IF('Final Calculation Sheet'!$S$16="","",'Final Calculation Sheet'!$S$16)</f>
        <v/>
      </c>
    </row>
    <row r="1428" outlineLevel="2" ht="16" customHeight="1">
      <c r="A1428" s="448" t="inlineStr">
        <is>
          <t xml:space="preserve">      ▸ SECURITY DEPOSIT</t>
        </is>
      </c>
      <c r="B1428" s="449" t="n"/>
    </row>
    <row r="1429" outlineLevel="3" ht="15" customHeight="1">
      <c r="A1429" s="69" t="inlineStr">
        <is>
          <t xml:space="preserve">            SD Expected (₹)</t>
        </is>
      </c>
      <c r="B1429" s="70">
        <f>IF('Final Calculation Sheet'!$T$16="","",'Final Calculation Sheet'!$T$16)</f>
        <v/>
      </c>
    </row>
    <row r="1430" outlineLevel="3" ht="15" customHeight="1">
      <c r="A1430" s="69" t="inlineStr">
        <is>
          <t xml:space="preserve">            SD Received (₹)</t>
        </is>
      </c>
      <c r="B1430" s="70">
        <f>IF('Final Calculation Sheet'!$U$16="","",'Final Calculation Sheet'!$U$16)</f>
        <v/>
      </c>
    </row>
    <row r="1431" outlineLevel="3" ht="15" customHeight="1">
      <c r="A1431" s="69" t="inlineStr">
        <is>
          <t xml:space="preserve">            SD Receipt Date</t>
        </is>
      </c>
      <c r="B1431" s="76">
        <f>IF('Final Calculation Sheet'!$V$16="","",'Final Calculation Sheet'!$V$16)</f>
        <v/>
      </c>
    </row>
    <row r="1432" outlineLevel="2" ht="16" customHeight="1">
      <c r="A1432" s="448" t="inlineStr">
        <is>
          <t xml:space="preserve">      ▸ FINAL PAYMENT</t>
        </is>
      </c>
      <c r="B1432" s="449" t="n"/>
    </row>
    <row r="1433" outlineLevel="3" ht="15" customHeight="1">
      <c r="A1433" s="69" t="inlineStr">
        <is>
          <t xml:space="preserve">            FP Expected (₹)</t>
        </is>
      </c>
      <c r="B1433" s="70">
        <f>IF('Final Calculation Sheet'!$W$16="","",'Final Calculation Sheet'!$W$16)</f>
        <v/>
      </c>
    </row>
    <row r="1434" outlineLevel="3" ht="15" customHeight="1">
      <c r="A1434" s="69" t="inlineStr">
        <is>
          <t xml:space="preserve">            FP Received (₹)</t>
        </is>
      </c>
      <c r="B1434" s="70">
        <f>IF('Final Calculation Sheet'!$X$16="","",'Final Calculation Sheet'!$X$16)</f>
        <v/>
      </c>
    </row>
    <row r="1435" outlineLevel="3" ht="15" customHeight="1">
      <c r="A1435" s="69" t="inlineStr">
        <is>
          <t xml:space="preserve">            FP Receipt Date</t>
        </is>
      </c>
      <c r="B1435" s="76">
        <f>IF('Final Calculation Sheet'!$Y$16="","",'Final Calculation Sheet'!$Y$16)</f>
        <v/>
      </c>
    </row>
    <row r="1436" outlineLevel="2" ht="16" customHeight="1">
      <c r="A1436" s="448" t="inlineStr">
        <is>
          <t xml:space="preserve">      ▸ LPP</t>
        </is>
      </c>
      <c r="B1436" s="449" t="n"/>
    </row>
    <row r="1437" outlineLevel="3" ht="15" customHeight="1">
      <c r="A1437" s="69" t="inlineStr">
        <is>
          <t xml:space="preserve">            LPP Expected (₹)</t>
        </is>
      </c>
      <c r="B1437" s="70">
        <f>IF('Final Calculation Sheet'!$Z$16="","",'Final Calculation Sheet'!$Z$16)</f>
        <v/>
      </c>
    </row>
    <row r="1438" outlineLevel="3" ht="15" customHeight="1">
      <c r="A1438" s="69" t="inlineStr">
        <is>
          <t xml:space="preserve">            LPP Received (₹)</t>
        </is>
      </c>
      <c r="B1438" s="70">
        <f>IF('Final Calculation Sheet'!$AA$16="","",'Final Calculation Sheet'!$AA$16)</f>
        <v/>
      </c>
    </row>
    <row r="1439" outlineLevel="3" ht="15" customHeight="1">
      <c r="A1439" s="69" t="inlineStr">
        <is>
          <t xml:space="preserve">            LPP Receipt Date</t>
        </is>
      </c>
      <c r="B1439" s="76">
        <f>IF('Final Calculation Sheet'!$AB$16="","",'Final Calculation Sheet'!$AB$16)</f>
        <v/>
      </c>
    </row>
    <row r="1440" outlineLevel="2" ht="16" customHeight="1">
      <c r="A1440" s="448" t="inlineStr">
        <is>
          <t xml:space="preserve">      ▸ SUMMARY</t>
        </is>
      </c>
      <c r="B1440" s="449" t="n"/>
    </row>
    <row r="1441" outlineLevel="3" ht="15" customHeight="1">
      <c r="A1441" s="69" t="inlineStr">
        <is>
          <t xml:space="preserve">            Total Received (₹)</t>
        </is>
      </c>
      <c r="B1441" s="70">
        <f>IF('Final Calculation Sheet'!$AC$16="","",'Final Calculation Sheet'!$AC$16)</f>
        <v/>
      </c>
    </row>
    <row r="1442" outlineLevel="3" ht="15" customHeight="1">
      <c r="A1442" s="69" t="inlineStr">
        <is>
          <t xml:space="preserve">            Outstanding (₹)</t>
        </is>
      </c>
      <c r="B1442" s="70">
        <f>IF('Final Calculation Sheet'!$AD$16="","",'Final Calculation Sheet'!$AD$16)</f>
        <v/>
      </c>
    </row>
    <row r="1443" outlineLevel="3" ht="15" customHeight="1">
      <c r="A1443" s="69" t="inlineStr">
        <is>
          <t xml:space="preserve">            Payment Status</t>
        </is>
      </c>
      <c r="B1443" s="81">
        <f>IF('Final Calculation Sheet'!$AD$16="","",IF('Final Calculation Sheet'!$AD$16&lt;=0,"SETTLED","OUTSTANDING"))</f>
        <v/>
      </c>
    </row>
    <row r="1444" outlineLevel="2" ht="16" customHeight="1">
      <c r="A1444" s="448" t="inlineStr">
        <is>
          <t xml:space="preserve">      ▸ DOCUMENT</t>
        </is>
      </c>
      <c r="B1444" s="449" t="n"/>
    </row>
    <row r="1445" outlineLevel="3" ht="15" customHeight="1">
      <c r="A1445" s="69" t="inlineStr">
        <is>
          <t xml:space="preserve">            Invoice No.</t>
        </is>
      </c>
      <c r="B1445" s="76">
        <f>IF('Final Calculation Sheet'!$AE$16="","",'Final Calculation Sheet'!$AE$16)</f>
        <v/>
      </c>
    </row>
    <row r="1446" outlineLevel="3" ht="15" customHeight="1">
      <c r="A1446" s="69" t="inlineStr">
        <is>
          <t xml:space="preserve">            SAP Document</t>
        </is>
      </c>
      <c r="B1446" s="70">
        <f>IF('Final Calculation Sheet'!$AF$16="","",'Final Calculation Sheet'!$AF$16)</f>
        <v/>
      </c>
    </row>
    <row r="1447" outlineLevel="3" ht="15" customHeight="1">
      <c r="A1447" s="69" t="inlineStr">
        <is>
          <t xml:space="preserve">            Doc./Invoice Date</t>
        </is>
      </c>
      <c r="B1447" s="76">
        <f>IF('Final Calculation Sheet'!$AG$16="","",'Final Calculation Sheet'!$AG$16)</f>
        <v/>
      </c>
    </row>
    <row r="1448" outlineLevel="1" ht="20" customHeight="1">
      <c r="A1448" s="447">
        <f>"   ▸  LOT "&amp;'Final Calculation Sheet'!$F$17&amp;"   •   "&amp;'Final Calculation Sheet'!$B$17&amp;"   •   MAT. VALUE ₹"&amp;TEXT('Final Calculation Sheet'!$H$17,"#,##0")&amp;"   •   OUTSTANDING ₹"&amp;TEXT('Final Calculation Sheet'!$AD$17,"#,##0")</f>
        <v/>
      </c>
      <c r="B1448" s="111" t="n"/>
    </row>
    <row r="1449" outlineLevel="2" ht="16" customHeight="1">
      <c r="A1449" s="448" t="inlineStr">
        <is>
          <t xml:space="preserve">      ▸ LOT INFORMATION</t>
        </is>
      </c>
      <c r="B1449" s="449" t="n"/>
    </row>
    <row r="1450" outlineLevel="3" ht="15" customHeight="1">
      <c r="A1450" s="69" t="inlineStr">
        <is>
          <t xml:space="preserve">            Lot No.</t>
        </is>
      </c>
      <c r="B1450" s="70">
        <f>IF('Final Calculation Sheet'!$F$17="","",'Final Calculation Sheet'!$F$17)</f>
        <v/>
      </c>
    </row>
    <row r="1451" outlineLevel="3" ht="15" customHeight="1">
      <c r="A1451" s="69" t="inlineStr">
        <is>
          <t xml:space="preserve">            Lot Name</t>
        </is>
      </c>
      <c r="B1451" s="76">
        <f>IF('Final Calculation Sheet'!$B$17="","",'Final Calculation Sheet'!$B$17)</f>
        <v/>
      </c>
    </row>
    <row r="1452" outlineLevel="3" ht="15" customHeight="1">
      <c r="A1452" s="69" t="inlineStr">
        <is>
          <t xml:space="preserve">            Bid Sheet / Auction</t>
        </is>
      </c>
      <c r="B1452" s="70">
        <f>IF('Final Calculation Sheet'!$D$17="","",'Final Calculation Sheet'!$D$17)</f>
        <v/>
      </c>
    </row>
    <row r="1453" outlineLevel="3" ht="15" customHeight="1">
      <c r="A1453" s="69" t="inlineStr">
        <is>
          <t xml:space="preserve">            Quantity</t>
        </is>
      </c>
      <c r="B1453" s="74">
        <f>IF('Final Calculation Sheet'!$A$17="","",'Final Calculation Sheet'!$A$17)</f>
        <v/>
      </c>
    </row>
    <row r="1454" outlineLevel="3" ht="15" customHeight="1">
      <c r="A1454" s="69" t="inlineStr">
        <is>
          <t xml:space="preserve">            Unit</t>
        </is>
      </c>
      <c r="B1454" s="76">
        <f>IF('Final Calculation Sheet'!$E$17="","",'Final Calculation Sheet'!$E$17)</f>
        <v/>
      </c>
    </row>
    <row r="1455" outlineLevel="3" ht="15" customHeight="1">
      <c r="A1455" s="69" t="inlineStr">
        <is>
          <t xml:space="preserve">            Rate (₹)</t>
        </is>
      </c>
      <c r="B1455" s="70">
        <f>IF('Final Calculation Sheet'!$C$17="","",'Final Calculation Sheet'!$C$17)</f>
        <v/>
      </c>
    </row>
    <row r="1456" outlineLevel="2" ht="16" customHeight="1">
      <c r="A1456" s="448" t="inlineStr">
        <is>
          <t xml:space="preserve">      ▸ FINANCIALS</t>
        </is>
      </c>
      <c r="B1456" s="449" t="n"/>
    </row>
    <row r="1457" outlineLevel="3" ht="15" customHeight="1">
      <c r="A1457" s="69" t="inlineStr">
        <is>
          <t xml:space="preserve">            Mat. Value (₹)</t>
        </is>
      </c>
      <c r="B1457" s="70">
        <f>IF('Final Calculation Sheet'!$H$17="","",'Final Calculation Sheet'!$H$17)</f>
        <v/>
      </c>
    </row>
    <row r="1458" outlineLevel="3" ht="15" customHeight="1">
      <c r="A1458" s="69" t="inlineStr">
        <is>
          <t xml:space="preserve">            GST @ 18% (₹)</t>
        </is>
      </c>
      <c r="B1458" s="70">
        <f>IF('Final Calculation Sheet'!$I$17="","",'Final Calculation Sheet'!$I$17)</f>
        <v/>
      </c>
    </row>
    <row r="1459" outlineLevel="3" ht="15" customHeight="1">
      <c r="A1459" s="69" t="inlineStr">
        <is>
          <t xml:space="preserve">            Mat. Value + GST (₹)</t>
        </is>
      </c>
      <c r="B1459" s="70">
        <f>IF('Final Calculation Sheet'!$J$17="","",'Final Calculation Sheet'!$J$17)</f>
        <v/>
      </c>
    </row>
    <row r="1460" outlineLevel="3" ht="15" customHeight="1">
      <c r="A1460" s="69" t="inlineStr">
        <is>
          <t xml:space="preserve">            TCS @ 2% (₹)</t>
        </is>
      </c>
      <c r="B1460" s="70">
        <f>IF('Final Calculation Sheet'!$K$17="","",'Final Calculation Sheet'!$K$17)</f>
        <v/>
      </c>
    </row>
    <row r="1461" outlineLevel="3" ht="15" customHeight="1">
      <c r="A1461" s="69" t="inlineStr">
        <is>
          <t xml:space="preserve">            TDS u/s 194(O) (₹)</t>
        </is>
      </c>
      <c r="B1461" s="78">
        <f>IF('Final Calculation Sheet'!$L$17="","",'Final Calculation Sheet'!$L$17)</f>
        <v/>
      </c>
    </row>
    <row r="1462" outlineLevel="3" ht="15" customHeight="1">
      <c r="A1462" s="69" t="inlineStr">
        <is>
          <t xml:space="preserve">            Service Charge gross (₹)</t>
        </is>
      </c>
      <c r="B1462" s="78">
        <f>IF('Final Calculation Sheet'!$M$17="","",'Final Calculation Sheet'!$M$17)</f>
        <v/>
      </c>
    </row>
    <row r="1463" outlineLevel="3" ht="15" customHeight="1">
      <c r="A1463" s="69" t="inlineStr">
        <is>
          <t xml:space="preserve">            TDS u/s 194(H) (₹)</t>
        </is>
      </c>
      <c r="B1463" s="78">
        <f>IF('Final Calculation Sheet'!$N$17="","",'Final Calculation Sheet'!$N$17)</f>
        <v/>
      </c>
    </row>
    <row r="1464" outlineLevel="3" ht="15" customHeight="1">
      <c r="A1464" s="69" t="inlineStr">
        <is>
          <t xml:space="preserve">            Net Service Charge (₹)</t>
        </is>
      </c>
      <c r="B1464" s="78">
        <f>IF('Final Calculation Sheet'!$O$17="","",'Final Calculation Sheet'!$O$17)</f>
        <v/>
      </c>
    </row>
    <row r="1465" outlineLevel="3" ht="15" customHeight="1">
      <c r="A1465" s="69" t="inlineStr">
        <is>
          <t xml:space="preserve">            Svc Charge to MSTC (₹)</t>
        </is>
      </c>
      <c r="B1465" s="70">
        <f>IF('Final Calculation Sheet'!$P$17="","",'Final Calculation Sheet'!$P$17)</f>
        <v/>
      </c>
    </row>
    <row r="1466" outlineLevel="3" ht="15" customHeight="1">
      <c r="A1466" s="69" t="inlineStr">
        <is>
          <t xml:space="preserve">            GST TDS Rate</t>
        </is>
      </c>
      <c r="B1466" s="80">
        <f>IF('Final Calculation Sheet'!$Q$17="","",'Final Calculation Sheet'!$Q$17)</f>
        <v/>
      </c>
    </row>
    <row r="1467" outlineLevel="3" ht="15" customHeight="1">
      <c r="A1467" s="69" t="inlineStr">
        <is>
          <t xml:space="preserve">            GST TDS (₹)</t>
        </is>
      </c>
      <c r="B1467" s="70">
        <f>IF('Final Calculation Sheet'!$R$17="","",'Final Calculation Sheet'!$R$17)</f>
        <v/>
      </c>
    </row>
    <row r="1468" outlineLevel="3" ht="15" customHeight="1">
      <c r="A1468" s="69" t="inlineStr">
        <is>
          <t xml:space="preserve">            Total Receivables (₹)</t>
        </is>
      </c>
      <c r="B1468" s="70">
        <f>IF('Final Calculation Sheet'!$S$17="","",'Final Calculation Sheet'!$S$17)</f>
        <v/>
      </c>
    </row>
    <row r="1469" outlineLevel="2" ht="16" customHeight="1">
      <c r="A1469" s="448" t="inlineStr">
        <is>
          <t xml:space="preserve">      ▸ SECURITY DEPOSIT</t>
        </is>
      </c>
      <c r="B1469" s="449" t="n"/>
    </row>
    <row r="1470" outlineLevel="3" ht="15" customHeight="1">
      <c r="A1470" s="69" t="inlineStr">
        <is>
          <t xml:space="preserve">            SD Expected (₹)</t>
        </is>
      </c>
      <c r="B1470" s="70">
        <f>IF('Final Calculation Sheet'!$T$17="","",'Final Calculation Sheet'!$T$17)</f>
        <v/>
      </c>
    </row>
    <row r="1471" outlineLevel="3" ht="15" customHeight="1">
      <c r="A1471" s="69" t="inlineStr">
        <is>
          <t xml:space="preserve">            SD Received (₹)</t>
        </is>
      </c>
      <c r="B1471" s="70">
        <f>IF('Final Calculation Sheet'!$U$17="","",'Final Calculation Sheet'!$U$17)</f>
        <v/>
      </c>
    </row>
    <row r="1472" outlineLevel="3" ht="15" customHeight="1">
      <c r="A1472" s="69" t="inlineStr">
        <is>
          <t xml:space="preserve">            SD Receipt Date</t>
        </is>
      </c>
      <c r="B1472" s="76">
        <f>IF('Final Calculation Sheet'!$V$17="","",'Final Calculation Sheet'!$V$17)</f>
        <v/>
      </c>
    </row>
    <row r="1473" outlineLevel="2" ht="16" customHeight="1">
      <c r="A1473" s="448" t="inlineStr">
        <is>
          <t xml:space="preserve">      ▸ FINAL PAYMENT</t>
        </is>
      </c>
      <c r="B1473" s="449" t="n"/>
    </row>
    <row r="1474" outlineLevel="3" ht="15" customHeight="1">
      <c r="A1474" s="69" t="inlineStr">
        <is>
          <t xml:space="preserve">            FP Expected (₹)</t>
        </is>
      </c>
      <c r="B1474" s="70">
        <f>IF('Final Calculation Sheet'!$W$17="","",'Final Calculation Sheet'!$W$17)</f>
        <v/>
      </c>
    </row>
    <row r="1475" outlineLevel="3" ht="15" customHeight="1">
      <c r="A1475" s="69" t="inlineStr">
        <is>
          <t xml:space="preserve">            FP Received (₹)</t>
        </is>
      </c>
      <c r="B1475" s="70">
        <f>IF('Final Calculation Sheet'!$X$17="","",'Final Calculation Sheet'!$X$17)</f>
        <v/>
      </c>
    </row>
    <row r="1476" outlineLevel="3" ht="15" customHeight="1">
      <c r="A1476" s="69" t="inlineStr">
        <is>
          <t xml:space="preserve">            FP Receipt Date</t>
        </is>
      </c>
      <c r="B1476" s="76">
        <f>IF('Final Calculation Sheet'!$Y$17="","",'Final Calculation Sheet'!$Y$17)</f>
        <v/>
      </c>
    </row>
    <row r="1477" outlineLevel="2" ht="16" customHeight="1">
      <c r="A1477" s="448" t="inlineStr">
        <is>
          <t xml:space="preserve">      ▸ LPP</t>
        </is>
      </c>
      <c r="B1477" s="449" t="n"/>
    </row>
    <row r="1478" outlineLevel="3" ht="15" customHeight="1">
      <c r="A1478" s="69" t="inlineStr">
        <is>
          <t xml:space="preserve">            LPP Expected (₹)</t>
        </is>
      </c>
      <c r="B1478" s="70">
        <f>IF('Final Calculation Sheet'!$Z$17="","",'Final Calculation Sheet'!$Z$17)</f>
        <v/>
      </c>
    </row>
    <row r="1479" outlineLevel="3" ht="15" customHeight="1">
      <c r="A1479" s="69" t="inlineStr">
        <is>
          <t xml:space="preserve">            LPP Received (₹)</t>
        </is>
      </c>
      <c r="B1479" s="70">
        <f>IF('Final Calculation Sheet'!$AA$17="","",'Final Calculation Sheet'!$AA$17)</f>
        <v/>
      </c>
    </row>
    <row r="1480" outlineLevel="3" ht="15" customHeight="1">
      <c r="A1480" s="69" t="inlineStr">
        <is>
          <t xml:space="preserve">            LPP Receipt Date</t>
        </is>
      </c>
      <c r="B1480" s="76">
        <f>IF('Final Calculation Sheet'!$AB$17="","",'Final Calculation Sheet'!$AB$17)</f>
        <v/>
      </c>
    </row>
    <row r="1481" outlineLevel="2" ht="16" customHeight="1">
      <c r="A1481" s="448" t="inlineStr">
        <is>
          <t xml:space="preserve">      ▸ SUMMARY</t>
        </is>
      </c>
      <c r="B1481" s="449" t="n"/>
    </row>
    <row r="1482" outlineLevel="3" ht="15" customHeight="1">
      <c r="A1482" s="69" t="inlineStr">
        <is>
          <t xml:space="preserve">            Total Received (₹)</t>
        </is>
      </c>
      <c r="B1482" s="70">
        <f>IF('Final Calculation Sheet'!$AC$17="","",'Final Calculation Sheet'!$AC$17)</f>
        <v/>
      </c>
    </row>
    <row r="1483" outlineLevel="3" ht="15" customHeight="1">
      <c r="A1483" s="69" t="inlineStr">
        <is>
          <t xml:space="preserve">            Outstanding (₹)</t>
        </is>
      </c>
      <c r="B1483" s="70">
        <f>IF('Final Calculation Sheet'!$AD$17="","",'Final Calculation Sheet'!$AD$17)</f>
        <v/>
      </c>
    </row>
    <row r="1484" outlineLevel="3" ht="15" customHeight="1">
      <c r="A1484" s="69" t="inlineStr">
        <is>
          <t xml:space="preserve">            Payment Status</t>
        </is>
      </c>
      <c r="B1484" s="81">
        <f>IF('Final Calculation Sheet'!$AD$17="","",IF('Final Calculation Sheet'!$AD$17&lt;=0,"SETTLED","OUTSTANDING"))</f>
        <v/>
      </c>
    </row>
    <row r="1485" outlineLevel="2" ht="16" customHeight="1">
      <c r="A1485" s="448" t="inlineStr">
        <is>
          <t xml:space="preserve">      ▸ DOCUMENT</t>
        </is>
      </c>
      <c r="B1485" s="449" t="n"/>
    </row>
    <row r="1486" outlineLevel="3" ht="15" customHeight="1">
      <c r="A1486" s="69" t="inlineStr">
        <is>
          <t xml:space="preserve">            Invoice No.</t>
        </is>
      </c>
      <c r="B1486" s="76">
        <f>IF('Final Calculation Sheet'!$AE$17="","",'Final Calculation Sheet'!$AE$17)</f>
        <v/>
      </c>
    </row>
    <row r="1487" outlineLevel="3" ht="15" customHeight="1">
      <c r="A1487" s="69" t="inlineStr">
        <is>
          <t xml:space="preserve">            SAP Document</t>
        </is>
      </c>
      <c r="B1487" s="70">
        <f>IF('Final Calculation Sheet'!$AF$17="","",'Final Calculation Sheet'!$AF$17)</f>
        <v/>
      </c>
    </row>
    <row r="1488" outlineLevel="3" ht="15" customHeight="1">
      <c r="A1488" s="69" t="inlineStr">
        <is>
          <t xml:space="preserve">            Doc./Invoice Date</t>
        </is>
      </c>
      <c r="B1488" s="76">
        <f>IF('Final Calculation Sheet'!$AG$17="","",'Final Calculation Sheet'!$AG$17)</f>
        <v/>
      </c>
    </row>
    <row r="1489" outlineLevel="1" ht="20" customHeight="1">
      <c r="A1489" s="447">
        <f>"   ▸  LOT "&amp;'Final Calculation Sheet'!$F$23&amp;"   •   "&amp;'Final Calculation Sheet'!$B$23&amp;"   •   MAT. VALUE ₹"&amp;TEXT('Final Calculation Sheet'!$H$23,"#,##0")&amp;"   •   OUTSTANDING ₹"&amp;TEXT('Final Calculation Sheet'!$AD$23,"#,##0")</f>
        <v/>
      </c>
      <c r="B1489" s="111" t="n"/>
    </row>
    <row r="1490" outlineLevel="2" ht="16" customHeight="1">
      <c r="A1490" s="448" t="inlineStr">
        <is>
          <t xml:space="preserve">      ▸ LOT INFORMATION</t>
        </is>
      </c>
      <c r="B1490" s="449" t="n"/>
    </row>
    <row r="1491" outlineLevel="3" ht="15" customHeight="1">
      <c r="A1491" s="69" t="inlineStr">
        <is>
          <t xml:space="preserve">            Lot No.</t>
        </is>
      </c>
      <c r="B1491" s="70">
        <f>IF('Final Calculation Sheet'!$F$23="","",'Final Calculation Sheet'!$F$23)</f>
        <v/>
      </c>
    </row>
    <row r="1492" outlineLevel="3" ht="15" customHeight="1">
      <c r="A1492" s="69" t="inlineStr">
        <is>
          <t xml:space="preserve">            Lot Name</t>
        </is>
      </c>
      <c r="B1492" s="76">
        <f>IF('Final Calculation Sheet'!$B$23="","",'Final Calculation Sheet'!$B$23)</f>
        <v/>
      </c>
    </row>
    <row r="1493" outlineLevel="3" ht="15" customHeight="1">
      <c r="A1493" s="69" t="inlineStr">
        <is>
          <t xml:space="preserve">            Bid Sheet / Auction</t>
        </is>
      </c>
      <c r="B1493" s="70">
        <f>IF('Final Calculation Sheet'!$D$23="","",'Final Calculation Sheet'!$D$23)</f>
        <v/>
      </c>
    </row>
    <row r="1494" outlineLevel="3" ht="15" customHeight="1">
      <c r="A1494" s="69" t="inlineStr">
        <is>
          <t xml:space="preserve">            Quantity</t>
        </is>
      </c>
      <c r="B1494" s="74">
        <f>IF('Final Calculation Sheet'!$A$23="","",'Final Calculation Sheet'!$A$23)</f>
        <v/>
      </c>
    </row>
    <row r="1495" outlineLevel="3" ht="15" customHeight="1">
      <c r="A1495" s="69" t="inlineStr">
        <is>
          <t xml:space="preserve">            Unit</t>
        </is>
      </c>
      <c r="B1495" s="76">
        <f>IF('Final Calculation Sheet'!$E$23="","",'Final Calculation Sheet'!$E$23)</f>
        <v/>
      </c>
    </row>
    <row r="1496" outlineLevel="3" ht="15" customHeight="1">
      <c r="A1496" s="69" t="inlineStr">
        <is>
          <t xml:space="preserve">            Rate (₹)</t>
        </is>
      </c>
      <c r="B1496" s="70">
        <f>IF('Final Calculation Sheet'!$C$23="","",'Final Calculation Sheet'!$C$23)</f>
        <v/>
      </c>
    </row>
    <row r="1497" outlineLevel="2" ht="16" customHeight="1">
      <c r="A1497" s="448" t="inlineStr">
        <is>
          <t xml:space="preserve">      ▸ FINANCIALS</t>
        </is>
      </c>
      <c r="B1497" s="449" t="n"/>
    </row>
    <row r="1498" outlineLevel="3" ht="15" customHeight="1">
      <c r="A1498" s="69" t="inlineStr">
        <is>
          <t xml:space="preserve">            Mat. Value (₹)</t>
        </is>
      </c>
      <c r="B1498" s="70">
        <f>IF('Final Calculation Sheet'!$H$23="","",'Final Calculation Sheet'!$H$23)</f>
        <v/>
      </c>
    </row>
    <row r="1499" outlineLevel="3" ht="15" customHeight="1">
      <c r="A1499" s="69" t="inlineStr">
        <is>
          <t xml:space="preserve">            GST @ 18% (₹)</t>
        </is>
      </c>
      <c r="B1499" s="70">
        <f>IF('Final Calculation Sheet'!$I$23="","",'Final Calculation Sheet'!$I$23)</f>
        <v/>
      </c>
    </row>
    <row r="1500" outlineLevel="3" ht="15" customHeight="1">
      <c r="A1500" s="69" t="inlineStr">
        <is>
          <t xml:space="preserve">            Mat. Value + GST (₹)</t>
        </is>
      </c>
      <c r="B1500" s="70">
        <f>IF('Final Calculation Sheet'!$J$23="","",'Final Calculation Sheet'!$J$23)</f>
        <v/>
      </c>
    </row>
    <row r="1501" outlineLevel="3" ht="15" customHeight="1">
      <c r="A1501" s="69" t="inlineStr">
        <is>
          <t xml:space="preserve">            TCS @ 2% (₹)</t>
        </is>
      </c>
      <c r="B1501" s="70">
        <f>IF('Final Calculation Sheet'!$K$23="","",'Final Calculation Sheet'!$K$23)</f>
        <v/>
      </c>
    </row>
    <row r="1502" outlineLevel="3" ht="15" customHeight="1">
      <c r="A1502" s="69" t="inlineStr">
        <is>
          <t xml:space="preserve">            TDS u/s 194(O) (₹)</t>
        </is>
      </c>
      <c r="B1502" s="78">
        <f>IF('Final Calculation Sheet'!$L$23="","",'Final Calculation Sheet'!$L$23)</f>
        <v/>
      </c>
    </row>
    <row r="1503" outlineLevel="3" ht="15" customHeight="1">
      <c r="A1503" s="69" t="inlineStr">
        <is>
          <t xml:space="preserve">            Service Charge gross (₹)</t>
        </is>
      </c>
      <c r="B1503" s="78">
        <f>IF('Final Calculation Sheet'!$M$23="","",'Final Calculation Sheet'!$M$23)</f>
        <v/>
      </c>
    </row>
    <row r="1504" outlineLevel="3" ht="15" customHeight="1">
      <c r="A1504" s="69" t="inlineStr">
        <is>
          <t xml:space="preserve">            TDS u/s 194(H) (₹)</t>
        </is>
      </c>
      <c r="B1504" s="78">
        <f>IF('Final Calculation Sheet'!$N$23="","",'Final Calculation Sheet'!$N$23)</f>
        <v/>
      </c>
    </row>
    <row r="1505" outlineLevel="3" ht="15" customHeight="1">
      <c r="A1505" s="69" t="inlineStr">
        <is>
          <t xml:space="preserve">            Net Service Charge (₹)</t>
        </is>
      </c>
      <c r="B1505" s="78">
        <f>IF('Final Calculation Sheet'!$O$23="","",'Final Calculation Sheet'!$O$23)</f>
        <v/>
      </c>
    </row>
    <row r="1506" outlineLevel="3" ht="15" customHeight="1">
      <c r="A1506" s="69" t="inlineStr">
        <is>
          <t xml:space="preserve">            Svc Charge to MSTC (₹)</t>
        </is>
      </c>
      <c r="B1506" s="70">
        <f>IF('Final Calculation Sheet'!$P$23="","",'Final Calculation Sheet'!$P$23)</f>
        <v/>
      </c>
    </row>
    <row r="1507" outlineLevel="3" ht="15" customHeight="1">
      <c r="A1507" s="69" t="inlineStr">
        <is>
          <t xml:space="preserve">            GST TDS Rate</t>
        </is>
      </c>
      <c r="B1507" s="80">
        <f>IF('Final Calculation Sheet'!$Q$23="","",'Final Calculation Sheet'!$Q$23)</f>
        <v/>
      </c>
    </row>
    <row r="1508" outlineLevel="3" ht="15" customHeight="1">
      <c r="A1508" s="69" t="inlineStr">
        <is>
          <t xml:space="preserve">            GST TDS (₹)</t>
        </is>
      </c>
      <c r="B1508" s="70">
        <f>IF('Final Calculation Sheet'!$R$23="","",'Final Calculation Sheet'!$R$23)</f>
        <v/>
      </c>
    </row>
    <row r="1509" outlineLevel="3" ht="15" customHeight="1">
      <c r="A1509" s="69" t="inlineStr">
        <is>
          <t xml:space="preserve">            Total Receivables (₹)</t>
        </is>
      </c>
      <c r="B1509" s="70">
        <f>IF('Final Calculation Sheet'!$S$23="","",'Final Calculation Sheet'!$S$23)</f>
        <v/>
      </c>
    </row>
    <row r="1510" outlineLevel="2" ht="16" customHeight="1">
      <c r="A1510" s="448" t="inlineStr">
        <is>
          <t xml:space="preserve">      ▸ SECURITY DEPOSIT</t>
        </is>
      </c>
      <c r="B1510" s="449" t="n"/>
    </row>
    <row r="1511" outlineLevel="3" ht="15" customHeight="1">
      <c r="A1511" s="69" t="inlineStr">
        <is>
          <t xml:space="preserve">            SD Expected (₹)</t>
        </is>
      </c>
      <c r="B1511" s="70">
        <f>IF('Final Calculation Sheet'!$T$23="","",'Final Calculation Sheet'!$T$23)</f>
        <v/>
      </c>
    </row>
    <row r="1512" outlineLevel="3" ht="15" customHeight="1">
      <c r="A1512" s="69" t="inlineStr">
        <is>
          <t xml:space="preserve">            SD Received (₹)</t>
        </is>
      </c>
      <c r="B1512" s="70">
        <f>IF('Final Calculation Sheet'!$U$23="","",'Final Calculation Sheet'!$U$23)</f>
        <v/>
      </c>
    </row>
    <row r="1513" outlineLevel="3" ht="15" customHeight="1">
      <c r="A1513" s="69" t="inlineStr">
        <is>
          <t xml:space="preserve">            SD Receipt Date</t>
        </is>
      </c>
      <c r="B1513" s="76">
        <f>IF('Final Calculation Sheet'!$V$23="","",'Final Calculation Sheet'!$V$23)</f>
        <v/>
      </c>
    </row>
    <row r="1514" outlineLevel="2" ht="16" customHeight="1">
      <c r="A1514" s="448" t="inlineStr">
        <is>
          <t xml:space="preserve">      ▸ FINAL PAYMENT</t>
        </is>
      </c>
      <c r="B1514" s="449" t="n"/>
    </row>
    <row r="1515" outlineLevel="3" ht="15" customHeight="1">
      <c r="A1515" s="69" t="inlineStr">
        <is>
          <t xml:space="preserve">            FP Expected (₹)</t>
        </is>
      </c>
      <c r="B1515" s="70">
        <f>IF('Final Calculation Sheet'!$W$23="","",'Final Calculation Sheet'!$W$23)</f>
        <v/>
      </c>
    </row>
    <row r="1516" outlineLevel="3" ht="15" customHeight="1">
      <c r="A1516" s="69" t="inlineStr">
        <is>
          <t xml:space="preserve">            FP Received (₹)</t>
        </is>
      </c>
      <c r="B1516" s="70">
        <f>IF('Final Calculation Sheet'!$X$23="","",'Final Calculation Sheet'!$X$23)</f>
        <v/>
      </c>
    </row>
    <row r="1517" outlineLevel="3" ht="15" customHeight="1">
      <c r="A1517" s="69" t="inlineStr">
        <is>
          <t xml:space="preserve">            FP Receipt Date</t>
        </is>
      </c>
      <c r="B1517" s="76">
        <f>IF('Final Calculation Sheet'!$Y$23="","",'Final Calculation Sheet'!$Y$23)</f>
        <v/>
      </c>
    </row>
    <row r="1518" outlineLevel="2" ht="16" customHeight="1">
      <c r="A1518" s="448" t="inlineStr">
        <is>
          <t xml:space="preserve">      ▸ LPP</t>
        </is>
      </c>
      <c r="B1518" s="449" t="n"/>
    </row>
    <row r="1519" outlineLevel="3" ht="15" customHeight="1">
      <c r="A1519" s="69" t="inlineStr">
        <is>
          <t xml:space="preserve">            LPP Expected (₹)</t>
        </is>
      </c>
      <c r="B1519" s="70">
        <f>IF('Final Calculation Sheet'!$Z$23="","",'Final Calculation Sheet'!$Z$23)</f>
        <v/>
      </c>
    </row>
    <row r="1520" outlineLevel="3" ht="15" customHeight="1">
      <c r="A1520" s="69" t="inlineStr">
        <is>
          <t xml:space="preserve">            LPP Received (₹)</t>
        </is>
      </c>
      <c r="B1520" s="70">
        <f>IF('Final Calculation Sheet'!$AA$23="","",'Final Calculation Sheet'!$AA$23)</f>
        <v/>
      </c>
    </row>
    <row r="1521" outlineLevel="3" ht="15" customHeight="1">
      <c r="A1521" s="69" t="inlineStr">
        <is>
          <t xml:space="preserve">            LPP Receipt Date</t>
        </is>
      </c>
      <c r="B1521" s="76">
        <f>IF('Final Calculation Sheet'!$AB$23="","",'Final Calculation Sheet'!$AB$23)</f>
        <v/>
      </c>
    </row>
    <row r="1522" outlineLevel="2" ht="16" customHeight="1">
      <c r="A1522" s="448" t="inlineStr">
        <is>
          <t xml:space="preserve">      ▸ SUMMARY</t>
        </is>
      </c>
      <c r="B1522" s="449" t="n"/>
    </row>
    <row r="1523" outlineLevel="3" ht="15" customHeight="1">
      <c r="A1523" s="69" t="inlineStr">
        <is>
          <t xml:space="preserve">            Total Received (₹)</t>
        </is>
      </c>
      <c r="B1523" s="70">
        <f>IF('Final Calculation Sheet'!$AC$23="","",'Final Calculation Sheet'!$AC$23)</f>
        <v/>
      </c>
    </row>
    <row r="1524" outlineLevel="3" ht="15" customHeight="1">
      <c r="A1524" s="69" t="inlineStr">
        <is>
          <t xml:space="preserve">            Outstanding (₹)</t>
        </is>
      </c>
      <c r="B1524" s="70">
        <f>IF('Final Calculation Sheet'!$AD$23="","",'Final Calculation Sheet'!$AD$23)</f>
        <v/>
      </c>
    </row>
    <row r="1525" outlineLevel="3" ht="15" customHeight="1">
      <c r="A1525" s="69" t="inlineStr">
        <is>
          <t xml:space="preserve">            Payment Status</t>
        </is>
      </c>
      <c r="B1525" s="81">
        <f>IF('Final Calculation Sheet'!$AD$23="","",IF('Final Calculation Sheet'!$AD$23&lt;=0,"SETTLED","OUTSTANDING"))</f>
        <v/>
      </c>
    </row>
    <row r="1526" outlineLevel="2" ht="16" customHeight="1">
      <c r="A1526" s="448" t="inlineStr">
        <is>
          <t xml:space="preserve">      ▸ DOCUMENT</t>
        </is>
      </c>
      <c r="B1526" s="449" t="n"/>
    </row>
    <row r="1527" outlineLevel="3" ht="15" customHeight="1">
      <c r="A1527" s="69" t="inlineStr">
        <is>
          <t xml:space="preserve">            Invoice No.</t>
        </is>
      </c>
      <c r="B1527" s="76">
        <f>IF('Final Calculation Sheet'!$AE$23="","",'Final Calculation Sheet'!$AE$23)</f>
        <v/>
      </c>
    </row>
    <row r="1528" outlineLevel="3" ht="15" customHeight="1">
      <c r="A1528" s="69" t="inlineStr">
        <is>
          <t xml:space="preserve">            SAP Document</t>
        </is>
      </c>
      <c r="B1528" s="70">
        <f>IF('Final Calculation Sheet'!$AF$23="","",'Final Calculation Sheet'!$AF$23)</f>
        <v/>
      </c>
    </row>
    <row r="1529" outlineLevel="3" ht="15" customHeight="1">
      <c r="A1529" s="69" t="inlineStr">
        <is>
          <t xml:space="preserve">            Doc./Invoice Date</t>
        </is>
      </c>
      <c r="B1529" s="76">
        <f>IF('Final Calculation Sheet'!$AG$23="","",'Final Calculation Sheet'!$AG$23)</f>
        <v/>
      </c>
    </row>
    <row r="1530" outlineLevel="1" ht="20" customHeight="1">
      <c r="A1530" s="447">
        <f>"   ▸  LOT "&amp;'Final Calculation Sheet'!$F$29&amp;"   •   "&amp;'Final Calculation Sheet'!$B$29&amp;"   •   MAT. VALUE ₹"&amp;TEXT('Final Calculation Sheet'!$H$29,"#,##0")&amp;"   •   OUTSTANDING ₹"&amp;TEXT('Final Calculation Sheet'!$AD$29,"#,##0")</f>
        <v/>
      </c>
      <c r="B1530" s="111" t="n"/>
    </row>
    <row r="1531" outlineLevel="2" ht="16" customHeight="1">
      <c r="A1531" s="448" t="inlineStr">
        <is>
          <t xml:space="preserve">      ▸ LOT INFORMATION</t>
        </is>
      </c>
      <c r="B1531" s="449" t="n"/>
    </row>
    <row r="1532" outlineLevel="3" ht="15" customHeight="1">
      <c r="A1532" s="69" t="inlineStr">
        <is>
          <t xml:space="preserve">            Lot No.</t>
        </is>
      </c>
      <c r="B1532" s="70">
        <f>IF('Final Calculation Sheet'!$F$29="","",'Final Calculation Sheet'!$F$29)</f>
        <v/>
      </c>
    </row>
    <row r="1533" outlineLevel="3" ht="15" customHeight="1">
      <c r="A1533" s="69" t="inlineStr">
        <is>
          <t xml:space="preserve">            Lot Name</t>
        </is>
      </c>
      <c r="B1533" s="76">
        <f>IF('Final Calculation Sheet'!$B$29="","",'Final Calculation Sheet'!$B$29)</f>
        <v/>
      </c>
    </row>
    <row r="1534" outlineLevel="3" ht="15" customHeight="1">
      <c r="A1534" s="69" t="inlineStr">
        <is>
          <t xml:space="preserve">            Bid Sheet / Auction</t>
        </is>
      </c>
      <c r="B1534" s="70">
        <f>IF('Final Calculation Sheet'!$D$29="","",'Final Calculation Sheet'!$D$29)</f>
        <v/>
      </c>
    </row>
    <row r="1535" outlineLevel="3" ht="15" customHeight="1">
      <c r="A1535" s="69" t="inlineStr">
        <is>
          <t xml:space="preserve">            Quantity</t>
        </is>
      </c>
      <c r="B1535" s="74">
        <f>IF('Final Calculation Sheet'!$A$29="","",'Final Calculation Sheet'!$A$29)</f>
        <v/>
      </c>
    </row>
    <row r="1536" outlineLevel="3" ht="15" customHeight="1">
      <c r="A1536" s="69" t="inlineStr">
        <is>
          <t xml:space="preserve">            Unit</t>
        </is>
      </c>
      <c r="B1536" s="76">
        <f>IF('Final Calculation Sheet'!$E$29="","",'Final Calculation Sheet'!$E$29)</f>
        <v/>
      </c>
    </row>
    <row r="1537" outlineLevel="3" ht="15" customHeight="1">
      <c r="A1537" s="69" t="inlineStr">
        <is>
          <t xml:space="preserve">            Rate (₹)</t>
        </is>
      </c>
      <c r="B1537" s="70">
        <f>IF('Final Calculation Sheet'!$C$29="","",'Final Calculation Sheet'!$C$29)</f>
        <v/>
      </c>
    </row>
    <row r="1538" outlineLevel="2" ht="16" customHeight="1">
      <c r="A1538" s="448" t="inlineStr">
        <is>
          <t xml:space="preserve">      ▸ FINANCIALS</t>
        </is>
      </c>
      <c r="B1538" s="449" t="n"/>
    </row>
    <row r="1539" outlineLevel="3" ht="15" customHeight="1">
      <c r="A1539" s="69" t="inlineStr">
        <is>
          <t xml:space="preserve">            Mat. Value (₹)</t>
        </is>
      </c>
      <c r="B1539" s="70">
        <f>IF('Final Calculation Sheet'!$H$29="","",'Final Calculation Sheet'!$H$29)</f>
        <v/>
      </c>
    </row>
    <row r="1540" outlineLevel="3" ht="15" customHeight="1">
      <c r="A1540" s="69" t="inlineStr">
        <is>
          <t xml:space="preserve">            GST @ 18% (₹)</t>
        </is>
      </c>
      <c r="B1540" s="70">
        <f>IF('Final Calculation Sheet'!$I$29="","",'Final Calculation Sheet'!$I$29)</f>
        <v/>
      </c>
    </row>
    <row r="1541" outlineLevel="3" ht="15" customHeight="1">
      <c r="A1541" s="69" t="inlineStr">
        <is>
          <t xml:space="preserve">            Mat. Value + GST (₹)</t>
        </is>
      </c>
      <c r="B1541" s="70">
        <f>IF('Final Calculation Sheet'!$J$29="","",'Final Calculation Sheet'!$J$29)</f>
        <v/>
      </c>
    </row>
    <row r="1542" outlineLevel="3" ht="15" customHeight="1">
      <c r="A1542" s="69" t="inlineStr">
        <is>
          <t xml:space="preserve">            TCS @ 2% (₹)</t>
        </is>
      </c>
      <c r="B1542" s="70">
        <f>IF('Final Calculation Sheet'!$K$29="","",'Final Calculation Sheet'!$K$29)</f>
        <v/>
      </c>
    </row>
    <row r="1543" outlineLevel="3" ht="15" customHeight="1">
      <c r="A1543" s="69" t="inlineStr">
        <is>
          <t xml:space="preserve">            TDS u/s 194(O) (₹)</t>
        </is>
      </c>
      <c r="B1543" s="78">
        <f>IF('Final Calculation Sheet'!$L$29="","",'Final Calculation Sheet'!$L$29)</f>
        <v/>
      </c>
    </row>
    <row r="1544" outlineLevel="3" ht="15" customHeight="1">
      <c r="A1544" s="69" t="inlineStr">
        <is>
          <t xml:space="preserve">            Service Charge gross (₹)</t>
        </is>
      </c>
      <c r="B1544" s="78">
        <f>IF('Final Calculation Sheet'!$M$29="","",'Final Calculation Sheet'!$M$29)</f>
        <v/>
      </c>
    </row>
    <row r="1545" outlineLevel="3" ht="15" customHeight="1">
      <c r="A1545" s="69" t="inlineStr">
        <is>
          <t xml:space="preserve">            TDS u/s 194(H) (₹)</t>
        </is>
      </c>
      <c r="B1545" s="78">
        <f>IF('Final Calculation Sheet'!$N$29="","",'Final Calculation Sheet'!$N$29)</f>
        <v/>
      </c>
    </row>
    <row r="1546" outlineLevel="3" ht="15" customHeight="1">
      <c r="A1546" s="69" t="inlineStr">
        <is>
          <t xml:space="preserve">            Net Service Charge (₹)</t>
        </is>
      </c>
      <c r="B1546" s="78">
        <f>IF('Final Calculation Sheet'!$O$29="","",'Final Calculation Sheet'!$O$29)</f>
        <v/>
      </c>
    </row>
    <row r="1547" outlineLevel="3" ht="15" customHeight="1">
      <c r="A1547" s="69" t="inlineStr">
        <is>
          <t xml:space="preserve">            Svc Charge to MSTC (₹)</t>
        </is>
      </c>
      <c r="B1547" s="70">
        <f>IF('Final Calculation Sheet'!$P$29="","",'Final Calculation Sheet'!$P$29)</f>
        <v/>
      </c>
    </row>
    <row r="1548" outlineLevel="3" ht="15" customHeight="1">
      <c r="A1548" s="69" t="inlineStr">
        <is>
          <t xml:space="preserve">            GST TDS Rate</t>
        </is>
      </c>
      <c r="B1548" s="80">
        <f>IF('Final Calculation Sheet'!$Q$29="","",'Final Calculation Sheet'!$Q$29)</f>
        <v/>
      </c>
    </row>
    <row r="1549" outlineLevel="3" ht="15" customHeight="1">
      <c r="A1549" s="69" t="inlineStr">
        <is>
          <t xml:space="preserve">            GST TDS (₹)</t>
        </is>
      </c>
      <c r="B1549" s="70">
        <f>IF('Final Calculation Sheet'!$R$29="","",'Final Calculation Sheet'!$R$29)</f>
        <v/>
      </c>
    </row>
    <row r="1550" outlineLevel="3" ht="15" customHeight="1">
      <c r="A1550" s="69" t="inlineStr">
        <is>
          <t xml:space="preserve">            Total Receivables (₹)</t>
        </is>
      </c>
      <c r="B1550" s="70">
        <f>IF('Final Calculation Sheet'!$S$29="","",'Final Calculation Sheet'!$S$29)</f>
        <v/>
      </c>
    </row>
    <row r="1551" outlineLevel="2" ht="16" customHeight="1">
      <c r="A1551" s="448" t="inlineStr">
        <is>
          <t xml:space="preserve">      ▸ SECURITY DEPOSIT</t>
        </is>
      </c>
      <c r="B1551" s="449" t="n"/>
    </row>
    <row r="1552" outlineLevel="3" ht="15" customHeight="1">
      <c r="A1552" s="69" t="inlineStr">
        <is>
          <t xml:space="preserve">            SD Expected (₹)</t>
        </is>
      </c>
      <c r="B1552" s="70">
        <f>IF('Final Calculation Sheet'!$T$29="","",'Final Calculation Sheet'!$T$29)</f>
        <v/>
      </c>
    </row>
    <row r="1553" outlineLevel="3" ht="15" customHeight="1">
      <c r="A1553" s="69" t="inlineStr">
        <is>
          <t xml:space="preserve">            SD Received (₹)</t>
        </is>
      </c>
      <c r="B1553" s="70">
        <f>IF('Final Calculation Sheet'!$U$29="","",'Final Calculation Sheet'!$U$29)</f>
        <v/>
      </c>
    </row>
    <row r="1554" outlineLevel="3" ht="15" customHeight="1">
      <c r="A1554" s="69" t="inlineStr">
        <is>
          <t xml:space="preserve">            SD Receipt Date</t>
        </is>
      </c>
      <c r="B1554" s="76">
        <f>IF('Final Calculation Sheet'!$V$29="","",'Final Calculation Sheet'!$V$29)</f>
        <v/>
      </c>
    </row>
    <row r="1555" outlineLevel="2" ht="16" customHeight="1">
      <c r="A1555" s="448" t="inlineStr">
        <is>
          <t xml:space="preserve">      ▸ FINAL PAYMENT</t>
        </is>
      </c>
      <c r="B1555" s="449" t="n"/>
    </row>
    <row r="1556" outlineLevel="3" ht="15" customHeight="1">
      <c r="A1556" s="69" t="inlineStr">
        <is>
          <t xml:space="preserve">            FP Expected (₹)</t>
        </is>
      </c>
      <c r="B1556" s="70">
        <f>IF('Final Calculation Sheet'!$W$29="","",'Final Calculation Sheet'!$W$29)</f>
        <v/>
      </c>
    </row>
    <row r="1557" outlineLevel="3" ht="15" customHeight="1">
      <c r="A1557" s="69" t="inlineStr">
        <is>
          <t xml:space="preserve">            FP Received (₹)</t>
        </is>
      </c>
      <c r="B1557" s="70">
        <f>IF('Final Calculation Sheet'!$X$29="","",'Final Calculation Sheet'!$X$29)</f>
        <v/>
      </c>
    </row>
    <row r="1558" outlineLevel="3" ht="15" customHeight="1">
      <c r="A1558" s="69" t="inlineStr">
        <is>
          <t xml:space="preserve">            FP Receipt Date</t>
        </is>
      </c>
      <c r="B1558" s="76">
        <f>IF('Final Calculation Sheet'!$Y$29="","",'Final Calculation Sheet'!$Y$29)</f>
        <v/>
      </c>
    </row>
    <row r="1559" outlineLevel="2" ht="16" customHeight="1">
      <c r="A1559" s="448" t="inlineStr">
        <is>
          <t xml:space="preserve">      ▸ LPP</t>
        </is>
      </c>
      <c r="B1559" s="449" t="n"/>
    </row>
    <row r="1560" outlineLevel="3" ht="15" customHeight="1">
      <c r="A1560" s="69" t="inlineStr">
        <is>
          <t xml:space="preserve">            LPP Expected (₹)</t>
        </is>
      </c>
      <c r="B1560" s="70">
        <f>IF('Final Calculation Sheet'!$Z$29="","",'Final Calculation Sheet'!$Z$29)</f>
        <v/>
      </c>
    </row>
    <row r="1561" outlineLevel="3" ht="15" customHeight="1">
      <c r="A1561" s="69" t="inlineStr">
        <is>
          <t xml:space="preserve">            LPP Received (₹)</t>
        </is>
      </c>
      <c r="B1561" s="70">
        <f>IF('Final Calculation Sheet'!$AA$29="","",'Final Calculation Sheet'!$AA$29)</f>
        <v/>
      </c>
    </row>
    <row r="1562" outlineLevel="3" ht="15" customHeight="1">
      <c r="A1562" s="69" t="inlineStr">
        <is>
          <t xml:space="preserve">            LPP Receipt Date</t>
        </is>
      </c>
      <c r="B1562" s="76">
        <f>IF('Final Calculation Sheet'!$AB$29="","",'Final Calculation Sheet'!$AB$29)</f>
        <v/>
      </c>
    </row>
    <row r="1563" outlineLevel="2" ht="16" customHeight="1">
      <c r="A1563" s="448" t="inlineStr">
        <is>
          <t xml:space="preserve">      ▸ SUMMARY</t>
        </is>
      </c>
      <c r="B1563" s="449" t="n"/>
    </row>
    <row r="1564" outlineLevel="3" ht="15" customHeight="1">
      <c r="A1564" s="69" t="inlineStr">
        <is>
          <t xml:space="preserve">            Total Received (₹)</t>
        </is>
      </c>
      <c r="B1564" s="70">
        <f>IF('Final Calculation Sheet'!$AC$29="","",'Final Calculation Sheet'!$AC$29)</f>
        <v/>
      </c>
    </row>
    <row r="1565" outlineLevel="3" ht="15" customHeight="1">
      <c r="A1565" s="69" t="inlineStr">
        <is>
          <t xml:space="preserve">            Outstanding (₹)</t>
        </is>
      </c>
      <c r="B1565" s="70">
        <f>IF('Final Calculation Sheet'!$AD$29="","",'Final Calculation Sheet'!$AD$29)</f>
        <v/>
      </c>
    </row>
    <row r="1566" outlineLevel="3" ht="15" customHeight="1">
      <c r="A1566" s="69" t="inlineStr">
        <is>
          <t xml:space="preserve">            Payment Status</t>
        </is>
      </c>
      <c r="B1566" s="81">
        <f>IF('Final Calculation Sheet'!$AD$29="","",IF('Final Calculation Sheet'!$AD$29&lt;=0,"SETTLED","OUTSTANDING"))</f>
        <v/>
      </c>
    </row>
    <row r="1567" outlineLevel="2" ht="16" customHeight="1">
      <c r="A1567" s="448" t="inlineStr">
        <is>
          <t xml:space="preserve">      ▸ DOCUMENT</t>
        </is>
      </c>
      <c r="B1567" s="449" t="n"/>
    </row>
    <row r="1568" outlineLevel="3" ht="15" customHeight="1">
      <c r="A1568" s="69" t="inlineStr">
        <is>
          <t xml:space="preserve">            Invoice No.</t>
        </is>
      </c>
      <c r="B1568" s="76">
        <f>IF('Final Calculation Sheet'!$AE$29="","",'Final Calculation Sheet'!$AE$29)</f>
        <v/>
      </c>
    </row>
    <row r="1569" outlineLevel="3" ht="15" customHeight="1">
      <c r="A1569" s="69" t="inlineStr">
        <is>
          <t xml:space="preserve">            SAP Document</t>
        </is>
      </c>
      <c r="B1569" s="70">
        <f>IF('Final Calculation Sheet'!$AF$29="","",'Final Calculation Sheet'!$AF$29)</f>
        <v/>
      </c>
    </row>
    <row r="1570" outlineLevel="3" ht="15" customHeight="1">
      <c r="A1570" s="69" t="inlineStr">
        <is>
          <t xml:space="preserve">            Doc./Invoice Date</t>
        </is>
      </c>
      <c r="B1570" s="76">
        <f>IF('Final Calculation Sheet'!$AG$29="","",'Final Calculation Sheet'!$AG$29)</f>
        <v/>
      </c>
    </row>
    <row r="1571" outlineLevel="1" ht="20" customHeight="1">
      <c r="A1571" s="447">
        <f>"   ▸  LOT "&amp;'Final Calculation Sheet'!$F$34&amp;"   •   "&amp;'Final Calculation Sheet'!$B$34&amp;"   •   MAT. VALUE ₹"&amp;TEXT('Final Calculation Sheet'!$H$34,"#,##0")&amp;"   •   OUTSTANDING ₹"&amp;TEXT('Final Calculation Sheet'!$AD$34,"#,##0")</f>
        <v/>
      </c>
      <c r="B1571" s="111" t="n"/>
    </row>
    <row r="1572" outlineLevel="2" ht="16" customHeight="1">
      <c r="A1572" s="448" t="inlineStr">
        <is>
          <t xml:space="preserve">      ▸ LOT INFORMATION</t>
        </is>
      </c>
      <c r="B1572" s="449" t="n"/>
    </row>
    <row r="1573" outlineLevel="3" ht="15" customHeight="1">
      <c r="A1573" s="69" t="inlineStr">
        <is>
          <t xml:space="preserve">            Lot No.</t>
        </is>
      </c>
      <c r="B1573" s="70">
        <f>IF('Final Calculation Sheet'!$F$34="","",'Final Calculation Sheet'!$F$34)</f>
        <v/>
      </c>
    </row>
    <row r="1574" outlineLevel="3" ht="15" customHeight="1">
      <c r="A1574" s="69" t="inlineStr">
        <is>
          <t xml:space="preserve">            Lot Name</t>
        </is>
      </c>
      <c r="B1574" s="76">
        <f>IF('Final Calculation Sheet'!$B$34="","",'Final Calculation Sheet'!$B$34)</f>
        <v/>
      </c>
    </row>
    <row r="1575" outlineLevel="3" ht="15" customHeight="1">
      <c r="A1575" s="69" t="inlineStr">
        <is>
          <t xml:space="preserve">            Bid Sheet / Auction</t>
        </is>
      </c>
      <c r="B1575" s="70">
        <f>IF('Final Calculation Sheet'!$D$34="","",'Final Calculation Sheet'!$D$34)</f>
        <v/>
      </c>
    </row>
    <row r="1576" outlineLevel="3" ht="15" customHeight="1">
      <c r="A1576" s="69" t="inlineStr">
        <is>
          <t xml:space="preserve">            Quantity</t>
        </is>
      </c>
      <c r="B1576" s="74">
        <f>IF('Final Calculation Sheet'!$A$34="","",'Final Calculation Sheet'!$A$34)</f>
        <v/>
      </c>
    </row>
    <row r="1577" outlineLevel="3" ht="15" customHeight="1">
      <c r="A1577" s="69" t="inlineStr">
        <is>
          <t xml:space="preserve">            Unit</t>
        </is>
      </c>
      <c r="B1577" s="76">
        <f>IF('Final Calculation Sheet'!$E$34="","",'Final Calculation Sheet'!$E$34)</f>
        <v/>
      </c>
    </row>
    <row r="1578" outlineLevel="3" ht="15" customHeight="1">
      <c r="A1578" s="69" t="inlineStr">
        <is>
          <t xml:space="preserve">            Rate (₹)</t>
        </is>
      </c>
      <c r="B1578" s="70">
        <f>IF('Final Calculation Sheet'!$C$34="","",'Final Calculation Sheet'!$C$34)</f>
        <v/>
      </c>
    </row>
    <row r="1579" outlineLevel="2" ht="16" customHeight="1">
      <c r="A1579" s="448" t="inlineStr">
        <is>
          <t xml:space="preserve">      ▸ FINANCIALS</t>
        </is>
      </c>
      <c r="B1579" s="449" t="n"/>
    </row>
    <row r="1580" outlineLevel="3" ht="15" customHeight="1">
      <c r="A1580" s="69" t="inlineStr">
        <is>
          <t xml:space="preserve">            Mat. Value (₹)</t>
        </is>
      </c>
      <c r="B1580" s="70">
        <f>IF('Final Calculation Sheet'!$H$34="","",'Final Calculation Sheet'!$H$34)</f>
        <v/>
      </c>
    </row>
    <row r="1581" outlineLevel="3" ht="15" customHeight="1">
      <c r="A1581" s="69" t="inlineStr">
        <is>
          <t xml:space="preserve">            GST @ 18% (₹)</t>
        </is>
      </c>
      <c r="B1581" s="70">
        <f>IF('Final Calculation Sheet'!$I$34="","",'Final Calculation Sheet'!$I$34)</f>
        <v/>
      </c>
    </row>
    <row r="1582" outlineLevel="3" ht="15" customHeight="1">
      <c r="A1582" s="69" t="inlineStr">
        <is>
          <t xml:space="preserve">            Mat. Value + GST (₹)</t>
        </is>
      </c>
      <c r="B1582" s="70">
        <f>IF('Final Calculation Sheet'!$J$34="","",'Final Calculation Sheet'!$J$34)</f>
        <v/>
      </c>
    </row>
    <row r="1583" outlineLevel="3" ht="15" customHeight="1">
      <c r="A1583" s="69" t="inlineStr">
        <is>
          <t xml:space="preserve">            TCS @ 2% (₹)</t>
        </is>
      </c>
      <c r="B1583" s="70">
        <f>IF('Final Calculation Sheet'!$K$34="","",'Final Calculation Sheet'!$K$34)</f>
        <v/>
      </c>
    </row>
    <row r="1584" outlineLevel="3" ht="15" customHeight="1">
      <c r="A1584" s="69" t="inlineStr">
        <is>
          <t xml:space="preserve">            TDS u/s 194(O) (₹)</t>
        </is>
      </c>
      <c r="B1584" s="78">
        <f>IF('Final Calculation Sheet'!$L$34="","",'Final Calculation Sheet'!$L$34)</f>
        <v/>
      </c>
    </row>
    <row r="1585" outlineLevel="3" ht="15" customHeight="1">
      <c r="A1585" s="69" t="inlineStr">
        <is>
          <t xml:space="preserve">            Service Charge gross (₹)</t>
        </is>
      </c>
      <c r="B1585" s="78">
        <f>IF('Final Calculation Sheet'!$M$34="","",'Final Calculation Sheet'!$M$34)</f>
        <v/>
      </c>
    </row>
    <row r="1586" outlineLevel="3" ht="15" customHeight="1">
      <c r="A1586" s="69" t="inlineStr">
        <is>
          <t xml:space="preserve">            TDS u/s 194(H) (₹)</t>
        </is>
      </c>
      <c r="B1586" s="78">
        <f>IF('Final Calculation Sheet'!$N$34="","",'Final Calculation Sheet'!$N$34)</f>
        <v/>
      </c>
    </row>
    <row r="1587" outlineLevel="3" ht="15" customHeight="1">
      <c r="A1587" s="69" t="inlineStr">
        <is>
          <t xml:space="preserve">            Net Service Charge (₹)</t>
        </is>
      </c>
      <c r="B1587" s="78">
        <f>IF('Final Calculation Sheet'!$O$34="","",'Final Calculation Sheet'!$O$34)</f>
        <v/>
      </c>
    </row>
    <row r="1588" outlineLevel="3" ht="15" customHeight="1">
      <c r="A1588" s="69" t="inlineStr">
        <is>
          <t xml:space="preserve">            Svc Charge to MSTC (₹)</t>
        </is>
      </c>
      <c r="B1588" s="70">
        <f>IF('Final Calculation Sheet'!$P$34="","",'Final Calculation Sheet'!$P$34)</f>
        <v/>
      </c>
    </row>
    <row r="1589" outlineLevel="3" ht="15" customHeight="1">
      <c r="A1589" s="69" t="inlineStr">
        <is>
          <t xml:space="preserve">            GST TDS Rate</t>
        </is>
      </c>
      <c r="B1589" s="80">
        <f>IF('Final Calculation Sheet'!$Q$34="","",'Final Calculation Sheet'!$Q$34)</f>
        <v/>
      </c>
    </row>
    <row r="1590" outlineLevel="3" ht="15" customHeight="1">
      <c r="A1590" s="69" t="inlineStr">
        <is>
          <t xml:space="preserve">            GST TDS (₹)</t>
        </is>
      </c>
      <c r="B1590" s="70">
        <f>IF('Final Calculation Sheet'!$R$34="","",'Final Calculation Sheet'!$R$34)</f>
        <v/>
      </c>
    </row>
    <row r="1591" outlineLevel="3" ht="15" customHeight="1">
      <c r="A1591" s="69" t="inlineStr">
        <is>
          <t xml:space="preserve">            Total Receivables (₹)</t>
        </is>
      </c>
      <c r="B1591" s="70">
        <f>IF('Final Calculation Sheet'!$S$34="","",'Final Calculation Sheet'!$S$34)</f>
        <v/>
      </c>
    </row>
    <row r="1592" outlineLevel="2" ht="16" customHeight="1">
      <c r="A1592" s="448" t="inlineStr">
        <is>
          <t xml:space="preserve">      ▸ SECURITY DEPOSIT</t>
        </is>
      </c>
      <c r="B1592" s="449" t="n"/>
    </row>
    <row r="1593" outlineLevel="3" ht="15" customHeight="1">
      <c r="A1593" s="69" t="inlineStr">
        <is>
          <t xml:space="preserve">            SD Expected (₹)</t>
        </is>
      </c>
      <c r="B1593" s="70">
        <f>IF('Final Calculation Sheet'!$T$34="","",'Final Calculation Sheet'!$T$34)</f>
        <v/>
      </c>
    </row>
    <row r="1594" outlineLevel="3" ht="15" customHeight="1">
      <c r="A1594" s="69" t="inlineStr">
        <is>
          <t xml:space="preserve">            SD Received (₹)</t>
        </is>
      </c>
      <c r="B1594" s="70">
        <f>IF('Final Calculation Sheet'!$U$34="","",'Final Calculation Sheet'!$U$34)</f>
        <v/>
      </c>
    </row>
    <row r="1595" outlineLevel="3" ht="15" customHeight="1">
      <c r="A1595" s="69" t="inlineStr">
        <is>
          <t xml:space="preserve">            SD Receipt Date</t>
        </is>
      </c>
      <c r="B1595" s="76">
        <f>IF('Final Calculation Sheet'!$V$34="","",'Final Calculation Sheet'!$V$34)</f>
        <v/>
      </c>
    </row>
    <row r="1596" outlineLevel="2" ht="16" customHeight="1">
      <c r="A1596" s="448" t="inlineStr">
        <is>
          <t xml:space="preserve">      ▸ FINAL PAYMENT</t>
        </is>
      </c>
      <c r="B1596" s="449" t="n"/>
    </row>
    <row r="1597" outlineLevel="3" ht="15" customHeight="1">
      <c r="A1597" s="69" t="inlineStr">
        <is>
          <t xml:space="preserve">            FP Expected (₹)</t>
        </is>
      </c>
      <c r="B1597" s="70">
        <f>IF('Final Calculation Sheet'!$W$34="","",'Final Calculation Sheet'!$W$34)</f>
        <v/>
      </c>
    </row>
    <row r="1598" outlineLevel="3" ht="15" customHeight="1">
      <c r="A1598" s="69" t="inlineStr">
        <is>
          <t xml:space="preserve">            FP Received (₹)</t>
        </is>
      </c>
      <c r="B1598" s="70">
        <f>IF('Final Calculation Sheet'!$X$34="","",'Final Calculation Sheet'!$X$34)</f>
        <v/>
      </c>
    </row>
    <row r="1599" outlineLevel="3" ht="15" customHeight="1">
      <c r="A1599" s="69" t="inlineStr">
        <is>
          <t xml:space="preserve">            FP Receipt Date</t>
        </is>
      </c>
      <c r="B1599" s="76">
        <f>IF('Final Calculation Sheet'!$Y$34="","",'Final Calculation Sheet'!$Y$34)</f>
        <v/>
      </c>
    </row>
    <row r="1600" outlineLevel="2" ht="16" customHeight="1">
      <c r="A1600" s="448" t="inlineStr">
        <is>
          <t xml:space="preserve">      ▸ LPP</t>
        </is>
      </c>
      <c r="B1600" s="449" t="n"/>
    </row>
    <row r="1601" outlineLevel="3" ht="15" customHeight="1">
      <c r="A1601" s="69" t="inlineStr">
        <is>
          <t xml:space="preserve">            LPP Expected (₹)</t>
        </is>
      </c>
      <c r="B1601" s="70">
        <f>IF('Final Calculation Sheet'!$Z$34="","",'Final Calculation Sheet'!$Z$34)</f>
        <v/>
      </c>
    </row>
    <row r="1602" outlineLevel="3" ht="15" customHeight="1">
      <c r="A1602" s="69" t="inlineStr">
        <is>
          <t xml:space="preserve">            LPP Received (₹)</t>
        </is>
      </c>
      <c r="B1602" s="70">
        <f>IF('Final Calculation Sheet'!$AA$34="","",'Final Calculation Sheet'!$AA$34)</f>
        <v/>
      </c>
    </row>
    <row r="1603" outlineLevel="3" ht="15" customHeight="1">
      <c r="A1603" s="69" t="inlineStr">
        <is>
          <t xml:space="preserve">            LPP Receipt Date</t>
        </is>
      </c>
      <c r="B1603" s="76">
        <f>IF('Final Calculation Sheet'!$AB$34="","",'Final Calculation Sheet'!$AB$34)</f>
        <v/>
      </c>
    </row>
    <row r="1604" outlineLevel="2" ht="16" customHeight="1">
      <c r="A1604" s="448" t="inlineStr">
        <is>
          <t xml:space="preserve">      ▸ SUMMARY</t>
        </is>
      </c>
      <c r="B1604" s="449" t="n"/>
    </row>
    <row r="1605" outlineLevel="3" ht="15" customHeight="1">
      <c r="A1605" s="69" t="inlineStr">
        <is>
          <t xml:space="preserve">            Total Received (₹)</t>
        </is>
      </c>
      <c r="B1605" s="70">
        <f>IF('Final Calculation Sheet'!$AC$34="","",'Final Calculation Sheet'!$AC$34)</f>
        <v/>
      </c>
    </row>
    <row r="1606" outlineLevel="3" ht="15" customHeight="1">
      <c r="A1606" s="69" t="inlineStr">
        <is>
          <t xml:space="preserve">            Outstanding (₹)</t>
        </is>
      </c>
      <c r="B1606" s="70">
        <f>IF('Final Calculation Sheet'!$AD$34="","",'Final Calculation Sheet'!$AD$34)</f>
        <v/>
      </c>
    </row>
    <row r="1607" outlineLevel="3" ht="15" customHeight="1">
      <c r="A1607" s="69" t="inlineStr">
        <is>
          <t xml:space="preserve">            Payment Status</t>
        </is>
      </c>
      <c r="B1607" s="81">
        <f>IF('Final Calculation Sheet'!$AD$34="","",IF('Final Calculation Sheet'!$AD$34&lt;=0,"SETTLED","OUTSTANDING"))</f>
        <v/>
      </c>
    </row>
    <row r="1608" outlineLevel="2" ht="16" customHeight="1">
      <c r="A1608" s="448" t="inlineStr">
        <is>
          <t xml:space="preserve">      ▸ DOCUMENT</t>
        </is>
      </c>
      <c r="B1608" s="449" t="n"/>
    </row>
    <row r="1609" outlineLevel="3" ht="15" customHeight="1">
      <c r="A1609" s="69" t="inlineStr">
        <is>
          <t xml:space="preserve">            Invoice No.</t>
        </is>
      </c>
      <c r="B1609" s="76">
        <f>IF('Final Calculation Sheet'!$AE$34="","",'Final Calculation Sheet'!$AE$34)</f>
        <v/>
      </c>
    </row>
    <row r="1610" outlineLevel="3" ht="15" customHeight="1">
      <c r="A1610" s="69" t="inlineStr">
        <is>
          <t xml:space="preserve">            SAP Document</t>
        </is>
      </c>
      <c r="B1610" s="70">
        <f>IF('Final Calculation Sheet'!$AF$34="","",'Final Calculation Sheet'!$AF$34)</f>
        <v/>
      </c>
    </row>
    <row r="1611" outlineLevel="3" ht="15" customHeight="1">
      <c r="A1611" s="69" t="inlineStr">
        <is>
          <t xml:space="preserve">            Doc./Invoice Date</t>
        </is>
      </c>
      <c r="B1611" s="76">
        <f>IF('Final Calculation Sheet'!$AG$34="","",'Final Calculation Sheet'!$AG$34)</f>
        <v/>
      </c>
    </row>
    <row r="1612" outlineLevel="1" ht="20" customHeight="1">
      <c r="A1612" s="447">
        <f>"   ▸  LOT "&amp;'Final Calculation Sheet'!$F$36&amp;"   •   "&amp;'Final Calculation Sheet'!$B$36&amp;"   •   MAT. VALUE ₹"&amp;TEXT('Final Calculation Sheet'!$H$36,"#,##0")&amp;"   •   OUTSTANDING ₹"&amp;TEXT('Final Calculation Sheet'!$AD$36,"#,##0")</f>
        <v/>
      </c>
      <c r="B1612" s="111" t="n"/>
    </row>
    <row r="1613" outlineLevel="2" ht="16" customHeight="1">
      <c r="A1613" s="448" t="inlineStr">
        <is>
          <t xml:space="preserve">      ▸ LOT INFORMATION</t>
        </is>
      </c>
      <c r="B1613" s="449" t="n"/>
    </row>
    <row r="1614" outlineLevel="3" ht="15" customHeight="1">
      <c r="A1614" s="69" t="inlineStr">
        <is>
          <t xml:space="preserve">            Lot No.</t>
        </is>
      </c>
      <c r="B1614" s="70">
        <f>IF('Final Calculation Sheet'!$F$36="","",'Final Calculation Sheet'!$F$36)</f>
        <v/>
      </c>
    </row>
    <row r="1615" outlineLevel="3" ht="15" customHeight="1">
      <c r="A1615" s="69" t="inlineStr">
        <is>
          <t xml:space="preserve">            Lot Name</t>
        </is>
      </c>
      <c r="B1615" s="76">
        <f>IF('Final Calculation Sheet'!$B$36="","",'Final Calculation Sheet'!$B$36)</f>
        <v/>
      </c>
    </row>
    <row r="1616" outlineLevel="3" ht="15" customHeight="1">
      <c r="A1616" s="69" t="inlineStr">
        <is>
          <t xml:space="preserve">            Bid Sheet / Auction</t>
        </is>
      </c>
      <c r="B1616" s="70">
        <f>IF('Final Calculation Sheet'!$D$36="","",'Final Calculation Sheet'!$D$36)</f>
        <v/>
      </c>
    </row>
    <row r="1617" outlineLevel="3" ht="15" customHeight="1">
      <c r="A1617" s="69" t="inlineStr">
        <is>
          <t xml:space="preserve">            Quantity</t>
        </is>
      </c>
      <c r="B1617" s="74">
        <f>IF('Final Calculation Sheet'!$A$36="","",'Final Calculation Sheet'!$A$36)</f>
        <v/>
      </c>
    </row>
    <row r="1618" outlineLevel="3" ht="15" customHeight="1">
      <c r="A1618" s="69" t="inlineStr">
        <is>
          <t xml:space="preserve">            Unit</t>
        </is>
      </c>
      <c r="B1618" s="76">
        <f>IF('Final Calculation Sheet'!$E$36="","",'Final Calculation Sheet'!$E$36)</f>
        <v/>
      </c>
    </row>
    <row r="1619" outlineLevel="3" ht="15" customHeight="1">
      <c r="A1619" s="69" t="inlineStr">
        <is>
          <t xml:space="preserve">            Rate (₹)</t>
        </is>
      </c>
      <c r="B1619" s="70">
        <f>IF('Final Calculation Sheet'!$C$36="","",'Final Calculation Sheet'!$C$36)</f>
        <v/>
      </c>
    </row>
    <row r="1620" outlineLevel="2" ht="16" customHeight="1">
      <c r="A1620" s="448" t="inlineStr">
        <is>
          <t xml:space="preserve">      ▸ FINANCIALS</t>
        </is>
      </c>
      <c r="B1620" s="449" t="n"/>
    </row>
    <row r="1621" outlineLevel="3" ht="15" customHeight="1">
      <c r="A1621" s="69" t="inlineStr">
        <is>
          <t xml:space="preserve">            Mat. Value (₹)</t>
        </is>
      </c>
      <c r="B1621" s="70">
        <f>IF('Final Calculation Sheet'!$H$36="","",'Final Calculation Sheet'!$H$36)</f>
        <v/>
      </c>
    </row>
    <row r="1622" outlineLevel="3" ht="15" customHeight="1">
      <c r="A1622" s="69" t="inlineStr">
        <is>
          <t xml:space="preserve">            GST @ 18% (₹)</t>
        </is>
      </c>
      <c r="B1622" s="70">
        <f>IF('Final Calculation Sheet'!$I$36="","",'Final Calculation Sheet'!$I$36)</f>
        <v/>
      </c>
    </row>
    <row r="1623" outlineLevel="3" ht="15" customHeight="1">
      <c r="A1623" s="69" t="inlineStr">
        <is>
          <t xml:space="preserve">            Mat. Value + GST (₹)</t>
        </is>
      </c>
      <c r="B1623" s="70">
        <f>IF('Final Calculation Sheet'!$J$36="","",'Final Calculation Sheet'!$J$36)</f>
        <v/>
      </c>
    </row>
    <row r="1624" outlineLevel="3" ht="15" customHeight="1">
      <c r="A1624" s="69" t="inlineStr">
        <is>
          <t xml:space="preserve">            TCS @ 2% (₹)</t>
        </is>
      </c>
      <c r="B1624" s="70">
        <f>IF('Final Calculation Sheet'!$K$36="","",'Final Calculation Sheet'!$K$36)</f>
        <v/>
      </c>
    </row>
    <row r="1625" outlineLevel="3" ht="15" customHeight="1">
      <c r="A1625" s="69" t="inlineStr">
        <is>
          <t xml:space="preserve">            TDS u/s 194(O) (₹)</t>
        </is>
      </c>
      <c r="B1625" s="78">
        <f>IF('Final Calculation Sheet'!$L$36="","",'Final Calculation Sheet'!$L$36)</f>
        <v/>
      </c>
    </row>
    <row r="1626" outlineLevel="3" ht="15" customHeight="1">
      <c r="A1626" s="69" t="inlineStr">
        <is>
          <t xml:space="preserve">            Service Charge gross (₹)</t>
        </is>
      </c>
      <c r="B1626" s="78">
        <f>IF('Final Calculation Sheet'!$M$36="","",'Final Calculation Sheet'!$M$36)</f>
        <v/>
      </c>
    </row>
    <row r="1627" outlineLevel="3" ht="15" customHeight="1">
      <c r="A1627" s="69" t="inlineStr">
        <is>
          <t xml:space="preserve">            TDS u/s 194(H) (₹)</t>
        </is>
      </c>
      <c r="B1627" s="78">
        <f>IF('Final Calculation Sheet'!$N$36="","",'Final Calculation Sheet'!$N$36)</f>
        <v/>
      </c>
    </row>
    <row r="1628" outlineLevel="3" ht="15" customHeight="1">
      <c r="A1628" s="69" t="inlineStr">
        <is>
          <t xml:space="preserve">            Net Service Charge (₹)</t>
        </is>
      </c>
      <c r="B1628" s="78">
        <f>IF('Final Calculation Sheet'!$O$36="","",'Final Calculation Sheet'!$O$36)</f>
        <v/>
      </c>
    </row>
    <row r="1629" outlineLevel="3" ht="15" customHeight="1">
      <c r="A1629" s="69" t="inlineStr">
        <is>
          <t xml:space="preserve">            Svc Charge to MSTC (₹)</t>
        </is>
      </c>
      <c r="B1629" s="70">
        <f>IF('Final Calculation Sheet'!$P$36="","",'Final Calculation Sheet'!$P$36)</f>
        <v/>
      </c>
    </row>
    <row r="1630" outlineLevel="3" ht="15" customHeight="1">
      <c r="A1630" s="69" t="inlineStr">
        <is>
          <t xml:space="preserve">            GST TDS Rate</t>
        </is>
      </c>
      <c r="B1630" s="80">
        <f>IF('Final Calculation Sheet'!$Q$36="","",'Final Calculation Sheet'!$Q$36)</f>
        <v/>
      </c>
    </row>
    <row r="1631" outlineLevel="3" ht="15" customHeight="1">
      <c r="A1631" s="69" t="inlineStr">
        <is>
          <t xml:space="preserve">            GST TDS (₹)</t>
        </is>
      </c>
      <c r="B1631" s="70">
        <f>IF('Final Calculation Sheet'!$R$36="","",'Final Calculation Sheet'!$R$36)</f>
        <v/>
      </c>
    </row>
    <row r="1632" outlineLevel="3" ht="15" customHeight="1">
      <c r="A1632" s="69" t="inlineStr">
        <is>
          <t xml:space="preserve">            Total Receivables (₹)</t>
        </is>
      </c>
      <c r="B1632" s="70">
        <f>IF('Final Calculation Sheet'!$S$36="","",'Final Calculation Sheet'!$S$36)</f>
        <v/>
      </c>
    </row>
    <row r="1633" outlineLevel="2" ht="16" customHeight="1">
      <c r="A1633" s="448" t="inlineStr">
        <is>
          <t xml:space="preserve">      ▸ SECURITY DEPOSIT</t>
        </is>
      </c>
      <c r="B1633" s="449" t="n"/>
    </row>
    <row r="1634" outlineLevel="3" ht="15" customHeight="1">
      <c r="A1634" s="69" t="inlineStr">
        <is>
          <t xml:space="preserve">            SD Expected (₹)</t>
        </is>
      </c>
      <c r="B1634" s="70">
        <f>IF('Final Calculation Sheet'!$T$36="","",'Final Calculation Sheet'!$T$36)</f>
        <v/>
      </c>
    </row>
    <row r="1635" outlineLevel="3" ht="15" customHeight="1">
      <c r="A1635" s="69" t="inlineStr">
        <is>
          <t xml:space="preserve">            SD Received (₹)</t>
        </is>
      </c>
      <c r="B1635" s="70">
        <f>IF('Final Calculation Sheet'!$U$36="","",'Final Calculation Sheet'!$U$36)</f>
        <v/>
      </c>
    </row>
    <row r="1636" outlineLevel="3" ht="15" customHeight="1">
      <c r="A1636" s="69" t="inlineStr">
        <is>
          <t xml:space="preserve">            SD Receipt Date</t>
        </is>
      </c>
      <c r="B1636" s="76">
        <f>IF('Final Calculation Sheet'!$V$36="","",'Final Calculation Sheet'!$V$36)</f>
        <v/>
      </c>
    </row>
    <row r="1637" outlineLevel="2" ht="16" customHeight="1">
      <c r="A1637" s="448" t="inlineStr">
        <is>
          <t xml:space="preserve">      ▸ FINAL PAYMENT</t>
        </is>
      </c>
      <c r="B1637" s="449" t="n"/>
    </row>
    <row r="1638" outlineLevel="3" ht="15" customHeight="1">
      <c r="A1638" s="69" t="inlineStr">
        <is>
          <t xml:space="preserve">            FP Expected (₹)</t>
        </is>
      </c>
      <c r="B1638" s="70">
        <f>IF('Final Calculation Sheet'!$W$36="","",'Final Calculation Sheet'!$W$36)</f>
        <v/>
      </c>
    </row>
    <row r="1639" outlineLevel="3" ht="15" customHeight="1">
      <c r="A1639" s="69" t="inlineStr">
        <is>
          <t xml:space="preserve">            FP Received (₹)</t>
        </is>
      </c>
      <c r="B1639" s="70">
        <f>IF('Final Calculation Sheet'!$X$36="","",'Final Calculation Sheet'!$X$36)</f>
        <v/>
      </c>
    </row>
    <row r="1640" outlineLevel="3" ht="15" customHeight="1">
      <c r="A1640" s="69" t="inlineStr">
        <is>
          <t xml:space="preserve">            FP Receipt Date</t>
        </is>
      </c>
      <c r="B1640" s="76">
        <f>IF('Final Calculation Sheet'!$Y$36="","",'Final Calculation Sheet'!$Y$36)</f>
        <v/>
      </c>
    </row>
    <row r="1641" outlineLevel="2" ht="16" customHeight="1">
      <c r="A1641" s="448" t="inlineStr">
        <is>
          <t xml:space="preserve">      ▸ LPP</t>
        </is>
      </c>
      <c r="B1641" s="449" t="n"/>
    </row>
    <row r="1642" outlineLevel="3" ht="15" customHeight="1">
      <c r="A1642" s="69" t="inlineStr">
        <is>
          <t xml:space="preserve">            LPP Expected (₹)</t>
        </is>
      </c>
      <c r="B1642" s="70">
        <f>IF('Final Calculation Sheet'!$Z$36="","",'Final Calculation Sheet'!$Z$36)</f>
        <v/>
      </c>
    </row>
    <row r="1643" outlineLevel="3" ht="15" customHeight="1">
      <c r="A1643" s="69" t="inlineStr">
        <is>
          <t xml:space="preserve">            LPP Received (₹)</t>
        </is>
      </c>
      <c r="B1643" s="70">
        <f>IF('Final Calculation Sheet'!$AA$36="","",'Final Calculation Sheet'!$AA$36)</f>
        <v/>
      </c>
    </row>
    <row r="1644" outlineLevel="3" ht="15" customHeight="1">
      <c r="A1644" s="69" t="inlineStr">
        <is>
          <t xml:space="preserve">            LPP Receipt Date</t>
        </is>
      </c>
      <c r="B1644" s="76">
        <f>IF('Final Calculation Sheet'!$AB$36="","",'Final Calculation Sheet'!$AB$36)</f>
        <v/>
      </c>
    </row>
    <row r="1645" outlineLevel="2" ht="16" customHeight="1">
      <c r="A1645" s="448" t="inlineStr">
        <is>
          <t xml:space="preserve">      ▸ SUMMARY</t>
        </is>
      </c>
      <c r="B1645" s="449" t="n"/>
    </row>
    <row r="1646" outlineLevel="3" ht="15" customHeight="1">
      <c r="A1646" s="69" t="inlineStr">
        <is>
          <t xml:space="preserve">            Total Received (₹)</t>
        </is>
      </c>
      <c r="B1646" s="70">
        <f>IF('Final Calculation Sheet'!$AC$36="","",'Final Calculation Sheet'!$AC$36)</f>
        <v/>
      </c>
    </row>
    <row r="1647" outlineLevel="3" ht="15" customHeight="1">
      <c r="A1647" s="69" t="inlineStr">
        <is>
          <t xml:space="preserve">            Outstanding (₹)</t>
        </is>
      </c>
      <c r="B1647" s="70">
        <f>IF('Final Calculation Sheet'!$AD$36="","",'Final Calculation Sheet'!$AD$36)</f>
        <v/>
      </c>
    </row>
    <row r="1648" outlineLevel="3" ht="15" customHeight="1">
      <c r="A1648" s="69" t="inlineStr">
        <is>
          <t xml:space="preserve">            Payment Status</t>
        </is>
      </c>
      <c r="B1648" s="81">
        <f>IF('Final Calculation Sheet'!$AD$36="","",IF('Final Calculation Sheet'!$AD$36&lt;=0,"SETTLED","OUTSTANDING"))</f>
        <v/>
      </c>
    </row>
    <row r="1649" outlineLevel="2" ht="16" customHeight="1">
      <c r="A1649" s="448" t="inlineStr">
        <is>
          <t xml:space="preserve">      ▸ DOCUMENT</t>
        </is>
      </c>
      <c r="B1649" s="449" t="n"/>
    </row>
    <row r="1650" outlineLevel="3" ht="15" customHeight="1">
      <c r="A1650" s="69" t="inlineStr">
        <is>
          <t xml:space="preserve">            Invoice No.</t>
        </is>
      </c>
      <c r="B1650" s="76">
        <f>IF('Final Calculation Sheet'!$AE$36="","",'Final Calculation Sheet'!$AE$36)</f>
        <v/>
      </c>
    </row>
    <row r="1651" outlineLevel="3" ht="15" customHeight="1">
      <c r="A1651" s="69" t="inlineStr">
        <is>
          <t xml:space="preserve">            SAP Document</t>
        </is>
      </c>
      <c r="B1651" s="70">
        <f>IF('Final Calculation Sheet'!$AF$36="","",'Final Calculation Sheet'!$AF$36)</f>
        <v/>
      </c>
    </row>
    <row r="1652" outlineLevel="3" ht="15" customHeight="1">
      <c r="A1652" s="69" t="inlineStr">
        <is>
          <t xml:space="preserve">            Doc./Invoice Date</t>
        </is>
      </c>
      <c r="B1652" s="76">
        <f>IF('Final Calculation Sheet'!$AG$36="","",'Final Calculation Sheet'!$AG$36)</f>
        <v/>
      </c>
    </row>
    <row r="1653" outlineLevel="1" ht="20" customHeight="1">
      <c r="A1653" s="450" t="inlineStr">
        <is>
          <t xml:space="preserve">   ∑  STERLING ENTERPRISES — TOTALS (all its lots)</t>
        </is>
      </c>
      <c r="B1653" s="284" t="n"/>
    </row>
    <row r="1654" outlineLevel="2" ht="15" customHeight="1">
      <c r="A1654" s="451" t="inlineStr">
        <is>
          <t xml:space="preserve">         Quantity</t>
        </is>
      </c>
      <c r="B1654" s="452">
        <f>SUMIF('Final Calculation Sheet'!$G$4:$G$1000,"STERLING ENTERPRISES",'Final Calculation Sheet'!$A$4:$A$1000)</f>
        <v/>
      </c>
    </row>
    <row r="1655" outlineLevel="2" ht="15" customHeight="1">
      <c r="A1655" s="451" t="inlineStr">
        <is>
          <t xml:space="preserve">         Mat. Value (₹)</t>
        </is>
      </c>
      <c r="B1655" s="453">
        <f>SUMIF('Final Calculation Sheet'!$G$4:$G$1000,"STERLING ENTERPRISES",'Final Calculation Sheet'!$H$4:$H$1000)</f>
        <v/>
      </c>
    </row>
    <row r="1656" outlineLevel="2" ht="15" customHeight="1">
      <c r="A1656" s="451" t="inlineStr">
        <is>
          <t xml:space="preserve">         GST @ 18% (₹)</t>
        </is>
      </c>
      <c r="B1656" s="453">
        <f>SUMIF('Final Calculation Sheet'!$G$4:$G$1000,"STERLING ENTERPRISES",'Final Calculation Sheet'!$I$4:$I$1000)</f>
        <v/>
      </c>
    </row>
    <row r="1657" outlineLevel="2" ht="15" customHeight="1">
      <c r="A1657" s="451" t="inlineStr">
        <is>
          <t xml:space="preserve">         Mat. Value + GST (₹)</t>
        </is>
      </c>
      <c r="B1657" s="453">
        <f>SUMIF('Final Calculation Sheet'!$G$4:$G$1000,"STERLING ENTERPRISES",'Final Calculation Sheet'!$J$4:$J$1000)</f>
        <v/>
      </c>
    </row>
    <row r="1658" outlineLevel="2" ht="15" customHeight="1">
      <c r="A1658" s="451" t="inlineStr">
        <is>
          <t xml:space="preserve">         TCS @ 2% (₹)</t>
        </is>
      </c>
      <c r="B1658" s="453">
        <f>SUMIF('Final Calculation Sheet'!$G$4:$G$1000,"STERLING ENTERPRISES",'Final Calculation Sheet'!$K$4:$K$1000)</f>
        <v/>
      </c>
    </row>
    <row r="1659" outlineLevel="2" ht="15" customHeight="1">
      <c r="A1659" s="451" t="inlineStr">
        <is>
          <t xml:space="preserve">         TDS u/s 194(O) (₹)</t>
        </is>
      </c>
      <c r="B1659" s="454">
        <f>SUMIF('Final Calculation Sheet'!$G$4:$G$1000,"STERLING ENTERPRISES",'Final Calculation Sheet'!$L$4:$L$1000)</f>
        <v/>
      </c>
    </row>
    <row r="1660" outlineLevel="2" ht="15" customHeight="1">
      <c r="A1660" s="451" t="inlineStr">
        <is>
          <t xml:space="preserve">         Service Charge gross (₹)</t>
        </is>
      </c>
      <c r="B1660" s="454">
        <f>SUMIF('Final Calculation Sheet'!$G$4:$G$1000,"STERLING ENTERPRISES",'Final Calculation Sheet'!$M$4:$M$1000)</f>
        <v/>
      </c>
    </row>
    <row r="1661" outlineLevel="2" ht="15" customHeight="1">
      <c r="A1661" s="451" t="inlineStr">
        <is>
          <t xml:space="preserve">         TDS u/s 194(H) (₹)</t>
        </is>
      </c>
      <c r="B1661" s="454">
        <f>SUMIF('Final Calculation Sheet'!$G$4:$G$1000,"STERLING ENTERPRISES",'Final Calculation Sheet'!$N$4:$N$1000)</f>
        <v/>
      </c>
    </row>
    <row r="1662" outlineLevel="2" ht="15" customHeight="1">
      <c r="A1662" s="451" t="inlineStr">
        <is>
          <t xml:space="preserve">         Net Service Charge (₹)</t>
        </is>
      </c>
      <c r="B1662" s="454">
        <f>SUMIF('Final Calculation Sheet'!$G$4:$G$1000,"STERLING ENTERPRISES",'Final Calculation Sheet'!$O$4:$O$1000)</f>
        <v/>
      </c>
    </row>
    <row r="1663" outlineLevel="2" ht="15" customHeight="1">
      <c r="A1663" s="451" t="inlineStr">
        <is>
          <t xml:space="preserve">         Svc Charge to MSTC (₹)</t>
        </is>
      </c>
      <c r="B1663" s="453">
        <f>SUMIF('Final Calculation Sheet'!$G$4:$G$1000,"STERLING ENTERPRISES",'Final Calculation Sheet'!$P$4:$P$1000)</f>
        <v/>
      </c>
    </row>
    <row r="1664" outlineLevel="2" ht="15" customHeight="1">
      <c r="A1664" s="451" t="inlineStr">
        <is>
          <t xml:space="preserve">         GST TDS (₹)</t>
        </is>
      </c>
      <c r="B1664" s="453">
        <f>SUMIF('Final Calculation Sheet'!$G$4:$G$1000,"STERLING ENTERPRISES",'Final Calculation Sheet'!$R$4:$R$1000)</f>
        <v/>
      </c>
    </row>
    <row r="1665" outlineLevel="2" ht="15" customHeight="1">
      <c r="A1665" s="451" t="inlineStr">
        <is>
          <t xml:space="preserve">         Total Receivables (₹)</t>
        </is>
      </c>
      <c r="B1665" s="453">
        <f>SUMIF('Final Calculation Sheet'!$G$4:$G$1000,"STERLING ENTERPRISES",'Final Calculation Sheet'!$S$4:$S$1000)</f>
        <v/>
      </c>
    </row>
    <row r="1666" outlineLevel="2" ht="15" customHeight="1">
      <c r="A1666" s="451" t="inlineStr">
        <is>
          <t xml:space="preserve">         SD Expected (₹)</t>
        </is>
      </c>
      <c r="B1666" s="453">
        <f>SUMIF('Final Calculation Sheet'!$G$4:$G$1000,"STERLING ENTERPRISES",'Final Calculation Sheet'!$T$4:$T$1000)</f>
        <v/>
      </c>
    </row>
    <row r="1667" outlineLevel="2" ht="15" customHeight="1">
      <c r="A1667" s="451" t="inlineStr">
        <is>
          <t xml:space="preserve">         SD Received (₹)</t>
        </is>
      </c>
      <c r="B1667" s="453">
        <f>SUMIF('Final Calculation Sheet'!$G$4:$G$1000,"STERLING ENTERPRISES",'Final Calculation Sheet'!$U$4:$U$1000)</f>
        <v/>
      </c>
    </row>
    <row r="1668" outlineLevel="2" ht="15" customHeight="1">
      <c r="A1668" s="451" t="inlineStr">
        <is>
          <t xml:space="preserve">         FP Expected (₹)</t>
        </is>
      </c>
      <c r="B1668" s="453">
        <f>SUMIF('Final Calculation Sheet'!$G$4:$G$1000,"STERLING ENTERPRISES",'Final Calculation Sheet'!$W$4:$W$1000)</f>
        <v/>
      </c>
    </row>
    <row r="1669" outlineLevel="2" ht="15" customHeight="1">
      <c r="A1669" s="451" t="inlineStr">
        <is>
          <t xml:space="preserve">         FP Received (₹)</t>
        </is>
      </c>
      <c r="B1669" s="453">
        <f>SUMIF('Final Calculation Sheet'!$G$4:$G$1000,"STERLING ENTERPRISES",'Final Calculation Sheet'!$X$4:$X$1000)</f>
        <v/>
      </c>
    </row>
    <row r="1670" outlineLevel="2" ht="15" customHeight="1">
      <c r="A1670" s="451" t="inlineStr">
        <is>
          <t xml:space="preserve">         LPP Expected (₹)</t>
        </is>
      </c>
      <c r="B1670" s="453">
        <f>SUMIF('Final Calculation Sheet'!$G$4:$G$1000,"STERLING ENTERPRISES",'Final Calculation Sheet'!$Z$4:$Z$1000)</f>
        <v/>
      </c>
    </row>
    <row r="1671" outlineLevel="2" ht="15" customHeight="1">
      <c r="A1671" s="451" t="inlineStr">
        <is>
          <t xml:space="preserve">         LPP Received (₹)</t>
        </is>
      </c>
      <c r="B1671" s="453">
        <f>SUMIF('Final Calculation Sheet'!$G$4:$G$1000,"STERLING ENTERPRISES",'Final Calculation Sheet'!$AA$4:$AA$1000)</f>
        <v/>
      </c>
    </row>
    <row r="1672" outlineLevel="2" ht="15" customHeight="1">
      <c r="A1672" s="451" t="inlineStr">
        <is>
          <t xml:space="preserve">         Total Received (₹)</t>
        </is>
      </c>
      <c r="B1672" s="453">
        <f>SUMIF('Final Calculation Sheet'!$G$4:$G$1000,"STERLING ENTERPRISES",'Final Calculation Sheet'!$AC$4:$AC$1000)</f>
        <v/>
      </c>
    </row>
    <row r="1673" outlineLevel="2" ht="15" customHeight="1">
      <c r="A1673" s="451" t="inlineStr">
        <is>
          <t xml:space="preserve">         Outstanding (₹)</t>
        </is>
      </c>
      <c r="B1673" s="453">
        <f>SUMIF('Final Calculation Sheet'!$G$4:$G$1000,"STERLING ENTERPRISES",'Final Calculation Sheet'!$AD$4:$AD$1000)</f>
        <v/>
      </c>
    </row>
    <row r="1674" ht="7" customHeight="1">
      <c r="A1674" s="82" t="n"/>
      <c r="B1674" s="82" t="n"/>
    </row>
    <row r="1675" ht="24" customHeight="1">
      <c r="A1675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1675" s="296" t="n"/>
    </row>
    <row r="1676" outlineLevel="1" ht="20" customHeight="1">
      <c r="A1676" s="455">
        <f>"   ▸  LOT "&amp;'Final Calculation Sheet'!$F$25&amp;"   •   "&amp;'Final Calculation Sheet'!$B$25&amp;"   •   MAT. VALUE ₹"&amp;TEXT('Final Calculation Sheet'!$H$25,"#,##0")&amp;"   •   OUTSTANDING ₹"&amp;TEXT('Final Calculation Sheet'!$AD$25,"#,##0")</f>
        <v/>
      </c>
      <c r="B1676" s="120" t="n"/>
    </row>
    <row r="1677" outlineLevel="2" ht="16" customHeight="1">
      <c r="A1677" s="456" t="inlineStr">
        <is>
          <t xml:space="preserve">      ▸ LOT INFORMATION</t>
        </is>
      </c>
      <c r="B1677" s="457" t="n"/>
    </row>
    <row r="1678" outlineLevel="3" ht="15" customHeight="1">
      <c r="A1678" s="69" t="inlineStr">
        <is>
          <t xml:space="preserve">            Lot No.</t>
        </is>
      </c>
      <c r="B1678" s="70">
        <f>IF('Final Calculation Sheet'!$F$25="","",'Final Calculation Sheet'!$F$25)</f>
        <v/>
      </c>
    </row>
    <row r="1679" outlineLevel="3" ht="15" customHeight="1">
      <c r="A1679" s="69" t="inlineStr">
        <is>
          <t xml:space="preserve">            Lot Name</t>
        </is>
      </c>
      <c r="B1679" s="76">
        <f>IF('Final Calculation Sheet'!$B$25="","",'Final Calculation Sheet'!$B$25)</f>
        <v/>
      </c>
    </row>
    <row r="1680" outlineLevel="3" ht="15" customHeight="1">
      <c r="A1680" s="69" t="inlineStr">
        <is>
          <t xml:space="preserve">            Bid Sheet / Auction</t>
        </is>
      </c>
      <c r="B1680" s="70">
        <f>IF('Final Calculation Sheet'!$D$25="","",'Final Calculation Sheet'!$D$25)</f>
        <v/>
      </c>
    </row>
    <row r="1681" outlineLevel="3" ht="15" customHeight="1">
      <c r="A1681" s="69" t="inlineStr">
        <is>
          <t xml:space="preserve">            Quantity</t>
        </is>
      </c>
      <c r="B1681" s="74">
        <f>IF('Final Calculation Sheet'!$A$25="","",'Final Calculation Sheet'!$A$25)</f>
        <v/>
      </c>
    </row>
    <row r="1682" outlineLevel="3" ht="15" customHeight="1">
      <c r="A1682" s="69" t="inlineStr">
        <is>
          <t xml:space="preserve">            Unit</t>
        </is>
      </c>
      <c r="B1682" s="76">
        <f>IF('Final Calculation Sheet'!$E$25="","",'Final Calculation Sheet'!$E$25)</f>
        <v/>
      </c>
    </row>
    <row r="1683" outlineLevel="3" ht="15" customHeight="1">
      <c r="A1683" s="69" t="inlineStr">
        <is>
          <t xml:space="preserve">            Rate (₹)</t>
        </is>
      </c>
      <c r="B1683" s="70">
        <f>IF('Final Calculation Sheet'!$C$25="","",'Final Calculation Sheet'!$C$25)</f>
        <v/>
      </c>
    </row>
    <row r="1684" outlineLevel="2" ht="16" customHeight="1">
      <c r="A1684" s="456" t="inlineStr">
        <is>
          <t xml:space="preserve">      ▸ FINANCIALS</t>
        </is>
      </c>
      <c r="B1684" s="457" t="n"/>
    </row>
    <row r="1685" outlineLevel="3" ht="15" customHeight="1">
      <c r="A1685" s="69" t="inlineStr">
        <is>
          <t xml:space="preserve">            Mat. Value (₹)</t>
        </is>
      </c>
      <c r="B1685" s="70">
        <f>IF('Final Calculation Sheet'!$H$25="","",'Final Calculation Sheet'!$H$25)</f>
        <v/>
      </c>
    </row>
    <row r="1686" outlineLevel="3" ht="15" customHeight="1">
      <c r="A1686" s="69" t="inlineStr">
        <is>
          <t xml:space="preserve">            GST @ 18% (₹)</t>
        </is>
      </c>
      <c r="B1686" s="70">
        <f>IF('Final Calculation Sheet'!$I$25="","",'Final Calculation Sheet'!$I$25)</f>
        <v/>
      </c>
    </row>
    <row r="1687" outlineLevel="3" ht="15" customHeight="1">
      <c r="A1687" s="69" t="inlineStr">
        <is>
          <t xml:space="preserve">            Mat. Value + GST (₹)</t>
        </is>
      </c>
      <c r="B1687" s="70">
        <f>IF('Final Calculation Sheet'!$J$25="","",'Final Calculation Sheet'!$J$25)</f>
        <v/>
      </c>
    </row>
    <row r="1688" outlineLevel="3" ht="15" customHeight="1">
      <c r="A1688" s="69" t="inlineStr">
        <is>
          <t xml:space="preserve">            TCS @ 2% (₹)</t>
        </is>
      </c>
      <c r="B1688" s="70">
        <f>IF('Final Calculation Sheet'!$K$25="","",'Final Calculation Sheet'!$K$25)</f>
        <v/>
      </c>
    </row>
    <row r="1689" outlineLevel="3" ht="15" customHeight="1">
      <c r="A1689" s="69" t="inlineStr">
        <is>
          <t xml:space="preserve">            TDS u/s 194(O) (₹)</t>
        </is>
      </c>
      <c r="B1689" s="78">
        <f>IF('Final Calculation Sheet'!$L$25="","",'Final Calculation Sheet'!$L$25)</f>
        <v/>
      </c>
    </row>
    <row r="1690" outlineLevel="3" ht="15" customHeight="1">
      <c r="A1690" s="69" t="inlineStr">
        <is>
          <t xml:space="preserve">            Service Charge gross (₹)</t>
        </is>
      </c>
      <c r="B1690" s="78">
        <f>IF('Final Calculation Sheet'!$M$25="","",'Final Calculation Sheet'!$M$25)</f>
        <v/>
      </c>
    </row>
    <row r="1691" outlineLevel="3" ht="15" customHeight="1">
      <c r="A1691" s="69" t="inlineStr">
        <is>
          <t xml:space="preserve">            TDS u/s 194(H) (₹)</t>
        </is>
      </c>
      <c r="B1691" s="78">
        <f>IF('Final Calculation Sheet'!$N$25="","",'Final Calculation Sheet'!$N$25)</f>
        <v/>
      </c>
    </row>
    <row r="1692" outlineLevel="3" ht="15" customHeight="1">
      <c r="A1692" s="69" t="inlineStr">
        <is>
          <t xml:space="preserve">            Net Service Charge (₹)</t>
        </is>
      </c>
      <c r="B1692" s="78">
        <f>IF('Final Calculation Sheet'!$O$25="","",'Final Calculation Sheet'!$O$25)</f>
        <v/>
      </c>
    </row>
    <row r="1693" outlineLevel="3" ht="15" customHeight="1">
      <c r="A1693" s="69" t="inlineStr">
        <is>
          <t xml:space="preserve">            Svc Charge to MSTC (₹)</t>
        </is>
      </c>
      <c r="B1693" s="70">
        <f>IF('Final Calculation Sheet'!$P$25="","",'Final Calculation Sheet'!$P$25)</f>
        <v/>
      </c>
    </row>
    <row r="1694" outlineLevel="3" ht="15" customHeight="1">
      <c r="A1694" s="69" t="inlineStr">
        <is>
          <t xml:space="preserve">            GST TDS Rate</t>
        </is>
      </c>
      <c r="B1694" s="80">
        <f>IF('Final Calculation Sheet'!$Q$25="","",'Final Calculation Sheet'!$Q$25)</f>
        <v/>
      </c>
    </row>
    <row r="1695" outlineLevel="3" ht="15" customHeight="1">
      <c r="A1695" s="69" t="inlineStr">
        <is>
          <t xml:space="preserve">            GST TDS (₹)</t>
        </is>
      </c>
      <c r="B1695" s="70">
        <f>IF('Final Calculation Sheet'!$R$25="","",'Final Calculation Sheet'!$R$25)</f>
        <v/>
      </c>
    </row>
    <row r="1696" outlineLevel="3" ht="15" customHeight="1">
      <c r="A1696" s="69" t="inlineStr">
        <is>
          <t xml:space="preserve">            Total Receivables (₹)</t>
        </is>
      </c>
      <c r="B1696" s="70">
        <f>IF('Final Calculation Sheet'!$S$25="","",'Final Calculation Sheet'!$S$25)</f>
        <v/>
      </c>
    </row>
    <row r="1697" outlineLevel="2" ht="16" customHeight="1">
      <c r="A1697" s="456" t="inlineStr">
        <is>
          <t xml:space="preserve">      ▸ SECURITY DEPOSIT</t>
        </is>
      </c>
      <c r="B1697" s="457" t="n"/>
    </row>
    <row r="1698" outlineLevel="3" ht="15" customHeight="1">
      <c r="A1698" s="69" t="inlineStr">
        <is>
          <t xml:space="preserve">            SD Expected (₹)</t>
        </is>
      </c>
      <c r="B1698" s="70">
        <f>IF('Final Calculation Sheet'!$T$25="","",'Final Calculation Sheet'!$T$25)</f>
        <v/>
      </c>
    </row>
    <row r="1699" outlineLevel="3" ht="15" customHeight="1">
      <c r="A1699" s="69" t="inlineStr">
        <is>
          <t xml:space="preserve">            SD Received (₹)</t>
        </is>
      </c>
      <c r="B1699" s="70">
        <f>IF('Final Calculation Sheet'!$U$25="","",'Final Calculation Sheet'!$U$25)</f>
        <v/>
      </c>
    </row>
    <row r="1700" outlineLevel="3" ht="15" customHeight="1">
      <c r="A1700" s="69" t="inlineStr">
        <is>
          <t xml:space="preserve">            SD Receipt Date</t>
        </is>
      </c>
      <c r="B1700" s="76">
        <f>IF('Final Calculation Sheet'!$V$25="","",'Final Calculation Sheet'!$V$25)</f>
        <v/>
      </c>
    </row>
    <row r="1701" outlineLevel="2" ht="16" customHeight="1">
      <c r="A1701" s="456" t="inlineStr">
        <is>
          <t xml:space="preserve">      ▸ FINAL PAYMENT</t>
        </is>
      </c>
      <c r="B1701" s="457" t="n"/>
    </row>
    <row r="1702" outlineLevel="3" ht="15" customHeight="1">
      <c r="A1702" s="69" t="inlineStr">
        <is>
          <t xml:space="preserve">            FP Expected (₹)</t>
        </is>
      </c>
      <c r="B1702" s="70">
        <f>IF('Final Calculation Sheet'!$W$25="","",'Final Calculation Sheet'!$W$25)</f>
        <v/>
      </c>
    </row>
    <row r="1703" outlineLevel="3" ht="15" customHeight="1">
      <c r="A1703" s="69" t="inlineStr">
        <is>
          <t xml:space="preserve">            FP Received (₹)</t>
        </is>
      </c>
      <c r="B1703" s="70">
        <f>IF('Final Calculation Sheet'!$X$25="","",'Final Calculation Sheet'!$X$25)</f>
        <v/>
      </c>
    </row>
    <row r="1704" outlineLevel="3" ht="15" customHeight="1">
      <c r="A1704" s="69" t="inlineStr">
        <is>
          <t xml:space="preserve">            FP Receipt Date</t>
        </is>
      </c>
      <c r="B1704" s="76">
        <f>IF('Final Calculation Sheet'!$Y$25="","",'Final Calculation Sheet'!$Y$25)</f>
        <v/>
      </c>
    </row>
    <row r="1705" outlineLevel="2" ht="16" customHeight="1">
      <c r="A1705" s="456" t="inlineStr">
        <is>
          <t xml:space="preserve">      ▸ LPP</t>
        </is>
      </c>
      <c r="B1705" s="457" t="n"/>
    </row>
    <row r="1706" outlineLevel="3" ht="15" customHeight="1">
      <c r="A1706" s="69" t="inlineStr">
        <is>
          <t xml:space="preserve">            LPP Expected (₹)</t>
        </is>
      </c>
      <c r="B1706" s="70">
        <f>IF('Final Calculation Sheet'!$Z$25="","",'Final Calculation Sheet'!$Z$25)</f>
        <v/>
      </c>
    </row>
    <row r="1707" outlineLevel="3" ht="15" customHeight="1">
      <c r="A1707" s="69" t="inlineStr">
        <is>
          <t xml:space="preserve">            LPP Received (₹)</t>
        </is>
      </c>
      <c r="B1707" s="70">
        <f>IF('Final Calculation Sheet'!$AA$25="","",'Final Calculation Sheet'!$AA$25)</f>
        <v/>
      </c>
    </row>
    <row r="1708" outlineLevel="3" ht="15" customHeight="1">
      <c r="A1708" s="69" t="inlineStr">
        <is>
          <t xml:space="preserve">            LPP Receipt Date</t>
        </is>
      </c>
      <c r="B1708" s="76">
        <f>IF('Final Calculation Sheet'!$AB$25="","",'Final Calculation Sheet'!$AB$25)</f>
        <v/>
      </c>
    </row>
    <row r="1709" outlineLevel="2" ht="16" customHeight="1">
      <c r="A1709" s="456" t="inlineStr">
        <is>
          <t xml:space="preserve">      ▸ SUMMARY</t>
        </is>
      </c>
      <c r="B1709" s="457" t="n"/>
    </row>
    <row r="1710" outlineLevel="3" ht="15" customHeight="1">
      <c r="A1710" s="69" t="inlineStr">
        <is>
          <t xml:space="preserve">            Total Received (₹)</t>
        </is>
      </c>
      <c r="B1710" s="70">
        <f>IF('Final Calculation Sheet'!$AC$25="","",'Final Calculation Sheet'!$AC$25)</f>
        <v/>
      </c>
    </row>
    <row r="1711" outlineLevel="3" ht="15" customHeight="1">
      <c r="A1711" s="69" t="inlineStr">
        <is>
          <t xml:space="preserve">            Outstanding (₹)</t>
        </is>
      </c>
      <c r="B1711" s="70">
        <f>IF('Final Calculation Sheet'!$AD$25="","",'Final Calculation Sheet'!$AD$25)</f>
        <v/>
      </c>
    </row>
    <row r="1712" outlineLevel="3" ht="15" customHeight="1">
      <c r="A1712" s="69" t="inlineStr">
        <is>
          <t xml:space="preserve">            Payment Status</t>
        </is>
      </c>
      <c r="B1712" s="81">
        <f>IF('Final Calculation Sheet'!$AD$25="","",IF('Final Calculation Sheet'!$AD$25&lt;=0,"SETTLED","OUTSTANDING"))</f>
        <v/>
      </c>
    </row>
    <row r="1713" outlineLevel="2" ht="16" customHeight="1">
      <c r="A1713" s="456" t="inlineStr">
        <is>
          <t xml:space="preserve">      ▸ DOCUMENT</t>
        </is>
      </c>
      <c r="B1713" s="457" t="n"/>
    </row>
    <row r="1714" outlineLevel="3" ht="15" customHeight="1">
      <c r="A1714" s="69" t="inlineStr">
        <is>
          <t xml:space="preserve">            Invoice No.</t>
        </is>
      </c>
      <c r="B1714" s="76">
        <f>IF('Final Calculation Sheet'!$AE$25="","",'Final Calculation Sheet'!$AE$25)</f>
        <v/>
      </c>
    </row>
    <row r="1715" outlineLevel="3" ht="15" customHeight="1">
      <c r="A1715" s="69" t="inlineStr">
        <is>
          <t xml:space="preserve">            SAP Document</t>
        </is>
      </c>
      <c r="B1715" s="70">
        <f>IF('Final Calculation Sheet'!$AF$25="","",'Final Calculation Sheet'!$AF$25)</f>
        <v/>
      </c>
    </row>
    <row r="1716" outlineLevel="3" ht="15" customHeight="1">
      <c r="A1716" s="69" t="inlineStr">
        <is>
          <t xml:space="preserve">            Doc./Invoice Date</t>
        </is>
      </c>
      <c r="B1716" s="76">
        <f>IF('Final Calculation Sheet'!$AG$25="","",'Final Calculation Sheet'!$AG$25)</f>
        <v/>
      </c>
    </row>
    <row r="1717" outlineLevel="1" ht="20" customHeight="1">
      <c r="A1717" s="455">
        <f>"   ▸  LOT "&amp;'Final Calculation Sheet'!$F$28&amp;"   •   "&amp;'Final Calculation Sheet'!$B$28&amp;"   •   MAT. VALUE ₹"&amp;TEXT('Final Calculation Sheet'!$H$28,"#,##0")&amp;"   •   OUTSTANDING ₹"&amp;TEXT('Final Calculation Sheet'!$AD$28,"#,##0")</f>
        <v/>
      </c>
      <c r="B1717" s="120" t="n"/>
    </row>
    <row r="1718" outlineLevel="2" ht="16" customHeight="1">
      <c r="A1718" s="456" t="inlineStr">
        <is>
          <t xml:space="preserve">      ▸ LOT INFORMATION</t>
        </is>
      </c>
      <c r="B1718" s="457" t="n"/>
    </row>
    <row r="1719" outlineLevel="3" ht="15" customHeight="1">
      <c r="A1719" s="69" t="inlineStr">
        <is>
          <t xml:space="preserve">            Lot No.</t>
        </is>
      </c>
      <c r="B1719" s="70">
        <f>IF('Final Calculation Sheet'!$F$28="","",'Final Calculation Sheet'!$F$28)</f>
        <v/>
      </c>
    </row>
    <row r="1720" outlineLevel="3" ht="15" customHeight="1">
      <c r="A1720" s="69" t="inlineStr">
        <is>
          <t xml:space="preserve">            Lot Name</t>
        </is>
      </c>
      <c r="B1720" s="76">
        <f>IF('Final Calculation Sheet'!$B$28="","",'Final Calculation Sheet'!$B$28)</f>
        <v/>
      </c>
    </row>
    <row r="1721" outlineLevel="3" ht="15" customHeight="1">
      <c r="A1721" s="69" t="inlineStr">
        <is>
          <t xml:space="preserve">            Bid Sheet / Auction</t>
        </is>
      </c>
      <c r="B1721" s="70">
        <f>IF('Final Calculation Sheet'!$D$28="","",'Final Calculation Sheet'!$D$28)</f>
        <v/>
      </c>
    </row>
    <row r="1722" outlineLevel="3" ht="15" customHeight="1">
      <c r="A1722" s="69" t="inlineStr">
        <is>
          <t xml:space="preserve">            Quantity</t>
        </is>
      </c>
      <c r="B1722" s="74">
        <f>IF('Final Calculation Sheet'!$A$28="","",'Final Calculation Sheet'!$A$28)</f>
        <v/>
      </c>
    </row>
    <row r="1723" outlineLevel="3" ht="15" customHeight="1">
      <c r="A1723" s="69" t="inlineStr">
        <is>
          <t xml:space="preserve">            Unit</t>
        </is>
      </c>
      <c r="B1723" s="76">
        <f>IF('Final Calculation Sheet'!$E$28="","",'Final Calculation Sheet'!$E$28)</f>
        <v/>
      </c>
    </row>
    <row r="1724" outlineLevel="3" ht="15" customHeight="1">
      <c r="A1724" s="69" t="inlineStr">
        <is>
          <t xml:space="preserve">            Rate (₹)</t>
        </is>
      </c>
      <c r="B1724" s="70">
        <f>IF('Final Calculation Sheet'!$C$28="","",'Final Calculation Sheet'!$C$28)</f>
        <v/>
      </c>
    </row>
    <row r="1725" outlineLevel="2" ht="16" customHeight="1">
      <c r="A1725" s="456" t="inlineStr">
        <is>
          <t xml:space="preserve">      ▸ FINANCIALS</t>
        </is>
      </c>
      <c r="B1725" s="457" t="n"/>
    </row>
    <row r="1726" outlineLevel="3" ht="15" customHeight="1">
      <c r="A1726" s="69" t="inlineStr">
        <is>
          <t xml:space="preserve">            Mat. Value (₹)</t>
        </is>
      </c>
      <c r="B1726" s="70">
        <f>IF('Final Calculation Sheet'!$H$28="","",'Final Calculation Sheet'!$H$28)</f>
        <v/>
      </c>
    </row>
    <row r="1727" outlineLevel="3" ht="15" customHeight="1">
      <c r="A1727" s="69" t="inlineStr">
        <is>
          <t xml:space="preserve">            GST @ 18% (₹)</t>
        </is>
      </c>
      <c r="B1727" s="70">
        <f>IF('Final Calculation Sheet'!$I$28="","",'Final Calculation Sheet'!$I$28)</f>
        <v/>
      </c>
    </row>
    <row r="1728" outlineLevel="3" ht="15" customHeight="1">
      <c r="A1728" s="69" t="inlineStr">
        <is>
          <t xml:space="preserve">            Mat. Value + GST (₹)</t>
        </is>
      </c>
      <c r="B1728" s="70">
        <f>IF('Final Calculation Sheet'!$J$28="","",'Final Calculation Sheet'!$J$28)</f>
        <v/>
      </c>
    </row>
    <row r="1729" outlineLevel="3" ht="15" customHeight="1">
      <c r="A1729" s="69" t="inlineStr">
        <is>
          <t xml:space="preserve">            TCS @ 2% (₹)</t>
        </is>
      </c>
      <c r="B1729" s="70">
        <f>IF('Final Calculation Sheet'!$K$28="","",'Final Calculation Sheet'!$K$28)</f>
        <v/>
      </c>
    </row>
    <row r="1730" outlineLevel="3" ht="15" customHeight="1">
      <c r="A1730" s="69" t="inlineStr">
        <is>
          <t xml:space="preserve">            TDS u/s 194(O) (₹)</t>
        </is>
      </c>
      <c r="B1730" s="78">
        <f>IF('Final Calculation Sheet'!$L$28="","",'Final Calculation Sheet'!$L$28)</f>
        <v/>
      </c>
    </row>
    <row r="1731" outlineLevel="3" ht="15" customHeight="1">
      <c r="A1731" s="69" t="inlineStr">
        <is>
          <t xml:space="preserve">            Service Charge gross (₹)</t>
        </is>
      </c>
      <c r="B1731" s="78">
        <f>IF('Final Calculation Sheet'!$M$28="","",'Final Calculation Sheet'!$M$28)</f>
        <v/>
      </c>
    </row>
    <row r="1732" outlineLevel="3" ht="15" customHeight="1">
      <c r="A1732" s="69" t="inlineStr">
        <is>
          <t xml:space="preserve">            TDS u/s 194(H) (₹)</t>
        </is>
      </c>
      <c r="B1732" s="78">
        <f>IF('Final Calculation Sheet'!$N$28="","",'Final Calculation Sheet'!$N$28)</f>
        <v/>
      </c>
    </row>
    <row r="1733" outlineLevel="3" ht="15" customHeight="1">
      <c r="A1733" s="69" t="inlineStr">
        <is>
          <t xml:space="preserve">            Net Service Charge (₹)</t>
        </is>
      </c>
      <c r="B1733" s="78">
        <f>IF('Final Calculation Sheet'!$O$28="","",'Final Calculation Sheet'!$O$28)</f>
        <v/>
      </c>
    </row>
    <row r="1734" outlineLevel="3" ht="15" customHeight="1">
      <c r="A1734" s="69" t="inlineStr">
        <is>
          <t xml:space="preserve">            Svc Charge to MSTC (₹)</t>
        </is>
      </c>
      <c r="B1734" s="70">
        <f>IF('Final Calculation Sheet'!$P$28="","",'Final Calculation Sheet'!$P$28)</f>
        <v/>
      </c>
    </row>
    <row r="1735" outlineLevel="3" ht="15" customHeight="1">
      <c r="A1735" s="69" t="inlineStr">
        <is>
          <t xml:space="preserve">            GST TDS Rate</t>
        </is>
      </c>
      <c r="B1735" s="80">
        <f>IF('Final Calculation Sheet'!$Q$28="","",'Final Calculation Sheet'!$Q$28)</f>
        <v/>
      </c>
    </row>
    <row r="1736" outlineLevel="3" ht="15" customHeight="1">
      <c r="A1736" s="69" t="inlineStr">
        <is>
          <t xml:space="preserve">            GST TDS (₹)</t>
        </is>
      </c>
      <c r="B1736" s="70">
        <f>IF('Final Calculation Sheet'!$R$28="","",'Final Calculation Sheet'!$R$28)</f>
        <v/>
      </c>
    </row>
    <row r="1737" outlineLevel="3" ht="15" customHeight="1">
      <c r="A1737" s="69" t="inlineStr">
        <is>
          <t xml:space="preserve">            Total Receivables (₹)</t>
        </is>
      </c>
      <c r="B1737" s="70">
        <f>IF('Final Calculation Sheet'!$S$28="","",'Final Calculation Sheet'!$S$28)</f>
        <v/>
      </c>
    </row>
    <row r="1738" outlineLevel="2" ht="16" customHeight="1">
      <c r="A1738" s="456" t="inlineStr">
        <is>
          <t xml:space="preserve">      ▸ SECURITY DEPOSIT</t>
        </is>
      </c>
      <c r="B1738" s="457" t="n"/>
    </row>
    <row r="1739" outlineLevel="3" ht="15" customHeight="1">
      <c r="A1739" s="69" t="inlineStr">
        <is>
          <t xml:space="preserve">            SD Expected (₹)</t>
        </is>
      </c>
      <c r="B1739" s="70">
        <f>IF('Final Calculation Sheet'!$T$28="","",'Final Calculation Sheet'!$T$28)</f>
        <v/>
      </c>
    </row>
    <row r="1740" outlineLevel="3" ht="15" customHeight="1">
      <c r="A1740" s="69" t="inlineStr">
        <is>
          <t xml:space="preserve">            SD Received (₹)</t>
        </is>
      </c>
      <c r="B1740" s="70">
        <f>IF('Final Calculation Sheet'!$U$28="","",'Final Calculation Sheet'!$U$28)</f>
        <v/>
      </c>
    </row>
    <row r="1741" outlineLevel="3" ht="15" customHeight="1">
      <c r="A1741" s="69" t="inlineStr">
        <is>
          <t xml:space="preserve">            SD Receipt Date</t>
        </is>
      </c>
      <c r="B1741" s="76">
        <f>IF('Final Calculation Sheet'!$V$28="","",'Final Calculation Sheet'!$V$28)</f>
        <v/>
      </c>
    </row>
    <row r="1742" outlineLevel="2" ht="16" customHeight="1">
      <c r="A1742" s="456" t="inlineStr">
        <is>
          <t xml:space="preserve">      ▸ FINAL PAYMENT</t>
        </is>
      </c>
      <c r="B1742" s="457" t="n"/>
    </row>
    <row r="1743" outlineLevel="3" ht="15" customHeight="1">
      <c r="A1743" s="69" t="inlineStr">
        <is>
          <t xml:space="preserve">            FP Expected (₹)</t>
        </is>
      </c>
      <c r="B1743" s="70">
        <f>IF('Final Calculation Sheet'!$W$28="","",'Final Calculation Sheet'!$W$28)</f>
        <v/>
      </c>
    </row>
    <row r="1744" outlineLevel="3" ht="15" customHeight="1">
      <c r="A1744" s="69" t="inlineStr">
        <is>
          <t xml:space="preserve">            FP Received (₹)</t>
        </is>
      </c>
      <c r="B1744" s="70">
        <f>IF('Final Calculation Sheet'!$X$28="","",'Final Calculation Sheet'!$X$28)</f>
        <v/>
      </c>
    </row>
    <row r="1745" outlineLevel="3" ht="15" customHeight="1">
      <c r="A1745" s="69" t="inlineStr">
        <is>
          <t xml:space="preserve">            FP Receipt Date</t>
        </is>
      </c>
      <c r="B1745" s="76">
        <f>IF('Final Calculation Sheet'!$Y$28="","",'Final Calculation Sheet'!$Y$28)</f>
        <v/>
      </c>
    </row>
    <row r="1746" outlineLevel="2" ht="16" customHeight="1">
      <c r="A1746" s="456" t="inlineStr">
        <is>
          <t xml:space="preserve">      ▸ LPP</t>
        </is>
      </c>
      <c r="B1746" s="457" t="n"/>
    </row>
    <row r="1747" outlineLevel="3" ht="15" customHeight="1">
      <c r="A1747" s="69" t="inlineStr">
        <is>
          <t xml:space="preserve">            LPP Expected (₹)</t>
        </is>
      </c>
      <c r="B1747" s="70">
        <f>IF('Final Calculation Sheet'!$Z$28="","",'Final Calculation Sheet'!$Z$28)</f>
        <v/>
      </c>
    </row>
    <row r="1748" outlineLevel="3" ht="15" customHeight="1">
      <c r="A1748" s="69" t="inlineStr">
        <is>
          <t xml:space="preserve">            LPP Received (₹)</t>
        </is>
      </c>
      <c r="B1748" s="70">
        <f>IF('Final Calculation Sheet'!$AA$28="","",'Final Calculation Sheet'!$AA$28)</f>
        <v/>
      </c>
    </row>
    <row r="1749" outlineLevel="3" ht="15" customHeight="1">
      <c r="A1749" s="69" t="inlineStr">
        <is>
          <t xml:space="preserve">            LPP Receipt Date</t>
        </is>
      </c>
      <c r="B1749" s="76">
        <f>IF('Final Calculation Sheet'!$AB$28="","",'Final Calculation Sheet'!$AB$28)</f>
        <v/>
      </c>
    </row>
    <row r="1750" outlineLevel="2" ht="16" customHeight="1">
      <c r="A1750" s="456" t="inlineStr">
        <is>
          <t xml:space="preserve">      ▸ SUMMARY</t>
        </is>
      </c>
      <c r="B1750" s="457" t="n"/>
    </row>
    <row r="1751" outlineLevel="3" ht="15" customHeight="1">
      <c r="A1751" s="69" t="inlineStr">
        <is>
          <t xml:space="preserve">            Total Received (₹)</t>
        </is>
      </c>
      <c r="B1751" s="70">
        <f>IF('Final Calculation Sheet'!$AC$28="","",'Final Calculation Sheet'!$AC$28)</f>
        <v/>
      </c>
    </row>
    <row r="1752" outlineLevel="3" ht="15" customHeight="1">
      <c r="A1752" s="69" t="inlineStr">
        <is>
          <t xml:space="preserve">            Outstanding (₹)</t>
        </is>
      </c>
      <c r="B1752" s="70">
        <f>IF('Final Calculation Sheet'!$AD$28="","",'Final Calculation Sheet'!$AD$28)</f>
        <v/>
      </c>
    </row>
    <row r="1753" outlineLevel="3" ht="15" customHeight="1">
      <c r="A1753" s="69" t="inlineStr">
        <is>
          <t xml:space="preserve">            Payment Status</t>
        </is>
      </c>
      <c r="B1753" s="81">
        <f>IF('Final Calculation Sheet'!$AD$28="","",IF('Final Calculation Sheet'!$AD$28&lt;=0,"SETTLED","OUTSTANDING"))</f>
        <v/>
      </c>
    </row>
    <row r="1754" outlineLevel="2" ht="16" customHeight="1">
      <c r="A1754" s="456" t="inlineStr">
        <is>
          <t xml:space="preserve">      ▸ DOCUMENT</t>
        </is>
      </c>
      <c r="B1754" s="457" t="n"/>
    </row>
    <row r="1755" outlineLevel="3" ht="15" customHeight="1">
      <c r="A1755" s="69" t="inlineStr">
        <is>
          <t xml:space="preserve">            Invoice No.</t>
        </is>
      </c>
      <c r="B1755" s="76">
        <f>IF('Final Calculation Sheet'!$AE$28="","",'Final Calculation Sheet'!$AE$28)</f>
        <v/>
      </c>
    </row>
    <row r="1756" outlineLevel="3" ht="15" customHeight="1">
      <c r="A1756" s="69" t="inlineStr">
        <is>
          <t xml:space="preserve">            SAP Document</t>
        </is>
      </c>
      <c r="B1756" s="70">
        <f>IF('Final Calculation Sheet'!$AF$28="","",'Final Calculation Sheet'!$AF$28)</f>
        <v/>
      </c>
    </row>
    <row r="1757" outlineLevel="3" ht="15" customHeight="1">
      <c r="A1757" s="69" t="inlineStr">
        <is>
          <t xml:space="preserve">            Doc./Invoice Date</t>
        </is>
      </c>
      <c r="B1757" s="76">
        <f>IF('Final Calculation Sheet'!$AG$28="","",'Final Calculation Sheet'!$AG$28)</f>
        <v/>
      </c>
    </row>
    <row r="1758" outlineLevel="1" ht="20" customHeight="1">
      <c r="A1758" s="455">
        <f>"   ▸  LOT "&amp;'Final Calculation Sheet'!$F$35&amp;"   •   "&amp;'Final Calculation Sheet'!$B$35&amp;"   •   MAT. VALUE ₹"&amp;TEXT('Final Calculation Sheet'!$H$35,"#,##0")&amp;"   •   OUTSTANDING ₹"&amp;TEXT('Final Calculation Sheet'!$AD$35,"#,##0")</f>
        <v/>
      </c>
      <c r="B1758" s="120" t="n"/>
    </row>
    <row r="1759" outlineLevel="2" ht="16" customHeight="1">
      <c r="A1759" s="456" t="inlineStr">
        <is>
          <t xml:space="preserve">      ▸ LOT INFORMATION</t>
        </is>
      </c>
      <c r="B1759" s="457" t="n"/>
    </row>
    <row r="1760" outlineLevel="3" ht="15" customHeight="1">
      <c r="A1760" s="69" t="inlineStr">
        <is>
          <t xml:space="preserve">            Lot No.</t>
        </is>
      </c>
      <c r="B1760" s="70">
        <f>IF('Final Calculation Sheet'!$F$35="","",'Final Calculation Sheet'!$F$35)</f>
        <v/>
      </c>
    </row>
    <row r="1761" outlineLevel="3" ht="15" customHeight="1">
      <c r="A1761" s="69" t="inlineStr">
        <is>
          <t xml:space="preserve">            Lot Name</t>
        </is>
      </c>
      <c r="B1761" s="76">
        <f>IF('Final Calculation Sheet'!$B$35="","",'Final Calculation Sheet'!$B$35)</f>
        <v/>
      </c>
    </row>
    <row r="1762" outlineLevel="3" ht="15" customHeight="1">
      <c r="A1762" s="69" t="inlineStr">
        <is>
          <t xml:space="preserve">            Bid Sheet / Auction</t>
        </is>
      </c>
      <c r="B1762" s="70">
        <f>IF('Final Calculation Sheet'!$D$35="","",'Final Calculation Sheet'!$D$35)</f>
        <v/>
      </c>
    </row>
    <row r="1763" outlineLevel="3" ht="15" customHeight="1">
      <c r="A1763" s="69" t="inlineStr">
        <is>
          <t xml:space="preserve">            Quantity</t>
        </is>
      </c>
      <c r="B1763" s="74">
        <f>IF('Final Calculation Sheet'!$A$35="","",'Final Calculation Sheet'!$A$35)</f>
        <v/>
      </c>
    </row>
    <row r="1764" outlineLevel="3" ht="15" customHeight="1">
      <c r="A1764" s="69" t="inlineStr">
        <is>
          <t xml:space="preserve">            Unit</t>
        </is>
      </c>
      <c r="B1764" s="76">
        <f>IF('Final Calculation Sheet'!$E$35="","",'Final Calculation Sheet'!$E$35)</f>
        <v/>
      </c>
    </row>
    <row r="1765" outlineLevel="3" ht="15" customHeight="1">
      <c r="A1765" s="69" t="inlineStr">
        <is>
          <t xml:space="preserve">            Rate (₹)</t>
        </is>
      </c>
      <c r="B1765" s="70">
        <f>IF('Final Calculation Sheet'!$C$35="","",'Final Calculation Sheet'!$C$35)</f>
        <v/>
      </c>
    </row>
    <row r="1766" outlineLevel="2" ht="16" customHeight="1">
      <c r="A1766" s="456" t="inlineStr">
        <is>
          <t xml:space="preserve">      ▸ FINANCIALS</t>
        </is>
      </c>
      <c r="B1766" s="457" t="n"/>
    </row>
    <row r="1767" outlineLevel="3" ht="15" customHeight="1">
      <c r="A1767" s="69" t="inlineStr">
        <is>
          <t xml:space="preserve">            Mat. Value (₹)</t>
        </is>
      </c>
      <c r="B1767" s="70">
        <f>IF('Final Calculation Sheet'!$H$35="","",'Final Calculation Sheet'!$H$35)</f>
        <v/>
      </c>
    </row>
    <row r="1768" outlineLevel="3" ht="15" customHeight="1">
      <c r="A1768" s="69" t="inlineStr">
        <is>
          <t xml:space="preserve">            GST @ 18% (₹)</t>
        </is>
      </c>
      <c r="B1768" s="70">
        <f>IF('Final Calculation Sheet'!$I$35="","",'Final Calculation Sheet'!$I$35)</f>
        <v/>
      </c>
    </row>
    <row r="1769" outlineLevel="3" ht="15" customHeight="1">
      <c r="A1769" s="69" t="inlineStr">
        <is>
          <t xml:space="preserve">            Mat. Value + GST (₹)</t>
        </is>
      </c>
      <c r="B1769" s="70">
        <f>IF('Final Calculation Sheet'!$J$35="","",'Final Calculation Sheet'!$J$35)</f>
        <v/>
      </c>
    </row>
    <row r="1770" outlineLevel="3" ht="15" customHeight="1">
      <c r="A1770" s="69" t="inlineStr">
        <is>
          <t xml:space="preserve">            TCS @ 2% (₹)</t>
        </is>
      </c>
      <c r="B1770" s="70">
        <f>IF('Final Calculation Sheet'!$K$35="","",'Final Calculation Sheet'!$K$35)</f>
        <v/>
      </c>
    </row>
    <row r="1771" outlineLevel="3" ht="15" customHeight="1">
      <c r="A1771" s="69" t="inlineStr">
        <is>
          <t xml:space="preserve">            TDS u/s 194(O) (₹)</t>
        </is>
      </c>
      <c r="B1771" s="78">
        <f>IF('Final Calculation Sheet'!$L$35="","",'Final Calculation Sheet'!$L$35)</f>
        <v/>
      </c>
    </row>
    <row r="1772" outlineLevel="3" ht="15" customHeight="1">
      <c r="A1772" s="69" t="inlineStr">
        <is>
          <t xml:space="preserve">            Service Charge gross (₹)</t>
        </is>
      </c>
      <c r="B1772" s="78">
        <f>IF('Final Calculation Sheet'!$M$35="","",'Final Calculation Sheet'!$M$35)</f>
        <v/>
      </c>
    </row>
    <row r="1773" outlineLevel="3" ht="15" customHeight="1">
      <c r="A1773" s="69" t="inlineStr">
        <is>
          <t xml:space="preserve">            TDS u/s 194(H) (₹)</t>
        </is>
      </c>
      <c r="B1773" s="78">
        <f>IF('Final Calculation Sheet'!$N$35="","",'Final Calculation Sheet'!$N$35)</f>
        <v/>
      </c>
    </row>
    <row r="1774" outlineLevel="3" ht="15" customHeight="1">
      <c r="A1774" s="69" t="inlineStr">
        <is>
          <t xml:space="preserve">            Net Service Charge (₹)</t>
        </is>
      </c>
      <c r="B1774" s="78">
        <f>IF('Final Calculation Sheet'!$O$35="","",'Final Calculation Sheet'!$O$35)</f>
        <v/>
      </c>
    </row>
    <row r="1775" outlineLevel="3" ht="15" customHeight="1">
      <c r="A1775" s="69" t="inlineStr">
        <is>
          <t xml:space="preserve">            Svc Charge to MSTC (₹)</t>
        </is>
      </c>
      <c r="B1775" s="70">
        <f>IF('Final Calculation Sheet'!$P$35="","",'Final Calculation Sheet'!$P$35)</f>
        <v/>
      </c>
    </row>
    <row r="1776" outlineLevel="3" ht="15" customHeight="1">
      <c r="A1776" s="69" t="inlineStr">
        <is>
          <t xml:space="preserve">            GST TDS Rate</t>
        </is>
      </c>
      <c r="B1776" s="80">
        <f>IF('Final Calculation Sheet'!$Q$35="","",'Final Calculation Sheet'!$Q$35)</f>
        <v/>
      </c>
    </row>
    <row r="1777" outlineLevel="3" ht="15" customHeight="1">
      <c r="A1777" s="69" t="inlineStr">
        <is>
          <t xml:space="preserve">            GST TDS (₹)</t>
        </is>
      </c>
      <c r="B1777" s="70">
        <f>IF('Final Calculation Sheet'!$R$35="","",'Final Calculation Sheet'!$R$35)</f>
        <v/>
      </c>
    </row>
    <row r="1778" outlineLevel="3" ht="15" customHeight="1">
      <c r="A1778" s="69" t="inlineStr">
        <is>
          <t xml:space="preserve">            Total Receivables (₹)</t>
        </is>
      </c>
      <c r="B1778" s="70">
        <f>IF('Final Calculation Sheet'!$S$35="","",'Final Calculation Sheet'!$S$35)</f>
        <v/>
      </c>
    </row>
    <row r="1779" outlineLevel="2" ht="16" customHeight="1">
      <c r="A1779" s="456" t="inlineStr">
        <is>
          <t xml:space="preserve">      ▸ SECURITY DEPOSIT</t>
        </is>
      </c>
      <c r="B1779" s="457" t="n"/>
    </row>
    <row r="1780" outlineLevel="3" ht="15" customHeight="1">
      <c r="A1780" s="69" t="inlineStr">
        <is>
          <t xml:space="preserve">            SD Expected (₹)</t>
        </is>
      </c>
      <c r="B1780" s="70">
        <f>IF('Final Calculation Sheet'!$T$35="","",'Final Calculation Sheet'!$T$35)</f>
        <v/>
      </c>
    </row>
    <row r="1781" outlineLevel="3" ht="15" customHeight="1">
      <c r="A1781" s="69" t="inlineStr">
        <is>
          <t xml:space="preserve">            SD Received (₹)</t>
        </is>
      </c>
      <c r="B1781" s="70">
        <f>IF('Final Calculation Sheet'!$U$35="","",'Final Calculation Sheet'!$U$35)</f>
        <v/>
      </c>
    </row>
    <row r="1782" outlineLevel="3" ht="15" customHeight="1">
      <c r="A1782" s="69" t="inlineStr">
        <is>
          <t xml:space="preserve">            SD Receipt Date</t>
        </is>
      </c>
      <c r="B1782" s="76">
        <f>IF('Final Calculation Sheet'!$V$35="","",'Final Calculation Sheet'!$V$35)</f>
        <v/>
      </c>
    </row>
    <row r="1783" outlineLevel="2" ht="16" customHeight="1">
      <c r="A1783" s="456" t="inlineStr">
        <is>
          <t xml:space="preserve">      ▸ FINAL PAYMENT</t>
        </is>
      </c>
      <c r="B1783" s="457" t="n"/>
    </row>
    <row r="1784" outlineLevel="3" ht="15" customHeight="1">
      <c r="A1784" s="69" t="inlineStr">
        <is>
          <t xml:space="preserve">            FP Expected (₹)</t>
        </is>
      </c>
      <c r="B1784" s="70">
        <f>IF('Final Calculation Sheet'!$W$35="","",'Final Calculation Sheet'!$W$35)</f>
        <v/>
      </c>
    </row>
    <row r="1785" outlineLevel="3" ht="15" customHeight="1">
      <c r="A1785" s="69" t="inlineStr">
        <is>
          <t xml:space="preserve">            FP Received (₹)</t>
        </is>
      </c>
      <c r="B1785" s="70">
        <f>IF('Final Calculation Sheet'!$X$35="","",'Final Calculation Sheet'!$X$35)</f>
        <v/>
      </c>
    </row>
    <row r="1786" outlineLevel="3" ht="15" customHeight="1">
      <c r="A1786" s="69" t="inlineStr">
        <is>
          <t xml:space="preserve">            FP Receipt Date</t>
        </is>
      </c>
      <c r="B1786" s="76">
        <f>IF('Final Calculation Sheet'!$Y$35="","",'Final Calculation Sheet'!$Y$35)</f>
        <v/>
      </c>
    </row>
    <row r="1787" outlineLevel="2" ht="16" customHeight="1">
      <c r="A1787" s="456" t="inlineStr">
        <is>
          <t xml:space="preserve">      ▸ LPP</t>
        </is>
      </c>
      <c r="B1787" s="457" t="n"/>
    </row>
    <row r="1788" outlineLevel="3" ht="15" customHeight="1">
      <c r="A1788" s="69" t="inlineStr">
        <is>
          <t xml:space="preserve">            LPP Expected (₹)</t>
        </is>
      </c>
      <c r="B1788" s="70">
        <f>IF('Final Calculation Sheet'!$Z$35="","",'Final Calculation Sheet'!$Z$35)</f>
        <v/>
      </c>
    </row>
    <row r="1789" outlineLevel="3" ht="15" customHeight="1">
      <c r="A1789" s="69" t="inlineStr">
        <is>
          <t xml:space="preserve">            LPP Received (₹)</t>
        </is>
      </c>
      <c r="B1789" s="70">
        <f>IF('Final Calculation Sheet'!$AA$35="","",'Final Calculation Sheet'!$AA$35)</f>
        <v/>
      </c>
    </row>
    <row r="1790" outlineLevel="3" ht="15" customHeight="1">
      <c r="A1790" s="69" t="inlineStr">
        <is>
          <t xml:space="preserve">            LPP Receipt Date</t>
        </is>
      </c>
      <c r="B1790" s="76">
        <f>IF('Final Calculation Sheet'!$AB$35="","",'Final Calculation Sheet'!$AB$35)</f>
        <v/>
      </c>
    </row>
    <row r="1791" outlineLevel="2" ht="16" customHeight="1">
      <c r="A1791" s="456" t="inlineStr">
        <is>
          <t xml:space="preserve">      ▸ SUMMARY</t>
        </is>
      </c>
      <c r="B1791" s="457" t="n"/>
    </row>
    <row r="1792" outlineLevel="3" ht="15" customHeight="1">
      <c r="A1792" s="69" t="inlineStr">
        <is>
          <t xml:space="preserve">            Total Received (₹)</t>
        </is>
      </c>
      <c r="B1792" s="70">
        <f>IF('Final Calculation Sheet'!$AC$35="","",'Final Calculation Sheet'!$AC$35)</f>
        <v/>
      </c>
    </row>
    <row r="1793" outlineLevel="3" ht="15" customHeight="1">
      <c r="A1793" s="69" t="inlineStr">
        <is>
          <t xml:space="preserve">            Outstanding (₹)</t>
        </is>
      </c>
      <c r="B1793" s="70">
        <f>IF('Final Calculation Sheet'!$AD$35="","",'Final Calculation Sheet'!$AD$35)</f>
        <v/>
      </c>
    </row>
    <row r="1794" outlineLevel="3" ht="15" customHeight="1">
      <c r="A1794" s="69" t="inlineStr">
        <is>
          <t xml:space="preserve">            Payment Status</t>
        </is>
      </c>
      <c r="B1794" s="81">
        <f>IF('Final Calculation Sheet'!$AD$35="","",IF('Final Calculation Sheet'!$AD$35&lt;=0,"SETTLED","OUTSTANDING"))</f>
        <v/>
      </c>
    </row>
    <row r="1795" outlineLevel="2" ht="16" customHeight="1">
      <c r="A1795" s="456" t="inlineStr">
        <is>
          <t xml:space="preserve">      ▸ DOCUMENT</t>
        </is>
      </c>
      <c r="B1795" s="457" t="n"/>
    </row>
    <row r="1796" outlineLevel="3" ht="15" customHeight="1">
      <c r="A1796" s="69" t="inlineStr">
        <is>
          <t xml:space="preserve">            Invoice No.</t>
        </is>
      </c>
      <c r="B1796" s="76">
        <f>IF('Final Calculation Sheet'!$AE$35="","",'Final Calculation Sheet'!$AE$35)</f>
        <v/>
      </c>
    </row>
    <row r="1797" outlineLevel="3" ht="15" customHeight="1">
      <c r="A1797" s="69" t="inlineStr">
        <is>
          <t xml:space="preserve">            SAP Document</t>
        </is>
      </c>
      <c r="B1797" s="70">
        <f>IF('Final Calculation Sheet'!$AF$35="","",'Final Calculation Sheet'!$AF$35)</f>
        <v/>
      </c>
    </row>
    <row r="1798" outlineLevel="3" ht="15" customHeight="1">
      <c r="A1798" s="69" t="inlineStr">
        <is>
          <t xml:space="preserve">            Doc./Invoice Date</t>
        </is>
      </c>
      <c r="B1798" s="76">
        <f>IF('Final Calculation Sheet'!$AG$35="","",'Final Calculation Sheet'!$AG$35)</f>
        <v/>
      </c>
    </row>
    <row r="1799" outlineLevel="1" ht="20" customHeight="1">
      <c r="A1799" s="458" t="inlineStr">
        <is>
          <t xml:space="preserve">   ∑  WATAN SCRAP TRADERS — TOTALS (all its lots)</t>
        </is>
      </c>
      <c r="B1799" s="296" t="n"/>
    </row>
    <row r="1800" outlineLevel="2" ht="15" customHeight="1">
      <c r="A1800" s="459" t="inlineStr">
        <is>
          <t xml:space="preserve">         Quantity</t>
        </is>
      </c>
      <c r="B1800" s="460">
        <f>SUMIF('Final Calculation Sheet'!$G$4:$G$1000,"WATAN SCRAP TRADERS",'Final Calculation Sheet'!$A$4:$A$1000)</f>
        <v/>
      </c>
    </row>
    <row r="1801" outlineLevel="2" ht="15" customHeight="1">
      <c r="A1801" s="459" t="inlineStr">
        <is>
          <t xml:space="preserve">         Mat. Value (₹)</t>
        </is>
      </c>
      <c r="B1801" s="213">
        <f>SUMIF('Final Calculation Sheet'!$G$4:$G$1000,"WATAN SCRAP TRADERS",'Final Calculation Sheet'!$H$4:$H$1000)</f>
        <v/>
      </c>
    </row>
    <row r="1802" outlineLevel="2" ht="15" customHeight="1">
      <c r="A1802" s="459" t="inlineStr">
        <is>
          <t xml:space="preserve">         GST @ 18% (₹)</t>
        </is>
      </c>
      <c r="B1802" s="213">
        <f>SUMIF('Final Calculation Sheet'!$G$4:$G$1000,"WATAN SCRAP TRADERS",'Final Calculation Sheet'!$I$4:$I$1000)</f>
        <v/>
      </c>
    </row>
    <row r="1803" outlineLevel="2" ht="15" customHeight="1">
      <c r="A1803" s="459" t="inlineStr">
        <is>
          <t xml:space="preserve">         Mat. Value + GST (₹)</t>
        </is>
      </c>
      <c r="B1803" s="213">
        <f>SUMIF('Final Calculation Sheet'!$G$4:$G$1000,"WATAN SCRAP TRADERS",'Final Calculation Sheet'!$J$4:$J$1000)</f>
        <v/>
      </c>
    </row>
    <row r="1804" outlineLevel="2" ht="15" customHeight="1">
      <c r="A1804" s="459" t="inlineStr">
        <is>
          <t xml:space="preserve">         TCS @ 2% (₹)</t>
        </is>
      </c>
      <c r="B1804" s="213">
        <f>SUMIF('Final Calculation Sheet'!$G$4:$G$1000,"WATAN SCRAP TRADERS",'Final Calculation Sheet'!$K$4:$K$1000)</f>
        <v/>
      </c>
    </row>
    <row r="1805" outlineLevel="2" ht="15" customHeight="1">
      <c r="A1805" s="459" t="inlineStr">
        <is>
          <t xml:space="preserve">         TDS u/s 194(O) (₹)</t>
        </is>
      </c>
      <c r="B1805" s="461">
        <f>SUMIF('Final Calculation Sheet'!$G$4:$G$1000,"WATAN SCRAP TRADERS",'Final Calculation Sheet'!$L$4:$L$1000)</f>
        <v/>
      </c>
    </row>
    <row r="1806" outlineLevel="2" ht="15" customHeight="1">
      <c r="A1806" s="459" t="inlineStr">
        <is>
          <t xml:space="preserve">         Service Charge gross (₹)</t>
        </is>
      </c>
      <c r="B1806" s="461">
        <f>SUMIF('Final Calculation Sheet'!$G$4:$G$1000,"WATAN SCRAP TRADERS",'Final Calculation Sheet'!$M$4:$M$1000)</f>
        <v/>
      </c>
    </row>
    <row r="1807" outlineLevel="2" ht="15" customHeight="1">
      <c r="A1807" s="459" t="inlineStr">
        <is>
          <t xml:space="preserve">         TDS u/s 194(H) (₹)</t>
        </is>
      </c>
      <c r="B1807" s="461">
        <f>SUMIF('Final Calculation Sheet'!$G$4:$G$1000,"WATAN SCRAP TRADERS",'Final Calculation Sheet'!$N$4:$N$1000)</f>
        <v/>
      </c>
    </row>
    <row r="1808" outlineLevel="2" ht="15" customHeight="1">
      <c r="A1808" s="459" t="inlineStr">
        <is>
          <t xml:space="preserve">         Net Service Charge (₹)</t>
        </is>
      </c>
      <c r="B1808" s="461">
        <f>SUMIF('Final Calculation Sheet'!$G$4:$G$1000,"WATAN SCRAP TRADERS",'Final Calculation Sheet'!$O$4:$O$1000)</f>
        <v/>
      </c>
    </row>
    <row r="1809" outlineLevel="2" ht="15" customHeight="1">
      <c r="A1809" s="459" t="inlineStr">
        <is>
          <t xml:space="preserve">         Svc Charge to MSTC (₹)</t>
        </is>
      </c>
      <c r="B1809" s="213">
        <f>SUMIF('Final Calculation Sheet'!$G$4:$G$1000,"WATAN SCRAP TRADERS",'Final Calculation Sheet'!$P$4:$P$1000)</f>
        <v/>
      </c>
    </row>
    <row r="1810" outlineLevel="2" ht="15" customHeight="1">
      <c r="A1810" s="459" t="inlineStr">
        <is>
          <t xml:space="preserve">         GST TDS (₹)</t>
        </is>
      </c>
      <c r="B1810" s="213">
        <f>SUMIF('Final Calculation Sheet'!$G$4:$G$1000,"WATAN SCRAP TRADERS",'Final Calculation Sheet'!$R$4:$R$1000)</f>
        <v/>
      </c>
    </row>
    <row r="1811" outlineLevel="2" ht="15" customHeight="1">
      <c r="A1811" s="459" t="inlineStr">
        <is>
          <t xml:space="preserve">         Total Receivables (₹)</t>
        </is>
      </c>
      <c r="B1811" s="213">
        <f>SUMIF('Final Calculation Sheet'!$G$4:$G$1000,"WATAN SCRAP TRADERS",'Final Calculation Sheet'!$S$4:$S$1000)</f>
        <v/>
      </c>
    </row>
    <row r="1812" outlineLevel="2" ht="15" customHeight="1">
      <c r="A1812" s="459" t="inlineStr">
        <is>
          <t xml:space="preserve">         SD Expected (₹)</t>
        </is>
      </c>
      <c r="B1812" s="213">
        <f>SUMIF('Final Calculation Sheet'!$G$4:$G$1000,"WATAN SCRAP TRADERS",'Final Calculation Sheet'!$T$4:$T$1000)</f>
        <v/>
      </c>
    </row>
    <row r="1813" outlineLevel="2" ht="15" customHeight="1">
      <c r="A1813" s="459" t="inlineStr">
        <is>
          <t xml:space="preserve">         SD Received (₹)</t>
        </is>
      </c>
      <c r="B1813" s="213">
        <f>SUMIF('Final Calculation Sheet'!$G$4:$G$1000,"WATAN SCRAP TRADERS",'Final Calculation Sheet'!$U$4:$U$1000)</f>
        <v/>
      </c>
    </row>
    <row r="1814" outlineLevel="2" ht="15" customHeight="1">
      <c r="A1814" s="459" t="inlineStr">
        <is>
          <t xml:space="preserve">         FP Expected (₹)</t>
        </is>
      </c>
      <c r="B1814" s="213">
        <f>SUMIF('Final Calculation Sheet'!$G$4:$G$1000,"WATAN SCRAP TRADERS",'Final Calculation Sheet'!$W$4:$W$1000)</f>
        <v/>
      </c>
    </row>
    <row r="1815" outlineLevel="2" ht="15" customHeight="1">
      <c r="A1815" s="459" t="inlineStr">
        <is>
          <t xml:space="preserve">         FP Received (₹)</t>
        </is>
      </c>
      <c r="B1815" s="213">
        <f>SUMIF('Final Calculation Sheet'!$G$4:$G$1000,"WATAN SCRAP TRADERS",'Final Calculation Sheet'!$X$4:$X$1000)</f>
        <v/>
      </c>
    </row>
    <row r="1816" outlineLevel="2" ht="15" customHeight="1">
      <c r="A1816" s="459" t="inlineStr">
        <is>
          <t xml:space="preserve">         LPP Expected (₹)</t>
        </is>
      </c>
      <c r="B1816" s="213">
        <f>SUMIF('Final Calculation Sheet'!$G$4:$G$1000,"WATAN SCRAP TRADERS",'Final Calculation Sheet'!$Z$4:$Z$1000)</f>
        <v/>
      </c>
    </row>
    <row r="1817" outlineLevel="2" ht="15" customHeight="1">
      <c r="A1817" s="459" t="inlineStr">
        <is>
          <t xml:space="preserve">         LPP Received (₹)</t>
        </is>
      </c>
      <c r="B1817" s="213">
        <f>SUMIF('Final Calculation Sheet'!$G$4:$G$1000,"WATAN SCRAP TRADERS",'Final Calculation Sheet'!$AA$4:$AA$1000)</f>
        <v/>
      </c>
    </row>
    <row r="1818" outlineLevel="2" ht="15" customHeight="1">
      <c r="A1818" s="459" t="inlineStr">
        <is>
          <t xml:space="preserve">         Total Received (₹)</t>
        </is>
      </c>
      <c r="B1818" s="213">
        <f>SUMIF('Final Calculation Sheet'!$G$4:$G$1000,"WATAN SCRAP TRADERS",'Final Calculation Sheet'!$AC$4:$AC$1000)</f>
        <v/>
      </c>
    </row>
    <row r="1819" outlineLevel="2" ht="15" customHeight="1">
      <c r="A1819" s="459" t="inlineStr">
        <is>
          <t xml:space="preserve">         Outstanding (₹)</t>
        </is>
      </c>
      <c r="B1819" s="213">
        <f>SUMIF('Final Calculation Sheet'!$G$4:$G$1000,"WATAN SCRAP TRADERS",'Final Calculation Sheet'!$AD$4:$AD$1000)</f>
        <v/>
      </c>
    </row>
    <row r="1820" ht="7" customHeight="1">
      <c r="A1820" s="82" t="n"/>
      <c r="B1820" s="82" t="n"/>
    </row>
    <row r="1821" ht="24" customHeight="1">
      <c r="A1821" s="485" t="inlineStr">
        <is>
          <t>∑∑  ALL BUYERS — GRAND TOTAL</t>
        </is>
      </c>
      <c r="B1821" s="486" t="n"/>
    </row>
    <row r="1822" outlineLevel="1" ht="15" customHeight="1">
      <c r="A1822" s="429" t="inlineStr">
        <is>
          <t xml:space="preserve">      Quantity</t>
        </is>
      </c>
      <c r="B1822" s="487">
        <f>B48+B153+B217+B281+B345+B901+B965+B1070+B1175+B1239+B1344+B1654+B1800</f>
        <v/>
      </c>
    </row>
    <row r="1823" outlineLevel="1" ht="15" customHeight="1">
      <c r="A1823" s="429" t="inlineStr">
        <is>
          <t xml:space="preserve">      Mat. Value (₹)</t>
        </is>
      </c>
      <c r="B1823" s="488">
        <f>B49+B154+B218+B282+B346+B902+B966+B1071+B1176+B1240+B1345+B1655+B1801</f>
        <v/>
      </c>
    </row>
    <row r="1824" outlineLevel="1" ht="15" customHeight="1">
      <c r="A1824" s="429" t="inlineStr">
        <is>
          <t xml:space="preserve">      GST @ 18% (₹)</t>
        </is>
      </c>
      <c r="B1824" s="488">
        <f>B50+B155+B219+B283+B347+B903+B967+B1072+B1177+B1241+B1346+B1656+B1802</f>
        <v/>
      </c>
    </row>
    <row r="1825" outlineLevel="1" ht="15" customHeight="1">
      <c r="A1825" s="429" t="inlineStr">
        <is>
          <t xml:space="preserve">      Mat. Value + GST (₹)</t>
        </is>
      </c>
      <c r="B1825" s="488">
        <f>B51+B156+B220+B284+B348+B904+B968+B1073+B1178+B1242+B1347+B1657+B1803</f>
        <v/>
      </c>
    </row>
    <row r="1826" outlineLevel="1" ht="15" customHeight="1">
      <c r="A1826" s="429" t="inlineStr">
        <is>
          <t xml:space="preserve">      TCS @ 2% (₹)</t>
        </is>
      </c>
      <c r="B1826" s="488">
        <f>B52+B157+B221+B285+B349+B905+B969+B1074+B1179+B1243+B1348+B1658+B1804</f>
        <v/>
      </c>
    </row>
    <row r="1827" outlineLevel="1" ht="15" customHeight="1">
      <c r="A1827" s="429" t="inlineStr">
        <is>
          <t xml:space="preserve">      TDS u/s 194(O) (₹)</t>
        </is>
      </c>
      <c r="B1827" s="489">
        <f>B53+B158+B222+B286+B350+B906+B970+B1075+B1180+B1244+B1349+B1659+B1805</f>
        <v/>
      </c>
    </row>
    <row r="1828" outlineLevel="1" ht="15" customHeight="1">
      <c r="A1828" s="429" t="inlineStr">
        <is>
          <t xml:space="preserve">      Service Charge gross (₹)</t>
        </is>
      </c>
      <c r="B1828" s="489">
        <f>B54+B159+B223+B287+B351+B907+B971+B1076+B1181+B1245+B1350+B1660+B1806</f>
        <v/>
      </c>
    </row>
    <row r="1829" outlineLevel="1" ht="15" customHeight="1">
      <c r="A1829" s="429" t="inlineStr">
        <is>
          <t xml:space="preserve">      TDS u/s 194(H) (₹)</t>
        </is>
      </c>
      <c r="B1829" s="489">
        <f>B55+B160+B224+B288+B352+B908+B972+B1077+B1182+B1246+B1351+B1661+B1807</f>
        <v/>
      </c>
    </row>
    <row r="1830" outlineLevel="1" ht="15" customHeight="1">
      <c r="A1830" s="429" t="inlineStr">
        <is>
          <t xml:space="preserve">      Net Service Charge (₹)</t>
        </is>
      </c>
      <c r="B1830" s="489">
        <f>B56+B161+B225+B289+B353+B909+B973+B1078+B1183+B1247+B1352+B1662+B1808</f>
        <v/>
      </c>
    </row>
    <row r="1831" outlineLevel="1" ht="15" customHeight="1">
      <c r="A1831" s="429" t="inlineStr">
        <is>
          <t xml:space="preserve">      Svc Charge to MSTC (₹)</t>
        </is>
      </c>
      <c r="B1831" s="488">
        <f>B57+B162+B226+B290+B354+B910+B974+B1079+B1184+B1248+B1353+B1663+B1809</f>
        <v/>
      </c>
    </row>
    <row r="1832" outlineLevel="1" ht="15" customHeight="1">
      <c r="A1832" s="429" t="inlineStr">
        <is>
          <t xml:space="preserve">      GST TDS (₹)</t>
        </is>
      </c>
      <c r="B1832" s="488">
        <f>B58+B163+B227+B291+B355+B911+B975+B1080+B1185+B1249+B1354+B1664+B1810</f>
        <v/>
      </c>
    </row>
    <row r="1833" outlineLevel="1" ht="15" customHeight="1">
      <c r="A1833" s="429" t="inlineStr">
        <is>
          <t xml:space="preserve">      Total Receivables (₹)</t>
        </is>
      </c>
      <c r="B1833" s="488">
        <f>B59+B164+B228+B292+B356+B912+B976+B1081+B1186+B1250+B1355+B1665+B1811</f>
        <v/>
      </c>
    </row>
    <row r="1834" outlineLevel="1" ht="15" customHeight="1">
      <c r="A1834" s="429" t="inlineStr">
        <is>
          <t xml:space="preserve">      SD Expected (₹)</t>
        </is>
      </c>
      <c r="B1834" s="488">
        <f>B60+B165+B229+B293+B357+B913+B977+B1082+B1187+B1251+B1356+B1666+B1812</f>
        <v/>
      </c>
    </row>
    <row r="1835" outlineLevel="1" ht="15" customHeight="1">
      <c r="A1835" s="429" t="inlineStr">
        <is>
          <t xml:space="preserve">      SD Received (₹)</t>
        </is>
      </c>
      <c r="B1835" s="488">
        <f>B61+B166+B230+B294+B358+B914+B978+B1083+B1188+B1252+B1357+B1667+B1813</f>
        <v/>
      </c>
    </row>
    <row r="1836" outlineLevel="1" ht="15" customHeight="1">
      <c r="A1836" s="429" t="inlineStr">
        <is>
          <t xml:space="preserve">      FP Expected (₹)</t>
        </is>
      </c>
      <c r="B1836" s="488">
        <f>B62+B167+B231+B295+B359+B915+B979+B1084+B1189+B1253+B1358+B1668+B1814</f>
        <v/>
      </c>
    </row>
    <row r="1837" outlineLevel="1" ht="15" customHeight="1">
      <c r="A1837" s="429" t="inlineStr">
        <is>
          <t xml:space="preserve">      FP Received (₹)</t>
        </is>
      </c>
      <c r="B1837" s="488">
        <f>B63+B168+B232+B296+B360+B916+B980+B1085+B1190+B1254+B1359+B1669+B1815</f>
        <v/>
      </c>
    </row>
    <row r="1838" outlineLevel="1" ht="15" customHeight="1">
      <c r="A1838" s="429" t="inlineStr">
        <is>
          <t xml:space="preserve">      LPP Expected (₹)</t>
        </is>
      </c>
      <c r="B1838" s="488">
        <f>B64+B169+B233+B297+B361+B917+B981+B1086+B1191+B1255+B1360+B1670+B1816</f>
        <v/>
      </c>
    </row>
    <row r="1839" outlineLevel="1" ht="15" customHeight="1">
      <c r="A1839" s="429" t="inlineStr">
        <is>
          <t xml:space="preserve">      LPP Received (₹)</t>
        </is>
      </c>
      <c r="B1839" s="488">
        <f>B65+B170+B234+B298+B362+B918+B982+B1087+B1192+B1256+B1361+B1671+B1817</f>
        <v/>
      </c>
    </row>
    <row r="1840" outlineLevel="1" ht="15" customHeight="1">
      <c r="A1840" s="429" t="inlineStr">
        <is>
          <t xml:space="preserve">      Total Received (₹)</t>
        </is>
      </c>
      <c r="B1840" s="488">
        <f>B66+B171+B235+B299+B363+B919+B983+B1088+B1193+B1257+B1362+B1672+B1818</f>
        <v/>
      </c>
    </row>
    <row r="1841" outlineLevel="1" ht="15" customHeight="1">
      <c r="A1841" s="429" t="inlineStr">
        <is>
          <t xml:space="preserve">      Outstanding (₹)</t>
        </is>
      </c>
      <c r="B1841" s="488">
        <f>B67+B172+B236+B300+B364+B920+B984+B1089+B1194+B1258+B1363+B1673+B1819</f>
        <v/>
      </c>
    </row>
  </sheetData>
  <mergeCells count="2">
    <mergeCell ref="A2:B2"/>
    <mergeCell ref="A1:B1"/>
  </mergeCells>
  <pageMargins left="0.75" right="0.75" top="1" bottom="1" header="0.5" footer="0.5"/>
  <pageSetup orientation="portrait" fitToHeight="0" fitToWidth="1"/>
</worksheet>
</file>

<file path=xl/worksheets/sheet12.xml><?xml version="1.0" encoding="utf-8"?>
<worksheet xmlns="http://schemas.openxmlformats.org/spreadsheetml/2006/main">
  <sheetPr>
    <tabColor rgb="00ED7D31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59" t="inlineStr">
        <is>
          <t>MSTC LIMITED  •  BUYER × LOT COLLAPSIBLE VIEW   (fields ↓ rows  |  lots → columns)</t>
        </is>
      </c>
    </row>
    <row r="2" ht="18" customHeight="1">
      <c r="A2" s="60" t="inlineStr">
        <is>
          <t>Auctions 21977 • 21978 • 21979 • 21980   —   every figure below is a live link to 'Final Calculation Sheet'</t>
        </is>
      </c>
    </row>
    <row r="3" ht="32" customHeight="1">
      <c r="A3" s="61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62" t="inlineStr">
        <is>
          <t>FIELD  ▸  BUYER  |  LOT →</t>
        </is>
      </c>
      <c r="B5" s="62" t="inlineStr">
        <is>
          <t>LOT 1</t>
        </is>
      </c>
      <c r="C5" s="62" t="inlineStr">
        <is>
          <t>LOT 2</t>
        </is>
      </c>
      <c r="D5" s="62" t="inlineStr">
        <is>
          <t>LOT 3</t>
        </is>
      </c>
      <c r="E5" s="62" t="inlineStr">
        <is>
          <t>LOT 4</t>
        </is>
      </c>
      <c r="F5" s="62" t="inlineStr">
        <is>
          <t>LOT 5</t>
        </is>
      </c>
      <c r="G5" s="62" t="inlineStr">
        <is>
          <t>LOT 6</t>
        </is>
      </c>
      <c r="H5" s="62" t="inlineStr">
        <is>
          <t>LOT 7</t>
        </is>
      </c>
      <c r="I5" s="62" t="inlineStr">
        <is>
          <t>LOT 8</t>
        </is>
      </c>
      <c r="J5" s="62" t="inlineStr">
        <is>
          <t>LOT 9</t>
        </is>
      </c>
      <c r="K5" s="62" t="inlineStr">
        <is>
          <t>LOT 10</t>
        </is>
      </c>
      <c r="L5" s="62" t="inlineStr">
        <is>
          <t>LOT 11</t>
        </is>
      </c>
      <c r="M5" s="62" t="inlineStr">
        <is>
          <t>LOT 12</t>
        </is>
      </c>
      <c r="N5" s="62" t="inlineStr">
        <is>
          <t>LOT 13</t>
        </is>
      </c>
      <c r="O5" s="62" t="inlineStr">
        <is>
          <t>BUYER TOTAL</t>
        </is>
      </c>
    </row>
    <row r="6" ht="24" customHeight="1">
      <c r="A6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64" t="n"/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</row>
    <row r="7" outlineLevel="1" ht="18" customHeight="1">
      <c r="A7" s="65" t="inlineStr">
        <is>
          <t xml:space="preserve">   Lot No. →</t>
        </is>
      </c>
      <c r="B7" s="66">
        <f>IF('Final Calculation Sheet'!$F$4="","",'Final Calculation Sheet'!$F$4)</f>
        <v/>
      </c>
      <c r="C7" s="67" t="n"/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8" t="inlineStr">
        <is>
          <t>TOTAL</t>
        </is>
      </c>
    </row>
    <row r="8" outlineLevel="1" ht="16" customHeight="1">
      <c r="A8" s="65" t="inlineStr">
        <is>
          <t xml:space="preserve">  ▸ LOT INFORMATION</t>
        </is>
      </c>
      <c r="B8" s="67" t="n"/>
      <c r="C8" s="67" t="n"/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</row>
    <row r="9" outlineLevel="2" ht="15" customHeight="1">
      <c r="A9" s="69" t="inlineStr">
        <is>
          <t xml:space="preserve">      Lot No.</t>
        </is>
      </c>
      <c r="B9" s="70">
        <f>IF('Final Calculation Sheet'!$F$4="","",'Final Calculation Sheet'!$F$4)</f>
        <v/>
      </c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  <c r="N9" s="71" t="n"/>
      <c r="O9" s="72" t="inlineStr">
        <is>
          <t>–</t>
        </is>
      </c>
    </row>
    <row r="10" outlineLevel="2" ht="60" customHeight="1">
      <c r="A10" s="69" t="inlineStr">
        <is>
          <t xml:space="preserve">      Lot Name</t>
        </is>
      </c>
      <c r="B10" s="73">
        <f>IF('Final Calculation Sheet'!$B$4="","",'Final Calculation Sheet'!$B$4)</f>
        <v/>
      </c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2" t="inlineStr">
        <is>
          <t>–</t>
        </is>
      </c>
    </row>
    <row r="11" outlineLevel="2" ht="15" customHeight="1">
      <c r="A11" s="69" t="inlineStr">
        <is>
          <t xml:space="preserve">      Bid Sheet / Auction</t>
        </is>
      </c>
      <c r="B11" s="70">
        <f>IF('Final Calculation Sheet'!$D$4="","",'Final Calculation Sheet'!$D$4)</f>
        <v/>
      </c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  <c r="N11" s="71" t="n"/>
      <c r="O11" s="72" t="inlineStr">
        <is>
          <t>–</t>
        </is>
      </c>
    </row>
    <row r="12" outlineLevel="2" ht="15" customHeight="1">
      <c r="A12" s="69" t="inlineStr">
        <is>
          <t xml:space="preserve">      Quantity</t>
        </is>
      </c>
      <c r="B12" s="74">
        <f>IF('Final Calculation Sheet'!$A$4="","",'Final Calculation Sheet'!$A$4)</f>
        <v/>
      </c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  <c r="N12" s="71" t="n"/>
      <c r="O12" s="75">
        <f>SUM(B12:N12)</f>
        <v/>
      </c>
    </row>
    <row r="13" outlineLevel="2" ht="15" customHeight="1">
      <c r="A13" s="69" t="inlineStr">
        <is>
          <t xml:space="preserve">      Unit</t>
        </is>
      </c>
      <c r="B13" s="76">
        <f>IF('Final Calculation Sheet'!$E$4="","",'Final Calculation Sheet'!$E$4)</f>
        <v/>
      </c>
      <c r="C13" s="71" t="n"/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  <c r="N13" s="71" t="n"/>
      <c r="O13" s="72" t="inlineStr">
        <is>
          <t>–</t>
        </is>
      </c>
    </row>
    <row r="14" outlineLevel="2" ht="15" customHeight="1">
      <c r="A14" s="69" t="inlineStr">
        <is>
          <t xml:space="preserve">      Rate (₹)</t>
        </is>
      </c>
      <c r="B14" s="70">
        <f>IF('Final Calculation Sheet'!$C$4="","",'Final Calculation Sheet'!$C$4)</f>
        <v/>
      </c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2" t="inlineStr">
        <is>
          <t>–</t>
        </is>
      </c>
    </row>
    <row r="15" outlineLevel="1" ht="16" customHeight="1">
      <c r="A15" s="65" t="inlineStr">
        <is>
          <t xml:space="preserve">  ▸ FINANCIALS</t>
        </is>
      </c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</row>
    <row r="16" outlineLevel="2" ht="15" customHeight="1">
      <c r="A16" s="69" t="inlineStr">
        <is>
          <t xml:space="preserve">      Mat. Value (₹)</t>
        </is>
      </c>
      <c r="B16" s="70">
        <f>IF('Final Calculation Sheet'!$H$4="","",'Final Calculation Sheet'!$H$4)</f>
        <v/>
      </c>
      <c r="C16" s="71" t="n"/>
      <c r="D16" s="71" t="n"/>
      <c r="E16" s="71" t="n"/>
      <c r="F16" s="71" t="n"/>
      <c r="G16" s="71" t="n"/>
      <c r="H16" s="71" t="n"/>
      <c r="I16" s="71" t="n"/>
      <c r="J16" s="71" t="n"/>
      <c r="K16" s="71" t="n"/>
      <c r="L16" s="71" t="n"/>
      <c r="M16" s="71" t="n"/>
      <c r="N16" s="71" t="n"/>
      <c r="O16" s="77">
        <f>SUM(B16:N16)</f>
        <v/>
      </c>
    </row>
    <row r="17" outlineLevel="2" ht="15" customHeight="1">
      <c r="A17" s="69" t="inlineStr">
        <is>
          <t xml:space="preserve">      GST @ 18% (₹)</t>
        </is>
      </c>
      <c r="B17" s="70">
        <f>IF('Final Calculation Sheet'!$I$4="","",'Final Calculation Sheet'!$I$4)</f>
        <v/>
      </c>
      <c r="C17" s="71" t="n"/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  <c r="N17" s="71" t="n"/>
      <c r="O17" s="77">
        <f>SUM(B17:N17)</f>
        <v/>
      </c>
    </row>
    <row r="18" outlineLevel="2" ht="15" customHeight="1">
      <c r="A18" s="69" t="inlineStr">
        <is>
          <t xml:space="preserve">      Mat. Value + GST (₹)</t>
        </is>
      </c>
      <c r="B18" s="70">
        <f>IF('Final Calculation Sheet'!$J$4="","",'Final Calculation Sheet'!$J$4)</f>
        <v/>
      </c>
      <c r="C18" s="71" t="n"/>
      <c r="D18" s="71" t="n"/>
      <c r="E18" s="71" t="n"/>
      <c r="F18" s="71" t="n"/>
      <c r="G18" s="71" t="n"/>
      <c r="H18" s="71" t="n"/>
      <c r="I18" s="71" t="n"/>
      <c r="J18" s="71" t="n"/>
      <c r="K18" s="71" t="n"/>
      <c r="L18" s="71" t="n"/>
      <c r="M18" s="71" t="n"/>
      <c r="N18" s="71" t="n"/>
      <c r="O18" s="77">
        <f>SUM(B18:N18)</f>
        <v/>
      </c>
    </row>
    <row r="19" outlineLevel="2" ht="15" customHeight="1">
      <c r="A19" s="69" t="inlineStr">
        <is>
          <t xml:space="preserve">      TCS @ 2% (₹)</t>
        </is>
      </c>
      <c r="B19" s="70">
        <f>IF('Final Calculation Sheet'!$K$4="","",'Final Calculation Sheet'!$K$4)</f>
        <v/>
      </c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77">
        <f>SUM(B19:N19)</f>
        <v/>
      </c>
    </row>
    <row r="20" outlineLevel="2" ht="15" customHeight="1">
      <c r="A20" s="69" t="inlineStr">
        <is>
          <t xml:space="preserve">      TDS u/s 194(O) (₹)</t>
        </is>
      </c>
      <c r="B20" s="78">
        <f>IF('Final Calculation Sheet'!$L$4="","",'Final Calculation Sheet'!$L$4)</f>
        <v/>
      </c>
      <c r="C20" s="71" t="n"/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  <c r="N20" s="71" t="n"/>
      <c r="O20" s="79">
        <f>SUM(B20:N20)</f>
        <v/>
      </c>
    </row>
    <row r="21" outlineLevel="2" ht="15" customHeight="1">
      <c r="A21" s="69" t="inlineStr">
        <is>
          <t xml:space="preserve">      Service Charge gross (₹)</t>
        </is>
      </c>
      <c r="B21" s="78">
        <f>IF('Final Calculation Sheet'!$M$4="","",'Final Calculation Sheet'!$M$4)</f>
        <v/>
      </c>
      <c r="C21" s="71" t="n"/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  <c r="N21" s="71" t="n"/>
      <c r="O21" s="79">
        <f>SUM(B21:N21)</f>
        <v/>
      </c>
    </row>
    <row r="22" outlineLevel="2" ht="15" customHeight="1">
      <c r="A22" s="69" t="inlineStr">
        <is>
          <t xml:space="preserve">      TDS u/s 194(H) (₹)</t>
        </is>
      </c>
      <c r="B22" s="78">
        <f>IF('Final Calculation Sheet'!$N$4="","",'Final Calculation Sheet'!$N$4)</f>
        <v/>
      </c>
      <c r="C22" s="71" t="n"/>
      <c r="D22" s="71" t="n"/>
      <c r="E22" s="71" t="n"/>
      <c r="F22" s="71" t="n"/>
      <c r="G22" s="71" t="n"/>
      <c r="H22" s="71" t="n"/>
      <c r="I22" s="71" t="n"/>
      <c r="J22" s="71" t="n"/>
      <c r="K22" s="71" t="n"/>
      <c r="L22" s="71" t="n"/>
      <c r="M22" s="71" t="n"/>
      <c r="N22" s="71" t="n"/>
      <c r="O22" s="79">
        <f>SUM(B22:N22)</f>
        <v/>
      </c>
    </row>
    <row r="23" outlineLevel="2" ht="15" customHeight="1">
      <c r="A23" s="69" t="inlineStr">
        <is>
          <t xml:space="preserve">      Net Service Charge (₹)</t>
        </is>
      </c>
      <c r="B23" s="78">
        <f>IF('Final Calculation Sheet'!$O$4="","",'Final Calculation Sheet'!$O$4)</f>
        <v/>
      </c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9">
        <f>SUM(B23:N23)</f>
        <v/>
      </c>
    </row>
    <row r="24" outlineLevel="2" ht="15" customHeight="1">
      <c r="A24" s="69" t="inlineStr">
        <is>
          <t xml:space="preserve">      Svc Charge to MSTC (₹)</t>
        </is>
      </c>
      <c r="B24" s="70">
        <f>IF('Final Calculation Sheet'!$P$4="","",'Final Calculation Sheet'!$P$4)</f>
        <v/>
      </c>
      <c r="C24" s="71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  <c r="N24" s="71" t="n"/>
      <c r="O24" s="77">
        <f>SUM(B24:N24)</f>
        <v/>
      </c>
    </row>
    <row r="25" outlineLevel="2" ht="15" customHeight="1">
      <c r="A25" s="69" t="inlineStr">
        <is>
          <t xml:space="preserve">      GST TDS Rate</t>
        </is>
      </c>
      <c r="B25" s="80">
        <f>IF('Final Calculation Sheet'!$Q$4="","",'Final Calculation Sheet'!$Q$4)</f>
        <v/>
      </c>
      <c r="C25" s="71" t="n"/>
      <c r="D25" s="71" t="n"/>
      <c r="E25" s="71" t="n"/>
      <c r="F25" s="71" t="n"/>
      <c r="G25" s="71" t="n"/>
      <c r="H25" s="71" t="n"/>
      <c r="I25" s="71" t="n"/>
      <c r="J25" s="71" t="n"/>
      <c r="K25" s="71" t="n"/>
      <c r="L25" s="71" t="n"/>
      <c r="M25" s="71" t="n"/>
      <c r="N25" s="71" t="n"/>
      <c r="O25" s="72" t="inlineStr">
        <is>
          <t>–</t>
        </is>
      </c>
    </row>
    <row r="26" outlineLevel="2" ht="15" customHeight="1">
      <c r="A26" s="69" t="inlineStr">
        <is>
          <t xml:space="preserve">      GST TDS (₹)</t>
        </is>
      </c>
      <c r="B26" s="70">
        <f>IF('Final Calculation Sheet'!$R$4="","",'Final Calculation Sheet'!$R$4)</f>
        <v/>
      </c>
      <c r="C26" s="71" t="n"/>
      <c r="D26" s="71" t="n"/>
      <c r="E26" s="71" t="n"/>
      <c r="F26" s="71" t="n"/>
      <c r="G26" s="71" t="n"/>
      <c r="H26" s="71" t="n"/>
      <c r="I26" s="71" t="n"/>
      <c r="J26" s="71" t="n"/>
      <c r="K26" s="71" t="n"/>
      <c r="L26" s="71" t="n"/>
      <c r="M26" s="71" t="n"/>
      <c r="N26" s="71" t="n"/>
      <c r="O26" s="77">
        <f>SUM(B26:N26)</f>
        <v/>
      </c>
    </row>
    <row r="27" outlineLevel="2" ht="15" customHeight="1">
      <c r="A27" s="69" t="inlineStr">
        <is>
          <t xml:space="preserve">      Total Receivables (₹)</t>
        </is>
      </c>
      <c r="B27" s="70">
        <f>IF('Final Calculation Sheet'!$S$4="","",'Final Calculation Sheet'!$S$4)</f>
        <v/>
      </c>
      <c r="C27" s="71" t="n"/>
      <c r="D27" s="71" t="n"/>
      <c r="E27" s="71" t="n"/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77">
        <f>SUM(B27:N27)</f>
        <v/>
      </c>
    </row>
    <row r="28" outlineLevel="1" ht="16" customHeight="1">
      <c r="A28" s="65" t="inlineStr">
        <is>
          <t xml:space="preserve">  ▸ SECURITY DEPOSIT</t>
        </is>
      </c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</row>
    <row r="29" outlineLevel="2" ht="15" customHeight="1">
      <c r="A29" s="69" t="inlineStr">
        <is>
          <t xml:space="preserve">      SD Expected (₹)</t>
        </is>
      </c>
      <c r="B29" s="70">
        <f>IF('Final Calculation Sheet'!$T$4="","",'Final Calculation Sheet'!$T$4)</f>
        <v/>
      </c>
      <c r="C29" s="71" t="n"/>
      <c r="D29" s="71" t="n"/>
      <c r="E29" s="71" t="n"/>
      <c r="F29" s="71" t="n"/>
      <c r="G29" s="71" t="n"/>
      <c r="H29" s="71" t="n"/>
      <c r="I29" s="71" t="n"/>
      <c r="J29" s="71" t="n"/>
      <c r="K29" s="71" t="n"/>
      <c r="L29" s="71" t="n"/>
      <c r="M29" s="71" t="n"/>
      <c r="N29" s="71" t="n"/>
      <c r="O29" s="77">
        <f>SUM(B29:N29)</f>
        <v/>
      </c>
    </row>
    <row r="30" outlineLevel="2" ht="15" customHeight="1">
      <c r="A30" s="69" t="inlineStr">
        <is>
          <t xml:space="preserve">      SD Received (₹)</t>
        </is>
      </c>
      <c r="B30" s="70">
        <f>IF('Final Calculation Sheet'!$U$4="","",'Final Calculation Sheet'!$U$4)</f>
        <v/>
      </c>
      <c r="C30" s="71" t="n"/>
      <c r="D30" s="71" t="n"/>
      <c r="E30" s="71" t="n"/>
      <c r="F30" s="71" t="n"/>
      <c r="G30" s="71" t="n"/>
      <c r="H30" s="71" t="n"/>
      <c r="I30" s="71" t="n"/>
      <c r="J30" s="71" t="n"/>
      <c r="K30" s="71" t="n"/>
      <c r="L30" s="71" t="n"/>
      <c r="M30" s="71" t="n"/>
      <c r="N30" s="71" t="n"/>
      <c r="O30" s="77">
        <f>SUM(B30:N30)</f>
        <v/>
      </c>
    </row>
    <row r="31" outlineLevel="2" ht="15" customHeight="1">
      <c r="A31" s="69" t="inlineStr">
        <is>
          <t xml:space="preserve">      SD Receipt Date</t>
        </is>
      </c>
      <c r="B31" s="76">
        <f>IF('Final Calculation Sheet'!$V$4="","",'Final Calculation Sheet'!$V$4)</f>
        <v/>
      </c>
      <c r="C31" s="71" t="n"/>
      <c r="D31" s="71" t="n"/>
      <c r="E31" s="71" t="n"/>
      <c r="F31" s="71" t="n"/>
      <c r="G31" s="71" t="n"/>
      <c r="H31" s="71" t="n"/>
      <c r="I31" s="71" t="n"/>
      <c r="J31" s="71" t="n"/>
      <c r="K31" s="71" t="n"/>
      <c r="L31" s="71" t="n"/>
      <c r="M31" s="71" t="n"/>
      <c r="N31" s="71" t="n"/>
      <c r="O31" s="72" t="inlineStr">
        <is>
          <t>–</t>
        </is>
      </c>
    </row>
    <row r="32" outlineLevel="1" ht="16" customHeight="1">
      <c r="A32" s="65" t="inlineStr">
        <is>
          <t xml:space="preserve">  ▸ FINAL PAYMENT</t>
        </is>
      </c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</row>
    <row r="33" outlineLevel="2" ht="15" customHeight="1">
      <c r="A33" s="69" t="inlineStr">
        <is>
          <t xml:space="preserve">      FP Expected (₹)</t>
        </is>
      </c>
      <c r="B33" s="70">
        <f>IF('Final Calculation Sheet'!$W$4="","",'Final Calculation Sheet'!$W$4)</f>
        <v/>
      </c>
      <c r="C33" s="71" t="n"/>
      <c r="D33" s="71" t="n"/>
      <c r="E33" s="71" t="n"/>
      <c r="F33" s="71" t="n"/>
      <c r="G33" s="71" t="n"/>
      <c r="H33" s="71" t="n"/>
      <c r="I33" s="71" t="n"/>
      <c r="J33" s="71" t="n"/>
      <c r="K33" s="71" t="n"/>
      <c r="L33" s="71" t="n"/>
      <c r="M33" s="71" t="n"/>
      <c r="N33" s="71" t="n"/>
      <c r="O33" s="77">
        <f>SUM(B33:N33)</f>
        <v/>
      </c>
    </row>
    <row r="34" outlineLevel="2" ht="15" customHeight="1">
      <c r="A34" s="69" t="inlineStr">
        <is>
          <t xml:space="preserve">      FP Received (₹)</t>
        </is>
      </c>
      <c r="B34" s="70">
        <f>IF('Final Calculation Sheet'!$X$4="","",'Final Calculation Sheet'!$X$4)</f>
        <v/>
      </c>
      <c r="C34" s="71" t="n"/>
      <c r="D34" s="71" t="n"/>
      <c r="E34" s="71" t="n"/>
      <c r="F34" s="71" t="n"/>
      <c r="G34" s="71" t="n"/>
      <c r="H34" s="71" t="n"/>
      <c r="I34" s="71" t="n"/>
      <c r="J34" s="71" t="n"/>
      <c r="K34" s="71" t="n"/>
      <c r="L34" s="71" t="n"/>
      <c r="M34" s="71" t="n"/>
      <c r="N34" s="71" t="n"/>
      <c r="O34" s="77">
        <f>SUM(B34:N34)</f>
        <v/>
      </c>
    </row>
    <row r="35" outlineLevel="2" ht="15" customHeight="1">
      <c r="A35" s="69" t="inlineStr">
        <is>
          <t xml:space="preserve">      FP Receipt Date</t>
        </is>
      </c>
      <c r="B35" s="76">
        <f>IF('Final Calculation Sheet'!$Y$4="","",'Final Calculation Sheet'!$Y$4)</f>
        <v/>
      </c>
      <c r="C35" s="71" t="n"/>
      <c r="D35" s="71" t="n"/>
      <c r="E35" s="71" t="n"/>
      <c r="F35" s="71" t="n"/>
      <c r="G35" s="71" t="n"/>
      <c r="H35" s="71" t="n"/>
      <c r="I35" s="71" t="n"/>
      <c r="J35" s="71" t="n"/>
      <c r="K35" s="71" t="n"/>
      <c r="L35" s="71" t="n"/>
      <c r="M35" s="71" t="n"/>
      <c r="N35" s="71" t="n"/>
      <c r="O35" s="72" t="inlineStr">
        <is>
          <t>–</t>
        </is>
      </c>
    </row>
    <row r="36" outlineLevel="1" ht="16" customHeight="1">
      <c r="A36" s="65" t="inlineStr">
        <is>
          <t xml:space="preserve">  ▸ LPP</t>
        </is>
      </c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</row>
    <row r="37" outlineLevel="2" ht="15" customHeight="1">
      <c r="A37" s="69" t="inlineStr">
        <is>
          <t xml:space="preserve">      LPP Expected (₹)</t>
        </is>
      </c>
      <c r="B37" s="70">
        <f>IF('Final Calculation Sheet'!$Z$4="","",'Final Calculation Sheet'!$Z$4)</f>
        <v/>
      </c>
      <c r="C37" s="71" t="n"/>
      <c r="D37" s="71" t="n"/>
      <c r="E37" s="71" t="n"/>
      <c r="F37" s="71" t="n"/>
      <c r="G37" s="71" t="n"/>
      <c r="H37" s="71" t="n"/>
      <c r="I37" s="71" t="n"/>
      <c r="J37" s="71" t="n"/>
      <c r="K37" s="71" t="n"/>
      <c r="L37" s="71" t="n"/>
      <c r="M37" s="71" t="n"/>
      <c r="N37" s="71" t="n"/>
      <c r="O37" s="77">
        <f>SUM(B37:N37)</f>
        <v/>
      </c>
    </row>
    <row r="38" outlineLevel="2" ht="15" customHeight="1">
      <c r="A38" s="69" t="inlineStr">
        <is>
          <t xml:space="preserve">      LPP Received (₹)</t>
        </is>
      </c>
      <c r="B38" s="70">
        <f>IF('Final Calculation Sheet'!$AA$4="","",'Final Calculation Sheet'!$AA$4)</f>
        <v/>
      </c>
      <c r="C38" s="71" t="n"/>
      <c r="D38" s="71" t="n"/>
      <c r="E38" s="71" t="n"/>
      <c r="F38" s="71" t="n"/>
      <c r="G38" s="71" t="n"/>
      <c r="H38" s="71" t="n"/>
      <c r="I38" s="71" t="n"/>
      <c r="J38" s="71" t="n"/>
      <c r="K38" s="71" t="n"/>
      <c r="L38" s="71" t="n"/>
      <c r="M38" s="71" t="n"/>
      <c r="N38" s="71" t="n"/>
      <c r="O38" s="77">
        <f>SUM(B38:N38)</f>
        <v/>
      </c>
    </row>
    <row r="39" outlineLevel="2" ht="15" customHeight="1">
      <c r="A39" s="69" t="inlineStr">
        <is>
          <t xml:space="preserve">      LPP Receipt Date</t>
        </is>
      </c>
      <c r="B39" s="76">
        <f>IF('Final Calculation Sheet'!$AB$4="","",'Final Calculation Sheet'!$AB$4)</f>
        <v/>
      </c>
      <c r="C39" s="71" t="n"/>
      <c r="D39" s="71" t="n"/>
      <c r="E39" s="71" t="n"/>
      <c r="F39" s="71" t="n"/>
      <c r="G39" s="71" t="n"/>
      <c r="H39" s="71" t="n"/>
      <c r="I39" s="71" t="n"/>
      <c r="J39" s="71" t="n"/>
      <c r="K39" s="71" t="n"/>
      <c r="L39" s="71" t="n"/>
      <c r="M39" s="71" t="n"/>
      <c r="N39" s="71" t="n"/>
      <c r="O39" s="72" t="inlineStr">
        <is>
          <t>–</t>
        </is>
      </c>
    </row>
    <row r="40" outlineLevel="1" ht="16" customHeight="1">
      <c r="A40" s="65" t="inlineStr">
        <is>
          <t xml:space="preserve">  ▸ SUMMARY</t>
        </is>
      </c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</row>
    <row r="41" outlineLevel="2" ht="15" customHeight="1">
      <c r="A41" s="69" t="inlineStr">
        <is>
          <t xml:space="preserve">      Total Received (₹)</t>
        </is>
      </c>
      <c r="B41" s="70">
        <f>IF('Final Calculation Sheet'!$AC$4="","",'Final Calculation Sheet'!$AC$4)</f>
        <v/>
      </c>
      <c r="C41" s="71" t="n"/>
      <c r="D41" s="71" t="n"/>
      <c r="E41" s="71" t="n"/>
      <c r="F41" s="71" t="n"/>
      <c r="G41" s="71" t="n"/>
      <c r="H41" s="71" t="n"/>
      <c r="I41" s="71" t="n"/>
      <c r="J41" s="71" t="n"/>
      <c r="K41" s="71" t="n"/>
      <c r="L41" s="71" t="n"/>
      <c r="M41" s="71" t="n"/>
      <c r="N41" s="71" t="n"/>
      <c r="O41" s="77">
        <f>SUM(B41:N41)</f>
        <v/>
      </c>
    </row>
    <row r="42" outlineLevel="2" ht="15" customHeight="1">
      <c r="A42" s="69" t="inlineStr">
        <is>
          <t xml:space="preserve">      Outstanding (₹)</t>
        </is>
      </c>
      <c r="B42" s="70">
        <f>IF('Final Calculation Sheet'!$AD$4="","",'Final Calculation Sheet'!$AD$4)</f>
        <v/>
      </c>
      <c r="C42" s="71" t="n"/>
      <c r="D42" s="71" t="n"/>
      <c r="E42" s="71" t="n"/>
      <c r="F42" s="71" t="n"/>
      <c r="G42" s="71" t="n"/>
      <c r="H42" s="71" t="n"/>
      <c r="I42" s="71" t="n"/>
      <c r="J42" s="71" t="n"/>
      <c r="K42" s="71" t="n"/>
      <c r="L42" s="71" t="n"/>
      <c r="M42" s="71" t="n"/>
      <c r="N42" s="71" t="n"/>
      <c r="O42" s="77">
        <f>SUM(B42:N42)</f>
        <v/>
      </c>
    </row>
    <row r="43" outlineLevel="2" ht="15" customHeight="1">
      <c r="A43" s="69" t="inlineStr">
        <is>
          <t xml:space="preserve">      Payment Status</t>
        </is>
      </c>
      <c r="B43" s="81">
        <f>IF('Final Calculation Sheet'!$AD$4="","",IF('Final Calculation Sheet'!$AD$4&lt;=0,"SETTLED","OUTSTANDING"))</f>
        <v/>
      </c>
      <c r="C43" s="71" t="n"/>
      <c r="D43" s="71" t="n"/>
      <c r="E43" s="71" t="n"/>
      <c r="F43" s="71" t="n"/>
      <c r="G43" s="71" t="n"/>
      <c r="H43" s="71" t="n"/>
      <c r="I43" s="71" t="n"/>
      <c r="J43" s="71" t="n"/>
      <c r="K43" s="71" t="n"/>
      <c r="L43" s="71" t="n"/>
      <c r="M43" s="71" t="n"/>
      <c r="N43" s="71" t="n"/>
      <c r="O43" s="72" t="inlineStr">
        <is>
          <t>–</t>
        </is>
      </c>
    </row>
    <row r="44" outlineLevel="1" ht="16" customHeight="1">
      <c r="A44" s="65" t="inlineStr">
        <is>
          <t xml:space="preserve">  ▸ DOCUMENT</t>
        </is>
      </c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</row>
    <row r="45" outlineLevel="2" ht="15" customHeight="1">
      <c r="A45" s="69" t="inlineStr">
        <is>
          <t xml:space="preserve">      Invoice No.</t>
        </is>
      </c>
      <c r="B45" s="76">
        <f>IF('Final Calculation Sheet'!$AE$4="","",'Final Calculation Sheet'!$AE$4)</f>
        <v/>
      </c>
      <c r="C45" s="71" t="n"/>
      <c r="D45" s="71" t="n"/>
      <c r="E45" s="71" t="n"/>
      <c r="F45" s="71" t="n"/>
      <c r="G45" s="71" t="n"/>
      <c r="H45" s="71" t="n"/>
      <c r="I45" s="71" t="n"/>
      <c r="J45" s="71" t="n"/>
      <c r="K45" s="71" t="n"/>
      <c r="L45" s="71" t="n"/>
      <c r="M45" s="71" t="n"/>
      <c r="N45" s="71" t="n"/>
      <c r="O45" s="72" t="inlineStr">
        <is>
          <t>–</t>
        </is>
      </c>
    </row>
    <row r="46" outlineLevel="2" ht="15" customHeight="1">
      <c r="A46" s="69" t="inlineStr">
        <is>
          <t xml:space="preserve">      SAP Document</t>
        </is>
      </c>
      <c r="B46" s="70">
        <f>IF('Final Calculation Sheet'!$AF$4="","",'Final Calculation Sheet'!$AF$4)</f>
        <v/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2" t="inlineStr">
        <is>
          <t>–</t>
        </is>
      </c>
    </row>
    <row r="47" outlineLevel="2" ht="15" customHeight="1">
      <c r="A47" s="69" t="inlineStr">
        <is>
          <t xml:space="preserve">      Doc./Invoice Date</t>
        </is>
      </c>
      <c r="B47" s="76">
        <f>IF('Final Calculation Sheet'!$AG$4="","",'Final Calculation Sheet'!$AG$4)</f>
        <v/>
      </c>
      <c r="C47" s="71" t="n"/>
      <c r="D47" s="71" t="n"/>
      <c r="E47" s="71" t="n"/>
      <c r="F47" s="71" t="n"/>
      <c r="G47" s="71" t="n"/>
      <c r="H47" s="71" t="n"/>
      <c r="I47" s="71" t="n"/>
      <c r="J47" s="71" t="n"/>
      <c r="K47" s="71" t="n"/>
      <c r="L47" s="71" t="n"/>
      <c r="M47" s="71" t="n"/>
      <c r="N47" s="71" t="n"/>
      <c r="O47" s="72" t="inlineStr">
        <is>
          <t>–</t>
        </is>
      </c>
    </row>
    <row r="48" ht="7" customHeight="1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4" customHeight="1">
      <c r="A4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</row>
    <row r="50" outlineLevel="1" ht="18" customHeight="1">
      <c r="A50" s="84" t="inlineStr">
        <is>
          <t xml:space="preserve">   Lot No. →</t>
        </is>
      </c>
      <c r="B50" s="85">
        <f>IF('Final Calculation Sheet'!$F$6="","",'Final Calculation Sheet'!$F$6)</f>
        <v/>
      </c>
      <c r="C50" s="85">
        <f>IF('Final Calculation Sheet'!$F$7="","",'Final Calculation Sheet'!$F$7)</f>
        <v/>
      </c>
      <c r="D50" s="86" t="n"/>
      <c r="E50" s="86" t="n"/>
      <c r="F50" s="86" t="n"/>
      <c r="G50" s="86" t="n"/>
      <c r="H50" s="86" t="n"/>
      <c r="I50" s="86" t="n"/>
      <c r="J50" s="86" t="n"/>
      <c r="K50" s="86" t="n"/>
      <c r="L50" s="86" t="n"/>
      <c r="M50" s="86" t="n"/>
      <c r="N50" s="86" t="n"/>
      <c r="O50" s="87" t="inlineStr">
        <is>
          <t>TOTAL</t>
        </is>
      </c>
    </row>
    <row r="51" outlineLevel="1" ht="16" customHeight="1">
      <c r="A51" s="84" t="inlineStr">
        <is>
          <t xml:space="preserve">  ▸ LOT INFORMATION</t>
        </is>
      </c>
      <c r="B51" s="86" t="n"/>
      <c r="C51" s="86" t="n"/>
      <c r="D51" s="86" t="n"/>
      <c r="E51" s="86" t="n"/>
      <c r="F51" s="86" t="n"/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/>
    </row>
    <row r="52" outlineLevel="2" ht="15" customHeight="1">
      <c r="A52" s="69" t="inlineStr">
        <is>
          <t xml:space="preserve">      Lot No.</t>
        </is>
      </c>
      <c r="B52" s="70">
        <f>IF('Final Calculation Sheet'!$F$6="","",'Final Calculation Sheet'!$F$6)</f>
        <v/>
      </c>
      <c r="C52" s="88">
        <f>IF('Final Calculation Sheet'!$F$7="","",'Final Calculation Sheet'!$F$7)</f>
        <v/>
      </c>
      <c r="D52" s="71" t="n"/>
      <c r="E52" s="71" t="n"/>
      <c r="F52" s="71" t="n"/>
      <c r="G52" s="71" t="n"/>
      <c r="H52" s="71" t="n"/>
      <c r="I52" s="71" t="n"/>
      <c r="J52" s="71" t="n"/>
      <c r="K52" s="71" t="n"/>
      <c r="L52" s="71" t="n"/>
      <c r="M52" s="71" t="n"/>
      <c r="N52" s="71" t="n"/>
      <c r="O52" s="89" t="inlineStr">
        <is>
          <t>–</t>
        </is>
      </c>
    </row>
    <row r="53" outlineLevel="2" ht="60" customHeight="1">
      <c r="A53" s="69" t="inlineStr">
        <is>
          <t xml:space="preserve">      Lot Name</t>
        </is>
      </c>
      <c r="B53" s="73">
        <f>IF('Final Calculation Sheet'!$B$6="","",'Final Calculation Sheet'!$B$6)</f>
        <v/>
      </c>
      <c r="C53" s="90">
        <f>IF('Final Calculation Sheet'!$B$7="","",'Final Calculation Sheet'!$B$7)</f>
        <v/>
      </c>
      <c r="D53" s="71" t="n"/>
      <c r="E53" s="71" t="n"/>
      <c r="F53" s="71" t="n"/>
      <c r="G53" s="71" t="n"/>
      <c r="H53" s="71" t="n"/>
      <c r="I53" s="71" t="n"/>
      <c r="J53" s="71" t="n"/>
      <c r="K53" s="71" t="n"/>
      <c r="L53" s="71" t="n"/>
      <c r="M53" s="71" t="n"/>
      <c r="N53" s="71" t="n"/>
      <c r="O53" s="89" t="inlineStr">
        <is>
          <t>–</t>
        </is>
      </c>
    </row>
    <row r="54" outlineLevel="2" ht="15" customHeight="1">
      <c r="A54" s="69" t="inlineStr">
        <is>
          <t xml:space="preserve">      Bid Sheet / Auction</t>
        </is>
      </c>
      <c r="B54" s="70">
        <f>IF('Final Calculation Sheet'!$D$6="","",'Final Calculation Sheet'!$D$6)</f>
        <v/>
      </c>
      <c r="C54" s="88">
        <f>IF('Final Calculation Sheet'!$D$7="","",'Final Calculation Sheet'!$D$7)</f>
        <v/>
      </c>
      <c r="D54" s="71" t="n"/>
      <c r="E54" s="71" t="n"/>
      <c r="F54" s="71" t="n"/>
      <c r="G54" s="71" t="n"/>
      <c r="H54" s="71" t="n"/>
      <c r="I54" s="71" t="n"/>
      <c r="J54" s="71" t="n"/>
      <c r="K54" s="71" t="n"/>
      <c r="L54" s="71" t="n"/>
      <c r="M54" s="71" t="n"/>
      <c r="N54" s="71" t="n"/>
      <c r="O54" s="89" t="inlineStr">
        <is>
          <t>–</t>
        </is>
      </c>
    </row>
    <row r="55" outlineLevel="2" ht="15" customHeight="1">
      <c r="A55" s="69" t="inlineStr">
        <is>
          <t xml:space="preserve">      Quantity</t>
        </is>
      </c>
      <c r="B55" s="74">
        <f>IF('Final Calculation Sheet'!$A$6="","",'Final Calculation Sheet'!$A$6)</f>
        <v/>
      </c>
      <c r="C55" s="91">
        <f>IF('Final Calculation Sheet'!$A$7="","",'Final Calculation Sheet'!$A$7)</f>
        <v/>
      </c>
      <c r="D55" s="71" t="n"/>
      <c r="E55" s="71" t="n"/>
      <c r="F55" s="71" t="n"/>
      <c r="G55" s="71" t="n"/>
      <c r="H55" s="71" t="n"/>
      <c r="I55" s="71" t="n"/>
      <c r="J55" s="71" t="n"/>
      <c r="K55" s="71" t="n"/>
      <c r="L55" s="71" t="n"/>
      <c r="M55" s="71" t="n"/>
      <c r="N55" s="71" t="n"/>
      <c r="O55" s="92">
        <f>SUM(B55:N55)</f>
        <v/>
      </c>
    </row>
    <row r="56" outlineLevel="2" ht="15" customHeight="1">
      <c r="A56" s="69" t="inlineStr">
        <is>
          <t xml:space="preserve">      Unit</t>
        </is>
      </c>
      <c r="B56" s="76">
        <f>IF('Final Calculation Sheet'!$E$6="","",'Final Calculation Sheet'!$E$6)</f>
        <v/>
      </c>
      <c r="C56" s="93">
        <f>IF('Final Calculation Sheet'!$E$7="","",'Final Calculation Sheet'!$E$7)</f>
        <v/>
      </c>
      <c r="D56" s="71" t="n"/>
      <c r="E56" s="71" t="n"/>
      <c r="F56" s="71" t="n"/>
      <c r="G56" s="71" t="n"/>
      <c r="H56" s="71" t="n"/>
      <c r="I56" s="71" t="n"/>
      <c r="J56" s="71" t="n"/>
      <c r="K56" s="71" t="n"/>
      <c r="L56" s="71" t="n"/>
      <c r="M56" s="71" t="n"/>
      <c r="N56" s="71" t="n"/>
      <c r="O56" s="89" t="inlineStr">
        <is>
          <t>–</t>
        </is>
      </c>
    </row>
    <row r="57" outlineLevel="2" ht="15" customHeight="1">
      <c r="A57" s="69" t="inlineStr">
        <is>
          <t xml:space="preserve">      Rate (₹)</t>
        </is>
      </c>
      <c r="B57" s="70">
        <f>IF('Final Calculation Sheet'!$C$6="","",'Final Calculation Sheet'!$C$6)</f>
        <v/>
      </c>
      <c r="C57" s="88">
        <f>IF('Final Calculation Sheet'!$C$7="","",'Final Calculation Sheet'!$C$7)</f>
        <v/>
      </c>
      <c r="D57" s="71" t="n"/>
      <c r="E57" s="71" t="n"/>
      <c r="F57" s="71" t="n"/>
      <c r="G57" s="71" t="n"/>
      <c r="H57" s="71" t="n"/>
      <c r="I57" s="71" t="n"/>
      <c r="J57" s="71" t="n"/>
      <c r="K57" s="71" t="n"/>
      <c r="L57" s="71" t="n"/>
      <c r="M57" s="71" t="n"/>
      <c r="N57" s="71" t="n"/>
      <c r="O57" s="89" t="inlineStr">
        <is>
          <t>–</t>
        </is>
      </c>
    </row>
    <row r="58" outlineLevel="1" ht="16" customHeight="1">
      <c r="A58" s="84" t="inlineStr">
        <is>
          <t xml:space="preserve">  ▸ FINANCIALS</t>
        </is>
      </c>
      <c r="B58" s="86" t="n"/>
      <c r="C58" s="86" t="n"/>
      <c r="D58" s="86" t="n"/>
      <c r="E58" s="86" t="n"/>
      <c r="F58" s="86" t="n"/>
      <c r="G58" s="86" t="n"/>
      <c r="H58" s="86" t="n"/>
      <c r="I58" s="86" t="n"/>
      <c r="J58" s="86" t="n"/>
      <c r="K58" s="86" t="n"/>
      <c r="L58" s="86" t="n"/>
      <c r="M58" s="86" t="n"/>
      <c r="N58" s="86" t="n"/>
      <c r="O58" s="86" t="n"/>
    </row>
    <row r="59" outlineLevel="2" ht="15" customHeight="1">
      <c r="A59" s="69" t="inlineStr">
        <is>
          <t xml:space="preserve">      Mat. Value (₹)</t>
        </is>
      </c>
      <c r="B59" s="70">
        <f>IF('Final Calculation Sheet'!$H$6="","",'Final Calculation Sheet'!$H$6)</f>
        <v/>
      </c>
      <c r="C59" s="88">
        <f>IF('Final Calculation Sheet'!$H$7="","",'Final Calculation Sheet'!$H$7)</f>
        <v/>
      </c>
      <c r="D59" s="71" t="n"/>
      <c r="E59" s="71" t="n"/>
      <c r="F59" s="71" t="n"/>
      <c r="G59" s="71" t="n"/>
      <c r="H59" s="71" t="n"/>
      <c r="I59" s="71" t="n"/>
      <c r="J59" s="71" t="n"/>
      <c r="K59" s="71" t="n"/>
      <c r="L59" s="71" t="n"/>
      <c r="M59" s="71" t="n"/>
      <c r="N59" s="71" t="n"/>
      <c r="O59" s="94">
        <f>SUM(B59:N59)</f>
        <v/>
      </c>
    </row>
    <row r="60" outlineLevel="2" ht="15" customHeight="1">
      <c r="A60" s="69" t="inlineStr">
        <is>
          <t xml:space="preserve">      GST @ 18% (₹)</t>
        </is>
      </c>
      <c r="B60" s="70">
        <f>IF('Final Calculation Sheet'!$I$6="","",'Final Calculation Sheet'!$I$6)</f>
        <v/>
      </c>
      <c r="C60" s="88">
        <f>IF('Final Calculation Sheet'!$I$7="","",'Final Calculation Sheet'!$I$7)</f>
        <v/>
      </c>
      <c r="D60" s="71" t="n"/>
      <c r="E60" s="71" t="n"/>
      <c r="F60" s="71" t="n"/>
      <c r="G60" s="71" t="n"/>
      <c r="H60" s="71" t="n"/>
      <c r="I60" s="71" t="n"/>
      <c r="J60" s="71" t="n"/>
      <c r="K60" s="71" t="n"/>
      <c r="L60" s="71" t="n"/>
      <c r="M60" s="71" t="n"/>
      <c r="N60" s="71" t="n"/>
      <c r="O60" s="94">
        <f>SUM(B60:N60)</f>
        <v/>
      </c>
    </row>
    <row r="61" outlineLevel="2" ht="15" customHeight="1">
      <c r="A61" s="69" t="inlineStr">
        <is>
          <t xml:space="preserve">      Mat. Value + GST (₹)</t>
        </is>
      </c>
      <c r="B61" s="70">
        <f>IF('Final Calculation Sheet'!$J$6="","",'Final Calculation Sheet'!$J$6)</f>
        <v/>
      </c>
      <c r="C61" s="88">
        <f>IF('Final Calculation Sheet'!$J$7="","",'Final Calculation Sheet'!$J$7)</f>
        <v/>
      </c>
      <c r="D61" s="71" t="n"/>
      <c r="E61" s="71" t="n"/>
      <c r="F61" s="71" t="n"/>
      <c r="G61" s="71" t="n"/>
      <c r="H61" s="71" t="n"/>
      <c r="I61" s="71" t="n"/>
      <c r="J61" s="71" t="n"/>
      <c r="K61" s="71" t="n"/>
      <c r="L61" s="71" t="n"/>
      <c r="M61" s="71" t="n"/>
      <c r="N61" s="71" t="n"/>
      <c r="O61" s="94">
        <f>SUM(B61:N61)</f>
        <v/>
      </c>
    </row>
    <row r="62" outlineLevel="2" ht="15" customHeight="1">
      <c r="A62" s="69" t="inlineStr">
        <is>
          <t xml:space="preserve">      TCS @ 2% (₹)</t>
        </is>
      </c>
      <c r="B62" s="70">
        <f>IF('Final Calculation Sheet'!$K$6="","",'Final Calculation Sheet'!$K$6)</f>
        <v/>
      </c>
      <c r="C62" s="88">
        <f>IF('Final Calculation Sheet'!$K$7="","",'Final Calculation Sheet'!$K$7)</f>
        <v/>
      </c>
      <c r="D62" s="71" t="n"/>
      <c r="E62" s="71" t="n"/>
      <c r="F62" s="71" t="n"/>
      <c r="G62" s="71" t="n"/>
      <c r="H62" s="71" t="n"/>
      <c r="I62" s="71" t="n"/>
      <c r="J62" s="71" t="n"/>
      <c r="K62" s="71" t="n"/>
      <c r="L62" s="71" t="n"/>
      <c r="M62" s="71" t="n"/>
      <c r="N62" s="71" t="n"/>
      <c r="O62" s="94">
        <f>SUM(B62:N62)</f>
        <v/>
      </c>
    </row>
    <row r="63" outlineLevel="2" ht="15" customHeight="1">
      <c r="A63" s="69" t="inlineStr">
        <is>
          <t xml:space="preserve">      TDS u/s 194(O) (₹)</t>
        </is>
      </c>
      <c r="B63" s="78">
        <f>IF('Final Calculation Sheet'!$L$6="","",'Final Calculation Sheet'!$L$6)</f>
        <v/>
      </c>
      <c r="C63" s="95">
        <f>IF('Final Calculation Sheet'!$L$7="","",'Final Calculation Sheet'!$L$7)</f>
        <v/>
      </c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96">
        <f>SUM(B63:N63)</f>
        <v/>
      </c>
    </row>
    <row r="64" outlineLevel="2" ht="15" customHeight="1">
      <c r="A64" s="69" t="inlineStr">
        <is>
          <t xml:space="preserve">      Service Charge gross (₹)</t>
        </is>
      </c>
      <c r="B64" s="78">
        <f>IF('Final Calculation Sheet'!$M$6="","",'Final Calculation Sheet'!$M$6)</f>
        <v/>
      </c>
      <c r="C64" s="95">
        <f>IF('Final Calculation Sheet'!$M$7="","",'Final Calculation Sheet'!$M$7)</f>
        <v/>
      </c>
      <c r="D64" s="71" t="n"/>
      <c r="E64" s="71" t="n"/>
      <c r="F64" s="71" t="n"/>
      <c r="G64" s="71" t="n"/>
      <c r="H64" s="71" t="n"/>
      <c r="I64" s="71" t="n"/>
      <c r="J64" s="71" t="n"/>
      <c r="K64" s="71" t="n"/>
      <c r="L64" s="71" t="n"/>
      <c r="M64" s="71" t="n"/>
      <c r="N64" s="71" t="n"/>
      <c r="O64" s="96">
        <f>SUM(B64:N64)</f>
        <v/>
      </c>
    </row>
    <row r="65" outlineLevel="2" ht="15" customHeight="1">
      <c r="A65" s="69" t="inlineStr">
        <is>
          <t xml:space="preserve">      TDS u/s 194(H) (₹)</t>
        </is>
      </c>
      <c r="B65" s="78">
        <f>IF('Final Calculation Sheet'!$N$6="","",'Final Calculation Sheet'!$N$6)</f>
        <v/>
      </c>
      <c r="C65" s="95">
        <f>IF('Final Calculation Sheet'!$N$7="","",'Final Calculation Sheet'!$N$7)</f>
        <v/>
      </c>
      <c r="D65" s="71" t="n"/>
      <c r="E65" s="71" t="n"/>
      <c r="F65" s="71" t="n"/>
      <c r="G65" s="71" t="n"/>
      <c r="H65" s="71" t="n"/>
      <c r="I65" s="71" t="n"/>
      <c r="J65" s="71" t="n"/>
      <c r="K65" s="71" t="n"/>
      <c r="L65" s="71" t="n"/>
      <c r="M65" s="71" t="n"/>
      <c r="N65" s="71" t="n"/>
      <c r="O65" s="96">
        <f>SUM(B65:N65)</f>
        <v/>
      </c>
    </row>
    <row r="66" outlineLevel="2" ht="15" customHeight="1">
      <c r="A66" s="69" t="inlineStr">
        <is>
          <t xml:space="preserve">      Net Service Charge (₹)</t>
        </is>
      </c>
      <c r="B66" s="78">
        <f>IF('Final Calculation Sheet'!$O$6="","",'Final Calculation Sheet'!$O$6)</f>
        <v/>
      </c>
      <c r="C66" s="95">
        <f>IF('Final Calculation Sheet'!$O$7="","",'Final Calculation Sheet'!$O$7)</f>
        <v/>
      </c>
      <c r="D66" s="71" t="n"/>
      <c r="E66" s="71" t="n"/>
      <c r="F66" s="71" t="n"/>
      <c r="G66" s="71" t="n"/>
      <c r="H66" s="71" t="n"/>
      <c r="I66" s="71" t="n"/>
      <c r="J66" s="71" t="n"/>
      <c r="K66" s="71" t="n"/>
      <c r="L66" s="71" t="n"/>
      <c r="M66" s="71" t="n"/>
      <c r="N66" s="71" t="n"/>
      <c r="O66" s="96">
        <f>SUM(B66:N66)</f>
        <v/>
      </c>
    </row>
    <row r="67" outlineLevel="2" ht="15" customHeight="1">
      <c r="A67" s="69" t="inlineStr">
        <is>
          <t xml:space="preserve">      Svc Charge to MSTC (₹)</t>
        </is>
      </c>
      <c r="B67" s="70">
        <f>IF('Final Calculation Sheet'!$P$6="","",'Final Calculation Sheet'!$P$6)</f>
        <v/>
      </c>
      <c r="C67" s="88">
        <f>IF('Final Calculation Sheet'!$P$7="","",'Final Calculation Sheet'!$P$7)</f>
        <v/>
      </c>
      <c r="D67" s="71" t="n"/>
      <c r="E67" s="71" t="n"/>
      <c r="F67" s="71" t="n"/>
      <c r="G67" s="71" t="n"/>
      <c r="H67" s="71" t="n"/>
      <c r="I67" s="71" t="n"/>
      <c r="J67" s="71" t="n"/>
      <c r="K67" s="71" t="n"/>
      <c r="L67" s="71" t="n"/>
      <c r="M67" s="71" t="n"/>
      <c r="N67" s="71" t="n"/>
      <c r="O67" s="94">
        <f>SUM(B67:N67)</f>
        <v/>
      </c>
    </row>
    <row r="68" outlineLevel="2" ht="15" customHeight="1">
      <c r="A68" s="69" t="inlineStr">
        <is>
          <t xml:space="preserve">      GST TDS Rate</t>
        </is>
      </c>
      <c r="B68" s="80">
        <f>IF('Final Calculation Sheet'!$Q$6="","",'Final Calculation Sheet'!$Q$6)</f>
        <v/>
      </c>
      <c r="C68" s="97">
        <f>IF('Final Calculation Sheet'!$Q$7="","",'Final Calculation Sheet'!$Q$7)</f>
        <v/>
      </c>
      <c r="D68" s="71" t="n"/>
      <c r="E68" s="71" t="n"/>
      <c r="F68" s="71" t="n"/>
      <c r="G68" s="71" t="n"/>
      <c r="H68" s="71" t="n"/>
      <c r="I68" s="71" t="n"/>
      <c r="J68" s="71" t="n"/>
      <c r="K68" s="71" t="n"/>
      <c r="L68" s="71" t="n"/>
      <c r="M68" s="71" t="n"/>
      <c r="N68" s="71" t="n"/>
      <c r="O68" s="89" t="inlineStr">
        <is>
          <t>–</t>
        </is>
      </c>
    </row>
    <row r="69" outlineLevel="2" ht="15" customHeight="1">
      <c r="A69" s="69" t="inlineStr">
        <is>
          <t xml:space="preserve">      GST TDS (₹)</t>
        </is>
      </c>
      <c r="B69" s="70">
        <f>IF('Final Calculation Sheet'!$R$6="","",'Final Calculation Sheet'!$R$6)</f>
        <v/>
      </c>
      <c r="C69" s="88">
        <f>IF('Final Calculation Sheet'!$R$7="","",'Final Calculation Sheet'!$R$7)</f>
        <v/>
      </c>
      <c r="D69" s="71" t="n"/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94">
        <f>SUM(B69:N69)</f>
        <v/>
      </c>
    </row>
    <row r="70" outlineLevel="2" ht="15" customHeight="1">
      <c r="A70" s="69" t="inlineStr">
        <is>
          <t xml:space="preserve">      Total Receivables (₹)</t>
        </is>
      </c>
      <c r="B70" s="70">
        <f>IF('Final Calculation Sheet'!$S$6="","",'Final Calculation Sheet'!$S$6)</f>
        <v/>
      </c>
      <c r="C70" s="88">
        <f>IF('Final Calculation Sheet'!$S$7="","",'Final Calculation Sheet'!$S$7)</f>
        <v/>
      </c>
      <c r="D70" s="71" t="n"/>
      <c r="E70" s="71" t="n"/>
      <c r="F70" s="71" t="n"/>
      <c r="G70" s="71" t="n"/>
      <c r="H70" s="71" t="n"/>
      <c r="I70" s="71" t="n"/>
      <c r="J70" s="71" t="n"/>
      <c r="K70" s="71" t="n"/>
      <c r="L70" s="71" t="n"/>
      <c r="M70" s="71" t="n"/>
      <c r="N70" s="71" t="n"/>
      <c r="O70" s="94">
        <f>SUM(B70:N70)</f>
        <v/>
      </c>
    </row>
    <row r="71" outlineLevel="1" ht="16" customHeight="1">
      <c r="A71" s="84" t="inlineStr">
        <is>
          <t xml:space="preserve">  ▸ SECURITY DEPOSIT</t>
        </is>
      </c>
      <c r="B71" s="86" t="n"/>
      <c r="C71" s="86" t="n"/>
      <c r="D71" s="86" t="n"/>
      <c r="E71" s="86" t="n"/>
      <c r="F71" s="86" t="n"/>
      <c r="G71" s="86" t="n"/>
      <c r="H71" s="86" t="n"/>
      <c r="I71" s="86" t="n"/>
      <c r="J71" s="86" t="n"/>
      <c r="K71" s="86" t="n"/>
      <c r="L71" s="86" t="n"/>
      <c r="M71" s="86" t="n"/>
      <c r="N71" s="86" t="n"/>
      <c r="O71" s="86" t="n"/>
    </row>
    <row r="72" outlineLevel="2" ht="15" customHeight="1">
      <c r="A72" s="69" t="inlineStr">
        <is>
          <t xml:space="preserve">      SD Expected (₹)</t>
        </is>
      </c>
      <c r="B72" s="70">
        <f>IF('Final Calculation Sheet'!$T$6="","",'Final Calculation Sheet'!$T$6)</f>
        <v/>
      </c>
      <c r="C72" s="88">
        <f>IF('Final Calculation Sheet'!$T$7="","",'Final Calculation Sheet'!$T$7)</f>
        <v/>
      </c>
      <c r="D72" s="71" t="n"/>
      <c r="E72" s="71" t="n"/>
      <c r="F72" s="71" t="n"/>
      <c r="G72" s="71" t="n"/>
      <c r="H72" s="71" t="n"/>
      <c r="I72" s="71" t="n"/>
      <c r="J72" s="71" t="n"/>
      <c r="K72" s="71" t="n"/>
      <c r="L72" s="71" t="n"/>
      <c r="M72" s="71" t="n"/>
      <c r="N72" s="71" t="n"/>
      <c r="O72" s="94">
        <f>SUM(B72:N72)</f>
        <v/>
      </c>
    </row>
    <row r="73" outlineLevel="2" ht="15" customHeight="1">
      <c r="A73" s="69" t="inlineStr">
        <is>
          <t xml:space="preserve">      SD Received (₹)</t>
        </is>
      </c>
      <c r="B73" s="70">
        <f>IF('Final Calculation Sheet'!$U$6="","",'Final Calculation Sheet'!$U$6)</f>
        <v/>
      </c>
      <c r="C73" s="88">
        <f>IF('Final Calculation Sheet'!$U$7="","",'Final Calculation Sheet'!$U$7)</f>
        <v/>
      </c>
      <c r="D73" s="71" t="n"/>
      <c r="E73" s="71" t="n"/>
      <c r="F73" s="71" t="n"/>
      <c r="G73" s="71" t="n"/>
      <c r="H73" s="71" t="n"/>
      <c r="I73" s="71" t="n"/>
      <c r="J73" s="71" t="n"/>
      <c r="K73" s="71" t="n"/>
      <c r="L73" s="71" t="n"/>
      <c r="M73" s="71" t="n"/>
      <c r="N73" s="71" t="n"/>
      <c r="O73" s="94">
        <f>SUM(B73:N73)</f>
        <v/>
      </c>
    </row>
    <row r="74" outlineLevel="2" ht="15" customHeight="1">
      <c r="A74" s="69" t="inlineStr">
        <is>
          <t xml:space="preserve">      SD Receipt Date</t>
        </is>
      </c>
      <c r="B74" s="76">
        <f>IF('Final Calculation Sheet'!$V$6="","",'Final Calculation Sheet'!$V$6)</f>
        <v/>
      </c>
      <c r="C74" s="93">
        <f>IF('Final Calculation Sheet'!$V$7="","",'Final Calculation Sheet'!$V$7)</f>
        <v/>
      </c>
      <c r="D74" s="71" t="n"/>
      <c r="E74" s="71" t="n"/>
      <c r="F74" s="71" t="n"/>
      <c r="G74" s="71" t="n"/>
      <c r="H74" s="71" t="n"/>
      <c r="I74" s="71" t="n"/>
      <c r="J74" s="71" t="n"/>
      <c r="K74" s="71" t="n"/>
      <c r="L74" s="71" t="n"/>
      <c r="M74" s="71" t="n"/>
      <c r="N74" s="71" t="n"/>
      <c r="O74" s="89" t="inlineStr">
        <is>
          <t>–</t>
        </is>
      </c>
    </row>
    <row r="75" outlineLevel="1" ht="16" customHeight="1">
      <c r="A75" s="84" t="inlineStr">
        <is>
          <t xml:space="preserve">  ▸ FINAL PAYMENT</t>
        </is>
      </c>
      <c r="B75" s="86" t="n"/>
      <c r="C75" s="86" t="n"/>
      <c r="D75" s="86" t="n"/>
      <c r="E75" s="86" t="n"/>
      <c r="F75" s="86" t="n"/>
      <c r="G75" s="86" t="n"/>
      <c r="H75" s="86" t="n"/>
      <c r="I75" s="86" t="n"/>
      <c r="J75" s="86" t="n"/>
      <c r="K75" s="86" t="n"/>
      <c r="L75" s="86" t="n"/>
      <c r="M75" s="86" t="n"/>
      <c r="N75" s="86" t="n"/>
      <c r="O75" s="86" t="n"/>
    </row>
    <row r="76" outlineLevel="2" ht="15" customHeight="1">
      <c r="A76" s="69" t="inlineStr">
        <is>
          <t xml:space="preserve">      FP Expected (₹)</t>
        </is>
      </c>
      <c r="B76" s="70">
        <f>IF('Final Calculation Sheet'!$W$6="","",'Final Calculation Sheet'!$W$6)</f>
        <v/>
      </c>
      <c r="C76" s="88">
        <f>IF('Final Calculation Sheet'!$W$7="","",'Final Calculation Sheet'!$W$7)</f>
        <v/>
      </c>
      <c r="D76" s="71" t="n"/>
      <c r="E76" s="71" t="n"/>
      <c r="F76" s="71" t="n"/>
      <c r="G76" s="71" t="n"/>
      <c r="H76" s="71" t="n"/>
      <c r="I76" s="71" t="n"/>
      <c r="J76" s="71" t="n"/>
      <c r="K76" s="71" t="n"/>
      <c r="L76" s="71" t="n"/>
      <c r="M76" s="71" t="n"/>
      <c r="N76" s="71" t="n"/>
      <c r="O76" s="94">
        <f>SUM(B76:N76)</f>
        <v/>
      </c>
    </row>
    <row r="77" outlineLevel="2" ht="15" customHeight="1">
      <c r="A77" s="69" t="inlineStr">
        <is>
          <t xml:space="preserve">      FP Received (₹)</t>
        </is>
      </c>
      <c r="B77" s="70">
        <f>IF('Final Calculation Sheet'!$X$6="","",'Final Calculation Sheet'!$X$6)</f>
        <v/>
      </c>
      <c r="C77" s="88">
        <f>IF('Final Calculation Sheet'!$X$7="","",'Final Calculation Sheet'!$X$7)</f>
        <v/>
      </c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94">
        <f>SUM(B77:N77)</f>
        <v/>
      </c>
    </row>
    <row r="78" outlineLevel="2" ht="15" customHeight="1">
      <c r="A78" s="69" t="inlineStr">
        <is>
          <t xml:space="preserve">      FP Receipt Date</t>
        </is>
      </c>
      <c r="B78" s="76">
        <f>IF('Final Calculation Sheet'!$Y$6="","",'Final Calculation Sheet'!$Y$6)</f>
        <v/>
      </c>
      <c r="C78" s="93">
        <f>IF('Final Calculation Sheet'!$Y$7="","",'Final Calculation Sheet'!$Y$7)</f>
        <v/>
      </c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89" t="inlineStr">
        <is>
          <t>–</t>
        </is>
      </c>
    </row>
    <row r="79" outlineLevel="1" ht="16" customHeight="1">
      <c r="A79" s="84" t="inlineStr">
        <is>
          <t xml:space="preserve">  ▸ LPP</t>
        </is>
      </c>
      <c r="B79" s="86" t="n"/>
      <c r="C79" s="86" t="n"/>
      <c r="D79" s="86" t="n"/>
      <c r="E79" s="86" t="n"/>
      <c r="F79" s="86" t="n"/>
      <c r="G79" s="86" t="n"/>
      <c r="H79" s="86" t="n"/>
      <c r="I79" s="86" t="n"/>
      <c r="J79" s="86" t="n"/>
      <c r="K79" s="86" t="n"/>
      <c r="L79" s="86" t="n"/>
      <c r="M79" s="86" t="n"/>
      <c r="N79" s="86" t="n"/>
      <c r="O79" s="86" t="n"/>
    </row>
    <row r="80" outlineLevel="2" ht="15" customHeight="1">
      <c r="A80" s="69" t="inlineStr">
        <is>
          <t xml:space="preserve">      LPP Expected (₹)</t>
        </is>
      </c>
      <c r="B80" s="70">
        <f>IF('Final Calculation Sheet'!$Z$6="","",'Final Calculation Sheet'!$Z$6)</f>
        <v/>
      </c>
      <c r="C80" s="88">
        <f>IF('Final Calculation Sheet'!$Z$7="","",'Final Calculation Sheet'!$Z$7)</f>
        <v/>
      </c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94">
        <f>SUM(B80:N80)</f>
        <v/>
      </c>
    </row>
    <row r="81" outlineLevel="2" ht="15" customHeight="1">
      <c r="A81" s="69" t="inlineStr">
        <is>
          <t xml:space="preserve">      LPP Received (₹)</t>
        </is>
      </c>
      <c r="B81" s="70">
        <f>IF('Final Calculation Sheet'!$AA$6="","",'Final Calculation Sheet'!$AA$6)</f>
        <v/>
      </c>
      <c r="C81" s="88">
        <f>IF('Final Calculation Sheet'!$AA$7="","",'Final Calculation Sheet'!$AA$7)</f>
        <v/>
      </c>
      <c r="D81" s="71" t="n"/>
      <c r="E81" s="71" t="n"/>
      <c r="F81" s="71" t="n"/>
      <c r="G81" s="71" t="n"/>
      <c r="H81" s="71" t="n"/>
      <c r="I81" s="71" t="n"/>
      <c r="J81" s="71" t="n"/>
      <c r="K81" s="71" t="n"/>
      <c r="L81" s="71" t="n"/>
      <c r="M81" s="71" t="n"/>
      <c r="N81" s="71" t="n"/>
      <c r="O81" s="94">
        <f>SUM(B81:N81)</f>
        <v/>
      </c>
    </row>
    <row r="82" outlineLevel="2" ht="15" customHeight="1">
      <c r="A82" s="69" t="inlineStr">
        <is>
          <t xml:space="preserve">      LPP Receipt Date</t>
        </is>
      </c>
      <c r="B82" s="76">
        <f>IF('Final Calculation Sheet'!$AB$6="","",'Final Calculation Sheet'!$AB$6)</f>
        <v/>
      </c>
      <c r="C82" s="93">
        <f>IF('Final Calculation Sheet'!$AB$7="","",'Final Calculation Sheet'!$AB$7)</f>
        <v/>
      </c>
      <c r="D82" s="71" t="n"/>
      <c r="E82" s="71" t="n"/>
      <c r="F82" s="71" t="n"/>
      <c r="G82" s="71" t="n"/>
      <c r="H82" s="71" t="n"/>
      <c r="I82" s="71" t="n"/>
      <c r="J82" s="71" t="n"/>
      <c r="K82" s="71" t="n"/>
      <c r="L82" s="71" t="n"/>
      <c r="M82" s="71" t="n"/>
      <c r="N82" s="71" t="n"/>
      <c r="O82" s="89" t="inlineStr">
        <is>
          <t>–</t>
        </is>
      </c>
    </row>
    <row r="83" outlineLevel="1" ht="16" customHeight="1">
      <c r="A83" s="84" t="inlineStr">
        <is>
          <t xml:space="preserve">  ▸ SUMMARY</t>
        </is>
      </c>
      <c r="B83" s="86" t="n"/>
      <c r="C83" s="86" t="n"/>
      <c r="D83" s="86" t="n"/>
      <c r="E83" s="86" t="n"/>
      <c r="F83" s="86" t="n"/>
      <c r="G83" s="86" t="n"/>
      <c r="H83" s="86" t="n"/>
      <c r="I83" s="86" t="n"/>
      <c r="J83" s="86" t="n"/>
      <c r="K83" s="86" t="n"/>
      <c r="L83" s="86" t="n"/>
      <c r="M83" s="86" t="n"/>
      <c r="N83" s="86" t="n"/>
      <c r="O83" s="86" t="n"/>
    </row>
    <row r="84" outlineLevel="2" ht="15" customHeight="1">
      <c r="A84" s="69" t="inlineStr">
        <is>
          <t xml:space="preserve">      Total Received (₹)</t>
        </is>
      </c>
      <c r="B84" s="70">
        <f>IF('Final Calculation Sheet'!$AC$6="","",'Final Calculation Sheet'!$AC$6)</f>
        <v/>
      </c>
      <c r="C84" s="88">
        <f>IF('Final Calculation Sheet'!$AC$7="","",'Final Calculation Sheet'!$AC$7)</f>
        <v/>
      </c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  <c r="M84" s="71" t="n"/>
      <c r="N84" s="71" t="n"/>
      <c r="O84" s="94">
        <f>SUM(B84:N84)</f>
        <v/>
      </c>
    </row>
    <row r="85" outlineLevel="2" ht="15" customHeight="1">
      <c r="A85" s="69" t="inlineStr">
        <is>
          <t xml:space="preserve">      Outstanding (₹)</t>
        </is>
      </c>
      <c r="B85" s="70">
        <f>IF('Final Calculation Sheet'!$AD$6="","",'Final Calculation Sheet'!$AD$6)</f>
        <v/>
      </c>
      <c r="C85" s="88">
        <f>IF('Final Calculation Sheet'!$AD$7="","",'Final Calculation Sheet'!$AD$7)</f>
        <v/>
      </c>
      <c r="D85" s="71" t="n"/>
      <c r="E85" s="71" t="n"/>
      <c r="F85" s="71" t="n"/>
      <c r="G85" s="71" t="n"/>
      <c r="H85" s="71" t="n"/>
      <c r="I85" s="71" t="n"/>
      <c r="J85" s="71" t="n"/>
      <c r="K85" s="71" t="n"/>
      <c r="L85" s="71" t="n"/>
      <c r="M85" s="71" t="n"/>
      <c r="N85" s="71" t="n"/>
      <c r="O85" s="94">
        <f>SUM(B85:N85)</f>
        <v/>
      </c>
    </row>
    <row r="86" outlineLevel="2" ht="15" customHeight="1">
      <c r="A86" s="69" t="inlineStr">
        <is>
          <t xml:space="preserve">      Payment Status</t>
        </is>
      </c>
      <c r="B86" s="81">
        <f>IF('Final Calculation Sheet'!$AD$6="","",IF('Final Calculation Sheet'!$AD$6&lt;=0,"SETTLED","OUTSTANDING"))</f>
        <v/>
      </c>
      <c r="C86" s="98">
        <f>IF('Final Calculation Sheet'!$AD$7="","",IF('Final Calculation Sheet'!$AD$7&lt;=0,"SETTLED","OUTSTANDING"))</f>
        <v/>
      </c>
      <c r="D86" s="71" t="n"/>
      <c r="E86" s="71" t="n"/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89" t="inlineStr">
        <is>
          <t>–</t>
        </is>
      </c>
    </row>
    <row r="87" outlineLevel="1" ht="16" customHeight="1">
      <c r="A87" s="84" t="inlineStr">
        <is>
          <t xml:space="preserve">  ▸ DOCUMENT</t>
        </is>
      </c>
      <c r="B87" s="86" t="n"/>
      <c r="C87" s="86" t="n"/>
      <c r="D87" s="86" t="n"/>
      <c r="E87" s="86" t="n"/>
      <c r="F87" s="86" t="n"/>
      <c r="G87" s="86" t="n"/>
      <c r="H87" s="86" t="n"/>
      <c r="I87" s="86" t="n"/>
      <c r="J87" s="86" t="n"/>
      <c r="K87" s="86" t="n"/>
      <c r="L87" s="86" t="n"/>
      <c r="M87" s="86" t="n"/>
      <c r="N87" s="86" t="n"/>
      <c r="O87" s="86" t="n"/>
    </row>
    <row r="88" outlineLevel="2" ht="15" customHeight="1">
      <c r="A88" s="69" t="inlineStr">
        <is>
          <t xml:space="preserve">      Invoice No.</t>
        </is>
      </c>
      <c r="B88" s="76">
        <f>IF('Final Calculation Sheet'!$AE$6="","",'Final Calculation Sheet'!$AE$6)</f>
        <v/>
      </c>
      <c r="C88" s="93">
        <f>IF('Final Calculation Sheet'!$AE$7="","",'Final Calculation Sheet'!$AE$7)</f>
        <v/>
      </c>
      <c r="D88" s="71" t="n"/>
      <c r="E88" s="71" t="n"/>
      <c r="F88" s="71" t="n"/>
      <c r="G88" s="71" t="n"/>
      <c r="H88" s="71" t="n"/>
      <c r="I88" s="71" t="n"/>
      <c r="J88" s="71" t="n"/>
      <c r="K88" s="71" t="n"/>
      <c r="L88" s="71" t="n"/>
      <c r="M88" s="71" t="n"/>
      <c r="N88" s="71" t="n"/>
      <c r="O88" s="89" t="inlineStr">
        <is>
          <t>–</t>
        </is>
      </c>
    </row>
    <row r="89" outlineLevel="2" ht="15" customHeight="1">
      <c r="A89" s="69" t="inlineStr">
        <is>
          <t xml:space="preserve">      SAP Document</t>
        </is>
      </c>
      <c r="B89" s="70">
        <f>IF('Final Calculation Sheet'!$AF$6="","",'Final Calculation Sheet'!$AF$6)</f>
        <v/>
      </c>
      <c r="C89" s="88">
        <f>IF('Final Calculation Sheet'!$AF$7="","",'Final Calculation Sheet'!$AF$7)</f>
        <v/>
      </c>
      <c r="D89" s="71" t="n"/>
      <c r="E89" s="71" t="n"/>
      <c r="F89" s="71" t="n"/>
      <c r="G89" s="71" t="n"/>
      <c r="H89" s="71" t="n"/>
      <c r="I89" s="71" t="n"/>
      <c r="J89" s="71" t="n"/>
      <c r="K89" s="71" t="n"/>
      <c r="L89" s="71" t="n"/>
      <c r="M89" s="71" t="n"/>
      <c r="N89" s="71" t="n"/>
      <c r="O89" s="89" t="inlineStr">
        <is>
          <t>–</t>
        </is>
      </c>
    </row>
    <row r="90" outlineLevel="2" ht="15" customHeight="1">
      <c r="A90" s="69" t="inlineStr">
        <is>
          <t xml:space="preserve">      Doc./Invoice Date</t>
        </is>
      </c>
      <c r="B90" s="76">
        <f>IF('Final Calculation Sheet'!$AG$6="","",'Final Calculation Sheet'!$AG$6)</f>
        <v/>
      </c>
      <c r="C90" s="93">
        <f>IF('Final Calculation Sheet'!$AG$7="","",'Final Calculation Sheet'!$AG$7)</f>
        <v/>
      </c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89" t="inlineStr">
        <is>
          <t>–</t>
        </is>
      </c>
    </row>
    <row r="91" ht="7" customHeight="1">
      <c r="A91" s="82" t="n"/>
      <c r="B91" s="82" t="n"/>
      <c r="C91" s="82" t="n"/>
      <c r="D91" s="82" t="n"/>
      <c r="E91" s="82" t="n"/>
      <c r="F91" s="82" t="n"/>
      <c r="G91" s="82" t="n"/>
      <c r="H91" s="82" t="n"/>
      <c r="I91" s="82" t="n"/>
      <c r="J91" s="82" t="n"/>
      <c r="K91" s="82" t="n"/>
      <c r="L91" s="82" t="n"/>
      <c r="M91" s="82" t="n"/>
      <c r="N91" s="82" t="n"/>
      <c r="O91" s="82" t="n"/>
    </row>
    <row r="92" ht="24" customHeight="1">
      <c r="A92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</row>
    <row r="93" outlineLevel="1" ht="18" customHeight="1">
      <c r="A93" s="100" t="inlineStr">
        <is>
          <t xml:space="preserve">   Lot No. →</t>
        </is>
      </c>
      <c r="B93" s="101">
        <f>IF('Final Calculation Sheet'!$F$15="","",'Final Calculation Sheet'!$F$15)</f>
        <v/>
      </c>
      <c r="C93" s="102" t="n"/>
      <c r="D93" s="102" t="n"/>
      <c r="E93" s="102" t="n"/>
      <c r="F93" s="102" t="n"/>
      <c r="G93" s="102" t="n"/>
      <c r="H93" s="102" t="n"/>
      <c r="I93" s="102" t="n"/>
      <c r="J93" s="102" t="n"/>
      <c r="K93" s="102" t="n"/>
      <c r="L93" s="102" t="n"/>
      <c r="M93" s="102" t="n"/>
      <c r="N93" s="102" t="n"/>
      <c r="O93" s="103" t="inlineStr">
        <is>
          <t>TOTAL</t>
        </is>
      </c>
    </row>
    <row r="94" outlineLevel="1" ht="16" customHeight="1">
      <c r="A94" s="100" t="inlineStr">
        <is>
          <t xml:space="preserve">  ▸ LOT INFORMATION</t>
        </is>
      </c>
      <c r="B94" s="102" t="n"/>
      <c r="C94" s="102" t="n"/>
      <c r="D94" s="102" t="n"/>
      <c r="E94" s="102" t="n"/>
      <c r="F94" s="102" t="n"/>
      <c r="G94" s="102" t="n"/>
      <c r="H94" s="102" t="n"/>
      <c r="I94" s="102" t="n"/>
      <c r="J94" s="102" t="n"/>
      <c r="K94" s="102" t="n"/>
      <c r="L94" s="102" t="n"/>
      <c r="M94" s="102" t="n"/>
      <c r="N94" s="102" t="n"/>
      <c r="O94" s="102" t="n"/>
    </row>
    <row r="95" outlineLevel="2" ht="15" customHeight="1">
      <c r="A95" s="69" t="inlineStr">
        <is>
          <t xml:space="preserve">      Lot No.</t>
        </is>
      </c>
      <c r="B95" s="70">
        <f>IF('Final Calculation Sheet'!$F$15="","",'Final Calculation Sheet'!$F$15)</f>
        <v/>
      </c>
      <c r="C95" s="71" t="n"/>
      <c r="D95" s="71" t="n"/>
      <c r="E95" s="71" t="n"/>
      <c r="F95" s="71" t="n"/>
      <c r="G95" s="71" t="n"/>
      <c r="H95" s="71" t="n"/>
      <c r="I95" s="71" t="n"/>
      <c r="J95" s="71" t="n"/>
      <c r="K95" s="71" t="n"/>
      <c r="L95" s="71" t="n"/>
      <c r="M95" s="71" t="n"/>
      <c r="N95" s="71" t="n"/>
      <c r="O95" s="104" t="inlineStr">
        <is>
          <t>–</t>
        </is>
      </c>
    </row>
    <row r="96" outlineLevel="2" ht="60" customHeight="1">
      <c r="A96" s="69" t="inlineStr">
        <is>
          <t xml:space="preserve">      Lot Name</t>
        </is>
      </c>
      <c r="B96" s="73">
        <f>IF('Final Calculation Sheet'!$B$15="","",'Final Calculation Sheet'!$B$15)</f>
        <v/>
      </c>
      <c r="C96" s="71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104" t="inlineStr">
        <is>
          <t>–</t>
        </is>
      </c>
    </row>
    <row r="97" outlineLevel="2" ht="15" customHeight="1">
      <c r="A97" s="69" t="inlineStr">
        <is>
          <t xml:space="preserve">      Bid Sheet / Auction</t>
        </is>
      </c>
      <c r="B97" s="70">
        <f>IF('Final Calculation Sheet'!$D$15="","",'Final Calculation Sheet'!$D$15)</f>
        <v/>
      </c>
      <c r="C97" s="71" t="n"/>
      <c r="D97" s="71" t="n"/>
      <c r="E97" s="71" t="n"/>
      <c r="F97" s="71" t="n"/>
      <c r="G97" s="71" t="n"/>
      <c r="H97" s="71" t="n"/>
      <c r="I97" s="71" t="n"/>
      <c r="J97" s="71" t="n"/>
      <c r="K97" s="71" t="n"/>
      <c r="L97" s="71" t="n"/>
      <c r="M97" s="71" t="n"/>
      <c r="N97" s="71" t="n"/>
      <c r="O97" s="104" t="inlineStr">
        <is>
          <t>–</t>
        </is>
      </c>
    </row>
    <row r="98" outlineLevel="2" ht="15" customHeight="1">
      <c r="A98" s="69" t="inlineStr">
        <is>
          <t xml:space="preserve">      Quantity</t>
        </is>
      </c>
      <c r="B98" s="74">
        <f>IF('Final Calculation Sheet'!$A$15="","",'Final Calculation Sheet'!$A$15)</f>
        <v/>
      </c>
      <c r="C98" s="71" t="n"/>
      <c r="D98" s="71" t="n"/>
      <c r="E98" s="71" t="n"/>
      <c r="F98" s="71" t="n"/>
      <c r="G98" s="71" t="n"/>
      <c r="H98" s="71" t="n"/>
      <c r="I98" s="71" t="n"/>
      <c r="J98" s="71" t="n"/>
      <c r="K98" s="71" t="n"/>
      <c r="L98" s="71" t="n"/>
      <c r="M98" s="71" t="n"/>
      <c r="N98" s="71" t="n"/>
      <c r="O98" s="105">
        <f>SUM(B98:N98)</f>
        <v/>
      </c>
    </row>
    <row r="99" outlineLevel="2" ht="15" customHeight="1">
      <c r="A99" s="69" t="inlineStr">
        <is>
          <t xml:space="preserve">      Unit</t>
        </is>
      </c>
      <c r="B99" s="76">
        <f>IF('Final Calculation Sheet'!$E$15="","",'Final Calculation Sheet'!$E$15)</f>
        <v/>
      </c>
      <c r="C99" s="71" t="n"/>
      <c r="D99" s="71" t="n"/>
      <c r="E99" s="71" t="n"/>
      <c r="F99" s="71" t="n"/>
      <c r="G99" s="71" t="n"/>
      <c r="H99" s="71" t="n"/>
      <c r="I99" s="71" t="n"/>
      <c r="J99" s="71" t="n"/>
      <c r="K99" s="71" t="n"/>
      <c r="L99" s="71" t="n"/>
      <c r="M99" s="71" t="n"/>
      <c r="N99" s="71" t="n"/>
      <c r="O99" s="104" t="inlineStr">
        <is>
          <t>–</t>
        </is>
      </c>
    </row>
    <row r="100" outlineLevel="2" ht="15" customHeight="1">
      <c r="A100" s="69" t="inlineStr">
        <is>
          <t xml:space="preserve">      Rate (₹)</t>
        </is>
      </c>
      <c r="B100" s="70">
        <f>IF('Final Calculation Sheet'!$C$15="","",'Final Calculation Sheet'!$C$15)</f>
        <v/>
      </c>
      <c r="C100" s="71" t="n"/>
      <c r="D100" s="71" t="n"/>
      <c r="E100" s="71" t="n"/>
      <c r="F100" s="71" t="n"/>
      <c r="G100" s="71" t="n"/>
      <c r="H100" s="71" t="n"/>
      <c r="I100" s="71" t="n"/>
      <c r="J100" s="71" t="n"/>
      <c r="K100" s="71" t="n"/>
      <c r="L100" s="71" t="n"/>
      <c r="M100" s="71" t="n"/>
      <c r="N100" s="71" t="n"/>
      <c r="O100" s="104" t="inlineStr">
        <is>
          <t>–</t>
        </is>
      </c>
    </row>
    <row r="101" outlineLevel="1" ht="16" customHeight="1">
      <c r="A101" s="100" t="inlineStr">
        <is>
          <t xml:space="preserve">  ▸ FINANCIALS</t>
        </is>
      </c>
      <c r="B101" s="102" t="n"/>
      <c r="C101" s="102" t="n"/>
      <c r="D101" s="102" t="n"/>
      <c r="E101" s="102" t="n"/>
      <c r="F101" s="102" t="n"/>
      <c r="G101" s="102" t="n"/>
      <c r="H101" s="102" t="n"/>
      <c r="I101" s="102" t="n"/>
      <c r="J101" s="102" t="n"/>
      <c r="K101" s="102" t="n"/>
      <c r="L101" s="102" t="n"/>
      <c r="M101" s="102" t="n"/>
      <c r="N101" s="102" t="n"/>
      <c r="O101" s="102" t="n"/>
    </row>
    <row r="102" outlineLevel="2" ht="15" customHeight="1">
      <c r="A102" s="69" t="inlineStr">
        <is>
          <t xml:space="preserve">      Mat. Value (₹)</t>
        </is>
      </c>
      <c r="B102" s="70">
        <f>IF('Final Calculation Sheet'!$H$15="","",'Final Calculation Sheet'!$H$15)</f>
        <v/>
      </c>
      <c r="C102" s="71" t="n"/>
      <c r="D102" s="71" t="n"/>
      <c r="E102" s="71" t="n"/>
      <c r="F102" s="71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106">
        <f>SUM(B102:N102)</f>
        <v/>
      </c>
    </row>
    <row r="103" outlineLevel="2" ht="15" customHeight="1">
      <c r="A103" s="69" t="inlineStr">
        <is>
          <t xml:space="preserve">      GST @ 18% (₹)</t>
        </is>
      </c>
      <c r="B103" s="70">
        <f>IF('Final Calculation Sheet'!$I$15="","",'Final Calculation Sheet'!$I$15)</f>
        <v/>
      </c>
      <c r="C103" s="71" t="n"/>
      <c r="D103" s="71" t="n"/>
      <c r="E103" s="71" t="n"/>
      <c r="F103" s="71" t="n"/>
      <c r="G103" s="71" t="n"/>
      <c r="H103" s="71" t="n"/>
      <c r="I103" s="71" t="n"/>
      <c r="J103" s="71" t="n"/>
      <c r="K103" s="71" t="n"/>
      <c r="L103" s="71" t="n"/>
      <c r="M103" s="71" t="n"/>
      <c r="N103" s="71" t="n"/>
      <c r="O103" s="106">
        <f>SUM(B103:N103)</f>
        <v/>
      </c>
    </row>
    <row r="104" outlineLevel="2" ht="15" customHeight="1">
      <c r="A104" s="69" t="inlineStr">
        <is>
          <t xml:space="preserve">      Mat. Value + GST (₹)</t>
        </is>
      </c>
      <c r="B104" s="70">
        <f>IF('Final Calculation Sheet'!$J$15="","",'Final Calculation Sheet'!$J$15)</f>
        <v/>
      </c>
      <c r="C104" s="71" t="n"/>
      <c r="D104" s="71" t="n"/>
      <c r="E104" s="71" t="n"/>
      <c r="F104" s="71" t="n"/>
      <c r="G104" s="71" t="n"/>
      <c r="H104" s="71" t="n"/>
      <c r="I104" s="71" t="n"/>
      <c r="J104" s="71" t="n"/>
      <c r="K104" s="71" t="n"/>
      <c r="L104" s="71" t="n"/>
      <c r="M104" s="71" t="n"/>
      <c r="N104" s="71" t="n"/>
      <c r="O104" s="106">
        <f>SUM(B104:N104)</f>
        <v/>
      </c>
    </row>
    <row r="105" outlineLevel="2" ht="15" customHeight="1">
      <c r="A105" s="69" t="inlineStr">
        <is>
          <t xml:space="preserve">      TCS @ 2% (₹)</t>
        </is>
      </c>
      <c r="B105" s="70">
        <f>IF('Final Calculation Sheet'!$K$15="","",'Final Calculation Sheet'!$K$15)</f>
        <v/>
      </c>
      <c r="C105" s="71" t="n"/>
      <c r="D105" s="71" t="n"/>
      <c r="E105" s="71" t="n"/>
      <c r="F105" s="71" t="n"/>
      <c r="G105" s="71" t="n"/>
      <c r="H105" s="71" t="n"/>
      <c r="I105" s="71" t="n"/>
      <c r="J105" s="71" t="n"/>
      <c r="K105" s="71" t="n"/>
      <c r="L105" s="71" t="n"/>
      <c r="M105" s="71" t="n"/>
      <c r="N105" s="71" t="n"/>
      <c r="O105" s="106">
        <f>SUM(B105:N105)</f>
        <v/>
      </c>
    </row>
    <row r="106" outlineLevel="2" ht="15" customHeight="1">
      <c r="A106" s="69" t="inlineStr">
        <is>
          <t xml:space="preserve">      TDS u/s 194(O) (₹)</t>
        </is>
      </c>
      <c r="B106" s="78">
        <f>IF('Final Calculation Sheet'!$L$15="","",'Final Calculation Sheet'!$L$15)</f>
        <v/>
      </c>
      <c r="C106" s="71" t="n"/>
      <c r="D106" s="71" t="n"/>
      <c r="E106" s="71" t="n"/>
      <c r="F106" s="71" t="n"/>
      <c r="G106" s="71" t="n"/>
      <c r="H106" s="71" t="n"/>
      <c r="I106" s="71" t="n"/>
      <c r="J106" s="71" t="n"/>
      <c r="K106" s="71" t="n"/>
      <c r="L106" s="71" t="n"/>
      <c r="M106" s="71" t="n"/>
      <c r="N106" s="71" t="n"/>
      <c r="O106" s="107">
        <f>SUM(B106:N106)</f>
        <v/>
      </c>
    </row>
    <row r="107" outlineLevel="2" ht="15" customHeight="1">
      <c r="A107" s="69" t="inlineStr">
        <is>
          <t xml:space="preserve">      Service Charge gross (₹)</t>
        </is>
      </c>
      <c r="B107" s="78">
        <f>IF('Final Calculation Sheet'!$M$15="","",'Final Calculation Sheet'!$M$15)</f>
        <v/>
      </c>
      <c r="C107" s="71" t="n"/>
      <c r="D107" s="71" t="n"/>
      <c r="E107" s="71" t="n"/>
      <c r="F107" s="71" t="n"/>
      <c r="G107" s="71" t="n"/>
      <c r="H107" s="71" t="n"/>
      <c r="I107" s="71" t="n"/>
      <c r="J107" s="71" t="n"/>
      <c r="K107" s="71" t="n"/>
      <c r="L107" s="71" t="n"/>
      <c r="M107" s="71" t="n"/>
      <c r="N107" s="71" t="n"/>
      <c r="O107" s="107">
        <f>SUM(B107:N107)</f>
        <v/>
      </c>
    </row>
    <row r="108" outlineLevel="2" ht="15" customHeight="1">
      <c r="A108" s="69" t="inlineStr">
        <is>
          <t xml:space="preserve">      TDS u/s 194(H) (₹)</t>
        </is>
      </c>
      <c r="B108" s="78">
        <f>IF('Final Calculation Sheet'!$N$15="","",'Final Calculation Sheet'!$N$15)</f>
        <v/>
      </c>
      <c r="C108" s="71" t="n"/>
      <c r="D108" s="71" t="n"/>
      <c r="E108" s="71" t="n"/>
      <c r="F108" s="71" t="n"/>
      <c r="G108" s="71" t="n"/>
      <c r="H108" s="71" t="n"/>
      <c r="I108" s="71" t="n"/>
      <c r="J108" s="71" t="n"/>
      <c r="K108" s="71" t="n"/>
      <c r="L108" s="71" t="n"/>
      <c r="M108" s="71" t="n"/>
      <c r="N108" s="71" t="n"/>
      <c r="O108" s="107">
        <f>SUM(B108:N108)</f>
        <v/>
      </c>
    </row>
    <row r="109" outlineLevel="2" ht="15" customHeight="1">
      <c r="A109" s="69" t="inlineStr">
        <is>
          <t xml:space="preserve">      Net Service Charge (₹)</t>
        </is>
      </c>
      <c r="B109" s="78">
        <f>IF('Final Calculation Sheet'!$O$15="","",'Final Calculation Sheet'!$O$15)</f>
        <v/>
      </c>
      <c r="C109" s="71" t="n"/>
      <c r="D109" s="71" t="n"/>
      <c r="E109" s="71" t="n"/>
      <c r="F109" s="71" t="n"/>
      <c r="G109" s="71" t="n"/>
      <c r="H109" s="71" t="n"/>
      <c r="I109" s="71" t="n"/>
      <c r="J109" s="71" t="n"/>
      <c r="K109" s="71" t="n"/>
      <c r="L109" s="71" t="n"/>
      <c r="M109" s="71" t="n"/>
      <c r="N109" s="71" t="n"/>
      <c r="O109" s="107">
        <f>SUM(B109:N109)</f>
        <v/>
      </c>
    </row>
    <row r="110" outlineLevel="2" ht="15" customHeight="1">
      <c r="A110" s="69" t="inlineStr">
        <is>
          <t xml:space="preserve">      Svc Charge to MSTC (₹)</t>
        </is>
      </c>
      <c r="B110" s="70">
        <f>IF('Final Calculation Sheet'!$P$15="","",'Final Calculation Sheet'!$P$15)</f>
        <v/>
      </c>
      <c r="C110" s="71" t="n"/>
      <c r="D110" s="71" t="n"/>
      <c r="E110" s="71" t="n"/>
      <c r="F110" s="71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106">
        <f>SUM(B110:N110)</f>
        <v/>
      </c>
    </row>
    <row r="111" outlineLevel="2" ht="15" customHeight="1">
      <c r="A111" s="69" t="inlineStr">
        <is>
          <t xml:space="preserve">      GST TDS Rate</t>
        </is>
      </c>
      <c r="B111" s="80">
        <f>IF('Final Calculation Sheet'!$Q$15="","",'Final Calculation Sheet'!$Q$15)</f>
        <v/>
      </c>
      <c r="C111" s="71" t="n"/>
      <c r="D111" s="71" t="n"/>
      <c r="E111" s="71" t="n"/>
      <c r="F111" s="71" t="n"/>
      <c r="G111" s="71" t="n"/>
      <c r="H111" s="71" t="n"/>
      <c r="I111" s="71" t="n"/>
      <c r="J111" s="71" t="n"/>
      <c r="K111" s="71" t="n"/>
      <c r="L111" s="71" t="n"/>
      <c r="M111" s="71" t="n"/>
      <c r="N111" s="71" t="n"/>
      <c r="O111" s="104" t="inlineStr">
        <is>
          <t>–</t>
        </is>
      </c>
    </row>
    <row r="112" outlineLevel="2" ht="15" customHeight="1">
      <c r="A112" s="69" t="inlineStr">
        <is>
          <t xml:space="preserve">      GST TDS (₹)</t>
        </is>
      </c>
      <c r="B112" s="70">
        <f>IF('Final Calculation Sheet'!$R$15="","",'Final Calculation Sheet'!$R$15)</f>
        <v/>
      </c>
      <c r="C112" s="71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106">
        <f>SUM(B112:N112)</f>
        <v/>
      </c>
    </row>
    <row r="113" outlineLevel="2" ht="15" customHeight="1">
      <c r="A113" s="69" t="inlineStr">
        <is>
          <t xml:space="preserve">      Total Receivables (₹)</t>
        </is>
      </c>
      <c r="B113" s="70">
        <f>IF('Final Calculation Sheet'!$S$15="","",'Final Calculation Sheet'!$S$15)</f>
        <v/>
      </c>
      <c r="C113" s="71" t="n"/>
      <c r="D113" s="71" t="n"/>
      <c r="E113" s="71" t="n"/>
      <c r="F113" s="71" t="n"/>
      <c r="G113" s="71" t="n"/>
      <c r="H113" s="71" t="n"/>
      <c r="I113" s="71" t="n"/>
      <c r="J113" s="71" t="n"/>
      <c r="K113" s="71" t="n"/>
      <c r="L113" s="71" t="n"/>
      <c r="M113" s="71" t="n"/>
      <c r="N113" s="71" t="n"/>
      <c r="O113" s="106">
        <f>SUM(B113:N113)</f>
        <v/>
      </c>
    </row>
    <row r="114" outlineLevel="1" ht="16" customHeight="1">
      <c r="A114" s="100" t="inlineStr">
        <is>
          <t xml:space="preserve">  ▸ SECURITY DEPOSIT</t>
        </is>
      </c>
      <c r="B114" s="102" t="n"/>
      <c r="C114" s="102" t="n"/>
      <c r="D114" s="102" t="n"/>
      <c r="E114" s="102" t="n"/>
      <c r="F114" s="102" t="n"/>
      <c r="G114" s="102" t="n"/>
      <c r="H114" s="102" t="n"/>
      <c r="I114" s="102" t="n"/>
      <c r="J114" s="102" t="n"/>
      <c r="K114" s="102" t="n"/>
      <c r="L114" s="102" t="n"/>
      <c r="M114" s="102" t="n"/>
      <c r="N114" s="102" t="n"/>
      <c r="O114" s="102" t="n"/>
    </row>
    <row r="115" outlineLevel="2" ht="15" customHeight="1">
      <c r="A115" s="69" t="inlineStr">
        <is>
          <t xml:space="preserve">      SD Expected (₹)</t>
        </is>
      </c>
      <c r="B115" s="70">
        <f>IF('Final Calculation Sheet'!$T$15="","",'Final Calculation Sheet'!$T$15)</f>
        <v/>
      </c>
      <c r="C115" s="71" t="n"/>
      <c r="D115" s="71" t="n"/>
      <c r="E115" s="71" t="n"/>
      <c r="F115" s="71" t="n"/>
      <c r="G115" s="71" t="n"/>
      <c r="H115" s="71" t="n"/>
      <c r="I115" s="71" t="n"/>
      <c r="J115" s="71" t="n"/>
      <c r="K115" s="71" t="n"/>
      <c r="L115" s="71" t="n"/>
      <c r="M115" s="71" t="n"/>
      <c r="N115" s="71" t="n"/>
      <c r="O115" s="106">
        <f>SUM(B115:N115)</f>
        <v/>
      </c>
    </row>
    <row r="116" outlineLevel="2" ht="15" customHeight="1">
      <c r="A116" s="69" t="inlineStr">
        <is>
          <t xml:space="preserve">      SD Received (₹)</t>
        </is>
      </c>
      <c r="B116" s="70">
        <f>IF('Final Calculation Sheet'!$U$15="","",'Final Calculation Sheet'!$U$15)</f>
        <v/>
      </c>
      <c r="C116" s="71" t="n"/>
      <c r="D116" s="71" t="n"/>
      <c r="E116" s="71" t="n"/>
      <c r="F116" s="71" t="n"/>
      <c r="G116" s="71" t="n"/>
      <c r="H116" s="71" t="n"/>
      <c r="I116" s="71" t="n"/>
      <c r="J116" s="71" t="n"/>
      <c r="K116" s="71" t="n"/>
      <c r="L116" s="71" t="n"/>
      <c r="M116" s="71" t="n"/>
      <c r="N116" s="71" t="n"/>
      <c r="O116" s="106">
        <f>SUM(B116:N116)</f>
        <v/>
      </c>
    </row>
    <row r="117" outlineLevel="2" ht="15" customHeight="1">
      <c r="A117" s="69" t="inlineStr">
        <is>
          <t xml:space="preserve">      SD Receipt Date</t>
        </is>
      </c>
      <c r="B117" s="76">
        <f>IF('Final Calculation Sheet'!$V$15="","",'Final Calculation Sheet'!$V$15)</f>
        <v/>
      </c>
      <c r="C117" s="71" t="n"/>
      <c r="D117" s="71" t="n"/>
      <c r="E117" s="71" t="n"/>
      <c r="F117" s="71" t="n"/>
      <c r="G117" s="71" t="n"/>
      <c r="H117" s="71" t="n"/>
      <c r="I117" s="71" t="n"/>
      <c r="J117" s="71" t="n"/>
      <c r="K117" s="71" t="n"/>
      <c r="L117" s="71" t="n"/>
      <c r="M117" s="71" t="n"/>
      <c r="N117" s="71" t="n"/>
      <c r="O117" s="104" t="inlineStr">
        <is>
          <t>–</t>
        </is>
      </c>
    </row>
    <row r="118" outlineLevel="1" ht="16" customHeight="1">
      <c r="A118" s="100" t="inlineStr">
        <is>
          <t xml:space="preserve">  ▸ FINAL PAYMENT</t>
        </is>
      </c>
      <c r="B118" s="102" t="n"/>
      <c r="C118" s="102" t="n"/>
      <c r="D118" s="102" t="n"/>
      <c r="E118" s="102" t="n"/>
      <c r="F118" s="102" t="n"/>
      <c r="G118" s="102" t="n"/>
      <c r="H118" s="102" t="n"/>
      <c r="I118" s="102" t="n"/>
      <c r="J118" s="102" t="n"/>
      <c r="K118" s="102" t="n"/>
      <c r="L118" s="102" t="n"/>
      <c r="M118" s="102" t="n"/>
      <c r="N118" s="102" t="n"/>
      <c r="O118" s="102" t="n"/>
    </row>
    <row r="119" outlineLevel="2" ht="15" customHeight="1">
      <c r="A119" s="69" t="inlineStr">
        <is>
          <t xml:space="preserve">      FP Expected (₹)</t>
        </is>
      </c>
      <c r="B119" s="70">
        <f>IF('Final Calculation Sheet'!$W$15="","",'Final Calculation Sheet'!$W$15)</f>
        <v/>
      </c>
      <c r="C119" s="71" t="n"/>
      <c r="D119" s="71" t="n"/>
      <c r="E119" s="71" t="n"/>
      <c r="F119" s="71" t="n"/>
      <c r="G119" s="71" t="n"/>
      <c r="H119" s="71" t="n"/>
      <c r="I119" s="71" t="n"/>
      <c r="J119" s="71" t="n"/>
      <c r="K119" s="71" t="n"/>
      <c r="L119" s="71" t="n"/>
      <c r="M119" s="71" t="n"/>
      <c r="N119" s="71" t="n"/>
      <c r="O119" s="106">
        <f>SUM(B119:N119)</f>
        <v/>
      </c>
    </row>
    <row r="120" outlineLevel="2" ht="15" customHeight="1">
      <c r="A120" s="69" t="inlineStr">
        <is>
          <t xml:space="preserve">      FP Received (₹)</t>
        </is>
      </c>
      <c r="B120" s="70">
        <f>IF('Final Calculation Sheet'!$X$15="","",'Final Calculation Sheet'!$X$15)</f>
        <v/>
      </c>
      <c r="C120" s="71" t="n"/>
      <c r="D120" s="71" t="n"/>
      <c r="E120" s="71" t="n"/>
      <c r="F120" s="71" t="n"/>
      <c r="G120" s="71" t="n"/>
      <c r="H120" s="71" t="n"/>
      <c r="I120" s="71" t="n"/>
      <c r="J120" s="71" t="n"/>
      <c r="K120" s="71" t="n"/>
      <c r="L120" s="71" t="n"/>
      <c r="M120" s="71" t="n"/>
      <c r="N120" s="71" t="n"/>
      <c r="O120" s="106">
        <f>SUM(B120:N120)</f>
        <v/>
      </c>
    </row>
    <row r="121" outlineLevel="2" ht="15" customHeight="1">
      <c r="A121" s="69" t="inlineStr">
        <is>
          <t xml:space="preserve">      FP Receipt Date</t>
        </is>
      </c>
      <c r="B121" s="76">
        <f>IF('Final Calculation Sheet'!$Y$15="","",'Final Calculation Sheet'!$Y$15)</f>
        <v/>
      </c>
      <c r="C121" s="71" t="n"/>
      <c r="D121" s="71" t="n"/>
      <c r="E121" s="71" t="n"/>
      <c r="F121" s="71" t="n"/>
      <c r="G121" s="71" t="n"/>
      <c r="H121" s="71" t="n"/>
      <c r="I121" s="71" t="n"/>
      <c r="J121" s="71" t="n"/>
      <c r="K121" s="71" t="n"/>
      <c r="L121" s="71" t="n"/>
      <c r="M121" s="71" t="n"/>
      <c r="N121" s="71" t="n"/>
      <c r="O121" s="104" t="inlineStr">
        <is>
          <t>–</t>
        </is>
      </c>
    </row>
    <row r="122" outlineLevel="1" ht="16" customHeight="1">
      <c r="A122" s="100" t="inlineStr">
        <is>
          <t xml:space="preserve">  ▸ LPP</t>
        </is>
      </c>
      <c r="B122" s="102" t="n"/>
      <c r="C122" s="102" t="n"/>
      <c r="D122" s="102" t="n"/>
      <c r="E122" s="102" t="n"/>
      <c r="F122" s="102" t="n"/>
      <c r="G122" s="102" t="n"/>
      <c r="H122" s="102" t="n"/>
      <c r="I122" s="102" t="n"/>
      <c r="J122" s="102" t="n"/>
      <c r="K122" s="102" t="n"/>
      <c r="L122" s="102" t="n"/>
      <c r="M122" s="102" t="n"/>
      <c r="N122" s="102" t="n"/>
      <c r="O122" s="102" t="n"/>
    </row>
    <row r="123" outlineLevel="2" ht="15" customHeight="1">
      <c r="A123" s="69" t="inlineStr">
        <is>
          <t xml:space="preserve">      LPP Expected (₹)</t>
        </is>
      </c>
      <c r="B123" s="70">
        <f>IF('Final Calculation Sheet'!$Z$15="","",'Final Calculation Sheet'!$Z$15)</f>
        <v/>
      </c>
      <c r="C123" s="71" t="n"/>
      <c r="D123" s="71" t="n"/>
      <c r="E123" s="71" t="n"/>
      <c r="F123" s="71" t="n"/>
      <c r="G123" s="71" t="n"/>
      <c r="H123" s="71" t="n"/>
      <c r="I123" s="71" t="n"/>
      <c r="J123" s="71" t="n"/>
      <c r="K123" s="71" t="n"/>
      <c r="L123" s="71" t="n"/>
      <c r="M123" s="71" t="n"/>
      <c r="N123" s="71" t="n"/>
      <c r="O123" s="106">
        <f>SUM(B123:N123)</f>
        <v/>
      </c>
    </row>
    <row r="124" outlineLevel="2" ht="15" customHeight="1">
      <c r="A124" s="69" t="inlineStr">
        <is>
          <t xml:space="preserve">      LPP Received (₹)</t>
        </is>
      </c>
      <c r="B124" s="70">
        <f>IF('Final Calculation Sheet'!$AA$15="","",'Final Calculation Sheet'!$AA$15)</f>
        <v/>
      </c>
      <c r="C124" s="71" t="n"/>
      <c r="D124" s="71" t="n"/>
      <c r="E124" s="71" t="n"/>
      <c r="F124" s="71" t="n"/>
      <c r="G124" s="71" t="n"/>
      <c r="H124" s="71" t="n"/>
      <c r="I124" s="71" t="n"/>
      <c r="J124" s="71" t="n"/>
      <c r="K124" s="71" t="n"/>
      <c r="L124" s="71" t="n"/>
      <c r="M124" s="71" t="n"/>
      <c r="N124" s="71" t="n"/>
      <c r="O124" s="106">
        <f>SUM(B124:N124)</f>
        <v/>
      </c>
    </row>
    <row r="125" outlineLevel="2" ht="15" customHeight="1">
      <c r="A125" s="69" t="inlineStr">
        <is>
          <t xml:space="preserve">      LPP Receipt Date</t>
        </is>
      </c>
      <c r="B125" s="76">
        <f>IF('Final Calculation Sheet'!$AB$15="","",'Final Calculation Sheet'!$AB$15)</f>
        <v/>
      </c>
      <c r="C125" s="71" t="n"/>
      <c r="D125" s="71" t="n"/>
      <c r="E125" s="71" t="n"/>
      <c r="F125" s="71" t="n"/>
      <c r="G125" s="71" t="n"/>
      <c r="H125" s="71" t="n"/>
      <c r="I125" s="71" t="n"/>
      <c r="J125" s="71" t="n"/>
      <c r="K125" s="71" t="n"/>
      <c r="L125" s="71" t="n"/>
      <c r="M125" s="71" t="n"/>
      <c r="N125" s="71" t="n"/>
      <c r="O125" s="104" t="inlineStr">
        <is>
          <t>–</t>
        </is>
      </c>
    </row>
    <row r="126" outlineLevel="1" ht="16" customHeight="1">
      <c r="A126" s="100" t="inlineStr">
        <is>
          <t xml:space="preserve">  ▸ SUMMARY</t>
        </is>
      </c>
      <c r="B126" s="102" t="n"/>
      <c r="C126" s="102" t="n"/>
      <c r="D126" s="102" t="n"/>
      <c r="E126" s="102" t="n"/>
      <c r="F126" s="102" t="n"/>
      <c r="G126" s="102" t="n"/>
      <c r="H126" s="102" t="n"/>
      <c r="I126" s="102" t="n"/>
      <c r="J126" s="102" t="n"/>
      <c r="K126" s="102" t="n"/>
      <c r="L126" s="102" t="n"/>
      <c r="M126" s="102" t="n"/>
      <c r="N126" s="102" t="n"/>
      <c r="O126" s="102" t="n"/>
    </row>
    <row r="127" outlineLevel="2" ht="15" customHeight="1">
      <c r="A127" s="69" t="inlineStr">
        <is>
          <t xml:space="preserve">      Total Received (₹)</t>
        </is>
      </c>
      <c r="B127" s="70">
        <f>IF('Final Calculation Sheet'!$AC$15="","",'Final Calculation Sheet'!$AC$15)</f>
        <v/>
      </c>
      <c r="C127" s="71" t="n"/>
      <c r="D127" s="71" t="n"/>
      <c r="E127" s="71" t="n"/>
      <c r="F127" s="71" t="n"/>
      <c r="G127" s="71" t="n"/>
      <c r="H127" s="71" t="n"/>
      <c r="I127" s="71" t="n"/>
      <c r="J127" s="71" t="n"/>
      <c r="K127" s="71" t="n"/>
      <c r="L127" s="71" t="n"/>
      <c r="M127" s="71" t="n"/>
      <c r="N127" s="71" t="n"/>
      <c r="O127" s="106">
        <f>SUM(B127:N127)</f>
        <v/>
      </c>
    </row>
    <row r="128" outlineLevel="2" ht="15" customHeight="1">
      <c r="A128" s="69" t="inlineStr">
        <is>
          <t xml:space="preserve">      Outstanding (₹)</t>
        </is>
      </c>
      <c r="B128" s="70">
        <f>IF('Final Calculation Sheet'!$AD$15="","",'Final Calculation Sheet'!$AD$15)</f>
        <v/>
      </c>
      <c r="C128" s="71" t="n"/>
      <c r="D128" s="71" t="n"/>
      <c r="E128" s="71" t="n"/>
      <c r="F128" s="71" t="n"/>
      <c r="G128" s="71" t="n"/>
      <c r="H128" s="71" t="n"/>
      <c r="I128" s="71" t="n"/>
      <c r="J128" s="71" t="n"/>
      <c r="K128" s="71" t="n"/>
      <c r="L128" s="71" t="n"/>
      <c r="M128" s="71" t="n"/>
      <c r="N128" s="71" t="n"/>
      <c r="O128" s="106">
        <f>SUM(B128:N128)</f>
        <v/>
      </c>
    </row>
    <row r="129" outlineLevel="2" ht="15" customHeight="1">
      <c r="A129" s="69" t="inlineStr">
        <is>
          <t xml:space="preserve">      Payment Status</t>
        </is>
      </c>
      <c r="B129" s="81">
        <f>IF('Final Calculation Sheet'!$AD$15="","",IF('Final Calculation Sheet'!$AD$15&lt;=0,"SETTLED","OUTSTANDING"))</f>
        <v/>
      </c>
      <c r="C129" s="71" t="n"/>
      <c r="D129" s="71" t="n"/>
      <c r="E129" s="71" t="n"/>
      <c r="F129" s="71" t="n"/>
      <c r="G129" s="71" t="n"/>
      <c r="H129" s="71" t="n"/>
      <c r="I129" s="71" t="n"/>
      <c r="J129" s="71" t="n"/>
      <c r="K129" s="71" t="n"/>
      <c r="L129" s="71" t="n"/>
      <c r="M129" s="71" t="n"/>
      <c r="N129" s="71" t="n"/>
      <c r="O129" s="104" t="inlineStr">
        <is>
          <t>–</t>
        </is>
      </c>
    </row>
    <row r="130" outlineLevel="1" ht="16" customHeight="1">
      <c r="A130" s="100" t="inlineStr">
        <is>
          <t xml:space="preserve">  ▸ DOCUMENT</t>
        </is>
      </c>
      <c r="B130" s="102" t="n"/>
      <c r="C130" s="102" t="n"/>
      <c r="D130" s="102" t="n"/>
      <c r="E130" s="102" t="n"/>
      <c r="F130" s="102" t="n"/>
      <c r="G130" s="102" t="n"/>
      <c r="H130" s="102" t="n"/>
      <c r="I130" s="102" t="n"/>
      <c r="J130" s="102" t="n"/>
      <c r="K130" s="102" t="n"/>
      <c r="L130" s="102" t="n"/>
      <c r="M130" s="102" t="n"/>
      <c r="N130" s="102" t="n"/>
      <c r="O130" s="102" t="n"/>
    </row>
    <row r="131" outlineLevel="2" ht="15" customHeight="1">
      <c r="A131" s="69" t="inlineStr">
        <is>
          <t xml:space="preserve">      Invoice No.</t>
        </is>
      </c>
      <c r="B131" s="76">
        <f>IF('Final Calculation Sheet'!$AE$15="","",'Final Calculation Sheet'!$AE$15)</f>
        <v/>
      </c>
      <c r="C131" s="71" t="n"/>
      <c r="D131" s="71" t="n"/>
      <c r="E131" s="71" t="n"/>
      <c r="F131" s="71" t="n"/>
      <c r="G131" s="71" t="n"/>
      <c r="H131" s="71" t="n"/>
      <c r="I131" s="71" t="n"/>
      <c r="J131" s="71" t="n"/>
      <c r="K131" s="71" t="n"/>
      <c r="L131" s="71" t="n"/>
      <c r="M131" s="71" t="n"/>
      <c r="N131" s="71" t="n"/>
      <c r="O131" s="104" t="inlineStr">
        <is>
          <t>–</t>
        </is>
      </c>
    </row>
    <row r="132" outlineLevel="2" ht="15" customHeight="1">
      <c r="A132" s="69" t="inlineStr">
        <is>
          <t xml:space="preserve">      SAP Document</t>
        </is>
      </c>
      <c r="B132" s="70">
        <f>IF('Final Calculation Sheet'!$AF$15="","",'Final Calculation Sheet'!$AF$15)</f>
        <v/>
      </c>
      <c r="C132" s="71" t="n"/>
      <c r="D132" s="71" t="n"/>
      <c r="E132" s="71" t="n"/>
      <c r="F132" s="71" t="n"/>
      <c r="G132" s="71" t="n"/>
      <c r="H132" s="71" t="n"/>
      <c r="I132" s="71" t="n"/>
      <c r="J132" s="71" t="n"/>
      <c r="K132" s="71" t="n"/>
      <c r="L132" s="71" t="n"/>
      <c r="M132" s="71" t="n"/>
      <c r="N132" s="71" t="n"/>
      <c r="O132" s="104" t="inlineStr">
        <is>
          <t>–</t>
        </is>
      </c>
    </row>
    <row r="133" outlineLevel="2" ht="15" customHeight="1">
      <c r="A133" s="69" t="inlineStr">
        <is>
          <t xml:space="preserve">      Doc./Invoice Date</t>
        </is>
      </c>
      <c r="B133" s="76">
        <f>IF('Final Calculation Sheet'!$AG$15="","",'Final Calculation Sheet'!$AG$15)</f>
        <v/>
      </c>
      <c r="C133" s="71" t="n"/>
      <c r="D133" s="71" t="n"/>
      <c r="E133" s="71" t="n"/>
      <c r="F133" s="71" t="n"/>
      <c r="G133" s="71" t="n"/>
      <c r="H133" s="71" t="n"/>
      <c r="I133" s="71" t="n"/>
      <c r="J133" s="71" t="n"/>
      <c r="K133" s="71" t="n"/>
      <c r="L133" s="71" t="n"/>
      <c r="M133" s="71" t="n"/>
      <c r="N133" s="71" t="n"/>
      <c r="O133" s="104" t="inlineStr">
        <is>
          <t>–</t>
        </is>
      </c>
    </row>
    <row r="134" ht="7" customHeight="1">
      <c r="A134" s="82" t="n"/>
      <c r="B134" s="82" t="n"/>
      <c r="C134" s="82" t="n"/>
      <c r="D134" s="82" t="n"/>
      <c r="E134" s="82" t="n"/>
      <c r="F134" s="82" t="n"/>
      <c r="G134" s="82" t="n"/>
      <c r="H134" s="82" t="n"/>
      <c r="I134" s="82" t="n"/>
      <c r="J134" s="82" t="n"/>
      <c r="K134" s="82" t="n"/>
      <c r="L134" s="82" t="n"/>
      <c r="M134" s="82" t="n"/>
      <c r="N134" s="82" t="n"/>
      <c r="O134" s="82" t="n"/>
    </row>
    <row r="135" ht="24" customHeight="1">
      <c r="A135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</row>
    <row r="136" outlineLevel="1" ht="18" customHeight="1">
      <c r="A136" s="109" t="inlineStr">
        <is>
          <t xml:space="preserve">   Lot No. →</t>
        </is>
      </c>
      <c r="B136" s="110">
        <f>IF('Final Calculation Sheet'!$F$38="","",'Final Calculation Sheet'!$F$38)</f>
        <v/>
      </c>
      <c r="C136" s="111" t="n"/>
      <c r="D136" s="111" t="n"/>
      <c r="E136" s="111" t="n"/>
      <c r="F136" s="111" t="n"/>
      <c r="G136" s="111" t="n"/>
      <c r="H136" s="111" t="n"/>
      <c r="I136" s="111" t="n"/>
      <c r="J136" s="111" t="n"/>
      <c r="K136" s="111" t="n"/>
      <c r="L136" s="111" t="n"/>
      <c r="M136" s="111" t="n"/>
      <c r="N136" s="111" t="n"/>
      <c r="O136" s="112" t="inlineStr">
        <is>
          <t>TOTAL</t>
        </is>
      </c>
    </row>
    <row r="137" outlineLevel="1" ht="16" customHeight="1">
      <c r="A137" s="109" t="inlineStr">
        <is>
          <t xml:space="preserve">  ▸ LOT INFORMATION</t>
        </is>
      </c>
      <c r="B137" s="111" t="n"/>
      <c r="C137" s="111" t="n"/>
      <c r="D137" s="111" t="n"/>
      <c r="E137" s="111" t="n"/>
      <c r="F137" s="111" t="n"/>
      <c r="G137" s="111" t="n"/>
      <c r="H137" s="111" t="n"/>
      <c r="I137" s="111" t="n"/>
      <c r="J137" s="111" t="n"/>
      <c r="K137" s="111" t="n"/>
      <c r="L137" s="111" t="n"/>
      <c r="M137" s="111" t="n"/>
      <c r="N137" s="111" t="n"/>
      <c r="O137" s="111" t="n"/>
    </row>
    <row r="138" outlineLevel="2" ht="15" customHeight="1">
      <c r="A138" s="69" t="inlineStr">
        <is>
          <t xml:space="preserve">      Lot No.</t>
        </is>
      </c>
      <c r="B138" s="70">
        <f>IF('Final Calculation Sheet'!$F$38="","",'Final Calculation Sheet'!$F$38)</f>
        <v/>
      </c>
      <c r="C138" s="71" t="n"/>
      <c r="D138" s="71" t="n"/>
      <c r="E138" s="71" t="n"/>
      <c r="F138" s="71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113" t="inlineStr">
        <is>
          <t>–</t>
        </is>
      </c>
    </row>
    <row r="139" outlineLevel="2" ht="60" customHeight="1">
      <c r="A139" s="69" t="inlineStr">
        <is>
          <t xml:space="preserve">      Lot Name</t>
        </is>
      </c>
      <c r="B139" s="73">
        <f>IF('Final Calculation Sheet'!$B$38="","",'Final Calculation Sheet'!$B$38)</f>
        <v/>
      </c>
      <c r="C139" s="71" t="n"/>
      <c r="D139" s="71" t="n"/>
      <c r="E139" s="71" t="n"/>
      <c r="F139" s="71" t="n"/>
      <c r="G139" s="71" t="n"/>
      <c r="H139" s="71" t="n"/>
      <c r="I139" s="71" t="n"/>
      <c r="J139" s="71" t="n"/>
      <c r="K139" s="71" t="n"/>
      <c r="L139" s="71" t="n"/>
      <c r="M139" s="71" t="n"/>
      <c r="N139" s="71" t="n"/>
      <c r="O139" s="113" t="inlineStr">
        <is>
          <t>–</t>
        </is>
      </c>
    </row>
    <row r="140" outlineLevel="2" ht="15" customHeight="1">
      <c r="A140" s="69" t="inlineStr">
        <is>
          <t xml:space="preserve">      Bid Sheet / Auction</t>
        </is>
      </c>
      <c r="B140" s="70">
        <f>IF('Final Calculation Sheet'!$D$38="","",'Final Calculation Sheet'!$D$38)</f>
        <v/>
      </c>
      <c r="C140" s="71" t="n"/>
      <c r="D140" s="71" t="n"/>
      <c r="E140" s="71" t="n"/>
      <c r="F140" s="71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113" t="inlineStr">
        <is>
          <t>–</t>
        </is>
      </c>
    </row>
    <row r="141" outlineLevel="2" ht="15" customHeight="1">
      <c r="A141" s="69" t="inlineStr">
        <is>
          <t xml:space="preserve">      Quantity</t>
        </is>
      </c>
      <c r="B141" s="74">
        <f>IF('Final Calculation Sheet'!$A$38="","",'Final Calculation Sheet'!$A$38)</f>
        <v/>
      </c>
      <c r="C141" s="71" t="n"/>
      <c r="D141" s="71" t="n"/>
      <c r="E141" s="71" t="n"/>
      <c r="F141" s="71" t="n"/>
      <c r="G141" s="71" t="n"/>
      <c r="H141" s="71" t="n"/>
      <c r="I141" s="71" t="n"/>
      <c r="J141" s="71" t="n"/>
      <c r="K141" s="71" t="n"/>
      <c r="L141" s="71" t="n"/>
      <c r="M141" s="71" t="n"/>
      <c r="N141" s="71" t="n"/>
      <c r="O141" s="114">
        <f>SUM(B141:N141)</f>
        <v/>
      </c>
    </row>
    <row r="142" outlineLevel="2" ht="15" customHeight="1">
      <c r="A142" s="69" t="inlineStr">
        <is>
          <t xml:space="preserve">      Unit</t>
        </is>
      </c>
      <c r="B142" s="76">
        <f>IF('Final Calculation Sheet'!$E$38="","",'Final Calculation Sheet'!$E$38)</f>
        <v/>
      </c>
      <c r="C142" s="71" t="n"/>
      <c r="D142" s="71" t="n"/>
      <c r="E142" s="71" t="n"/>
      <c r="F142" s="71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113" t="inlineStr">
        <is>
          <t>–</t>
        </is>
      </c>
    </row>
    <row r="143" outlineLevel="2" ht="15" customHeight="1">
      <c r="A143" s="69" t="inlineStr">
        <is>
          <t xml:space="preserve">      Rate (₹)</t>
        </is>
      </c>
      <c r="B143" s="70">
        <f>IF('Final Calculation Sheet'!$C$38="","",'Final Calculation Sheet'!$C$38)</f>
        <v/>
      </c>
      <c r="C143" s="71" t="n"/>
      <c r="D143" s="71" t="n"/>
      <c r="E143" s="71" t="n"/>
      <c r="F143" s="71" t="n"/>
      <c r="G143" s="71" t="n"/>
      <c r="H143" s="71" t="n"/>
      <c r="I143" s="71" t="n"/>
      <c r="J143" s="71" t="n"/>
      <c r="K143" s="71" t="n"/>
      <c r="L143" s="71" t="n"/>
      <c r="M143" s="71" t="n"/>
      <c r="N143" s="71" t="n"/>
      <c r="O143" s="113" t="inlineStr">
        <is>
          <t>–</t>
        </is>
      </c>
    </row>
    <row r="144" outlineLevel="1" ht="16" customHeight="1">
      <c r="A144" s="109" t="inlineStr">
        <is>
          <t xml:space="preserve">  ▸ FINANCIALS</t>
        </is>
      </c>
      <c r="B144" s="111" t="n"/>
      <c r="C144" s="111" t="n"/>
      <c r="D144" s="111" t="n"/>
      <c r="E144" s="111" t="n"/>
      <c r="F144" s="111" t="n"/>
      <c r="G144" s="111" t="n"/>
      <c r="H144" s="111" t="n"/>
      <c r="I144" s="111" t="n"/>
      <c r="J144" s="111" t="n"/>
      <c r="K144" s="111" t="n"/>
      <c r="L144" s="111" t="n"/>
      <c r="M144" s="111" t="n"/>
      <c r="N144" s="111" t="n"/>
      <c r="O144" s="111" t="n"/>
    </row>
    <row r="145" outlineLevel="2" ht="15" customHeight="1">
      <c r="A145" s="69" t="inlineStr">
        <is>
          <t xml:space="preserve">      Mat. Value (₹)</t>
        </is>
      </c>
      <c r="B145" s="70">
        <f>IF('Final Calculation Sheet'!$H$38="","",'Final Calculation Sheet'!$H$38)</f>
        <v/>
      </c>
      <c r="C145" s="71" t="n"/>
      <c r="D145" s="71" t="n"/>
      <c r="E145" s="71" t="n"/>
      <c r="F145" s="71" t="n"/>
      <c r="G145" s="71" t="n"/>
      <c r="H145" s="71" t="n"/>
      <c r="I145" s="71" t="n"/>
      <c r="J145" s="71" t="n"/>
      <c r="K145" s="71" t="n"/>
      <c r="L145" s="71" t="n"/>
      <c r="M145" s="71" t="n"/>
      <c r="N145" s="71" t="n"/>
      <c r="O145" s="115">
        <f>SUM(B145:N145)</f>
        <v/>
      </c>
    </row>
    <row r="146" outlineLevel="2" ht="15" customHeight="1">
      <c r="A146" s="69" t="inlineStr">
        <is>
          <t xml:space="preserve">      GST @ 18% (₹)</t>
        </is>
      </c>
      <c r="B146" s="70">
        <f>IF('Final Calculation Sheet'!$I$38="","",'Final Calculation Sheet'!$I$38)</f>
        <v/>
      </c>
      <c r="C146" s="71" t="n"/>
      <c r="D146" s="71" t="n"/>
      <c r="E146" s="71" t="n"/>
      <c r="F146" s="71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115">
        <f>SUM(B146:N146)</f>
        <v/>
      </c>
    </row>
    <row r="147" outlineLevel="2" ht="15" customHeight="1">
      <c r="A147" s="69" t="inlineStr">
        <is>
          <t xml:space="preserve">      Mat. Value + GST (₹)</t>
        </is>
      </c>
      <c r="B147" s="70">
        <f>IF('Final Calculation Sheet'!$J$38="","",'Final Calculation Sheet'!$J$38)</f>
        <v/>
      </c>
      <c r="C147" s="71" t="n"/>
      <c r="D147" s="71" t="n"/>
      <c r="E147" s="71" t="n"/>
      <c r="F147" s="71" t="n"/>
      <c r="G147" s="71" t="n"/>
      <c r="H147" s="71" t="n"/>
      <c r="I147" s="71" t="n"/>
      <c r="J147" s="71" t="n"/>
      <c r="K147" s="71" t="n"/>
      <c r="L147" s="71" t="n"/>
      <c r="M147" s="71" t="n"/>
      <c r="N147" s="71" t="n"/>
      <c r="O147" s="115">
        <f>SUM(B147:N147)</f>
        <v/>
      </c>
    </row>
    <row r="148" outlineLevel="2" ht="15" customHeight="1">
      <c r="A148" s="69" t="inlineStr">
        <is>
          <t xml:space="preserve">      TCS @ 2% (₹)</t>
        </is>
      </c>
      <c r="B148" s="70">
        <f>IF('Final Calculation Sheet'!$K$38="","",'Final Calculation Sheet'!$K$38)</f>
        <v/>
      </c>
      <c r="C148" s="71" t="n"/>
      <c r="D148" s="71" t="n"/>
      <c r="E148" s="71" t="n"/>
      <c r="F148" s="71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115">
        <f>SUM(B148:N148)</f>
        <v/>
      </c>
    </row>
    <row r="149" outlineLevel="2" ht="15" customHeight="1">
      <c r="A149" s="69" t="inlineStr">
        <is>
          <t xml:space="preserve">      TDS u/s 194(O) (₹)</t>
        </is>
      </c>
      <c r="B149" s="78">
        <f>IF('Final Calculation Sheet'!$L$38="","",'Final Calculation Sheet'!$L$38)</f>
        <v/>
      </c>
      <c r="C149" s="71" t="n"/>
      <c r="D149" s="71" t="n"/>
      <c r="E149" s="71" t="n"/>
      <c r="F149" s="71" t="n"/>
      <c r="G149" s="71" t="n"/>
      <c r="H149" s="71" t="n"/>
      <c r="I149" s="71" t="n"/>
      <c r="J149" s="71" t="n"/>
      <c r="K149" s="71" t="n"/>
      <c r="L149" s="71" t="n"/>
      <c r="M149" s="71" t="n"/>
      <c r="N149" s="71" t="n"/>
      <c r="O149" s="116">
        <f>SUM(B149:N149)</f>
        <v/>
      </c>
    </row>
    <row r="150" outlineLevel="2" ht="15" customHeight="1">
      <c r="A150" s="69" t="inlineStr">
        <is>
          <t xml:space="preserve">      Service Charge gross (₹)</t>
        </is>
      </c>
      <c r="B150" s="78">
        <f>IF('Final Calculation Sheet'!$M$38="","",'Final Calculation Sheet'!$M$38)</f>
        <v/>
      </c>
      <c r="C150" s="71" t="n"/>
      <c r="D150" s="71" t="n"/>
      <c r="E150" s="71" t="n"/>
      <c r="F150" s="71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116">
        <f>SUM(B150:N150)</f>
        <v/>
      </c>
    </row>
    <row r="151" outlineLevel="2" ht="15" customHeight="1">
      <c r="A151" s="69" t="inlineStr">
        <is>
          <t xml:space="preserve">      TDS u/s 194(H) (₹)</t>
        </is>
      </c>
      <c r="B151" s="78">
        <f>IF('Final Calculation Sheet'!$N$38="","",'Final Calculation Sheet'!$N$38)</f>
        <v/>
      </c>
      <c r="C151" s="71" t="n"/>
      <c r="D151" s="71" t="n"/>
      <c r="E151" s="71" t="n"/>
      <c r="F151" s="71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116">
        <f>SUM(B151:N151)</f>
        <v/>
      </c>
    </row>
    <row r="152" outlineLevel="2" ht="15" customHeight="1">
      <c r="A152" s="69" t="inlineStr">
        <is>
          <t xml:space="preserve">      Net Service Charge (₹)</t>
        </is>
      </c>
      <c r="B152" s="78">
        <f>IF('Final Calculation Sheet'!$O$38="","",'Final Calculation Sheet'!$O$38)</f>
        <v/>
      </c>
      <c r="C152" s="71" t="n"/>
      <c r="D152" s="71" t="n"/>
      <c r="E152" s="71" t="n"/>
      <c r="F152" s="71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116">
        <f>SUM(B152:N152)</f>
        <v/>
      </c>
    </row>
    <row r="153" outlineLevel="2" ht="15" customHeight="1">
      <c r="A153" s="69" t="inlineStr">
        <is>
          <t xml:space="preserve">      Svc Charge to MSTC (₹)</t>
        </is>
      </c>
      <c r="B153" s="70">
        <f>IF('Final Calculation Sheet'!$P$38="","",'Final Calculation Sheet'!$P$38)</f>
        <v/>
      </c>
      <c r="C153" s="71" t="n"/>
      <c r="D153" s="71" t="n"/>
      <c r="E153" s="71" t="n"/>
      <c r="F153" s="71" t="n"/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115">
        <f>SUM(B153:N153)</f>
        <v/>
      </c>
    </row>
    <row r="154" outlineLevel="2" ht="15" customHeight="1">
      <c r="A154" s="69" t="inlineStr">
        <is>
          <t xml:space="preserve">      GST TDS Rate</t>
        </is>
      </c>
      <c r="B154" s="80">
        <f>IF('Final Calculation Sheet'!$Q$38="","",'Final Calculation Sheet'!$Q$38)</f>
        <v/>
      </c>
      <c r="C154" s="71" t="n"/>
      <c r="D154" s="71" t="n"/>
      <c r="E154" s="71" t="n"/>
      <c r="F154" s="71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113" t="inlineStr">
        <is>
          <t>–</t>
        </is>
      </c>
    </row>
    <row r="155" outlineLevel="2" ht="15" customHeight="1">
      <c r="A155" s="69" t="inlineStr">
        <is>
          <t xml:space="preserve">      GST TDS (₹)</t>
        </is>
      </c>
      <c r="B155" s="70">
        <f>IF('Final Calculation Sheet'!$R$38="","",'Final Calculation Sheet'!$R$38)</f>
        <v/>
      </c>
      <c r="C155" s="71" t="n"/>
      <c r="D155" s="71" t="n"/>
      <c r="E155" s="71" t="n"/>
      <c r="F155" s="71" t="n"/>
      <c r="G155" s="71" t="n"/>
      <c r="H155" s="71" t="n"/>
      <c r="I155" s="71" t="n"/>
      <c r="J155" s="71" t="n"/>
      <c r="K155" s="71" t="n"/>
      <c r="L155" s="71" t="n"/>
      <c r="M155" s="71" t="n"/>
      <c r="N155" s="71" t="n"/>
      <c r="O155" s="115">
        <f>SUM(B155:N155)</f>
        <v/>
      </c>
    </row>
    <row r="156" outlineLevel="2" ht="15" customHeight="1">
      <c r="A156" s="69" t="inlineStr">
        <is>
          <t xml:space="preserve">      Total Receivables (₹)</t>
        </is>
      </c>
      <c r="B156" s="70">
        <f>IF('Final Calculation Sheet'!$S$38="","",'Final Calculation Sheet'!$S$38)</f>
        <v/>
      </c>
      <c r="C156" s="71" t="n"/>
      <c r="D156" s="71" t="n"/>
      <c r="E156" s="71" t="n"/>
      <c r="F156" s="71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115">
        <f>SUM(B156:N156)</f>
        <v/>
      </c>
    </row>
    <row r="157" outlineLevel="1" ht="16" customHeight="1">
      <c r="A157" s="109" t="inlineStr">
        <is>
          <t xml:space="preserve">  ▸ SECURITY DEPOSIT</t>
        </is>
      </c>
      <c r="B157" s="111" t="n"/>
      <c r="C157" s="111" t="n"/>
      <c r="D157" s="111" t="n"/>
      <c r="E157" s="111" t="n"/>
      <c r="F157" s="111" t="n"/>
      <c r="G157" s="111" t="n"/>
      <c r="H157" s="111" t="n"/>
      <c r="I157" s="111" t="n"/>
      <c r="J157" s="111" t="n"/>
      <c r="K157" s="111" t="n"/>
      <c r="L157" s="111" t="n"/>
      <c r="M157" s="111" t="n"/>
      <c r="N157" s="111" t="n"/>
      <c r="O157" s="111" t="n"/>
    </row>
    <row r="158" outlineLevel="2" ht="15" customHeight="1">
      <c r="A158" s="69" t="inlineStr">
        <is>
          <t xml:space="preserve">      SD Expected (₹)</t>
        </is>
      </c>
      <c r="B158" s="70">
        <f>IF('Final Calculation Sheet'!$T$38="","",'Final Calculation Sheet'!$T$38)</f>
        <v/>
      </c>
      <c r="C158" s="71" t="n"/>
      <c r="D158" s="71" t="n"/>
      <c r="E158" s="71" t="n"/>
      <c r="F158" s="71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115">
        <f>SUM(B158:N158)</f>
        <v/>
      </c>
    </row>
    <row r="159" outlineLevel="2" ht="15" customHeight="1">
      <c r="A159" s="69" t="inlineStr">
        <is>
          <t xml:space="preserve">      SD Received (₹)</t>
        </is>
      </c>
      <c r="B159" s="70">
        <f>IF('Final Calculation Sheet'!$U$38="","",'Final Calculation Sheet'!$U$38)</f>
        <v/>
      </c>
      <c r="C159" s="71" t="n"/>
      <c r="D159" s="71" t="n"/>
      <c r="E159" s="71" t="n"/>
      <c r="F159" s="71" t="n"/>
      <c r="G159" s="71" t="n"/>
      <c r="H159" s="71" t="n"/>
      <c r="I159" s="71" t="n"/>
      <c r="J159" s="71" t="n"/>
      <c r="K159" s="71" t="n"/>
      <c r="L159" s="71" t="n"/>
      <c r="M159" s="71" t="n"/>
      <c r="N159" s="71" t="n"/>
      <c r="O159" s="115">
        <f>SUM(B159:N159)</f>
        <v/>
      </c>
    </row>
    <row r="160" outlineLevel="2" ht="15" customHeight="1">
      <c r="A160" s="69" t="inlineStr">
        <is>
          <t xml:space="preserve">      SD Receipt Date</t>
        </is>
      </c>
      <c r="B160" s="76">
        <f>IF('Final Calculation Sheet'!$V$38="","",'Final Calculation Sheet'!$V$38)</f>
        <v/>
      </c>
      <c r="C160" s="71" t="n"/>
      <c r="D160" s="71" t="n"/>
      <c r="E160" s="71" t="n"/>
      <c r="F160" s="71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113" t="inlineStr">
        <is>
          <t>–</t>
        </is>
      </c>
    </row>
    <row r="161" outlineLevel="1" ht="16" customHeight="1">
      <c r="A161" s="109" t="inlineStr">
        <is>
          <t xml:space="preserve">  ▸ FINAL PAYMENT</t>
        </is>
      </c>
      <c r="B161" s="111" t="n"/>
      <c r="C161" s="111" t="n"/>
      <c r="D161" s="111" t="n"/>
      <c r="E161" s="111" t="n"/>
      <c r="F161" s="111" t="n"/>
      <c r="G161" s="111" t="n"/>
      <c r="H161" s="111" t="n"/>
      <c r="I161" s="111" t="n"/>
      <c r="J161" s="111" t="n"/>
      <c r="K161" s="111" t="n"/>
      <c r="L161" s="111" t="n"/>
      <c r="M161" s="111" t="n"/>
      <c r="N161" s="111" t="n"/>
      <c r="O161" s="111" t="n"/>
    </row>
    <row r="162" outlineLevel="2" ht="15" customHeight="1">
      <c r="A162" s="69" t="inlineStr">
        <is>
          <t xml:space="preserve">      FP Expected (₹)</t>
        </is>
      </c>
      <c r="B162" s="70">
        <f>IF('Final Calculation Sheet'!$W$38="","",'Final Calculation Sheet'!$W$38)</f>
        <v/>
      </c>
      <c r="C162" s="71" t="n"/>
      <c r="D162" s="71" t="n"/>
      <c r="E162" s="71" t="n"/>
      <c r="F162" s="71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115">
        <f>SUM(B162:N162)</f>
        <v/>
      </c>
    </row>
    <row r="163" outlineLevel="2" ht="15" customHeight="1">
      <c r="A163" s="69" t="inlineStr">
        <is>
          <t xml:space="preserve">      FP Received (₹)</t>
        </is>
      </c>
      <c r="B163" s="70">
        <f>IF('Final Calculation Sheet'!$X$38="","",'Final Calculation Sheet'!$X$38)</f>
        <v/>
      </c>
      <c r="C163" s="71" t="n"/>
      <c r="D163" s="71" t="n"/>
      <c r="E163" s="71" t="n"/>
      <c r="F163" s="71" t="n"/>
      <c r="G163" s="71" t="n"/>
      <c r="H163" s="71" t="n"/>
      <c r="I163" s="71" t="n"/>
      <c r="J163" s="71" t="n"/>
      <c r="K163" s="71" t="n"/>
      <c r="L163" s="71" t="n"/>
      <c r="M163" s="71" t="n"/>
      <c r="N163" s="71" t="n"/>
      <c r="O163" s="115">
        <f>SUM(B163:N163)</f>
        <v/>
      </c>
    </row>
    <row r="164" outlineLevel="2" ht="15" customHeight="1">
      <c r="A164" s="69" t="inlineStr">
        <is>
          <t xml:space="preserve">      FP Receipt Date</t>
        </is>
      </c>
      <c r="B164" s="76">
        <f>IF('Final Calculation Sheet'!$Y$38="","",'Final Calculation Sheet'!$Y$38)</f>
        <v/>
      </c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113" t="inlineStr">
        <is>
          <t>–</t>
        </is>
      </c>
    </row>
    <row r="165" outlineLevel="1" ht="16" customHeight="1">
      <c r="A165" s="109" t="inlineStr">
        <is>
          <t xml:space="preserve">  ▸ LPP</t>
        </is>
      </c>
      <c r="B165" s="111" t="n"/>
      <c r="C165" s="111" t="n"/>
      <c r="D165" s="111" t="n"/>
      <c r="E165" s="111" t="n"/>
      <c r="F165" s="111" t="n"/>
      <c r="G165" s="111" t="n"/>
      <c r="H165" s="111" t="n"/>
      <c r="I165" s="111" t="n"/>
      <c r="J165" s="111" t="n"/>
      <c r="K165" s="111" t="n"/>
      <c r="L165" s="111" t="n"/>
      <c r="M165" s="111" t="n"/>
      <c r="N165" s="111" t="n"/>
      <c r="O165" s="111" t="n"/>
    </row>
    <row r="166" outlineLevel="2" ht="15" customHeight="1">
      <c r="A166" s="69" t="inlineStr">
        <is>
          <t xml:space="preserve">      LPP Expected (₹)</t>
        </is>
      </c>
      <c r="B166" s="70">
        <f>IF('Final Calculation Sheet'!$Z$38="","",'Final Calculation Sheet'!$Z$38)</f>
        <v/>
      </c>
      <c r="C166" s="71" t="n"/>
      <c r="D166" s="71" t="n"/>
      <c r="E166" s="71" t="n"/>
      <c r="F166" s="71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115">
        <f>SUM(B166:N166)</f>
        <v/>
      </c>
    </row>
    <row r="167" outlineLevel="2" ht="15" customHeight="1">
      <c r="A167" s="69" t="inlineStr">
        <is>
          <t xml:space="preserve">      LPP Received (₹)</t>
        </is>
      </c>
      <c r="B167" s="70">
        <f>IF('Final Calculation Sheet'!$AA$38="","",'Final Calculation Sheet'!$AA$38)</f>
        <v/>
      </c>
      <c r="C167" s="71" t="n"/>
      <c r="D167" s="71" t="n"/>
      <c r="E167" s="71" t="n"/>
      <c r="F167" s="71" t="n"/>
      <c r="G167" s="71" t="n"/>
      <c r="H167" s="71" t="n"/>
      <c r="I167" s="71" t="n"/>
      <c r="J167" s="71" t="n"/>
      <c r="K167" s="71" t="n"/>
      <c r="L167" s="71" t="n"/>
      <c r="M167" s="71" t="n"/>
      <c r="N167" s="71" t="n"/>
      <c r="O167" s="115">
        <f>SUM(B167:N167)</f>
        <v/>
      </c>
    </row>
    <row r="168" outlineLevel="2" ht="15" customHeight="1">
      <c r="A168" s="69" t="inlineStr">
        <is>
          <t xml:space="preserve">      LPP Receipt Date</t>
        </is>
      </c>
      <c r="B168" s="76">
        <f>IF('Final Calculation Sheet'!$AB$38="","",'Final Calculation Sheet'!$AB$38)</f>
        <v/>
      </c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113" t="inlineStr">
        <is>
          <t>–</t>
        </is>
      </c>
    </row>
    <row r="169" outlineLevel="1" ht="16" customHeight="1">
      <c r="A169" s="109" t="inlineStr">
        <is>
          <t xml:space="preserve">  ▸ SUMMARY</t>
        </is>
      </c>
      <c r="B169" s="111" t="n"/>
      <c r="C169" s="111" t="n"/>
      <c r="D169" s="111" t="n"/>
      <c r="E169" s="111" t="n"/>
      <c r="F169" s="111" t="n"/>
      <c r="G169" s="111" t="n"/>
      <c r="H169" s="111" t="n"/>
      <c r="I169" s="111" t="n"/>
      <c r="J169" s="111" t="n"/>
      <c r="K169" s="111" t="n"/>
      <c r="L169" s="111" t="n"/>
      <c r="M169" s="111" t="n"/>
      <c r="N169" s="111" t="n"/>
      <c r="O169" s="111" t="n"/>
    </row>
    <row r="170" outlineLevel="2" ht="15" customHeight="1">
      <c r="A170" s="69" t="inlineStr">
        <is>
          <t xml:space="preserve">      Total Received (₹)</t>
        </is>
      </c>
      <c r="B170" s="70">
        <f>IF('Final Calculation Sheet'!$AC$38="","",'Final Calculation Sheet'!$AC$38)</f>
        <v/>
      </c>
      <c r="C170" s="71" t="n"/>
      <c r="D170" s="71" t="n"/>
      <c r="E170" s="71" t="n"/>
      <c r="F170" s="71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115">
        <f>SUM(B170:N170)</f>
        <v/>
      </c>
    </row>
    <row r="171" outlineLevel="2" ht="15" customHeight="1">
      <c r="A171" s="69" t="inlineStr">
        <is>
          <t xml:space="preserve">      Outstanding (₹)</t>
        </is>
      </c>
      <c r="B171" s="70">
        <f>IF('Final Calculation Sheet'!$AD$38="","",'Final Calculation Sheet'!$AD$38)</f>
        <v/>
      </c>
      <c r="C171" s="71" t="n"/>
      <c r="D171" s="71" t="n"/>
      <c r="E171" s="71" t="n"/>
      <c r="F171" s="71" t="n"/>
      <c r="G171" s="71" t="n"/>
      <c r="H171" s="71" t="n"/>
      <c r="I171" s="71" t="n"/>
      <c r="J171" s="71" t="n"/>
      <c r="K171" s="71" t="n"/>
      <c r="L171" s="71" t="n"/>
      <c r="M171" s="71" t="n"/>
      <c r="N171" s="71" t="n"/>
      <c r="O171" s="115">
        <f>SUM(B171:N171)</f>
        <v/>
      </c>
    </row>
    <row r="172" outlineLevel="2" ht="15" customHeight="1">
      <c r="A172" s="69" t="inlineStr">
        <is>
          <t xml:space="preserve">      Payment Status</t>
        </is>
      </c>
      <c r="B172" s="81">
        <f>IF('Final Calculation Sheet'!$AD$38="","",IF('Final Calculation Sheet'!$AD$38&lt;=0,"SETTLED","OUTSTANDING"))</f>
        <v/>
      </c>
      <c r="C172" s="71" t="n"/>
      <c r="D172" s="71" t="n"/>
      <c r="E172" s="71" t="n"/>
      <c r="F172" s="71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113" t="inlineStr">
        <is>
          <t>–</t>
        </is>
      </c>
    </row>
    <row r="173" outlineLevel="1" ht="16" customHeight="1">
      <c r="A173" s="109" t="inlineStr">
        <is>
          <t xml:space="preserve">  ▸ DOCUMENT</t>
        </is>
      </c>
      <c r="B173" s="111" t="n"/>
      <c r="C173" s="111" t="n"/>
      <c r="D173" s="111" t="n"/>
      <c r="E173" s="111" t="n"/>
      <c r="F173" s="111" t="n"/>
      <c r="G173" s="111" t="n"/>
      <c r="H173" s="111" t="n"/>
      <c r="I173" s="111" t="n"/>
      <c r="J173" s="111" t="n"/>
      <c r="K173" s="111" t="n"/>
      <c r="L173" s="111" t="n"/>
      <c r="M173" s="111" t="n"/>
      <c r="N173" s="111" t="n"/>
      <c r="O173" s="111" t="n"/>
    </row>
    <row r="174" outlineLevel="2" ht="15" customHeight="1">
      <c r="A174" s="69" t="inlineStr">
        <is>
          <t xml:space="preserve">      Invoice No.</t>
        </is>
      </c>
      <c r="B174" s="76">
        <f>IF('Final Calculation Sheet'!$AE$38="","",'Final Calculation Sheet'!$AE$38)</f>
        <v/>
      </c>
      <c r="C174" s="71" t="n"/>
      <c r="D174" s="71" t="n"/>
      <c r="E174" s="71" t="n"/>
      <c r="F174" s="71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113" t="inlineStr">
        <is>
          <t>–</t>
        </is>
      </c>
    </row>
    <row r="175" outlineLevel="2" ht="15" customHeight="1">
      <c r="A175" s="69" t="inlineStr">
        <is>
          <t xml:space="preserve">      SAP Document</t>
        </is>
      </c>
      <c r="B175" s="70">
        <f>IF('Final Calculation Sheet'!$AF$38="","",'Final Calculation Sheet'!$AF$38)</f>
        <v/>
      </c>
      <c r="C175" s="71" t="n"/>
      <c r="D175" s="71" t="n"/>
      <c r="E175" s="71" t="n"/>
      <c r="F175" s="71" t="n"/>
      <c r="G175" s="71" t="n"/>
      <c r="H175" s="71" t="n"/>
      <c r="I175" s="71" t="n"/>
      <c r="J175" s="71" t="n"/>
      <c r="K175" s="71" t="n"/>
      <c r="L175" s="71" t="n"/>
      <c r="M175" s="71" t="n"/>
      <c r="N175" s="71" t="n"/>
      <c r="O175" s="113" t="inlineStr">
        <is>
          <t>–</t>
        </is>
      </c>
    </row>
    <row r="176" outlineLevel="2" ht="15" customHeight="1">
      <c r="A176" s="69" t="inlineStr">
        <is>
          <t xml:space="preserve">      Doc./Invoice Date</t>
        </is>
      </c>
      <c r="B176" s="76">
        <f>IF('Final Calculation Sheet'!$AG$38="","",'Final Calculation Sheet'!$AG$38)</f>
        <v/>
      </c>
      <c r="C176" s="71" t="n"/>
      <c r="D176" s="71" t="n"/>
      <c r="E176" s="71" t="n"/>
      <c r="F176" s="71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113" t="inlineStr">
        <is>
          <t>–</t>
        </is>
      </c>
    </row>
    <row r="177" ht="7" customHeight="1">
      <c r="A177" s="82" t="n"/>
      <c r="B177" s="82" t="n"/>
      <c r="C177" s="82" t="n"/>
      <c r="D177" s="82" t="n"/>
      <c r="E177" s="82" t="n"/>
      <c r="F177" s="82" t="n"/>
      <c r="G177" s="82" t="n"/>
      <c r="H177" s="82" t="n"/>
      <c r="I177" s="82" t="n"/>
      <c r="J177" s="82" t="n"/>
      <c r="K177" s="82" t="n"/>
      <c r="L177" s="82" t="n"/>
      <c r="M177" s="82" t="n"/>
      <c r="N177" s="82" t="n"/>
      <c r="O177" s="82" t="n"/>
    </row>
    <row r="178" ht="24" customHeight="1">
      <c r="A178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</row>
    <row r="179" outlineLevel="1" ht="18" customHeight="1">
      <c r="A179" s="118" t="inlineStr">
        <is>
          <t xml:space="preserve">   Lot No. →</t>
        </is>
      </c>
      <c r="B179" s="119">
        <f>IF('Final Calculation Sheet'!$F$27="","",'Final Calculation Sheet'!$F$27)</f>
        <v/>
      </c>
      <c r="C179" s="120" t="n"/>
      <c r="D179" s="120" t="n"/>
      <c r="E179" s="120" t="n"/>
      <c r="F179" s="120" t="n"/>
      <c r="G179" s="120" t="n"/>
      <c r="H179" s="120" t="n"/>
      <c r="I179" s="120" t="n"/>
      <c r="J179" s="120" t="n"/>
      <c r="K179" s="120" t="n"/>
      <c r="L179" s="120" t="n"/>
      <c r="M179" s="120" t="n"/>
      <c r="N179" s="120" t="n"/>
      <c r="O179" s="121" t="inlineStr">
        <is>
          <t>TOTAL</t>
        </is>
      </c>
    </row>
    <row r="180" outlineLevel="1" ht="16" customHeight="1">
      <c r="A180" s="118" t="inlineStr">
        <is>
          <t xml:space="preserve">  ▸ LOT INFORMATION</t>
        </is>
      </c>
      <c r="B180" s="120" t="n"/>
      <c r="C180" s="120" t="n"/>
      <c r="D180" s="120" t="n"/>
      <c r="E180" s="120" t="n"/>
      <c r="F180" s="120" t="n"/>
      <c r="G180" s="120" t="n"/>
      <c r="H180" s="120" t="n"/>
      <c r="I180" s="120" t="n"/>
      <c r="J180" s="120" t="n"/>
      <c r="K180" s="120" t="n"/>
      <c r="L180" s="120" t="n"/>
      <c r="M180" s="120" t="n"/>
      <c r="N180" s="120" t="n"/>
      <c r="O180" s="120" t="n"/>
    </row>
    <row r="181" outlineLevel="2" ht="15" customHeight="1">
      <c r="A181" s="69" t="inlineStr">
        <is>
          <t xml:space="preserve">      Lot No.</t>
        </is>
      </c>
      <c r="B181" s="70">
        <f>IF('Final Calculation Sheet'!$F$27="","",'Final Calculation Sheet'!$F$27)</f>
        <v/>
      </c>
      <c r="C181" s="71" t="n"/>
      <c r="D181" s="71" t="n"/>
      <c r="E181" s="71" t="n"/>
      <c r="F181" s="71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122" t="inlineStr">
        <is>
          <t>–</t>
        </is>
      </c>
    </row>
    <row r="182" outlineLevel="2" ht="60" customHeight="1">
      <c r="A182" s="69" t="inlineStr">
        <is>
          <t xml:space="preserve">      Lot Name</t>
        </is>
      </c>
      <c r="B182" s="73">
        <f>IF('Final Calculation Sheet'!$B$27="","",'Final Calculation Sheet'!$B$27)</f>
        <v/>
      </c>
      <c r="C182" s="71" t="n"/>
      <c r="D182" s="71" t="n"/>
      <c r="E182" s="71" t="n"/>
      <c r="F182" s="71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122" t="inlineStr">
        <is>
          <t>–</t>
        </is>
      </c>
    </row>
    <row r="183" outlineLevel="2" ht="15" customHeight="1">
      <c r="A183" s="69" t="inlineStr">
        <is>
          <t xml:space="preserve">      Bid Sheet / Auction</t>
        </is>
      </c>
      <c r="B183" s="70">
        <f>IF('Final Calculation Sheet'!$D$27="","",'Final Calculation Sheet'!$D$27)</f>
        <v/>
      </c>
      <c r="C183" s="71" t="n"/>
      <c r="D183" s="71" t="n"/>
      <c r="E183" s="71" t="n"/>
      <c r="F183" s="71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122" t="inlineStr">
        <is>
          <t>–</t>
        </is>
      </c>
    </row>
    <row r="184" outlineLevel="2" ht="15" customHeight="1">
      <c r="A184" s="69" t="inlineStr">
        <is>
          <t xml:space="preserve">      Quantity</t>
        </is>
      </c>
      <c r="B184" s="74">
        <f>IF('Final Calculation Sheet'!$A$27="","",'Final Calculation Sheet'!$A$27)</f>
        <v/>
      </c>
      <c r="C184" s="71" t="n"/>
      <c r="D184" s="71" t="n"/>
      <c r="E184" s="71" t="n"/>
      <c r="F184" s="71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123">
        <f>SUM(B184:N184)</f>
        <v/>
      </c>
    </row>
    <row r="185" outlineLevel="2" ht="15" customHeight="1">
      <c r="A185" s="69" t="inlineStr">
        <is>
          <t xml:space="preserve">      Unit</t>
        </is>
      </c>
      <c r="B185" s="76">
        <f>IF('Final Calculation Sheet'!$E$27="","",'Final Calculation Sheet'!$E$27)</f>
        <v/>
      </c>
      <c r="C185" s="71" t="n"/>
      <c r="D185" s="71" t="n"/>
      <c r="E185" s="71" t="n"/>
      <c r="F185" s="71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122" t="inlineStr">
        <is>
          <t>–</t>
        </is>
      </c>
    </row>
    <row r="186" outlineLevel="2" ht="15" customHeight="1">
      <c r="A186" s="69" t="inlineStr">
        <is>
          <t xml:space="preserve">      Rate (₹)</t>
        </is>
      </c>
      <c r="B186" s="70">
        <f>IF('Final Calculation Sheet'!$C$27="","",'Final Calculation Sheet'!$C$27)</f>
        <v/>
      </c>
      <c r="C186" s="71" t="n"/>
      <c r="D186" s="71" t="n"/>
      <c r="E186" s="71" t="n"/>
      <c r="F186" s="71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122" t="inlineStr">
        <is>
          <t>–</t>
        </is>
      </c>
    </row>
    <row r="187" outlineLevel="1" ht="16" customHeight="1">
      <c r="A187" s="118" t="inlineStr">
        <is>
          <t xml:space="preserve">  ▸ FINANCIALS</t>
        </is>
      </c>
      <c r="B187" s="120" t="n"/>
      <c r="C187" s="120" t="n"/>
      <c r="D187" s="120" t="n"/>
      <c r="E187" s="120" t="n"/>
      <c r="F187" s="120" t="n"/>
      <c r="G187" s="120" t="n"/>
      <c r="H187" s="120" t="n"/>
      <c r="I187" s="120" t="n"/>
      <c r="J187" s="120" t="n"/>
      <c r="K187" s="120" t="n"/>
      <c r="L187" s="120" t="n"/>
      <c r="M187" s="120" t="n"/>
      <c r="N187" s="120" t="n"/>
      <c r="O187" s="120" t="n"/>
    </row>
    <row r="188" outlineLevel="2" ht="15" customHeight="1">
      <c r="A188" s="69" t="inlineStr">
        <is>
          <t xml:space="preserve">      Mat. Value (₹)</t>
        </is>
      </c>
      <c r="B188" s="70">
        <f>IF('Final Calculation Sheet'!$H$27="","",'Final Calculation Sheet'!$H$27)</f>
        <v/>
      </c>
      <c r="C188" s="71" t="n"/>
      <c r="D188" s="71" t="n"/>
      <c r="E188" s="71" t="n"/>
      <c r="F188" s="71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124">
        <f>SUM(B188:N188)</f>
        <v/>
      </c>
    </row>
    <row r="189" outlineLevel="2" ht="15" customHeight="1">
      <c r="A189" s="69" t="inlineStr">
        <is>
          <t xml:space="preserve">      GST @ 18% (₹)</t>
        </is>
      </c>
      <c r="B189" s="70">
        <f>IF('Final Calculation Sheet'!$I$27="","",'Final Calculation Sheet'!$I$27)</f>
        <v/>
      </c>
      <c r="C189" s="71" t="n"/>
      <c r="D189" s="71" t="n"/>
      <c r="E189" s="71" t="n"/>
      <c r="F189" s="71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124">
        <f>SUM(B189:N189)</f>
        <v/>
      </c>
    </row>
    <row r="190" outlineLevel="2" ht="15" customHeight="1">
      <c r="A190" s="69" t="inlineStr">
        <is>
          <t xml:space="preserve">      Mat. Value + GST (₹)</t>
        </is>
      </c>
      <c r="B190" s="70">
        <f>IF('Final Calculation Sheet'!$J$27="","",'Final Calculation Sheet'!$J$27)</f>
        <v/>
      </c>
      <c r="C190" s="71" t="n"/>
      <c r="D190" s="71" t="n"/>
      <c r="E190" s="71" t="n"/>
      <c r="F190" s="71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124">
        <f>SUM(B190:N190)</f>
        <v/>
      </c>
    </row>
    <row r="191" outlineLevel="2" ht="15" customHeight="1">
      <c r="A191" s="69" t="inlineStr">
        <is>
          <t xml:space="preserve">      TCS @ 2% (₹)</t>
        </is>
      </c>
      <c r="B191" s="70">
        <f>IF('Final Calculation Sheet'!$K$27="","",'Final Calculation Sheet'!$K$27)</f>
        <v/>
      </c>
      <c r="C191" s="71" t="n"/>
      <c r="D191" s="71" t="n"/>
      <c r="E191" s="71" t="n"/>
      <c r="F191" s="71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124">
        <f>SUM(B191:N191)</f>
        <v/>
      </c>
    </row>
    <row r="192" outlineLevel="2" ht="15" customHeight="1">
      <c r="A192" s="69" t="inlineStr">
        <is>
          <t xml:space="preserve">      TDS u/s 194(O) (₹)</t>
        </is>
      </c>
      <c r="B192" s="78">
        <f>IF('Final Calculation Sheet'!$L$27="","",'Final Calculation Sheet'!$L$27)</f>
        <v/>
      </c>
      <c r="C192" s="71" t="n"/>
      <c r="D192" s="71" t="n"/>
      <c r="E192" s="71" t="n"/>
      <c r="F192" s="71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125">
        <f>SUM(B192:N192)</f>
        <v/>
      </c>
    </row>
    <row r="193" outlineLevel="2" ht="15" customHeight="1">
      <c r="A193" s="69" t="inlineStr">
        <is>
          <t xml:space="preserve">      Service Charge gross (₹)</t>
        </is>
      </c>
      <c r="B193" s="78">
        <f>IF('Final Calculation Sheet'!$M$27="","",'Final Calculation Sheet'!$M$27)</f>
        <v/>
      </c>
      <c r="C193" s="71" t="n"/>
      <c r="D193" s="71" t="n"/>
      <c r="E193" s="71" t="n"/>
      <c r="F193" s="71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125">
        <f>SUM(B193:N193)</f>
        <v/>
      </c>
    </row>
    <row r="194" outlineLevel="2" ht="15" customHeight="1">
      <c r="A194" s="69" t="inlineStr">
        <is>
          <t xml:space="preserve">      TDS u/s 194(H) (₹)</t>
        </is>
      </c>
      <c r="B194" s="78">
        <f>IF('Final Calculation Sheet'!$N$27="","",'Final Calculation Sheet'!$N$27)</f>
        <v/>
      </c>
      <c r="C194" s="71" t="n"/>
      <c r="D194" s="71" t="n"/>
      <c r="E194" s="71" t="n"/>
      <c r="F194" s="71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125">
        <f>SUM(B194:N194)</f>
        <v/>
      </c>
    </row>
    <row r="195" outlineLevel="2" ht="15" customHeight="1">
      <c r="A195" s="69" t="inlineStr">
        <is>
          <t xml:space="preserve">      Net Service Charge (₹)</t>
        </is>
      </c>
      <c r="B195" s="78">
        <f>IF('Final Calculation Sheet'!$O$27="","",'Final Calculation Sheet'!$O$27)</f>
        <v/>
      </c>
      <c r="C195" s="71" t="n"/>
      <c r="D195" s="71" t="n"/>
      <c r="E195" s="71" t="n"/>
      <c r="F195" s="71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125">
        <f>SUM(B195:N195)</f>
        <v/>
      </c>
    </row>
    <row r="196" outlineLevel="2" ht="15" customHeight="1">
      <c r="A196" s="69" t="inlineStr">
        <is>
          <t xml:space="preserve">      Svc Charge to MSTC (₹)</t>
        </is>
      </c>
      <c r="B196" s="70">
        <f>IF('Final Calculation Sheet'!$P$27="","",'Final Calculation Sheet'!$P$27)</f>
        <v/>
      </c>
      <c r="C196" s="71" t="n"/>
      <c r="D196" s="71" t="n"/>
      <c r="E196" s="71" t="n"/>
      <c r="F196" s="71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124">
        <f>SUM(B196:N196)</f>
        <v/>
      </c>
    </row>
    <row r="197" outlineLevel="2" ht="15" customHeight="1">
      <c r="A197" s="69" t="inlineStr">
        <is>
          <t xml:space="preserve">      GST TDS Rate</t>
        </is>
      </c>
      <c r="B197" s="80">
        <f>IF('Final Calculation Sheet'!$Q$27="","",'Final Calculation Sheet'!$Q$27)</f>
        <v/>
      </c>
      <c r="C197" s="71" t="n"/>
      <c r="D197" s="71" t="n"/>
      <c r="E197" s="71" t="n"/>
      <c r="F197" s="71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122" t="inlineStr">
        <is>
          <t>–</t>
        </is>
      </c>
    </row>
    <row r="198" outlineLevel="2" ht="15" customHeight="1">
      <c r="A198" s="69" t="inlineStr">
        <is>
          <t xml:space="preserve">      GST TDS (₹)</t>
        </is>
      </c>
      <c r="B198" s="70">
        <f>IF('Final Calculation Sheet'!$R$27="","",'Final Calculation Sheet'!$R$27)</f>
        <v/>
      </c>
      <c r="C198" s="71" t="n"/>
      <c r="D198" s="71" t="n"/>
      <c r="E198" s="71" t="n"/>
      <c r="F198" s="71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124">
        <f>SUM(B198:N198)</f>
        <v/>
      </c>
    </row>
    <row r="199" outlineLevel="2" ht="15" customHeight="1">
      <c r="A199" s="69" t="inlineStr">
        <is>
          <t xml:space="preserve">      Total Receivables (₹)</t>
        </is>
      </c>
      <c r="B199" s="70">
        <f>IF('Final Calculation Sheet'!$S$27="","",'Final Calculation Sheet'!$S$27)</f>
        <v/>
      </c>
      <c r="C199" s="71" t="n"/>
      <c r="D199" s="71" t="n"/>
      <c r="E199" s="71" t="n"/>
      <c r="F199" s="71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124">
        <f>SUM(B199:N199)</f>
        <v/>
      </c>
    </row>
    <row r="200" outlineLevel="1" ht="16" customHeight="1">
      <c r="A200" s="118" t="inlineStr">
        <is>
          <t xml:space="preserve">  ▸ SECURITY DEPOSIT</t>
        </is>
      </c>
      <c r="B200" s="120" t="n"/>
      <c r="C200" s="120" t="n"/>
      <c r="D200" s="120" t="n"/>
      <c r="E200" s="120" t="n"/>
      <c r="F200" s="120" t="n"/>
      <c r="G200" s="120" t="n"/>
      <c r="H200" s="120" t="n"/>
      <c r="I200" s="120" t="n"/>
      <c r="J200" s="120" t="n"/>
      <c r="K200" s="120" t="n"/>
      <c r="L200" s="120" t="n"/>
      <c r="M200" s="120" t="n"/>
      <c r="N200" s="120" t="n"/>
      <c r="O200" s="120" t="n"/>
    </row>
    <row r="201" outlineLevel="2" ht="15" customHeight="1">
      <c r="A201" s="69" t="inlineStr">
        <is>
          <t xml:space="preserve">      SD Expected (₹)</t>
        </is>
      </c>
      <c r="B201" s="70">
        <f>IF('Final Calculation Sheet'!$T$27="","",'Final Calculation Sheet'!$T$27)</f>
        <v/>
      </c>
      <c r="C201" s="71" t="n"/>
      <c r="D201" s="71" t="n"/>
      <c r="E201" s="71" t="n"/>
      <c r="F201" s="71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124">
        <f>SUM(B201:N201)</f>
        <v/>
      </c>
    </row>
    <row r="202" outlineLevel="2" ht="15" customHeight="1">
      <c r="A202" s="69" t="inlineStr">
        <is>
          <t xml:space="preserve">      SD Received (₹)</t>
        </is>
      </c>
      <c r="B202" s="70">
        <f>IF('Final Calculation Sheet'!$U$27="","",'Final Calculation Sheet'!$U$27)</f>
        <v/>
      </c>
      <c r="C202" s="71" t="n"/>
      <c r="D202" s="71" t="n"/>
      <c r="E202" s="71" t="n"/>
      <c r="F202" s="71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124">
        <f>SUM(B202:N202)</f>
        <v/>
      </c>
    </row>
    <row r="203" outlineLevel="2" ht="15" customHeight="1">
      <c r="A203" s="69" t="inlineStr">
        <is>
          <t xml:space="preserve">      SD Receipt Date</t>
        </is>
      </c>
      <c r="B203" s="76">
        <f>IF('Final Calculation Sheet'!$V$27="","",'Final Calculation Sheet'!$V$27)</f>
        <v/>
      </c>
      <c r="C203" s="71" t="n"/>
      <c r="D203" s="71" t="n"/>
      <c r="E203" s="71" t="n"/>
      <c r="F203" s="71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122" t="inlineStr">
        <is>
          <t>–</t>
        </is>
      </c>
    </row>
    <row r="204" outlineLevel="1" ht="16" customHeight="1">
      <c r="A204" s="118" t="inlineStr">
        <is>
          <t xml:space="preserve">  ▸ FINAL PAYMENT</t>
        </is>
      </c>
      <c r="B204" s="120" t="n"/>
      <c r="C204" s="120" t="n"/>
      <c r="D204" s="120" t="n"/>
      <c r="E204" s="120" t="n"/>
      <c r="F204" s="120" t="n"/>
      <c r="G204" s="120" t="n"/>
      <c r="H204" s="120" t="n"/>
      <c r="I204" s="120" t="n"/>
      <c r="J204" s="120" t="n"/>
      <c r="K204" s="120" t="n"/>
      <c r="L204" s="120" t="n"/>
      <c r="M204" s="120" t="n"/>
      <c r="N204" s="120" t="n"/>
      <c r="O204" s="120" t="n"/>
    </row>
    <row r="205" outlineLevel="2" ht="15" customHeight="1">
      <c r="A205" s="69" t="inlineStr">
        <is>
          <t xml:space="preserve">      FP Expected (₹)</t>
        </is>
      </c>
      <c r="B205" s="70">
        <f>IF('Final Calculation Sheet'!$W$27="","",'Final Calculation Sheet'!$W$27)</f>
        <v/>
      </c>
      <c r="C205" s="71" t="n"/>
      <c r="D205" s="71" t="n"/>
      <c r="E205" s="71" t="n"/>
      <c r="F205" s="71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124">
        <f>SUM(B205:N205)</f>
        <v/>
      </c>
    </row>
    <row r="206" outlineLevel="2" ht="15" customHeight="1">
      <c r="A206" s="69" t="inlineStr">
        <is>
          <t xml:space="preserve">      FP Received (₹)</t>
        </is>
      </c>
      <c r="B206" s="70">
        <f>IF('Final Calculation Sheet'!$X$27="","",'Final Calculation Sheet'!$X$27)</f>
        <v/>
      </c>
      <c r="C206" s="71" t="n"/>
      <c r="D206" s="71" t="n"/>
      <c r="E206" s="71" t="n"/>
      <c r="F206" s="71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124">
        <f>SUM(B206:N206)</f>
        <v/>
      </c>
    </row>
    <row r="207" outlineLevel="2" ht="15" customHeight="1">
      <c r="A207" s="69" t="inlineStr">
        <is>
          <t xml:space="preserve">      FP Receipt Date</t>
        </is>
      </c>
      <c r="B207" s="76">
        <f>IF('Final Calculation Sheet'!$Y$27="","",'Final Calculation Sheet'!$Y$27)</f>
        <v/>
      </c>
      <c r="C207" s="71" t="n"/>
      <c r="D207" s="71" t="n"/>
      <c r="E207" s="71" t="n"/>
      <c r="F207" s="71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122" t="inlineStr">
        <is>
          <t>–</t>
        </is>
      </c>
    </row>
    <row r="208" outlineLevel="1" ht="16" customHeight="1">
      <c r="A208" s="118" t="inlineStr">
        <is>
          <t xml:space="preserve">  ▸ LPP</t>
        </is>
      </c>
      <c r="B208" s="120" t="n"/>
      <c r="C208" s="120" t="n"/>
      <c r="D208" s="120" t="n"/>
      <c r="E208" s="120" t="n"/>
      <c r="F208" s="120" t="n"/>
      <c r="G208" s="120" t="n"/>
      <c r="H208" s="120" t="n"/>
      <c r="I208" s="120" t="n"/>
      <c r="J208" s="120" t="n"/>
      <c r="K208" s="120" t="n"/>
      <c r="L208" s="120" t="n"/>
      <c r="M208" s="120" t="n"/>
      <c r="N208" s="120" t="n"/>
      <c r="O208" s="120" t="n"/>
    </row>
    <row r="209" outlineLevel="2" ht="15" customHeight="1">
      <c r="A209" s="69" t="inlineStr">
        <is>
          <t xml:space="preserve">      LPP Expected (₹)</t>
        </is>
      </c>
      <c r="B209" s="70">
        <f>IF('Final Calculation Sheet'!$Z$27="","",'Final Calculation Sheet'!$Z$27)</f>
        <v/>
      </c>
      <c r="C209" s="71" t="n"/>
      <c r="D209" s="71" t="n"/>
      <c r="E209" s="71" t="n"/>
      <c r="F209" s="71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124">
        <f>SUM(B209:N209)</f>
        <v/>
      </c>
    </row>
    <row r="210" outlineLevel="2" ht="15" customHeight="1">
      <c r="A210" s="69" t="inlineStr">
        <is>
          <t xml:space="preserve">      LPP Received (₹)</t>
        </is>
      </c>
      <c r="B210" s="70">
        <f>IF('Final Calculation Sheet'!$AA$27="","",'Final Calculation Sheet'!$AA$27)</f>
        <v/>
      </c>
      <c r="C210" s="71" t="n"/>
      <c r="D210" s="71" t="n"/>
      <c r="E210" s="71" t="n"/>
      <c r="F210" s="71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124">
        <f>SUM(B210:N210)</f>
        <v/>
      </c>
    </row>
    <row r="211" outlineLevel="2" ht="15" customHeight="1">
      <c r="A211" s="69" t="inlineStr">
        <is>
          <t xml:space="preserve">      LPP Receipt Date</t>
        </is>
      </c>
      <c r="B211" s="76">
        <f>IF('Final Calculation Sheet'!$AB$27="","",'Final Calculation Sheet'!$AB$27)</f>
        <v/>
      </c>
      <c r="C211" s="71" t="n"/>
      <c r="D211" s="71" t="n"/>
      <c r="E211" s="71" t="n"/>
      <c r="F211" s="71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122" t="inlineStr">
        <is>
          <t>–</t>
        </is>
      </c>
    </row>
    <row r="212" outlineLevel="1" ht="16" customHeight="1">
      <c r="A212" s="118" t="inlineStr">
        <is>
          <t xml:space="preserve">  ▸ SUMMARY</t>
        </is>
      </c>
      <c r="B212" s="120" t="n"/>
      <c r="C212" s="120" t="n"/>
      <c r="D212" s="120" t="n"/>
      <c r="E212" s="120" t="n"/>
      <c r="F212" s="120" t="n"/>
      <c r="G212" s="120" t="n"/>
      <c r="H212" s="120" t="n"/>
      <c r="I212" s="120" t="n"/>
      <c r="J212" s="120" t="n"/>
      <c r="K212" s="120" t="n"/>
      <c r="L212" s="120" t="n"/>
      <c r="M212" s="120" t="n"/>
      <c r="N212" s="120" t="n"/>
      <c r="O212" s="120" t="n"/>
    </row>
    <row r="213" outlineLevel="2" ht="15" customHeight="1">
      <c r="A213" s="69" t="inlineStr">
        <is>
          <t xml:space="preserve">      Total Received (₹)</t>
        </is>
      </c>
      <c r="B213" s="70">
        <f>IF('Final Calculation Sheet'!$AC$27="","",'Final Calculation Sheet'!$AC$27)</f>
        <v/>
      </c>
      <c r="C213" s="71" t="n"/>
      <c r="D213" s="71" t="n"/>
      <c r="E213" s="71" t="n"/>
      <c r="F213" s="71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124">
        <f>SUM(B213:N213)</f>
        <v/>
      </c>
    </row>
    <row r="214" outlineLevel="2" ht="15" customHeight="1">
      <c r="A214" s="69" t="inlineStr">
        <is>
          <t xml:space="preserve">      Outstanding (₹)</t>
        </is>
      </c>
      <c r="B214" s="70">
        <f>IF('Final Calculation Sheet'!$AD$27="","",'Final Calculation Sheet'!$AD$27)</f>
        <v/>
      </c>
      <c r="C214" s="71" t="n"/>
      <c r="D214" s="71" t="n"/>
      <c r="E214" s="71" t="n"/>
      <c r="F214" s="71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124">
        <f>SUM(B214:N214)</f>
        <v/>
      </c>
    </row>
    <row r="215" outlineLevel="2" ht="15" customHeight="1">
      <c r="A215" s="69" t="inlineStr">
        <is>
          <t xml:space="preserve">      Payment Status</t>
        </is>
      </c>
      <c r="B215" s="81">
        <f>IF('Final Calculation Sheet'!$AD$27="","",IF('Final Calculation Sheet'!$AD$27&lt;=0,"SETTLED","OUTSTANDING"))</f>
        <v/>
      </c>
      <c r="C215" s="71" t="n"/>
      <c r="D215" s="71" t="n"/>
      <c r="E215" s="71" t="n"/>
      <c r="F215" s="71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122" t="inlineStr">
        <is>
          <t>–</t>
        </is>
      </c>
    </row>
    <row r="216" outlineLevel="1" ht="16" customHeight="1">
      <c r="A216" s="118" t="inlineStr">
        <is>
          <t xml:space="preserve">  ▸ DOCUMENT</t>
        </is>
      </c>
      <c r="B216" s="120" t="n"/>
      <c r="C216" s="120" t="n"/>
      <c r="D216" s="120" t="n"/>
      <c r="E216" s="120" t="n"/>
      <c r="F216" s="120" t="n"/>
      <c r="G216" s="120" t="n"/>
      <c r="H216" s="120" t="n"/>
      <c r="I216" s="120" t="n"/>
      <c r="J216" s="120" t="n"/>
      <c r="K216" s="120" t="n"/>
      <c r="L216" s="120" t="n"/>
      <c r="M216" s="120" t="n"/>
      <c r="N216" s="120" t="n"/>
      <c r="O216" s="120" t="n"/>
    </row>
    <row r="217" outlineLevel="2" ht="15" customHeight="1">
      <c r="A217" s="69" t="inlineStr">
        <is>
          <t xml:space="preserve">      Invoice No.</t>
        </is>
      </c>
      <c r="B217" s="76">
        <f>IF('Final Calculation Sheet'!$AE$27="","",'Final Calculation Sheet'!$AE$27)</f>
        <v/>
      </c>
      <c r="C217" s="71" t="n"/>
      <c r="D217" s="71" t="n"/>
      <c r="E217" s="71" t="n"/>
      <c r="F217" s="71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122" t="inlineStr">
        <is>
          <t>–</t>
        </is>
      </c>
    </row>
    <row r="218" outlineLevel="2" ht="15" customHeight="1">
      <c r="A218" s="69" t="inlineStr">
        <is>
          <t xml:space="preserve">      SAP Document</t>
        </is>
      </c>
      <c r="B218" s="70">
        <f>IF('Final Calculation Sheet'!$AF$27="","",'Final Calculation Sheet'!$AF$27)</f>
        <v/>
      </c>
      <c r="C218" s="71" t="n"/>
      <c r="D218" s="71" t="n"/>
      <c r="E218" s="71" t="n"/>
      <c r="F218" s="71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122" t="inlineStr">
        <is>
          <t>–</t>
        </is>
      </c>
    </row>
    <row r="219" outlineLevel="2" ht="15" customHeight="1">
      <c r="A219" s="69" t="inlineStr">
        <is>
          <t xml:space="preserve">      Doc./Invoice Date</t>
        </is>
      </c>
      <c r="B219" s="76">
        <f>IF('Final Calculation Sheet'!$AG$27="","",'Final Calculation Sheet'!$AG$27)</f>
        <v/>
      </c>
      <c r="C219" s="71" t="n"/>
      <c r="D219" s="71" t="n"/>
      <c r="E219" s="71" t="n"/>
      <c r="F219" s="71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122" t="inlineStr">
        <is>
          <t>–</t>
        </is>
      </c>
    </row>
    <row r="220" ht="7" customHeight="1">
      <c r="A220" s="82" t="n"/>
      <c r="B220" s="82" t="n"/>
      <c r="C220" s="82" t="n"/>
      <c r="D220" s="82" t="n"/>
      <c r="E220" s="82" t="n"/>
      <c r="F220" s="82" t="n"/>
      <c r="G220" s="82" t="n"/>
      <c r="H220" s="82" t="n"/>
      <c r="I220" s="82" t="n"/>
      <c r="J220" s="82" t="n"/>
      <c r="K220" s="82" t="n"/>
      <c r="L220" s="82" t="n"/>
      <c r="M220" s="82" t="n"/>
      <c r="N220" s="82" t="n"/>
      <c r="O220" s="82" t="n"/>
    </row>
    <row r="221" ht="24" customHeight="1">
      <c r="A221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</row>
    <row r="222" outlineLevel="1" ht="18" customHeight="1">
      <c r="A222" s="127" t="inlineStr">
        <is>
          <t xml:space="preserve">   Lot No. →</t>
        </is>
      </c>
      <c r="B222" s="128">
        <f>IF('Final Calculation Sheet'!$F$5="","",'Final Calculation Sheet'!$F$5)</f>
        <v/>
      </c>
      <c r="C222" s="128">
        <f>IF('Final Calculation Sheet'!$F$10="","",'Final Calculation Sheet'!$F$10)</f>
        <v/>
      </c>
      <c r="D222" s="128">
        <f>IF('Final Calculation Sheet'!$F$11="","",'Final Calculation Sheet'!$F$11)</f>
        <v/>
      </c>
      <c r="E222" s="128">
        <f>IF('Final Calculation Sheet'!$F$12="","",'Final Calculation Sheet'!$F$12)</f>
        <v/>
      </c>
      <c r="F222" s="128">
        <f>IF('Final Calculation Sheet'!$F$18="","",'Final Calculation Sheet'!$F$18)</f>
        <v/>
      </c>
      <c r="G222" s="128">
        <f>IF('Final Calculation Sheet'!$F$19="","",'Final Calculation Sheet'!$F$19)</f>
        <v/>
      </c>
      <c r="H222" s="128">
        <f>IF('Final Calculation Sheet'!$F$22="","",'Final Calculation Sheet'!$F$22)</f>
        <v/>
      </c>
      <c r="I222" s="128">
        <f>IF('Final Calculation Sheet'!$F$24="","",'Final Calculation Sheet'!$F$24)</f>
        <v/>
      </c>
      <c r="J222" s="128">
        <f>IF('Final Calculation Sheet'!$F$26="","",'Final Calculation Sheet'!$F$26)</f>
        <v/>
      </c>
      <c r="K222" s="128">
        <f>IF('Final Calculation Sheet'!$F$30="","",'Final Calculation Sheet'!$F$30)</f>
        <v/>
      </c>
      <c r="L222" s="128">
        <f>IF('Final Calculation Sheet'!$F$32="","",'Final Calculation Sheet'!$F$32)</f>
        <v/>
      </c>
      <c r="M222" s="128">
        <f>IF('Final Calculation Sheet'!$F$33="","",'Final Calculation Sheet'!$F$33)</f>
        <v/>
      </c>
      <c r="N222" s="128">
        <f>IF('Final Calculation Sheet'!$F$37="","",'Final Calculation Sheet'!$F$37)</f>
        <v/>
      </c>
      <c r="O222" s="129" t="inlineStr">
        <is>
          <t>TOTAL</t>
        </is>
      </c>
    </row>
    <row r="223" outlineLevel="1" ht="16" customHeight="1">
      <c r="A223" s="127" t="inlineStr">
        <is>
          <t xml:space="preserve">  ▸ LOT INFORMATION</t>
        </is>
      </c>
      <c r="B223" s="130" t="n"/>
      <c r="C223" s="130" t="n"/>
      <c r="D223" s="130" t="n"/>
      <c r="E223" s="130" t="n"/>
      <c r="F223" s="130" t="n"/>
      <c r="G223" s="130" t="n"/>
      <c r="H223" s="130" t="n"/>
      <c r="I223" s="130" t="n"/>
      <c r="J223" s="130" t="n"/>
      <c r="K223" s="130" t="n"/>
      <c r="L223" s="130" t="n"/>
      <c r="M223" s="130" t="n"/>
      <c r="N223" s="130" t="n"/>
      <c r="O223" s="130" t="n"/>
    </row>
    <row r="224" outlineLevel="2" ht="15" customHeight="1">
      <c r="A224" s="69" t="inlineStr">
        <is>
          <t xml:space="preserve">      Lot No.</t>
        </is>
      </c>
      <c r="B224" s="70">
        <f>IF('Final Calculation Sheet'!$F$5="","",'Final Calculation Sheet'!$F$5)</f>
        <v/>
      </c>
      <c r="C224" s="131">
        <f>IF('Final Calculation Sheet'!$F$10="","",'Final Calculation Sheet'!$F$10)</f>
        <v/>
      </c>
      <c r="D224" s="70">
        <f>IF('Final Calculation Sheet'!$F$11="","",'Final Calculation Sheet'!$F$11)</f>
        <v/>
      </c>
      <c r="E224" s="131">
        <f>IF('Final Calculation Sheet'!$F$12="","",'Final Calculation Sheet'!$F$12)</f>
        <v/>
      </c>
      <c r="F224" s="70">
        <f>IF('Final Calculation Sheet'!$F$18="","",'Final Calculation Sheet'!$F$18)</f>
        <v/>
      </c>
      <c r="G224" s="131">
        <f>IF('Final Calculation Sheet'!$F$19="","",'Final Calculation Sheet'!$F$19)</f>
        <v/>
      </c>
      <c r="H224" s="70">
        <f>IF('Final Calculation Sheet'!$F$22="","",'Final Calculation Sheet'!$F$22)</f>
        <v/>
      </c>
      <c r="I224" s="131">
        <f>IF('Final Calculation Sheet'!$F$24="","",'Final Calculation Sheet'!$F$24)</f>
        <v/>
      </c>
      <c r="J224" s="70">
        <f>IF('Final Calculation Sheet'!$F$26="","",'Final Calculation Sheet'!$F$26)</f>
        <v/>
      </c>
      <c r="K224" s="131">
        <f>IF('Final Calculation Sheet'!$F$30="","",'Final Calculation Sheet'!$F$30)</f>
        <v/>
      </c>
      <c r="L224" s="70">
        <f>IF('Final Calculation Sheet'!$F$32="","",'Final Calculation Sheet'!$F$32)</f>
        <v/>
      </c>
      <c r="M224" s="131">
        <f>IF('Final Calculation Sheet'!$F$33="","",'Final Calculation Sheet'!$F$33)</f>
        <v/>
      </c>
      <c r="N224" s="70">
        <f>IF('Final Calculation Sheet'!$F$37="","",'Final Calculation Sheet'!$F$37)</f>
        <v/>
      </c>
      <c r="O224" s="132" t="inlineStr">
        <is>
          <t>–</t>
        </is>
      </c>
    </row>
    <row r="225" outlineLevel="2" ht="60" customHeight="1">
      <c r="A225" s="69" t="inlineStr">
        <is>
          <t xml:space="preserve">      Lot Name</t>
        </is>
      </c>
      <c r="B225" s="73">
        <f>IF('Final Calculation Sheet'!$B$5="","",'Final Calculation Sheet'!$B$5)</f>
        <v/>
      </c>
      <c r="C225" s="133">
        <f>IF('Final Calculation Sheet'!$B$10="","",'Final Calculation Sheet'!$B$10)</f>
        <v/>
      </c>
      <c r="D225" s="73">
        <f>IF('Final Calculation Sheet'!$B$11="","",'Final Calculation Sheet'!$B$11)</f>
        <v/>
      </c>
      <c r="E225" s="133">
        <f>IF('Final Calculation Sheet'!$B$12="","",'Final Calculation Sheet'!$B$12)</f>
        <v/>
      </c>
      <c r="F225" s="73">
        <f>IF('Final Calculation Sheet'!$B$18="","",'Final Calculation Sheet'!$B$18)</f>
        <v/>
      </c>
      <c r="G225" s="133">
        <f>IF('Final Calculation Sheet'!$B$19="","",'Final Calculation Sheet'!$B$19)</f>
        <v/>
      </c>
      <c r="H225" s="73">
        <f>IF('Final Calculation Sheet'!$B$22="","",'Final Calculation Sheet'!$B$22)</f>
        <v/>
      </c>
      <c r="I225" s="133">
        <f>IF('Final Calculation Sheet'!$B$24="","",'Final Calculation Sheet'!$B$24)</f>
        <v/>
      </c>
      <c r="J225" s="73">
        <f>IF('Final Calculation Sheet'!$B$26="","",'Final Calculation Sheet'!$B$26)</f>
        <v/>
      </c>
      <c r="K225" s="133">
        <f>IF('Final Calculation Sheet'!$B$30="","",'Final Calculation Sheet'!$B$30)</f>
        <v/>
      </c>
      <c r="L225" s="73">
        <f>IF('Final Calculation Sheet'!$B$32="","",'Final Calculation Sheet'!$B$32)</f>
        <v/>
      </c>
      <c r="M225" s="133">
        <f>IF('Final Calculation Sheet'!$B$33="","",'Final Calculation Sheet'!$B$33)</f>
        <v/>
      </c>
      <c r="N225" s="73">
        <f>IF('Final Calculation Sheet'!$B$37="","",'Final Calculation Sheet'!$B$37)</f>
        <v/>
      </c>
      <c r="O225" s="132" t="inlineStr">
        <is>
          <t>–</t>
        </is>
      </c>
    </row>
    <row r="226" outlineLevel="2" ht="15" customHeight="1">
      <c r="A226" s="69" t="inlineStr">
        <is>
          <t xml:space="preserve">      Bid Sheet / Auction</t>
        </is>
      </c>
      <c r="B226" s="70">
        <f>IF('Final Calculation Sheet'!$D$5="","",'Final Calculation Sheet'!$D$5)</f>
        <v/>
      </c>
      <c r="C226" s="131">
        <f>IF('Final Calculation Sheet'!$D$10="","",'Final Calculation Sheet'!$D$10)</f>
        <v/>
      </c>
      <c r="D226" s="70">
        <f>IF('Final Calculation Sheet'!$D$11="","",'Final Calculation Sheet'!$D$11)</f>
        <v/>
      </c>
      <c r="E226" s="131">
        <f>IF('Final Calculation Sheet'!$D$12="","",'Final Calculation Sheet'!$D$12)</f>
        <v/>
      </c>
      <c r="F226" s="70">
        <f>IF('Final Calculation Sheet'!$D$18="","",'Final Calculation Sheet'!$D$18)</f>
        <v/>
      </c>
      <c r="G226" s="131">
        <f>IF('Final Calculation Sheet'!$D$19="","",'Final Calculation Sheet'!$D$19)</f>
        <v/>
      </c>
      <c r="H226" s="70">
        <f>IF('Final Calculation Sheet'!$D$22="","",'Final Calculation Sheet'!$D$22)</f>
        <v/>
      </c>
      <c r="I226" s="131">
        <f>IF('Final Calculation Sheet'!$D$24="","",'Final Calculation Sheet'!$D$24)</f>
        <v/>
      </c>
      <c r="J226" s="70">
        <f>IF('Final Calculation Sheet'!$D$26="","",'Final Calculation Sheet'!$D$26)</f>
        <v/>
      </c>
      <c r="K226" s="131">
        <f>IF('Final Calculation Sheet'!$D$30="","",'Final Calculation Sheet'!$D$30)</f>
        <v/>
      </c>
      <c r="L226" s="70">
        <f>IF('Final Calculation Sheet'!$D$32="","",'Final Calculation Sheet'!$D$32)</f>
        <v/>
      </c>
      <c r="M226" s="131">
        <f>IF('Final Calculation Sheet'!$D$33="","",'Final Calculation Sheet'!$D$33)</f>
        <v/>
      </c>
      <c r="N226" s="70">
        <f>IF('Final Calculation Sheet'!$D$37="","",'Final Calculation Sheet'!$D$37)</f>
        <v/>
      </c>
      <c r="O226" s="132" t="inlineStr">
        <is>
          <t>–</t>
        </is>
      </c>
    </row>
    <row r="227" outlineLevel="2" ht="15" customHeight="1">
      <c r="A227" s="69" t="inlineStr">
        <is>
          <t xml:space="preserve">      Quantity</t>
        </is>
      </c>
      <c r="B227" s="74">
        <f>IF('Final Calculation Sheet'!$A$5="","",'Final Calculation Sheet'!$A$5)</f>
        <v/>
      </c>
      <c r="C227" s="134">
        <f>IF('Final Calculation Sheet'!$A$10="","",'Final Calculation Sheet'!$A$10)</f>
        <v/>
      </c>
      <c r="D227" s="74">
        <f>IF('Final Calculation Sheet'!$A$11="","",'Final Calculation Sheet'!$A$11)</f>
        <v/>
      </c>
      <c r="E227" s="134">
        <f>IF('Final Calculation Sheet'!$A$12="","",'Final Calculation Sheet'!$A$12)</f>
        <v/>
      </c>
      <c r="F227" s="74">
        <f>IF('Final Calculation Sheet'!$A$18="","",'Final Calculation Sheet'!$A$18)</f>
        <v/>
      </c>
      <c r="G227" s="134">
        <f>IF('Final Calculation Sheet'!$A$19="","",'Final Calculation Sheet'!$A$19)</f>
        <v/>
      </c>
      <c r="H227" s="74">
        <f>IF('Final Calculation Sheet'!$A$22="","",'Final Calculation Sheet'!$A$22)</f>
        <v/>
      </c>
      <c r="I227" s="134">
        <f>IF('Final Calculation Sheet'!$A$24="","",'Final Calculation Sheet'!$A$24)</f>
        <v/>
      </c>
      <c r="J227" s="74">
        <f>IF('Final Calculation Sheet'!$A$26="","",'Final Calculation Sheet'!$A$26)</f>
        <v/>
      </c>
      <c r="K227" s="134">
        <f>IF('Final Calculation Sheet'!$A$30="","",'Final Calculation Sheet'!$A$30)</f>
        <v/>
      </c>
      <c r="L227" s="74">
        <f>IF('Final Calculation Sheet'!$A$32="","",'Final Calculation Sheet'!$A$32)</f>
        <v/>
      </c>
      <c r="M227" s="134">
        <f>IF('Final Calculation Sheet'!$A$33="","",'Final Calculation Sheet'!$A$33)</f>
        <v/>
      </c>
      <c r="N227" s="74">
        <f>IF('Final Calculation Sheet'!$A$37="","",'Final Calculation Sheet'!$A$37)</f>
        <v/>
      </c>
      <c r="O227" s="135">
        <f>SUM(B227:N227)</f>
        <v/>
      </c>
    </row>
    <row r="228" outlineLevel="2" ht="15" customHeight="1">
      <c r="A228" s="69" t="inlineStr">
        <is>
          <t xml:space="preserve">      Unit</t>
        </is>
      </c>
      <c r="B228" s="76">
        <f>IF('Final Calculation Sheet'!$E$5="","",'Final Calculation Sheet'!$E$5)</f>
        <v/>
      </c>
      <c r="C228" s="136">
        <f>IF('Final Calculation Sheet'!$E$10="","",'Final Calculation Sheet'!$E$10)</f>
        <v/>
      </c>
      <c r="D228" s="76">
        <f>IF('Final Calculation Sheet'!$E$11="","",'Final Calculation Sheet'!$E$11)</f>
        <v/>
      </c>
      <c r="E228" s="136">
        <f>IF('Final Calculation Sheet'!$E$12="","",'Final Calculation Sheet'!$E$12)</f>
        <v/>
      </c>
      <c r="F228" s="76">
        <f>IF('Final Calculation Sheet'!$E$18="","",'Final Calculation Sheet'!$E$18)</f>
        <v/>
      </c>
      <c r="G228" s="136">
        <f>IF('Final Calculation Sheet'!$E$19="","",'Final Calculation Sheet'!$E$19)</f>
        <v/>
      </c>
      <c r="H228" s="76">
        <f>IF('Final Calculation Sheet'!$E$22="","",'Final Calculation Sheet'!$E$22)</f>
        <v/>
      </c>
      <c r="I228" s="136">
        <f>IF('Final Calculation Sheet'!$E$24="","",'Final Calculation Sheet'!$E$24)</f>
        <v/>
      </c>
      <c r="J228" s="76">
        <f>IF('Final Calculation Sheet'!$E$26="","",'Final Calculation Sheet'!$E$26)</f>
        <v/>
      </c>
      <c r="K228" s="136">
        <f>IF('Final Calculation Sheet'!$E$30="","",'Final Calculation Sheet'!$E$30)</f>
        <v/>
      </c>
      <c r="L228" s="76">
        <f>IF('Final Calculation Sheet'!$E$32="","",'Final Calculation Sheet'!$E$32)</f>
        <v/>
      </c>
      <c r="M228" s="136">
        <f>IF('Final Calculation Sheet'!$E$33="","",'Final Calculation Sheet'!$E$33)</f>
        <v/>
      </c>
      <c r="N228" s="76">
        <f>IF('Final Calculation Sheet'!$E$37="","",'Final Calculation Sheet'!$E$37)</f>
        <v/>
      </c>
      <c r="O228" s="132" t="inlineStr">
        <is>
          <t>–</t>
        </is>
      </c>
    </row>
    <row r="229" outlineLevel="2" ht="15" customHeight="1">
      <c r="A229" s="69" t="inlineStr">
        <is>
          <t xml:space="preserve">      Rate (₹)</t>
        </is>
      </c>
      <c r="B229" s="70">
        <f>IF('Final Calculation Sheet'!$C$5="","",'Final Calculation Sheet'!$C$5)</f>
        <v/>
      </c>
      <c r="C229" s="131">
        <f>IF('Final Calculation Sheet'!$C$10="","",'Final Calculation Sheet'!$C$10)</f>
        <v/>
      </c>
      <c r="D229" s="70">
        <f>IF('Final Calculation Sheet'!$C$11="","",'Final Calculation Sheet'!$C$11)</f>
        <v/>
      </c>
      <c r="E229" s="131">
        <f>IF('Final Calculation Sheet'!$C$12="","",'Final Calculation Sheet'!$C$12)</f>
        <v/>
      </c>
      <c r="F229" s="70">
        <f>IF('Final Calculation Sheet'!$C$18="","",'Final Calculation Sheet'!$C$18)</f>
        <v/>
      </c>
      <c r="G229" s="131">
        <f>IF('Final Calculation Sheet'!$C$19="","",'Final Calculation Sheet'!$C$19)</f>
        <v/>
      </c>
      <c r="H229" s="70">
        <f>IF('Final Calculation Sheet'!$C$22="","",'Final Calculation Sheet'!$C$22)</f>
        <v/>
      </c>
      <c r="I229" s="131">
        <f>IF('Final Calculation Sheet'!$C$24="","",'Final Calculation Sheet'!$C$24)</f>
        <v/>
      </c>
      <c r="J229" s="70">
        <f>IF('Final Calculation Sheet'!$C$26="","",'Final Calculation Sheet'!$C$26)</f>
        <v/>
      </c>
      <c r="K229" s="131">
        <f>IF('Final Calculation Sheet'!$C$30="","",'Final Calculation Sheet'!$C$30)</f>
        <v/>
      </c>
      <c r="L229" s="70">
        <f>IF('Final Calculation Sheet'!$C$32="","",'Final Calculation Sheet'!$C$32)</f>
        <v/>
      </c>
      <c r="M229" s="131">
        <f>IF('Final Calculation Sheet'!$C$33="","",'Final Calculation Sheet'!$C$33)</f>
        <v/>
      </c>
      <c r="N229" s="70">
        <f>IF('Final Calculation Sheet'!$C$37="","",'Final Calculation Sheet'!$C$37)</f>
        <v/>
      </c>
      <c r="O229" s="132" t="inlineStr">
        <is>
          <t>–</t>
        </is>
      </c>
    </row>
    <row r="230" outlineLevel="1" ht="16" customHeight="1">
      <c r="A230" s="127" t="inlineStr">
        <is>
          <t xml:space="preserve">  ▸ FINANCIALS</t>
        </is>
      </c>
      <c r="B230" s="130" t="n"/>
      <c r="C230" s="130" t="n"/>
      <c r="D230" s="130" t="n"/>
      <c r="E230" s="130" t="n"/>
      <c r="F230" s="130" t="n"/>
      <c r="G230" s="130" t="n"/>
      <c r="H230" s="130" t="n"/>
      <c r="I230" s="130" t="n"/>
      <c r="J230" s="130" t="n"/>
      <c r="K230" s="130" t="n"/>
      <c r="L230" s="130" t="n"/>
      <c r="M230" s="130" t="n"/>
      <c r="N230" s="130" t="n"/>
      <c r="O230" s="130" t="n"/>
    </row>
    <row r="231" outlineLevel="2" ht="15" customHeight="1">
      <c r="A231" s="69" t="inlineStr">
        <is>
          <t xml:space="preserve">      Mat. Value (₹)</t>
        </is>
      </c>
      <c r="B231" s="70">
        <f>IF('Final Calculation Sheet'!$H$5="","",'Final Calculation Sheet'!$H$5)</f>
        <v/>
      </c>
      <c r="C231" s="131">
        <f>IF('Final Calculation Sheet'!$H$10="","",'Final Calculation Sheet'!$H$10)</f>
        <v/>
      </c>
      <c r="D231" s="70">
        <f>IF('Final Calculation Sheet'!$H$11="","",'Final Calculation Sheet'!$H$11)</f>
        <v/>
      </c>
      <c r="E231" s="131">
        <f>IF('Final Calculation Sheet'!$H$12="","",'Final Calculation Sheet'!$H$12)</f>
        <v/>
      </c>
      <c r="F231" s="70">
        <f>IF('Final Calculation Sheet'!$H$18="","",'Final Calculation Sheet'!$H$18)</f>
        <v/>
      </c>
      <c r="G231" s="131">
        <f>IF('Final Calculation Sheet'!$H$19="","",'Final Calculation Sheet'!$H$19)</f>
        <v/>
      </c>
      <c r="H231" s="70">
        <f>IF('Final Calculation Sheet'!$H$22="","",'Final Calculation Sheet'!$H$22)</f>
        <v/>
      </c>
      <c r="I231" s="131">
        <f>IF('Final Calculation Sheet'!$H$24="","",'Final Calculation Sheet'!$H$24)</f>
        <v/>
      </c>
      <c r="J231" s="70">
        <f>IF('Final Calculation Sheet'!$H$26="","",'Final Calculation Sheet'!$H$26)</f>
        <v/>
      </c>
      <c r="K231" s="131">
        <f>IF('Final Calculation Sheet'!$H$30="","",'Final Calculation Sheet'!$H$30)</f>
        <v/>
      </c>
      <c r="L231" s="70">
        <f>IF('Final Calculation Sheet'!$H$32="","",'Final Calculation Sheet'!$H$32)</f>
        <v/>
      </c>
      <c r="M231" s="131">
        <f>IF('Final Calculation Sheet'!$H$33="","",'Final Calculation Sheet'!$H$33)</f>
        <v/>
      </c>
      <c r="N231" s="70">
        <f>IF('Final Calculation Sheet'!$H$37="","",'Final Calculation Sheet'!$H$37)</f>
        <v/>
      </c>
      <c r="O231" s="137">
        <f>SUM(B231:N231)</f>
        <v/>
      </c>
    </row>
    <row r="232" outlineLevel="2" ht="15" customHeight="1">
      <c r="A232" s="69" t="inlineStr">
        <is>
          <t xml:space="preserve">      GST @ 18% (₹)</t>
        </is>
      </c>
      <c r="B232" s="70">
        <f>IF('Final Calculation Sheet'!$I$5="","",'Final Calculation Sheet'!$I$5)</f>
        <v/>
      </c>
      <c r="C232" s="131">
        <f>IF('Final Calculation Sheet'!$I$10="","",'Final Calculation Sheet'!$I$10)</f>
        <v/>
      </c>
      <c r="D232" s="70">
        <f>IF('Final Calculation Sheet'!$I$11="","",'Final Calculation Sheet'!$I$11)</f>
        <v/>
      </c>
      <c r="E232" s="131">
        <f>IF('Final Calculation Sheet'!$I$12="","",'Final Calculation Sheet'!$I$12)</f>
        <v/>
      </c>
      <c r="F232" s="70">
        <f>IF('Final Calculation Sheet'!$I$18="","",'Final Calculation Sheet'!$I$18)</f>
        <v/>
      </c>
      <c r="G232" s="131">
        <f>IF('Final Calculation Sheet'!$I$19="","",'Final Calculation Sheet'!$I$19)</f>
        <v/>
      </c>
      <c r="H232" s="70">
        <f>IF('Final Calculation Sheet'!$I$22="","",'Final Calculation Sheet'!$I$22)</f>
        <v/>
      </c>
      <c r="I232" s="131">
        <f>IF('Final Calculation Sheet'!$I$24="","",'Final Calculation Sheet'!$I$24)</f>
        <v/>
      </c>
      <c r="J232" s="70">
        <f>IF('Final Calculation Sheet'!$I$26="","",'Final Calculation Sheet'!$I$26)</f>
        <v/>
      </c>
      <c r="K232" s="131">
        <f>IF('Final Calculation Sheet'!$I$30="","",'Final Calculation Sheet'!$I$30)</f>
        <v/>
      </c>
      <c r="L232" s="70">
        <f>IF('Final Calculation Sheet'!$I$32="","",'Final Calculation Sheet'!$I$32)</f>
        <v/>
      </c>
      <c r="M232" s="131">
        <f>IF('Final Calculation Sheet'!$I$33="","",'Final Calculation Sheet'!$I$33)</f>
        <v/>
      </c>
      <c r="N232" s="70">
        <f>IF('Final Calculation Sheet'!$I$37="","",'Final Calculation Sheet'!$I$37)</f>
        <v/>
      </c>
      <c r="O232" s="137">
        <f>SUM(B232:N232)</f>
        <v/>
      </c>
    </row>
    <row r="233" outlineLevel="2" ht="15" customHeight="1">
      <c r="A233" s="69" t="inlineStr">
        <is>
          <t xml:space="preserve">      Mat. Value + GST (₹)</t>
        </is>
      </c>
      <c r="B233" s="70">
        <f>IF('Final Calculation Sheet'!$J$5="","",'Final Calculation Sheet'!$J$5)</f>
        <v/>
      </c>
      <c r="C233" s="131">
        <f>IF('Final Calculation Sheet'!$J$10="","",'Final Calculation Sheet'!$J$10)</f>
        <v/>
      </c>
      <c r="D233" s="70">
        <f>IF('Final Calculation Sheet'!$J$11="","",'Final Calculation Sheet'!$J$11)</f>
        <v/>
      </c>
      <c r="E233" s="131">
        <f>IF('Final Calculation Sheet'!$J$12="","",'Final Calculation Sheet'!$J$12)</f>
        <v/>
      </c>
      <c r="F233" s="70">
        <f>IF('Final Calculation Sheet'!$J$18="","",'Final Calculation Sheet'!$J$18)</f>
        <v/>
      </c>
      <c r="G233" s="131">
        <f>IF('Final Calculation Sheet'!$J$19="","",'Final Calculation Sheet'!$J$19)</f>
        <v/>
      </c>
      <c r="H233" s="70">
        <f>IF('Final Calculation Sheet'!$J$22="","",'Final Calculation Sheet'!$J$22)</f>
        <v/>
      </c>
      <c r="I233" s="131">
        <f>IF('Final Calculation Sheet'!$J$24="","",'Final Calculation Sheet'!$J$24)</f>
        <v/>
      </c>
      <c r="J233" s="70">
        <f>IF('Final Calculation Sheet'!$J$26="","",'Final Calculation Sheet'!$J$26)</f>
        <v/>
      </c>
      <c r="K233" s="131">
        <f>IF('Final Calculation Sheet'!$J$30="","",'Final Calculation Sheet'!$J$30)</f>
        <v/>
      </c>
      <c r="L233" s="70">
        <f>IF('Final Calculation Sheet'!$J$32="","",'Final Calculation Sheet'!$J$32)</f>
        <v/>
      </c>
      <c r="M233" s="131">
        <f>IF('Final Calculation Sheet'!$J$33="","",'Final Calculation Sheet'!$J$33)</f>
        <v/>
      </c>
      <c r="N233" s="70">
        <f>IF('Final Calculation Sheet'!$J$37="","",'Final Calculation Sheet'!$J$37)</f>
        <v/>
      </c>
      <c r="O233" s="137">
        <f>SUM(B233:N233)</f>
        <v/>
      </c>
    </row>
    <row r="234" outlineLevel="2" ht="15" customHeight="1">
      <c r="A234" s="69" t="inlineStr">
        <is>
          <t xml:space="preserve">      TCS @ 2% (₹)</t>
        </is>
      </c>
      <c r="B234" s="70">
        <f>IF('Final Calculation Sheet'!$K$5="","",'Final Calculation Sheet'!$K$5)</f>
        <v/>
      </c>
      <c r="C234" s="131">
        <f>IF('Final Calculation Sheet'!$K$10="","",'Final Calculation Sheet'!$K$10)</f>
        <v/>
      </c>
      <c r="D234" s="70">
        <f>IF('Final Calculation Sheet'!$K$11="","",'Final Calculation Sheet'!$K$11)</f>
        <v/>
      </c>
      <c r="E234" s="131">
        <f>IF('Final Calculation Sheet'!$K$12="","",'Final Calculation Sheet'!$K$12)</f>
        <v/>
      </c>
      <c r="F234" s="70">
        <f>IF('Final Calculation Sheet'!$K$18="","",'Final Calculation Sheet'!$K$18)</f>
        <v/>
      </c>
      <c r="G234" s="131">
        <f>IF('Final Calculation Sheet'!$K$19="","",'Final Calculation Sheet'!$K$19)</f>
        <v/>
      </c>
      <c r="H234" s="70">
        <f>IF('Final Calculation Sheet'!$K$22="","",'Final Calculation Sheet'!$K$22)</f>
        <v/>
      </c>
      <c r="I234" s="131">
        <f>IF('Final Calculation Sheet'!$K$24="","",'Final Calculation Sheet'!$K$24)</f>
        <v/>
      </c>
      <c r="J234" s="70">
        <f>IF('Final Calculation Sheet'!$K$26="","",'Final Calculation Sheet'!$K$26)</f>
        <v/>
      </c>
      <c r="K234" s="131">
        <f>IF('Final Calculation Sheet'!$K$30="","",'Final Calculation Sheet'!$K$30)</f>
        <v/>
      </c>
      <c r="L234" s="70">
        <f>IF('Final Calculation Sheet'!$K$32="","",'Final Calculation Sheet'!$K$32)</f>
        <v/>
      </c>
      <c r="M234" s="131">
        <f>IF('Final Calculation Sheet'!$K$33="","",'Final Calculation Sheet'!$K$33)</f>
        <v/>
      </c>
      <c r="N234" s="70">
        <f>IF('Final Calculation Sheet'!$K$37="","",'Final Calculation Sheet'!$K$37)</f>
        <v/>
      </c>
      <c r="O234" s="137">
        <f>SUM(B234:N234)</f>
        <v/>
      </c>
    </row>
    <row r="235" outlineLevel="2" ht="15" customHeight="1">
      <c r="A235" s="69" t="inlineStr">
        <is>
          <t xml:space="preserve">      TDS u/s 194(O) (₹)</t>
        </is>
      </c>
      <c r="B235" s="78">
        <f>IF('Final Calculation Sheet'!$L$5="","",'Final Calculation Sheet'!$L$5)</f>
        <v/>
      </c>
      <c r="C235" s="138">
        <f>IF('Final Calculation Sheet'!$L$10="","",'Final Calculation Sheet'!$L$10)</f>
        <v/>
      </c>
      <c r="D235" s="78">
        <f>IF('Final Calculation Sheet'!$L$11="","",'Final Calculation Sheet'!$L$11)</f>
        <v/>
      </c>
      <c r="E235" s="138">
        <f>IF('Final Calculation Sheet'!$L$12="","",'Final Calculation Sheet'!$L$12)</f>
        <v/>
      </c>
      <c r="F235" s="78">
        <f>IF('Final Calculation Sheet'!$L$18="","",'Final Calculation Sheet'!$L$18)</f>
        <v/>
      </c>
      <c r="G235" s="138">
        <f>IF('Final Calculation Sheet'!$L$19="","",'Final Calculation Sheet'!$L$19)</f>
        <v/>
      </c>
      <c r="H235" s="78">
        <f>IF('Final Calculation Sheet'!$L$22="","",'Final Calculation Sheet'!$L$22)</f>
        <v/>
      </c>
      <c r="I235" s="138">
        <f>IF('Final Calculation Sheet'!$L$24="","",'Final Calculation Sheet'!$L$24)</f>
        <v/>
      </c>
      <c r="J235" s="78">
        <f>IF('Final Calculation Sheet'!$L$26="","",'Final Calculation Sheet'!$L$26)</f>
        <v/>
      </c>
      <c r="K235" s="138">
        <f>IF('Final Calculation Sheet'!$L$30="","",'Final Calculation Sheet'!$L$30)</f>
        <v/>
      </c>
      <c r="L235" s="78">
        <f>IF('Final Calculation Sheet'!$L$32="","",'Final Calculation Sheet'!$L$32)</f>
        <v/>
      </c>
      <c r="M235" s="138">
        <f>IF('Final Calculation Sheet'!$L$33="","",'Final Calculation Sheet'!$L$33)</f>
        <v/>
      </c>
      <c r="N235" s="78">
        <f>IF('Final Calculation Sheet'!$L$37="","",'Final Calculation Sheet'!$L$37)</f>
        <v/>
      </c>
      <c r="O235" s="139">
        <f>SUM(B235:N235)</f>
        <v/>
      </c>
    </row>
    <row r="236" outlineLevel="2" ht="15" customHeight="1">
      <c r="A236" s="69" t="inlineStr">
        <is>
          <t xml:space="preserve">      Service Charge gross (₹)</t>
        </is>
      </c>
      <c r="B236" s="78">
        <f>IF('Final Calculation Sheet'!$M$5="","",'Final Calculation Sheet'!$M$5)</f>
        <v/>
      </c>
      <c r="C236" s="138">
        <f>IF('Final Calculation Sheet'!$M$10="","",'Final Calculation Sheet'!$M$10)</f>
        <v/>
      </c>
      <c r="D236" s="78">
        <f>IF('Final Calculation Sheet'!$M$11="","",'Final Calculation Sheet'!$M$11)</f>
        <v/>
      </c>
      <c r="E236" s="138">
        <f>IF('Final Calculation Sheet'!$M$12="","",'Final Calculation Sheet'!$M$12)</f>
        <v/>
      </c>
      <c r="F236" s="78">
        <f>IF('Final Calculation Sheet'!$M$18="","",'Final Calculation Sheet'!$M$18)</f>
        <v/>
      </c>
      <c r="G236" s="138">
        <f>IF('Final Calculation Sheet'!$M$19="","",'Final Calculation Sheet'!$M$19)</f>
        <v/>
      </c>
      <c r="H236" s="78">
        <f>IF('Final Calculation Sheet'!$M$22="","",'Final Calculation Sheet'!$M$22)</f>
        <v/>
      </c>
      <c r="I236" s="138">
        <f>IF('Final Calculation Sheet'!$M$24="","",'Final Calculation Sheet'!$M$24)</f>
        <v/>
      </c>
      <c r="J236" s="78">
        <f>IF('Final Calculation Sheet'!$M$26="","",'Final Calculation Sheet'!$M$26)</f>
        <v/>
      </c>
      <c r="K236" s="138">
        <f>IF('Final Calculation Sheet'!$M$30="","",'Final Calculation Sheet'!$M$30)</f>
        <v/>
      </c>
      <c r="L236" s="78">
        <f>IF('Final Calculation Sheet'!$M$32="","",'Final Calculation Sheet'!$M$32)</f>
        <v/>
      </c>
      <c r="M236" s="138">
        <f>IF('Final Calculation Sheet'!$M$33="","",'Final Calculation Sheet'!$M$33)</f>
        <v/>
      </c>
      <c r="N236" s="78">
        <f>IF('Final Calculation Sheet'!$M$37="","",'Final Calculation Sheet'!$M$37)</f>
        <v/>
      </c>
      <c r="O236" s="139">
        <f>SUM(B236:N236)</f>
        <v/>
      </c>
    </row>
    <row r="237" outlineLevel="2" ht="15" customHeight="1">
      <c r="A237" s="69" t="inlineStr">
        <is>
          <t xml:space="preserve">      TDS u/s 194(H) (₹)</t>
        </is>
      </c>
      <c r="B237" s="78">
        <f>IF('Final Calculation Sheet'!$N$5="","",'Final Calculation Sheet'!$N$5)</f>
        <v/>
      </c>
      <c r="C237" s="138">
        <f>IF('Final Calculation Sheet'!$N$10="","",'Final Calculation Sheet'!$N$10)</f>
        <v/>
      </c>
      <c r="D237" s="78">
        <f>IF('Final Calculation Sheet'!$N$11="","",'Final Calculation Sheet'!$N$11)</f>
        <v/>
      </c>
      <c r="E237" s="138">
        <f>IF('Final Calculation Sheet'!$N$12="","",'Final Calculation Sheet'!$N$12)</f>
        <v/>
      </c>
      <c r="F237" s="78">
        <f>IF('Final Calculation Sheet'!$N$18="","",'Final Calculation Sheet'!$N$18)</f>
        <v/>
      </c>
      <c r="G237" s="138">
        <f>IF('Final Calculation Sheet'!$N$19="","",'Final Calculation Sheet'!$N$19)</f>
        <v/>
      </c>
      <c r="H237" s="78">
        <f>IF('Final Calculation Sheet'!$N$22="","",'Final Calculation Sheet'!$N$22)</f>
        <v/>
      </c>
      <c r="I237" s="138">
        <f>IF('Final Calculation Sheet'!$N$24="","",'Final Calculation Sheet'!$N$24)</f>
        <v/>
      </c>
      <c r="J237" s="78">
        <f>IF('Final Calculation Sheet'!$N$26="","",'Final Calculation Sheet'!$N$26)</f>
        <v/>
      </c>
      <c r="K237" s="138">
        <f>IF('Final Calculation Sheet'!$N$30="","",'Final Calculation Sheet'!$N$30)</f>
        <v/>
      </c>
      <c r="L237" s="78">
        <f>IF('Final Calculation Sheet'!$N$32="","",'Final Calculation Sheet'!$N$32)</f>
        <v/>
      </c>
      <c r="M237" s="138">
        <f>IF('Final Calculation Sheet'!$N$33="","",'Final Calculation Sheet'!$N$33)</f>
        <v/>
      </c>
      <c r="N237" s="78">
        <f>IF('Final Calculation Sheet'!$N$37="","",'Final Calculation Sheet'!$N$37)</f>
        <v/>
      </c>
      <c r="O237" s="139">
        <f>SUM(B237:N237)</f>
        <v/>
      </c>
    </row>
    <row r="238" outlineLevel="2" ht="15" customHeight="1">
      <c r="A238" s="69" t="inlineStr">
        <is>
          <t xml:space="preserve">      Net Service Charge (₹)</t>
        </is>
      </c>
      <c r="B238" s="78">
        <f>IF('Final Calculation Sheet'!$O$5="","",'Final Calculation Sheet'!$O$5)</f>
        <v/>
      </c>
      <c r="C238" s="138">
        <f>IF('Final Calculation Sheet'!$O$10="","",'Final Calculation Sheet'!$O$10)</f>
        <v/>
      </c>
      <c r="D238" s="78">
        <f>IF('Final Calculation Sheet'!$O$11="","",'Final Calculation Sheet'!$O$11)</f>
        <v/>
      </c>
      <c r="E238" s="138">
        <f>IF('Final Calculation Sheet'!$O$12="","",'Final Calculation Sheet'!$O$12)</f>
        <v/>
      </c>
      <c r="F238" s="78">
        <f>IF('Final Calculation Sheet'!$O$18="","",'Final Calculation Sheet'!$O$18)</f>
        <v/>
      </c>
      <c r="G238" s="138">
        <f>IF('Final Calculation Sheet'!$O$19="","",'Final Calculation Sheet'!$O$19)</f>
        <v/>
      </c>
      <c r="H238" s="78">
        <f>IF('Final Calculation Sheet'!$O$22="","",'Final Calculation Sheet'!$O$22)</f>
        <v/>
      </c>
      <c r="I238" s="138">
        <f>IF('Final Calculation Sheet'!$O$24="","",'Final Calculation Sheet'!$O$24)</f>
        <v/>
      </c>
      <c r="J238" s="78">
        <f>IF('Final Calculation Sheet'!$O$26="","",'Final Calculation Sheet'!$O$26)</f>
        <v/>
      </c>
      <c r="K238" s="138">
        <f>IF('Final Calculation Sheet'!$O$30="","",'Final Calculation Sheet'!$O$30)</f>
        <v/>
      </c>
      <c r="L238" s="78">
        <f>IF('Final Calculation Sheet'!$O$32="","",'Final Calculation Sheet'!$O$32)</f>
        <v/>
      </c>
      <c r="M238" s="138">
        <f>IF('Final Calculation Sheet'!$O$33="","",'Final Calculation Sheet'!$O$33)</f>
        <v/>
      </c>
      <c r="N238" s="78">
        <f>IF('Final Calculation Sheet'!$O$37="","",'Final Calculation Sheet'!$O$37)</f>
        <v/>
      </c>
      <c r="O238" s="139">
        <f>SUM(B238:N238)</f>
        <v/>
      </c>
    </row>
    <row r="239" outlineLevel="2" ht="15" customHeight="1">
      <c r="A239" s="69" t="inlineStr">
        <is>
          <t xml:space="preserve">      Svc Charge to MSTC (₹)</t>
        </is>
      </c>
      <c r="B239" s="70">
        <f>IF('Final Calculation Sheet'!$P$5="","",'Final Calculation Sheet'!$P$5)</f>
        <v/>
      </c>
      <c r="C239" s="131">
        <f>IF('Final Calculation Sheet'!$P$10="","",'Final Calculation Sheet'!$P$10)</f>
        <v/>
      </c>
      <c r="D239" s="70">
        <f>IF('Final Calculation Sheet'!$P$11="","",'Final Calculation Sheet'!$P$11)</f>
        <v/>
      </c>
      <c r="E239" s="131">
        <f>IF('Final Calculation Sheet'!$P$12="","",'Final Calculation Sheet'!$P$12)</f>
        <v/>
      </c>
      <c r="F239" s="70">
        <f>IF('Final Calculation Sheet'!$P$18="","",'Final Calculation Sheet'!$P$18)</f>
        <v/>
      </c>
      <c r="G239" s="131">
        <f>IF('Final Calculation Sheet'!$P$19="","",'Final Calculation Sheet'!$P$19)</f>
        <v/>
      </c>
      <c r="H239" s="70">
        <f>IF('Final Calculation Sheet'!$P$22="","",'Final Calculation Sheet'!$P$22)</f>
        <v/>
      </c>
      <c r="I239" s="131">
        <f>IF('Final Calculation Sheet'!$P$24="","",'Final Calculation Sheet'!$P$24)</f>
        <v/>
      </c>
      <c r="J239" s="70">
        <f>IF('Final Calculation Sheet'!$P$26="","",'Final Calculation Sheet'!$P$26)</f>
        <v/>
      </c>
      <c r="K239" s="131">
        <f>IF('Final Calculation Sheet'!$P$30="","",'Final Calculation Sheet'!$P$30)</f>
        <v/>
      </c>
      <c r="L239" s="70">
        <f>IF('Final Calculation Sheet'!$P$32="","",'Final Calculation Sheet'!$P$32)</f>
        <v/>
      </c>
      <c r="M239" s="131">
        <f>IF('Final Calculation Sheet'!$P$33="","",'Final Calculation Sheet'!$P$33)</f>
        <v/>
      </c>
      <c r="N239" s="70">
        <f>IF('Final Calculation Sheet'!$P$37="","",'Final Calculation Sheet'!$P$37)</f>
        <v/>
      </c>
      <c r="O239" s="137">
        <f>SUM(B239:N239)</f>
        <v/>
      </c>
    </row>
    <row r="240" outlineLevel="2" ht="15" customHeight="1">
      <c r="A240" s="69" t="inlineStr">
        <is>
          <t xml:space="preserve">      GST TDS Rate</t>
        </is>
      </c>
      <c r="B240" s="80">
        <f>IF('Final Calculation Sheet'!$Q$5="","",'Final Calculation Sheet'!$Q$5)</f>
        <v/>
      </c>
      <c r="C240" s="140">
        <f>IF('Final Calculation Sheet'!$Q$10="","",'Final Calculation Sheet'!$Q$10)</f>
        <v/>
      </c>
      <c r="D240" s="80">
        <f>IF('Final Calculation Sheet'!$Q$11="","",'Final Calculation Sheet'!$Q$11)</f>
        <v/>
      </c>
      <c r="E240" s="140">
        <f>IF('Final Calculation Sheet'!$Q$12="","",'Final Calculation Sheet'!$Q$12)</f>
        <v/>
      </c>
      <c r="F240" s="80">
        <f>IF('Final Calculation Sheet'!$Q$18="","",'Final Calculation Sheet'!$Q$18)</f>
        <v/>
      </c>
      <c r="G240" s="140">
        <f>IF('Final Calculation Sheet'!$Q$19="","",'Final Calculation Sheet'!$Q$19)</f>
        <v/>
      </c>
      <c r="H240" s="80">
        <f>IF('Final Calculation Sheet'!$Q$22="","",'Final Calculation Sheet'!$Q$22)</f>
        <v/>
      </c>
      <c r="I240" s="140">
        <f>IF('Final Calculation Sheet'!$Q$24="","",'Final Calculation Sheet'!$Q$24)</f>
        <v/>
      </c>
      <c r="J240" s="80">
        <f>IF('Final Calculation Sheet'!$Q$26="","",'Final Calculation Sheet'!$Q$26)</f>
        <v/>
      </c>
      <c r="K240" s="140">
        <f>IF('Final Calculation Sheet'!$Q$30="","",'Final Calculation Sheet'!$Q$30)</f>
        <v/>
      </c>
      <c r="L240" s="80">
        <f>IF('Final Calculation Sheet'!$Q$32="","",'Final Calculation Sheet'!$Q$32)</f>
        <v/>
      </c>
      <c r="M240" s="140">
        <f>IF('Final Calculation Sheet'!$Q$33="","",'Final Calculation Sheet'!$Q$33)</f>
        <v/>
      </c>
      <c r="N240" s="80">
        <f>IF('Final Calculation Sheet'!$Q$37="","",'Final Calculation Sheet'!$Q$37)</f>
        <v/>
      </c>
      <c r="O240" s="132" t="inlineStr">
        <is>
          <t>–</t>
        </is>
      </c>
    </row>
    <row r="241" outlineLevel="2" ht="15" customHeight="1">
      <c r="A241" s="69" t="inlineStr">
        <is>
          <t xml:space="preserve">      GST TDS (₹)</t>
        </is>
      </c>
      <c r="B241" s="70">
        <f>IF('Final Calculation Sheet'!$R$5="","",'Final Calculation Sheet'!$R$5)</f>
        <v/>
      </c>
      <c r="C241" s="131">
        <f>IF('Final Calculation Sheet'!$R$10="","",'Final Calculation Sheet'!$R$10)</f>
        <v/>
      </c>
      <c r="D241" s="70">
        <f>IF('Final Calculation Sheet'!$R$11="","",'Final Calculation Sheet'!$R$11)</f>
        <v/>
      </c>
      <c r="E241" s="131">
        <f>IF('Final Calculation Sheet'!$R$12="","",'Final Calculation Sheet'!$R$12)</f>
        <v/>
      </c>
      <c r="F241" s="70">
        <f>IF('Final Calculation Sheet'!$R$18="","",'Final Calculation Sheet'!$R$18)</f>
        <v/>
      </c>
      <c r="G241" s="131">
        <f>IF('Final Calculation Sheet'!$R$19="","",'Final Calculation Sheet'!$R$19)</f>
        <v/>
      </c>
      <c r="H241" s="70">
        <f>IF('Final Calculation Sheet'!$R$22="","",'Final Calculation Sheet'!$R$22)</f>
        <v/>
      </c>
      <c r="I241" s="131">
        <f>IF('Final Calculation Sheet'!$R$24="","",'Final Calculation Sheet'!$R$24)</f>
        <v/>
      </c>
      <c r="J241" s="70">
        <f>IF('Final Calculation Sheet'!$R$26="","",'Final Calculation Sheet'!$R$26)</f>
        <v/>
      </c>
      <c r="K241" s="131">
        <f>IF('Final Calculation Sheet'!$R$30="","",'Final Calculation Sheet'!$R$30)</f>
        <v/>
      </c>
      <c r="L241" s="70">
        <f>IF('Final Calculation Sheet'!$R$32="","",'Final Calculation Sheet'!$R$32)</f>
        <v/>
      </c>
      <c r="M241" s="131">
        <f>IF('Final Calculation Sheet'!$R$33="","",'Final Calculation Sheet'!$R$33)</f>
        <v/>
      </c>
      <c r="N241" s="70">
        <f>IF('Final Calculation Sheet'!$R$37="","",'Final Calculation Sheet'!$R$37)</f>
        <v/>
      </c>
      <c r="O241" s="137">
        <f>SUM(B241:N241)</f>
        <v/>
      </c>
    </row>
    <row r="242" outlineLevel="2" ht="15" customHeight="1">
      <c r="A242" s="69" t="inlineStr">
        <is>
          <t xml:space="preserve">      Total Receivables (₹)</t>
        </is>
      </c>
      <c r="B242" s="70">
        <f>IF('Final Calculation Sheet'!$S$5="","",'Final Calculation Sheet'!$S$5)</f>
        <v/>
      </c>
      <c r="C242" s="131">
        <f>IF('Final Calculation Sheet'!$S$10="","",'Final Calculation Sheet'!$S$10)</f>
        <v/>
      </c>
      <c r="D242" s="70">
        <f>IF('Final Calculation Sheet'!$S$11="","",'Final Calculation Sheet'!$S$11)</f>
        <v/>
      </c>
      <c r="E242" s="131">
        <f>IF('Final Calculation Sheet'!$S$12="","",'Final Calculation Sheet'!$S$12)</f>
        <v/>
      </c>
      <c r="F242" s="70">
        <f>IF('Final Calculation Sheet'!$S$18="","",'Final Calculation Sheet'!$S$18)</f>
        <v/>
      </c>
      <c r="G242" s="131">
        <f>IF('Final Calculation Sheet'!$S$19="","",'Final Calculation Sheet'!$S$19)</f>
        <v/>
      </c>
      <c r="H242" s="70">
        <f>IF('Final Calculation Sheet'!$S$22="","",'Final Calculation Sheet'!$S$22)</f>
        <v/>
      </c>
      <c r="I242" s="131">
        <f>IF('Final Calculation Sheet'!$S$24="","",'Final Calculation Sheet'!$S$24)</f>
        <v/>
      </c>
      <c r="J242" s="70">
        <f>IF('Final Calculation Sheet'!$S$26="","",'Final Calculation Sheet'!$S$26)</f>
        <v/>
      </c>
      <c r="K242" s="131">
        <f>IF('Final Calculation Sheet'!$S$30="","",'Final Calculation Sheet'!$S$30)</f>
        <v/>
      </c>
      <c r="L242" s="70">
        <f>IF('Final Calculation Sheet'!$S$32="","",'Final Calculation Sheet'!$S$32)</f>
        <v/>
      </c>
      <c r="M242" s="131">
        <f>IF('Final Calculation Sheet'!$S$33="","",'Final Calculation Sheet'!$S$33)</f>
        <v/>
      </c>
      <c r="N242" s="70">
        <f>IF('Final Calculation Sheet'!$S$37="","",'Final Calculation Sheet'!$S$37)</f>
        <v/>
      </c>
      <c r="O242" s="137">
        <f>SUM(B242:N242)</f>
        <v/>
      </c>
    </row>
    <row r="243" outlineLevel="1" ht="16" customHeight="1">
      <c r="A243" s="127" t="inlineStr">
        <is>
          <t xml:space="preserve">  ▸ SECURITY DEPOSIT</t>
        </is>
      </c>
      <c r="B243" s="130" t="n"/>
      <c r="C243" s="130" t="n"/>
      <c r="D243" s="130" t="n"/>
      <c r="E243" s="130" t="n"/>
      <c r="F243" s="130" t="n"/>
      <c r="G243" s="130" t="n"/>
      <c r="H243" s="130" t="n"/>
      <c r="I243" s="130" t="n"/>
      <c r="J243" s="130" t="n"/>
      <c r="K243" s="130" t="n"/>
      <c r="L243" s="130" t="n"/>
      <c r="M243" s="130" t="n"/>
      <c r="N243" s="130" t="n"/>
      <c r="O243" s="130" t="n"/>
    </row>
    <row r="244" outlineLevel="2" ht="15" customHeight="1">
      <c r="A244" s="69" t="inlineStr">
        <is>
          <t xml:space="preserve">      SD Expected (₹)</t>
        </is>
      </c>
      <c r="B244" s="70">
        <f>IF('Final Calculation Sheet'!$T$5="","",'Final Calculation Sheet'!$T$5)</f>
        <v/>
      </c>
      <c r="C244" s="131">
        <f>IF('Final Calculation Sheet'!$T$10="","",'Final Calculation Sheet'!$T$10)</f>
        <v/>
      </c>
      <c r="D244" s="70">
        <f>IF('Final Calculation Sheet'!$T$11="","",'Final Calculation Sheet'!$T$11)</f>
        <v/>
      </c>
      <c r="E244" s="131">
        <f>IF('Final Calculation Sheet'!$T$12="","",'Final Calculation Sheet'!$T$12)</f>
        <v/>
      </c>
      <c r="F244" s="70">
        <f>IF('Final Calculation Sheet'!$T$18="","",'Final Calculation Sheet'!$T$18)</f>
        <v/>
      </c>
      <c r="G244" s="131">
        <f>IF('Final Calculation Sheet'!$T$19="","",'Final Calculation Sheet'!$T$19)</f>
        <v/>
      </c>
      <c r="H244" s="70">
        <f>IF('Final Calculation Sheet'!$T$22="","",'Final Calculation Sheet'!$T$22)</f>
        <v/>
      </c>
      <c r="I244" s="131">
        <f>IF('Final Calculation Sheet'!$T$24="","",'Final Calculation Sheet'!$T$24)</f>
        <v/>
      </c>
      <c r="J244" s="70">
        <f>IF('Final Calculation Sheet'!$T$26="","",'Final Calculation Sheet'!$T$26)</f>
        <v/>
      </c>
      <c r="K244" s="131">
        <f>IF('Final Calculation Sheet'!$T$30="","",'Final Calculation Sheet'!$T$30)</f>
        <v/>
      </c>
      <c r="L244" s="70">
        <f>IF('Final Calculation Sheet'!$T$32="","",'Final Calculation Sheet'!$T$32)</f>
        <v/>
      </c>
      <c r="M244" s="131">
        <f>IF('Final Calculation Sheet'!$T$33="","",'Final Calculation Sheet'!$T$33)</f>
        <v/>
      </c>
      <c r="N244" s="70">
        <f>IF('Final Calculation Sheet'!$T$37="","",'Final Calculation Sheet'!$T$37)</f>
        <v/>
      </c>
      <c r="O244" s="137">
        <f>SUM(B244:N244)</f>
        <v/>
      </c>
    </row>
    <row r="245" outlineLevel="2" ht="15" customHeight="1">
      <c r="A245" s="69" t="inlineStr">
        <is>
          <t xml:space="preserve">      SD Received (₹)</t>
        </is>
      </c>
      <c r="B245" s="70">
        <f>IF('Final Calculation Sheet'!$U$5="","",'Final Calculation Sheet'!$U$5)</f>
        <v/>
      </c>
      <c r="C245" s="131">
        <f>IF('Final Calculation Sheet'!$U$10="","",'Final Calculation Sheet'!$U$10)</f>
        <v/>
      </c>
      <c r="D245" s="70">
        <f>IF('Final Calculation Sheet'!$U$11="","",'Final Calculation Sheet'!$U$11)</f>
        <v/>
      </c>
      <c r="E245" s="131">
        <f>IF('Final Calculation Sheet'!$U$12="","",'Final Calculation Sheet'!$U$12)</f>
        <v/>
      </c>
      <c r="F245" s="70">
        <f>IF('Final Calculation Sheet'!$U$18="","",'Final Calculation Sheet'!$U$18)</f>
        <v/>
      </c>
      <c r="G245" s="131">
        <f>IF('Final Calculation Sheet'!$U$19="","",'Final Calculation Sheet'!$U$19)</f>
        <v/>
      </c>
      <c r="H245" s="70">
        <f>IF('Final Calculation Sheet'!$U$22="","",'Final Calculation Sheet'!$U$22)</f>
        <v/>
      </c>
      <c r="I245" s="131">
        <f>IF('Final Calculation Sheet'!$U$24="","",'Final Calculation Sheet'!$U$24)</f>
        <v/>
      </c>
      <c r="J245" s="70">
        <f>IF('Final Calculation Sheet'!$U$26="","",'Final Calculation Sheet'!$U$26)</f>
        <v/>
      </c>
      <c r="K245" s="131">
        <f>IF('Final Calculation Sheet'!$U$30="","",'Final Calculation Sheet'!$U$30)</f>
        <v/>
      </c>
      <c r="L245" s="70">
        <f>IF('Final Calculation Sheet'!$U$32="","",'Final Calculation Sheet'!$U$32)</f>
        <v/>
      </c>
      <c r="M245" s="131">
        <f>IF('Final Calculation Sheet'!$U$33="","",'Final Calculation Sheet'!$U$33)</f>
        <v/>
      </c>
      <c r="N245" s="70">
        <f>IF('Final Calculation Sheet'!$U$37="","",'Final Calculation Sheet'!$U$37)</f>
        <v/>
      </c>
      <c r="O245" s="137">
        <f>SUM(B245:N245)</f>
        <v/>
      </c>
    </row>
    <row r="246" outlineLevel="2" ht="15" customHeight="1">
      <c r="A246" s="69" t="inlineStr">
        <is>
          <t xml:space="preserve">      SD Receipt Date</t>
        </is>
      </c>
      <c r="B246" s="76">
        <f>IF('Final Calculation Sheet'!$V$5="","",'Final Calculation Sheet'!$V$5)</f>
        <v/>
      </c>
      <c r="C246" s="136">
        <f>IF('Final Calculation Sheet'!$V$10="","",'Final Calculation Sheet'!$V$10)</f>
        <v/>
      </c>
      <c r="D246" s="76">
        <f>IF('Final Calculation Sheet'!$V$11="","",'Final Calculation Sheet'!$V$11)</f>
        <v/>
      </c>
      <c r="E246" s="136">
        <f>IF('Final Calculation Sheet'!$V$12="","",'Final Calculation Sheet'!$V$12)</f>
        <v/>
      </c>
      <c r="F246" s="76">
        <f>IF('Final Calculation Sheet'!$V$18="","",'Final Calculation Sheet'!$V$18)</f>
        <v/>
      </c>
      <c r="G246" s="136">
        <f>IF('Final Calculation Sheet'!$V$19="","",'Final Calculation Sheet'!$V$19)</f>
        <v/>
      </c>
      <c r="H246" s="76">
        <f>IF('Final Calculation Sheet'!$V$22="","",'Final Calculation Sheet'!$V$22)</f>
        <v/>
      </c>
      <c r="I246" s="136">
        <f>IF('Final Calculation Sheet'!$V$24="","",'Final Calculation Sheet'!$V$24)</f>
        <v/>
      </c>
      <c r="J246" s="76">
        <f>IF('Final Calculation Sheet'!$V$26="","",'Final Calculation Sheet'!$V$26)</f>
        <v/>
      </c>
      <c r="K246" s="136">
        <f>IF('Final Calculation Sheet'!$V$30="","",'Final Calculation Sheet'!$V$30)</f>
        <v/>
      </c>
      <c r="L246" s="76">
        <f>IF('Final Calculation Sheet'!$V$32="","",'Final Calculation Sheet'!$V$32)</f>
        <v/>
      </c>
      <c r="M246" s="136">
        <f>IF('Final Calculation Sheet'!$V$33="","",'Final Calculation Sheet'!$V$33)</f>
        <v/>
      </c>
      <c r="N246" s="76">
        <f>IF('Final Calculation Sheet'!$V$37="","",'Final Calculation Sheet'!$V$37)</f>
        <v/>
      </c>
      <c r="O246" s="132" t="inlineStr">
        <is>
          <t>–</t>
        </is>
      </c>
    </row>
    <row r="247" outlineLevel="1" ht="16" customHeight="1">
      <c r="A247" s="127" t="inlineStr">
        <is>
          <t xml:space="preserve">  ▸ FINAL PAYMENT</t>
        </is>
      </c>
      <c r="B247" s="130" t="n"/>
      <c r="C247" s="130" t="n"/>
      <c r="D247" s="130" t="n"/>
      <c r="E247" s="130" t="n"/>
      <c r="F247" s="130" t="n"/>
      <c r="G247" s="130" t="n"/>
      <c r="H247" s="130" t="n"/>
      <c r="I247" s="130" t="n"/>
      <c r="J247" s="130" t="n"/>
      <c r="K247" s="130" t="n"/>
      <c r="L247" s="130" t="n"/>
      <c r="M247" s="130" t="n"/>
      <c r="N247" s="130" t="n"/>
      <c r="O247" s="130" t="n"/>
    </row>
    <row r="248" outlineLevel="2" ht="15" customHeight="1">
      <c r="A248" s="69" t="inlineStr">
        <is>
          <t xml:space="preserve">      FP Expected (₹)</t>
        </is>
      </c>
      <c r="B248" s="70">
        <f>IF('Final Calculation Sheet'!$W$5="","",'Final Calculation Sheet'!$W$5)</f>
        <v/>
      </c>
      <c r="C248" s="131">
        <f>IF('Final Calculation Sheet'!$W$10="","",'Final Calculation Sheet'!$W$10)</f>
        <v/>
      </c>
      <c r="D248" s="70">
        <f>IF('Final Calculation Sheet'!$W$11="","",'Final Calculation Sheet'!$W$11)</f>
        <v/>
      </c>
      <c r="E248" s="131">
        <f>IF('Final Calculation Sheet'!$W$12="","",'Final Calculation Sheet'!$W$12)</f>
        <v/>
      </c>
      <c r="F248" s="70">
        <f>IF('Final Calculation Sheet'!$W$18="","",'Final Calculation Sheet'!$W$18)</f>
        <v/>
      </c>
      <c r="G248" s="131">
        <f>IF('Final Calculation Sheet'!$W$19="","",'Final Calculation Sheet'!$W$19)</f>
        <v/>
      </c>
      <c r="H248" s="70">
        <f>IF('Final Calculation Sheet'!$W$22="","",'Final Calculation Sheet'!$W$22)</f>
        <v/>
      </c>
      <c r="I248" s="131">
        <f>IF('Final Calculation Sheet'!$W$24="","",'Final Calculation Sheet'!$W$24)</f>
        <v/>
      </c>
      <c r="J248" s="70">
        <f>IF('Final Calculation Sheet'!$W$26="","",'Final Calculation Sheet'!$W$26)</f>
        <v/>
      </c>
      <c r="K248" s="131">
        <f>IF('Final Calculation Sheet'!$W$30="","",'Final Calculation Sheet'!$W$30)</f>
        <v/>
      </c>
      <c r="L248" s="70">
        <f>IF('Final Calculation Sheet'!$W$32="","",'Final Calculation Sheet'!$W$32)</f>
        <v/>
      </c>
      <c r="M248" s="131">
        <f>IF('Final Calculation Sheet'!$W$33="","",'Final Calculation Sheet'!$W$33)</f>
        <v/>
      </c>
      <c r="N248" s="70">
        <f>IF('Final Calculation Sheet'!$W$37="","",'Final Calculation Sheet'!$W$37)</f>
        <v/>
      </c>
      <c r="O248" s="137">
        <f>SUM(B248:N248)</f>
        <v/>
      </c>
    </row>
    <row r="249" outlineLevel="2" ht="15" customHeight="1">
      <c r="A249" s="69" t="inlineStr">
        <is>
          <t xml:space="preserve">      FP Received (₹)</t>
        </is>
      </c>
      <c r="B249" s="70">
        <f>IF('Final Calculation Sheet'!$X$5="","",'Final Calculation Sheet'!$X$5)</f>
        <v/>
      </c>
      <c r="C249" s="131">
        <f>IF('Final Calculation Sheet'!$X$10="","",'Final Calculation Sheet'!$X$10)</f>
        <v/>
      </c>
      <c r="D249" s="70">
        <f>IF('Final Calculation Sheet'!$X$11="","",'Final Calculation Sheet'!$X$11)</f>
        <v/>
      </c>
      <c r="E249" s="131">
        <f>IF('Final Calculation Sheet'!$X$12="","",'Final Calculation Sheet'!$X$12)</f>
        <v/>
      </c>
      <c r="F249" s="70">
        <f>IF('Final Calculation Sheet'!$X$18="","",'Final Calculation Sheet'!$X$18)</f>
        <v/>
      </c>
      <c r="G249" s="131">
        <f>IF('Final Calculation Sheet'!$X$19="","",'Final Calculation Sheet'!$X$19)</f>
        <v/>
      </c>
      <c r="H249" s="70">
        <f>IF('Final Calculation Sheet'!$X$22="","",'Final Calculation Sheet'!$X$22)</f>
        <v/>
      </c>
      <c r="I249" s="131">
        <f>IF('Final Calculation Sheet'!$X$24="","",'Final Calculation Sheet'!$X$24)</f>
        <v/>
      </c>
      <c r="J249" s="70">
        <f>IF('Final Calculation Sheet'!$X$26="","",'Final Calculation Sheet'!$X$26)</f>
        <v/>
      </c>
      <c r="K249" s="131">
        <f>IF('Final Calculation Sheet'!$X$30="","",'Final Calculation Sheet'!$X$30)</f>
        <v/>
      </c>
      <c r="L249" s="70">
        <f>IF('Final Calculation Sheet'!$X$32="","",'Final Calculation Sheet'!$X$32)</f>
        <v/>
      </c>
      <c r="M249" s="131">
        <f>IF('Final Calculation Sheet'!$X$33="","",'Final Calculation Sheet'!$X$33)</f>
        <v/>
      </c>
      <c r="N249" s="70">
        <f>IF('Final Calculation Sheet'!$X$37="","",'Final Calculation Sheet'!$X$37)</f>
        <v/>
      </c>
      <c r="O249" s="137">
        <f>SUM(B249:N249)</f>
        <v/>
      </c>
    </row>
    <row r="250" outlineLevel="2" ht="15" customHeight="1">
      <c r="A250" s="69" t="inlineStr">
        <is>
          <t xml:space="preserve">      FP Receipt Date</t>
        </is>
      </c>
      <c r="B250" s="76">
        <f>IF('Final Calculation Sheet'!$Y$5="","",'Final Calculation Sheet'!$Y$5)</f>
        <v/>
      </c>
      <c r="C250" s="136">
        <f>IF('Final Calculation Sheet'!$Y$10="","",'Final Calculation Sheet'!$Y$10)</f>
        <v/>
      </c>
      <c r="D250" s="76">
        <f>IF('Final Calculation Sheet'!$Y$11="","",'Final Calculation Sheet'!$Y$11)</f>
        <v/>
      </c>
      <c r="E250" s="136">
        <f>IF('Final Calculation Sheet'!$Y$12="","",'Final Calculation Sheet'!$Y$12)</f>
        <v/>
      </c>
      <c r="F250" s="76">
        <f>IF('Final Calculation Sheet'!$Y$18="","",'Final Calculation Sheet'!$Y$18)</f>
        <v/>
      </c>
      <c r="G250" s="136">
        <f>IF('Final Calculation Sheet'!$Y$19="","",'Final Calculation Sheet'!$Y$19)</f>
        <v/>
      </c>
      <c r="H250" s="76">
        <f>IF('Final Calculation Sheet'!$Y$22="","",'Final Calculation Sheet'!$Y$22)</f>
        <v/>
      </c>
      <c r="I250" s="136">
        <f>IF('Final Calculation Sheet'!$Y$24="","",'Final Calculation Sheet'!$Y$24)</f>
        <v/>
      </c>
      <c r="J250" s="76">
        <f>IF('Final Calculation Sheet'!$Y$26="","",'Final Calculation Sheet'!$Y$26)</f>
        <v/>
      </c>
      <c r="K250" s="136">
        <f>IF('Final Calculation Sheet'!$Y$30="","",'Final Calculation Sheet'!$Y$30)</f>
        <v/>
      </c>
      <c r="L250" s="76">
        <f>IF('Final Calculation Sheet'!$Y$32="","",'Final Calculation Sheet'!$Y$32)</f>
        <v/>
      </c>
      <c r="M250" s="136">
        <f>IF('Final Calculation Sheet'!$Y$33="","",'Final Calculation Sheet'!$Y$33)</f>
        <v/>
      </c>
      <c r="N250" s="76">
        <f>IF('Final Calculation Sheet'!$Y$37="","",'Final Calculation Sheet'!$Y$37)</f>
        <v/>
      </c>
      <c r="O250" s="132" t="inlineStr">
        <is>
          <t>–</t>
        </is>
      </c>
    </row>
    <row r="251" outlineLevel="1" ht="16" customHeight="1">
      <c r="A251" s="127" t="inlineStr">
        <is>
          <t xml:space="preserve">  ▸ LPP</t>
        </is>
      </c>
      <c r="B251" s="130" t="n"/>
      <c r="C251" s="130" t="n"/>
      <c r="D251" s="130" t="n"/>
      <c r="E251" s="130" t="n"/>
      <c r="F251" s="130" t="n"/>
      <c r="G251" s="130" t="n"/>
      <c r="H251" s="130" t="n"/>
      <c r="I251" s="130" t="n"/>
      <c r="J251" s="130" t="n"/>
      <c r="K251" s="130" t="n"/>
      <c r="L251" s="130" t="n"/>
      <c r="M251" s="130" t="n"/>
      <c r="N251" s="130" t="n"/>
      <c r="O251" s="130" t="n"/>
    </row>
    <row r="252" outlineLevel="2" ht="15" customHeight="1">
      <c r="A252" s="69" t="inlineStr">
        <is>
          <t xml:space="preserve">      LPP Expected (₹)</t>
        </is>
      </c>
      <c r="B252" s="70">
        <f>IF('Final Calculation Sheet'!$Z$5="","",'Final Calculation Sheet'!$Z$5)</f>
        <v/>
      </c>
      <c r="C252" s="131">
        <f>IF('Final Calculation Sheet'!$Z$10="","",'Final Calculation Sheet'!$Z$10)</f>
        <v/>
      </c>
      <c r="D252" s="70">
        <f>IF('Final Calculation Sheet'!$Z$11="","",'Final Calculation Sheet'!$Z$11)</f>
        <v/>
      </c>
      <c r="E252" s="131">
        <f>IF('Final Calculation Sheet'!$Z$12="","",'Final Calculation Sheet'!$Z$12)</f>
        <v/>
      </c>
      <c r="F252" s="70">
        <f>IF('Final Calculation Sheet'!$Z$18="","",'Final Calculation Sheet'!$Z$18)</f>
        <v/>
      </c>
      <c r="G252" s="131">
        <f>IF('Final Calculation Sheet'!$Z$19="","",'Final Calculation Sheet'!$Z$19)</f>
        <v/>
      </c>
      <c r="H252" s="70">
        <f>IF('Final Calculation Sheet'!$Z$22="","",'Final Calculation Sheet'!$Z$22)</f>
        <v/>
      </c>
      <c r="I252" s="131">
        <f>IF('Final Calculation Sheet'!$Z$24="","",'Final Calculation Sheet'!$Z$24)</f>
        <v/>
      </c>
      <c r="J252" s="70">
        <f>IF('Final Calculation Sheet'!$Z$26="","",'Final Calculation Sheet'!$Z$26)</f>
        <v/>
      </c>
      <c r="K252" s="131">
        <f>IF('Final Calculation Sheet'!$Z$30="","",'Final Calculation Sheet'!$Z$30)</f>
        <v/>
      </c>
      <c r="L252" s="70">
        <f>IF('Final Calculation Sheet'!$Z$32="","",'Final Calculation Sheet'!$Z$32)</f>
        <v/>
      </c>
      <c r="M252" s="131">
        <f>IF('Final Calculation Sheet'!$Z$33="","",'Final Calculation Sheet'!$Z$33)</f>
        <v/>
      </c>
      <c r="N252" s="70">
        <f>IF('Final Calculation Sheet'!$Z$37="","",'Final Calculation Sheet'!$Z$37)</f>
        <v/>
      </c>
      <c r="O252" s="137">
        <f>SUM(B252:N252)</f>
        <v/>
      </c>
    </row>
    <row r="253" outlineLevel="2" ht="15" customHeight="1">
      <c r="A253" s="69" t="inlineStr">
        <is>
          <t xml:space="preserve">      LPP Received (₹)</t>
        </is>
      </c>
      <c r="B253" s="70">
        <f>IF('Final Calculation Sheet'!$AA$5="","",'Final Calculation Sheet'!$AA$5)</f>
        <v/>
      </c>
      <c r="C253" s="131">
        <f>IF('Final Calculation Sheet'!$AA$10="","",'Final Calculation Sheet'!$AA$10)</f>
        <v/>
      </c>
      <c r="D253" s="70">
        <f>IF('Final Calculation Sheet'!$AA$11="","",'Final Calculation Sheet'!$AA$11)</f>
        <v/>
      </c>
      <c r="E253" s="131">
        <f>IF('Final Calculation Sheet'!$AA$12="","",'Final Calculation Sheet'!$AA$12)</f>
        <v/>
      </c>
      <c r="F253" s="70">
        <f>IF('Final Calculation Sheet'!$AA$18="","",'Final Calculation Sheet'!$AA$18)</f>
        <v/>
      </c>
      <c r="G253" s="131">
        <f>IF('Final Calculation Sheet'!$AA$19="","",'Final Calculation Sheet'!$AA$19)</f>
        <v/>
      </c>
      <c r="H253" s="70">
        <f>IF('Final Calculation Sheet'!$AA$22="","",'Final Calculation Sheet'!$AA$22)</f>
        <v/>
      </c>
      <c r="I253" s="131">
        <f>IF('Final Calculation Sheet'!$AA$24="","",'Final Calculation Sheet'!$AA$24)</f>
        <v/>
      </c>
      <c r="J253" s="70">
        <f>IF('Final Calculation Sheet'!$AA$26="","",'Final Calculation Sheet'!$AA$26)</f>
        <v/>
      </c>
      <c r="K253" s="131">
        <f>IF('Final Calculation Sheet'!$AA$30="","",'Final Calculation Sheet'!$AA$30)</f>
        <v/>
      </c>
      <c r="L253" s="70">
        <f>IF('Final Calculation Sheet'!$AA$32="","",'Final Calculation Sheet'!$AA$32)</f>
        <v/>
      </c>
      <c r="M253" s="131">
        <f>IF('Final Calculation Sheet'!$AA$33="","",'Final Calculation Sheet'!$AA$33)</f>
        <v/>
      </c>
      <c r="N253" s="70">
        <f>IF('Final Calculation Sheet'!$AA$37="","",'Final Calculation Sheet'!$AA$37)</f>
        <v/>
      </c>
      <c r="O253" s="137">
        <f>SUM(B253:N253)</f>
        <v/>
      </c>
    </row>
    <row r="254" outlineLevel="2" ht="15" customHeight="1">
      <c r="A254" s="69" t="inlineStr">
        <is>
          <t xml:space="preserve">      LPP Receipt Date</t>
        </is>
      </c>
      <c r="B254" s="76">
        <f>IF('Final Calculation Sheet'!$AB$5="","",'Final Calculation Sheet'!$AB$5)</f>
        <v/>
      </c>
      <c r="C254" s="136">
        <f>IF('Final Calculation Sheet'!$AB$10="","",'Final Calculation Sheet'!$AB$10)</f>
        <v/>
      </c>
      <c r="D254" s="76">
        <f>IF('Final Calculation Sheet'!$AB$11="","",'Final Calculation Sheet'!$AB$11)</f>
        <v/>
      </c>
      <c r="E254" s="136">
        <f>IF('Final Calculation Sheet'!$AB$12="","",'Final Calculation Sheet'!$AB$12)</f>
        <v/>
      </c>
      <c r="F254" s="76">
        <f>IF('Final Calculation Sheet'!$AB$18="","",'Final Calculation Sheet'!$AB$18)</f>
        <v/>
      </c>
      <c r="G254" s="136">
        <f>IF('Final Calculation Sheet'!$AB$19="","",'Final Calculation Sheet'!$AB$19)</f>
        <v/>
      </c>
      <c r="H254" s="76">
        <f>IF('Final Calculation Sheet'!$AB$22="","",'Final Calculation Sheet'!$AB$22)</f>
        <v/>
      </c>
      <c r="I254" s="136">
        <f>IF('Final Calculation Sheet'!$AB$24="","",'Final Calculation Sheet'!$AB$24)</f>
        <v/>
      </c>
      <c r="J254" s="76">
        <f>IF('Final Calculation Sheet'!$AB$26="","",'Final Calculation Sheet'!$AB$26)</f>
        <v/>
      </c>
      <c r="K254" s="136">
        <f>IF('Final Calculation Sheet'!$AB$30="","",'Final Calculation Sheet'!$AB$30)</f>
        <v/>
      </c>
      <c r="L254" s="76">
        <f>IF('Final Calculation Sheet'!$AB$32="","",'Final Calculation Sheet'!$AB$32)</f>
        <v/>
      </c>
      <c r="M254" s="136">
        <f>IF('Final Calculation Sheet'!$AB$33="","",'Final Calculation Sheet'!$AB$33)</f>
        <v/>
      </c>
      <c r="N254" s="76">
        <f>IF('Final Calculation Sheet'!$AB$37="","",'Final Calculation Sheet'!$AB$37)</f>
        <v/>
      </c>
      <c r="O254" s="132" t="inlineStr">
        <is>
          <t>–</t>
        </is>
      </c>
    </row>
    <row r="255" outlineLevel="1" ht="16" customHeight="1">
      <c r="A255" s="127" t="inlineStr">
        <is>
          <t xml:space="preserve">  ▸ SUMMARY</t>
        </is>
      </c>
      <c r="B255" s="130" t="n"/>
      <c r="C255" s="130" t="n"/>
      <c r="D255" s="130" t="n"/>
      <c r="E255" s="130" t="n"/>
      <c r="F255" s="130" t="n"/>
      <c r="G255" s="130" t="n"/>
      <c r="H255" s="130" t="n"/>
      <c r="I255" s="130" t="n"/>
      <c r="J255" s="130" t="n"/>
      <c r="K255" s="130" t="n"/>
      <c r="L255" s="130" t="n"/>
      <c r="M255" s="130" t="n"/>
      <c r="N255" s="130" t="n"/>
      <c r="O255" s="130" t="n"/>
    </row>
    <row r="256" outlineLevel="2" ht="15" customHeight="1">
      <c r="A256" s="69" t="inlineStr">
        <is>
          <t xml:space="preserve">      Total Received (₹)</t>
        </is>
      </c>
      <c r="B256" s="70">
        <f>IF('Final Calculation Sheet'!$AC$5="","",'Final Calculation Sheet'!$AC$5)</f>
        <v/>
      </c>
      <c r="C256" s="131">
        <f>IF('Final Calculation Sheet'!$AC$10="","",'Final Calculation Sheet'!$AC$10)</f>
        <v/>
      </c>
      <c r="D256" s="70">
        <f>IF('Final Calculation Sheet'!$AC$11="","",'Final Calculation Sheet'!$AC$11)</f>
        <v/>
      </c>
      <c r="E256" s="131">
        <f>IF('Final Calculation Sheet'!$AC$12="","",'Final Calculation Sheet'!$AC$12)</f>
        <v/>
      </c>
      <c r="F256" s="70">
        <f>IF('Final Calculation Sheet'!$AC$18="","",'Final Calculation Sheet'!$AC$18)</f>
        <v/>
      </c>
      <c r="G256" s="131">
        <f>IF('Final Calculation Sheet'!$AC$19="","",'Final Calculation Sheet'!$AC$19)</f>
        <v/>
      </c>
      <c r="H256" s="70">
        <f>IF('Final Calculation Sheet'!$AC$22="","",'Final Calculation Sheet'!$AC$22)</f>
        <v/>
      </c>
      <c r="I256" s="131">
        <f>IF('Final Calculation Sheet'!$AC$24="","",'Final Calculation Sheet'!$AC$24)</f>
        <v/>
      </c>
      <c r="J256" s="70">
        <f>IF('Final Calculation Sheet'!$AC$26="","",'Final Calculation Sheet'!$AC$26)</f>
        <v/>
      </c>
      <c r="K256" s="131">
        <f>IF('Final Calculation Sheet'!$AC$30="","",'Final Calculation Sheet'!$AC$30)</f>
        <v/>
      </c>
      <c r="L256" s="70">
        <f>IF('Final Calculation Sheet'!$AC$32="","",'Final Calculation Sheet'!$AC$32)</f>
        <v/>
      </c>
      <c r="M256" s="131">
        <f>IF('Final Calculation Sheet'!$AC$33="","",'Final Calculation Sheet'!$AC$33)</f>
        <v/>
      </c>
      <c r="N256" s="70">
        <f>IF('Final Calculation Sheet'!$AC$37="","",'Final Calculation Sheet'!$AC$37)</f>
        <v/>
      </c>
      <c r="O256" s="137">
        <f>SUM(B256:N256)</f>
        <v/>
      </c>
    </row>
    <row r="257" outlineLevel="2" ht="15" customHeight="1">
      <c r="A257" s="69" t="inlineStr">
        <is>
          <t xml:space="preserve">      Outstanding (₹)</t>
        </is>
      </c>
      <c r="B257" s="70">
        <f>IF('Final Calculation Sheet'!$AD$5="","",'Final Calculation Sheet'!$AD$5)</f>
        <v/>
      </c>
      <c r="C257" s="131">
        <f>IF('Final Calculation Sheet'!$AD$10="","",'Final Calculation Sheet'!$AD$10)</f>
        <v/>
      </c>
      <c r="D257" s="70">
        <f>IF('Final Calculation Sheet'!$AD$11="","",'Final Calculation Sheet'!$AD$11)</f>
        <v/>
      </c>
      <c r="E257" s="131">
        <f>IF('Final Calculation Sheet'!$AD$12="","",'Final Calculation Sheet'!$AD$12)</f>
        <v/>
      </c>
      <c r="F257" s="70">
        <f>IF('Final Calculation Sheet'!$AD$18="","",'Final Calculation Sheet'!$AD$18)</f>
        <v/>
      </c>
      <c r="G257" s="131">
        <f>IF('Final Calculation Sheet'!$AD$19="","",'Final Calculation Sheet'!$AD$19)</f>
        <v/>
      </c>
      <c r="H257" s="70">
        <f>IF('Final Calculation Sheet'!$AD$22="","",'Final Calculation Sheet'!$AD$22)</f>
        <v/>
      </c>
      <c r="I257" s="131">
        <f>IF('Final Calculation Sheet'!$AD$24="","",'Final Calculation Sheet'!$AD$24)</f>
        <v/>
      </c>
      <c r="J257" s="70">
        <f>IF('Final Calculation Sheet'!$AD$26="","",'Final Calculation Sheet'!$AD$26)</f>
        <v/>
      </c>
      <c r="K257" s="131">
        <f>IF('Final Calculation Sheet'!$AD$30="","",'Final Calculation Sheet'!$AD$30)</f>
        <v/>
      </c>
      <c r="L257" s="70">
        <f>IF('Final Calculation Sheet'!$AD$32="","",'Final Calculation Sheet'!$AD$32)</f>
        <v/>
      </c>
      <c r="M257" s="131">
        <f>IF('Final Calculation Sheet'!$AD$33="","",'Final Calculation Sheet'!$AD$33)</f>
        <v/>
      </c>
      <c r="N257" s="70">
        <f>IF('Final Calculation Sheet'!$AD$37="","",'Final Calculation Sheet'!$AD$37)</f>
        <v/>
      </c>
      <c r="O257" s="137">
        <f>SUM(B257:N257)</f>
        <v/>
      </c>
    </row>
    <row r="258" outlineLevel="2" ht="15" customHeight="1">
      <c r="A258" s="69" t="inlineStr">
        <is>
          <t xml:space="preserve">      Payment Status</t>
        </is>
      </c>
      <c r="B258" s="81">
        <f>IF('Final Calculation Sheet'!$AD$5="","",IF('Final Calculation Sheet'!$AD$5&lt;=0,"SETTLED","OUTSTANDING"))</f>
        <v/>
      </c>
      <c r="C258" s="141">
        <f>IF('Final Calculation Sheet'!$AD$10="","",IF('Final Calculation Sheet'!$AD$10&lt;=0,"SETTLED","OUTSTANDING"))</f>
        <v/>
      </c>
      <c r="D258" s="81">
        <f>IF('Final Calculation Sheet'!$AD$11="","",IF('Final Calculation Sheet'!$AD$11&lt;=0,"SETTLED","OUTSTANDING"))</f>
        <v/>
      </c>
      <c r="E258" s="141">
        <f>IF('Final Calculation Sheet'!$AD$12="","",IF('Final Calculation Sheet'!$AD$12&lt;=0,"SETTLED","OUTSTANDING"))</f>
        <v/>
      </c>
      <c r="F258" s="81">
        <f>IF('Final Calculation Sheet'!$AD$18="","",IF('Final Calculation Sheet'!$AD$18&lt;=0,"SETTLED","OUTSTANDING"))</f>
        <v/>
      </c>
      <c r="G258" s="141">
        <f>IF('Final Calculation Sheet'!$AD$19="","",IF('Final Calculation Sheet'!$AD$19&lt;=0,"SETTLED","OUTSTANDING"))</f>
        <v/>
      </c>
      <c r="H258" s="81">
        <f>IF('Final Calculation Sheet'!$AD$22="","",IF('Final Calculation Sheet'!$AD$22&lt;=0,"SETTLED","OUTSTANDING"))</f>
        <v/>
      </c>
      <c r="I258" s="141">
        <f>IF('Final Calculation Sheet'!$AD$24="","",IF('Final Calculation Sheet'!$AD$24&lt;=0,"SETTLED","OUTSTANDING"))</f>
        <v/>
      </c>
      <c r="J258" s="81">
        <f>IF('Final Calculation Sheet'!$AD$26="","",IF('Final Calculation Sheet'!$AD$26&lt;=0,"SETTLED","OUTSTANDING"))</f>
        <v/>
      </c>
      <c r="K258" s="141">
        <f>IF('Final Calculation Sheet'!$AD$30="","",IF('Final Calculation Sheet'!$AD$30&lt;=0,"SETTLED","OUTSTANDING"))</f>
        <v/>
      </c>
      <c r="L258" s="81">
        <f>IF('Final Calculation Sheet'!$AD$32="","",IF('Final Calculation Sheet'!$AD$32&lt;=0,"SETTLED","OUTSTANDING"))</f>
        <v/>
      </c>
      <c r="M258" s="141">
        <f>IF('Final Calculation Sheet'!$AD$33="","",IF('Final Calculation Sheet'!$AD$33&lt;=0,"SETTLED","OUTSTANDING"))</f>
        <v/>
      </c>
      <c r="N258" s="81">
        <f>IF('Final Calculation Sheet'!$AD$37="","",IF('Final Calculation Sheet'!$AD$37&lt;=0,"SETTLED","OUTSTANDING"))</f>
        <v/>
      </c>
      <c r="O258" s="132" t="inlineStr">
        <is>
          <t>–</t>
        </is>
      </c>
    </row>
    <row r="259" outlineLevel="1" ht="16" customHeight="1">
      <c r="A259" s="127" t="inlineStr">
        <is>
          <t xml:space="preserve">  ▸ DOCUMENT</t>
        </is>
      </c>
      <c r="B259" s="130" t="n"/>
      <c r="C259" s="130" t="n"/>
      <c r="D259" s="130" t="n"/>
      <c r="E259" s="130" t="n"/>
      <c r="F259" s="130" t="n"/>
      <c r="G259" s="130" t="n"/>
      <c r="H259" s="130" t="n"/>
      <c r="I259" s="130" t="n"/>
      <c r="J259" s="130" t="n"/>
      <c r="K259" s="130" t="n"/>
      <c r="L259" s="130" t="n"/>
      <c r="M259" s="130" t="n"/>
      <c r="N259" s="130" t="n"/>
      <c r="O259" s="130" t="n"/>
    </row>
    <row r="260" outlineLevel="2" ht="15" customHeight="1">
      <c r="A260" s="69" t="inlineStr">
        <is>
          <t xml:space="preserve">      Invoice No.</t>
        </is>
      </c>
      <c r="B260" s="76">
        <f>IF('Final Calculation Sheet'!$AE$5="","",'Final Calculation Sheet'!$AE$5)</f>
        <v/>
      </c>
      <c r="C260" s="136">
        <f>IF('Final Calculation Sheet'!$AE$10="","",'Final Calculation Sheet'!$AE$10)</f>
        <v/>
      </c>
      <c r="D260" s="76">
        <f>IF('Final Calculation Sheet'!$AE$11="","",'Final Calculation Sheet'!$AE$11)</f>
        <v/>
      </c>
      <c r="E260" s="136">
        <f>IF('Final Calculation Sheet'!$AE$12="","",'Final Calculation Sheet'!$AE$12)</f>
        <v/>
      </c>
      <c r="F260" s="76">
        <f>IF('Final Calculation Sheet'!$AE$18="","",'Final Calculation Sheet'!$AE$18)</f>
        <v/>
      </c>
      <c r="G260" s="136">
        <f>IF('Final Calculation Sheet'!$AE$19="","",'Final Calculation Sheet'!$AE$19)</f>
        <v/>
      </c>
      <c r="H260" s="76">
        <f>IF('Final Calculation Sheet'!$AE$22="","",'Final Calculation Sheet'!$AE$22)</f>
        <v/>
      </c>
      <c r="I260" s="136">
        <f>IF('Final Calculation Sheet'!$AE$24="","",'Final Calculation Sheet'!$AE$24)</f>
        <v/>
      </c>
      <c r="J260" s="76">
        <f>IF('Final Calculation Sheet'!$AE$26="","",'Final Calculation Sheet'!$AE$26)</f>
        <v/>
      </c>
      <c r="K260" s="136">
        <f>IF('Final Calculation Sheet'!$AE$30="","",'Final Calculation Sheet'!$AE$30)</f>
        <v/>
      </c>
      <c r="L260" s="76">
        <f>IF('Final Calculation Sheet'!$AE$32="","",'Final Calculation Sheet'!$AE$32)</f>
        <v/>
      </c>
      <c r="M260" s="136">
        <f>IF('Final Calculation Sheet'!$AE$33="","",'Final Calculation Sheet'!$AE$33)</f>
        <v/>
      </c>
      <c r="N260" s="76">
        <f>IF('Final Calculation Sheet'!$AE$37="","",'Final Calculation Sheet'!$AE$37)</f>
        <v/>
      </c>
      <c r="O260" s="132" t="inlineStr">
        <is>
          <t>–</t>
        </is>
      </c>
    </row>
    <row r="261" outlineLevel="2" ht="15" customHeight="1">
      <c r="A261" s="69" t="inlineStr">
        <is>
          <t xml:space="preserve">      SAP Document</t>
        </is>
      </c>
      <c r="B261" s="70">
        <f>IF('Final Calculation Sheet'!$AF$5="","",'Final Calculation Sheet'!$AF$5)</f>
        <v/>
      </c>
      <c r="C261" s="131">
        <f>IF('Final Calculation Sheet'!$AF$10="","",'Final Calculation Sheet'!$AF$10)</f>
        <v/>
      </c>
      <c r="D261" s="70">
        <f>IF('Final Calculation Sheet'!$AF$11="","",'Final Calculation Sheet'!$AF$11)</f>
        <v/>
      </c>
      <c r="E261" s="131">
        <f>IF('Final Calculation Sheet'!$AF$12="","",'Final Calculation Sheet'!$AF$12)</f>
        <v/>
      </c>
      <c r="F261" s="70">
        <f>IF('Final Calculation Sheet'!$AF$18="","",'Final Calculation Sheet'!$AF$18)</f>
        <v/>
      </c>
      <c r="G261" s="131">
        <f>IF('Final Calculation Sheet'!$AF$19="","",'Final Calculation Sheet'!$AF$19)</f>
        <v/>
      </c>
      <c r="H261" s="70">
        <f>IF('Final Calculation Sheet'!$AF$22="","",'Final Calculation Sheet'!$AF$22)</f>
        <v/>
      </c>
      <c r="I261" s="131">
        <f>IF('Final Calculation Sheet'!$AF$24="","",'Final Calculation Sheet'!$AF$24)</f>
        <v/>
      </c>
      <c r="J261" s="70">
        <f>IF('Final Calculation Sheet'!$AF$26="","",'Final Calculation Sheet'!$AF$26)</f>
        <v/>
      </c>
      <c r="K261" s="131">
        <f>IF('Final Calculation Sheet'!$AF$30="","",'Final Calculation Sheet'!$AF$30)</f>
        <v/>
      </c>
      <c r="L261" s="70">
        <f>IF('Final Calculation Sheet'!$AF$32="","",'Final Calculation Sheet'!$AF$32)</f>
        <v/>
      </c>
      <c r="M261" s="131">
        <f>IF('Final Calculation Sheet'!$AF$33="","",'Final Calculation Sheet'!$AF$33)</f>
        <v/>
      </c>
      <c r="N261" s="70">
        <f>IF('Final Calculation Sheet'!$AF$37="","",'Final Calculation Sheet'!$AF$37)</f>
        <v/>
      </c>
      <c r="O261" s="132" t="inlineStr">
        <is>
          <t>–</t>
        </is>
      </c>
    </row>
    <row r="262" outlineLevel="2" ht="15" customHeight="1">
      <c r="A262" s="69" t="inlineStr">
        <is>
          <t xml:space="preserve">      Doc./Invoice Date</t>
        </is>
      </c>
      <c r="B262" s="76">
        <f>IF('Final Calculation Sheet'!$AG$5="","",'Final Calculation Sheet'!$AG$5)</f>
        <v/>
      </c>
      <c r="C262" s="136">
        <f>IF('Final Calculation Sheet'!$AG$10="","",'Final Calculation Sheet'!$AG$10)</f>
        <v/>
      </c>
      <c r="D262" s="76">
        <f>IF('Final Calculation Sheet'!$AG$11="","",'Final Calculation Sheet'!$AG$11)</f>
        <v/>
      </c>
      <c r="E262" s="136">
        <f>IF('Final Calculation Sheet'!$AG$12="","",'Final Calculation Sheet'!$AG$12)</f>
        <v/>
      </c>
      <c r="F262" s="76">
        <f>IF('Final Calculation Sheet'!$AG$18="","",'Final Calculation Sheet'!$AG$18)</f>
        <v/>
      </c>
      <c r="G262" s="136">
        <f>IF('Final Calculation Sheet'!$AG$19="","",'Final Calculation Sheet'!$AG$19)</f>
        <v/>
      </c>
      <c r="H262" s="76">
        <f>IF('Final Calculation Sheet'!$AG$22="","",'Final Calculation Sheet'!$AG$22)</f>
        <v/>
      </c>
      <c r="I262" s="136">
        <f>IF('Final Calculation Sheet'!$AG$24="","",'Final Calculation Sheet'!$AG$24)</f>
        <v/>
      </c>
      <c r="J262" s="76">
        <f>IF('Final Calculation Sheet'!$AG$26="","",'Final Calculation Sheet'!$AG$26)</f>
        <v/>
      </c>
      <c r="K262" s="136">
        <f>IF('Final Calculation Sheet'!$AG$30="","",'Final Calculation Sheet'!$AG$30)</f>
        <v/>
      </c>
      <c r="L262" s="76">
        <f>IF('Final Calculation Sheet'!$AG$32="","",'Final Calculation Sheet'!$AG$32)</f>
        <v/>
      </c>
      <c r="M262" s="136">
        <f>IF('Final Calculation Sheet'!$AG$33="","",'Final Calculation Sheet'!$AG$33)</f>
        <v/>
      </c>
      <c r="N262" s="76">
        <f>IF('Final Calculation Sheet'!$AG$37="","",'Final Calculation Sheet'!$AG$37)</f>
        <v/>
      </c>
      <c r="O262" s="132" t="inlineStr">
        <is>
          <t>–</t>
        </is>
      </c>
    </row>
    <row r="263" ht="7" customHeight="1">
      <c r="A263" s="82" t="n"/>
      <c r="B263" s="82" t="n"/>
      <c r="C263" s="82" t="n"/>
      <c r="D263" s="82" t="n"/>
      <c r="E263" s="82" t="n"/>
      <c r="F263" s="82" t="n"/>
      <c r="G263" s="82" t="n"/>
      <c r="H263" s="82" t="n"/>
      <c r="I263" s="82" t="n"/>
      <c r="J263" s="82" t="n"/>
      <c r="K263" s="82" t="n"/>
      <c r="L263" s="82" t="n"/>
      <c r="M263" s="82" t="n"/>
      <c r="N263" s="82" t="n"/>
      <c r="O263" s="82" t="n"/>
    </row>
    <row r="264" ht="24" customHeight="1">
      <c r="A264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</row>
    <row r="265" outlineLevel="1" ht="18" customHeight="1">
      <c r="A265" s="143" t="inlineStr">
        <is>
          <t xml:space="preserve">   Lot No. →</t>
        </is>
      </c>
      <c r="B265" s="144">
        <f>IF('Final Calculation Sheet'!$F$21="","",'Final Calculation Sheet'!$F$21)</f>
        <v/>
      </c>
      <c r="C265" s="145" t="n"/>
      <c r="D265" s="145" t="n"/>
      <c r="E265" s="145" t="n"/>
      <c r="F265" s="145" t="n"/>
      <c r="G265" s="145" t="n"/>
      <c r="H265" s="145" t="n"/>
      <c r="I265" s="145" t="n"/>
      <c r="J265" s="145" t="n"/>
      <c r="K265" s="145" t="n"/>
      <c r="L265" s="145" t="n"/>
      <c r="M265" s="145" t="n"/>
      <c r="N265" s="145" t="n"/>
      <c r="O265" s="146" t="inlineStr">
        <is>
          <t>TOTAL</t>
        </is>
      </c>
    </row>
    <row r="266" outlineLevel="1" ht="16" customHeight="1">
      <c r="A266" s="143" t="inlineStr">
        <is>
          <t xml:space="preserve">  ▸ LOT INFORMATION</t>
        </is>
      </c>
      <c r="B266" s="145" t="n"/>
      <c r="C266" s="145" t="n"/>
      <c r="D266" s="145" t="n"/>
      <c r="E266" s="145" t="n"/>
      <c r="F266" s="145" t="n"/>
      <c r="G266" s="145" t="n"/>
      <c r="H266" s="145" t="n"/>
      <c r="I266" s="145" t="n"/>
      <c r="J266" s="145" t="n"/>
      <c r="K266" s="145" t="n"/>
      <c r="L266" s="145" t="n"/>
      <c r="M266" s="145" t="n"/>
      <c r="N266" s="145" t="n"/>
      <c r="O266" s="145" t="n"/>
    </row>
    <row r="267" outlineLevel="2" ht="15" customHeight="1">
      <c r="A267" s="69" t="inlineStr">
        <is>
          <t xml:space="preserve">      Lot No.</t>
        </is>
      </c>
      <c r="B267" s="70">
        <f>IF('Final Calculation Sheet'!$F$21="","",'Final Calculation Sheet'!$F$21)</f>
        <v/>
      </c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147" t="inlineStr">
        <is>
          <t>–</t>
        </is>
      </c>
    </row>
    <row r="268" outlineLevel="2" ht="60" customHeight="1">
      <c r="A268" s="69" t="inlineStr">
        <is>
          <t xml:space="preserve">      Lot Name</t>
        </is>
      </c>
      <c r="B268" s="73">
        <f>IF('Final Calculation Sheet'!$B$21="","",'Final Calculation Sheet'!$B$21)</f>
        <v/>
      </c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147" t="inlineStr">
        <is>
          <t>–</t>
        </is>
      </c>
    </row>
    <row r="269" outlineLevel="2" ht="15" customHeight="1">
      <c r="A269" s="69" t="inlineStr">
        <is>
          <t xml:space="preserve">      Bid Sheet / Auction</t>
        </is>
      </c>
      <c r="B269" s="70">
        <f>IF('Final Calculation Sheet'!$D$21="","",'Final Calculation Sheet'!$D$21)</f>
        <v/>
      </c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147" t="inlineStr">
        <is>
          <t>–</t>
        </is>
      </c>
    </row>
    <row r="270" outlineLevel="2" ht="15" customHeight="1">
      <c r="A270" s="69" t="inlineStr">
        <is>
          <t xml:space="preserve">      Quantity</t>
        </is>
      </c>
      <c r="B270" s="74">
        <f>IF('Final Calculation Sheet'!$A$21="","",'Final Calculation Sheet'!$A$21)</f>
        <v/>
      </c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148">
        <f>SUM(B270:N270)</f>
        <v/>
      </c>
    </row>
    <row r="271" outlineLevel="2" ht="15" customHeight="1">
      <c r="A271" s="69" t="inlineStr">
        <is>
          <t xml:space="preserve">      Unit</t>
        </is>
      </c>
      <c r="B271" s="76">
        <f>IF('Final Calculation Sheet'!$E$21="","",'Final Calculation Sheet'!$E$21)</f>
        <v/>
      </c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147" t="inlineStr">
        <is>
          <t>–</t>
        </is>
      </c>
    </row>
    <row r="272" outlineLevel="2" ht="15" customHeight="1">
      <c r="A272" s="69" t="inlineStr">
        <is>
          <t xml:space="preserve">      Rate (₹)</t>
        </is>
      </c>
      <c r="B272" s="70">
        <f>IF('Final Calculation Sheet'!$C$21="","",'Final Calculation Sheet'!$C$21)</f>
        <v/>
      </c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147" t="inlineStr">
        <is>
          <t>–</t>
        </is>
      </c>
    </row>
    <row r="273" outlineLevel="1" ht="16" customHeight="1">
      <c r="A273" s="143" t="inlineStr">
        <is>
          <t xml:space="preserve">  ▸ FINANCIALS</t>
        </is>
      </c>
      <c r="B273" s="145" t="n"/>
      <c r="C273" s="145" t="n"/>
      <c r="D273" s="145" t="n"/>
      <c r="E273" s="145" t="n"/>
      <c r="F273" s="145" t="n"/>
      <c r="G273" s="145" t="n"/>
      <c r="H273" s="145" t="n"/>
      <c r="I273" s="145" t="n"/>
      <c r="J273" s="145" t="n"/>
      <c r="K273" s="145" t="n"/>
      <c r="L273" s="145" t="n"/>
      <c r="M273" s="145" t="n"/>
      <c r="N273" s="145" t="n"/>
      <c r="O273" s="145" t="n"/>
    </row>
    <row r="274" outlineLevel="2" ht="15" customHeight="1">
      <c r="A274" s="69" t="inlineStr">
        <is>
          <t xml:space="preserve">      Mat. Value (₹)</t>
        </is>
      </c>
      <c r="B274" s="70">
        <f>IF('Final Calculation Sheet'!$H$21="","",'Final Calculation Sheet'!$H$21)</f>
        <v/>
      </c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149">
        <f>SUM(B274:N274)</f>
        <v/>
      </c>
    </row>
    <row r="275" outlineLevel="2" ht="15" customHeight="1">
      <c r="A275" s="69" t="inlineStr">
        <is>
          <t xml:space="preserve">      GST @ 18% (₹)</t>
        </is>
      </c>
      <c r="B275" s="70">
        <f>IF('Final Calculation Sheet'!$I$21="","",'Final Calculation Sheet'!$I$21)</f>
        <v/>
      </c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149">
        <f>SUM(B275:N275)</f>
        <v/>
      </c>
    </row>
    <row r="276" outlineLevel="2" ht="15" customHeight="1">
      <c r="A276" s="69" t="inlineStr">
        <is>
          <t xml:space="preserve">      Mat. Value + GST (₹)</t>
        </is>
      </c>
      <c r="B276" s="70">
        <f>IF('Final Calculation Sheet'!$J$21="","",'Final Calculation Sheet'!$J$21)</f>
        <v/>
      </c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149">
        <f>SUM(B276:N276)</f>
        <v/>
      </c>
    </row>
    <row r="277" outlineLevel="2" ht="15" customHeight="1">
      <c r="A277" s="69" t="inlineStr">
        <is>
          <t xml:space="preserve">      TCS @ 2% (₹)</t>
        </is>
      </c>
      <c r="B277" s="70">
        <f>IF('Final Calculation Sheet'!$K$21="","",'Final Calculation Sheet'!$K$21)</f>
        <v/>
      </c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149">
        <f>SUM(B277:N277)</f>
        <v/>
      </c>
    </row>
    <row r="278" outlineLevel="2" ht="15" customHeight="1">
      <c r="A278" s="69" t="inlineStr">
        <is>
          <t xml:space="preserve">      TDS u/s 194(O) (₹)</t>
        </is>
      </c>
      <c r="B278" s="78">
        <f>IF('Final Calculation Sheet'!$L$21="","",'Final Calculation Sheet'!$L$21)</f>
        <v/>
      </c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150">
        <f>SUM(B278:N278)</f>
        <v/>
      </c>
    </row>
    <row r="279" outlineLevel="2" ht="15" customHeight="1">
      <c r="A279" s="69" t="inlineStr">
        <is>
          <t xml:space="preserve">      Service Charge gross (₹)</t>
        </is>
      </c>
      <c r="B279" s="78">
        <f>IF('Final Calculation Sheet'!$M$21="","",'Final Calculation Sheet'!$M$21)</f>
        <v/>
      </c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150">
        <f>SUM(B279:N279)</f>
        <v/>
      </c>
    </row>
    <row r="280" outlineLevel="2" ht="15" customHeight="1">
      <c r="A280" s="69" t="inlineStr">
        <is>
          <t xml:space="preserve">      TDS u/s 194(H) (₹)</t>
        </is>
      </c>
      <c r="B280" s="78">
        <f>IF('Final Calculation Sheet'!$N$21="","",'Final Calculation Sheet'!$N$21)</f>
        <v/>
      </c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150">
        <f>SUM(B280:N280)</f>
        <v/>
      </c>
    </row>
    <row r="281" outlineLevel="2" ht="15" customHeight="1">
      <c r="A281" s="69" t="inlineStr">
        <is>
          <t xml:space="preserve">      Net Service Charge (₹)</t>
        </is>
      </c>
      <c r="B281" s="78">
        <f>IF('Final Calculation Sheet'!$O$21="","",'Final Calculation Sheet'!$O$21)</f>
        <v/>
      </c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150">
        <f>SUM(B281:N281)</f>
        <v/>
      </c>
    </row>
    <row r="282" outlineLevel="2" ht="15" customHeight="1">
      <c r="A282" s="69" t="inlineStr">
        <is>
          <t xml:space="preserve">      Svc Charge to MSTC (₹)</t>
        </is>
      </c>
      <c r="B282" s="70">
        <f>IF('Final Calculation Sheet'!$P$21="","",'Final Calculation Sheet'!$P$21)</f>
        <v/>
      </c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149">
        <f>SUM(B282:N282)</f>
        <v/>
      </c>
    </row>
    <row r="283" outlineLevel="2" ht="15" customHeight="1">
      <c r="A283" s="69" t="inlineStr">
        <is>
          <t xml:space="preserve">      GST TDS Rate</t>
        </is>
      </c>
      <c r="B283" s="80">
        <f>IF('Final Calculation Sheet'!$Q$21="","",'Final Calculation Sheet'!$Q$21)</f>
        <v/>
      </c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147" t="inlineStr">
        <is>
          <t>–</t>
        </is>
      </c>
    </row>
    <row r="284" outlineLevel="2" ht="15" customHeight="1">
      <c r="A284" s="69" t="inlineStr">
        <is>
          <t xml:space="preserve">      GST TDS (₹)</t>
        </is>
      </c>
      <c r="B284" s="70">
        <f>IF('Final Calculation Sheet'!$R$21="","",'Final Calculation Sheet'!$R$21)</f>
        <v/>
      </c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149">
        <f>SUM(B284:N284)</f>
        <v/>
      </c>
    </row>
    <row r="285" outlineLevel="2" ht="15" customHeight="1">
      <c r="A285" s="69" t="inlineStr">
        <is>
          <t xml:space="preserve">      Total Receivables (₹)</t>
        </is>
      </c>
      <c r="B285" s="70">
        <f>IF('Final Calculation Sheet'!$S$21="","",'Final Calculation Sheet'!$S$21)</f>
        <v/>
      </c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149">
        <f>SUM(B285:N285)</f>
        <v/>
      </c>
    </row>
    <row r="286" outlineLevel="1" ht="16" customHeight="1">
      <c r="A286" s="143" t="inlineStr">
        <is>
          <t xml:space="preserve">  ▸ SECURITY DEPOSIT</t>
        </is>
      </c>
      <c r="B286" s="145" t="n"/>
      <c r="C286" s="145" t="n"/>
      <c r="D286" s="145" t="n"/>
      <c r="E286" s="145" t="n"/>
      <c r="F286" s="145" t="n"/>
      <c r="G286" s="145" t="n"/>
      <c r="H286" s="145" t="n"/>
      <c r="I286" s="145" t="n"/>
      <c r="J286" s="145" t="n"/>
      <c r="K286" s="145" t="n"/>
      <c r="L286" s="145" t="n"/>
      <c r="M286" s="145" t="n"/>
      <c r="N286" s="145" t="n"/>
      <c r="O286" s="145" t="n"/>
    </row>
    <row r="287" outlineLevel="2" ht="15" customHeight="1">
      <c r="A287" s="69" t="inlineStr">
        <is>
          <t xml:space="preserve">      SD Expected (₹)</t>
        </is>
      </c>
      <c r="B287" s="70">
        <f>IF('Final Calculation Sheet'!$T$21="","",'Final Calculation Sheet'!$T$21)</f>
        <v/>
      </c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149">
        <f>SUM(B287:N287)</f>
        <v/>
      </c>
    </row>
    <row r="288" outlineLevel="2" ht="15" customHeight="1">
      <c r="A288" s="69" t="inlineStr">
        <is>
          <t xml:space="preserve">      SD Received (₹)</t>
        </is>
      </c>
      <c r="B288" s="70">
        <f>IF('Final Calculation Sheet'!$U$21="","",'Final Calculation Sheet'!$U$21)</f>
        <v/>
      </c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149">
        <f>SUM(B288:N288)</f>
        <v/>
      </c>
    </row>
    <row r="289" outlineLevel="2" ht="15" customHeight="1">
      <c r="A289" s="69" t="inlineStr">
        <is>
          <t xml:space="preserve">      SD Receipt Date</t>
        </is>
      </c>
      <c r="B289" s="76">
        <f>IF('Final Calculation Sheet'!$V$21="","",'Final Calculation Sheet'!$V$21)</f>
        <v/>
      </c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147" t="inlineStr">
        <is>
          <t>–</t>
        </is>
      </c>
    </row>
    <row r="290" outlineLevel="1" ht="16" customHeight="1">
      <c r="A290" s="143" t="inlineStr">
        <is>
          <t xml:space="preserve">  ▸ FINAL PAYMENT</t>
        </is>
      </c>
      <c r="B290" s="145" t="n"/>
      <c r="C290" s="145" t="n"/>
      <c r="D290" s="145" t="n"/>
      <c r="E290" s="145" t="n"/>
      <c r="F290" s="145" t="n"/>
      <c r="G290" s="145" t="n"/>
      <c r="H290" s="145" t="n"/>
      <c r="I290" s="145" t="n"/>
      <c r="J290" s="145" t="n"/>
      <c r="K290" s="145" t="n"/>
      <c r="L290" s="145" t="n"/>
      <c r="M290" s="145" t="n"/>
      <c r="N290" s="145" t="n"/>
      <c r="O290" s="145" t="n"/>
    </row>
    <row r="291" outlineLevel="2" ht="15" customHeight="1">
      <c r="A291" s="69" t="inlineStr">
        <is>
          <t xml:space="preserve">      FP Expected (₹)</t>
        </is>
      </c>
      <c r="B291" s="70">
        <f>IF('Final Calculation Sheet'!$W$21="","",'Final Calculation Sheet'!$W$21)</f>
        <v/>
      </c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149">
        <f>SUM(B291:N291)</f>
        <v/>
      </c>
    </row>
    <row r="292" outlineLevel="2" ht="15" customHeight="1">
      <c r="A292" s="69" t="inlineStr">
        <is>
          <t xml:space="preserve">      FP Received (₹)</t>
        </is>
      </c>
      <c r="B292" s="70">
        <f>IF('Final Calculation Sheet'!$X$21="","",'Final Calculation Sheet'!$X$21)</f>
        <v/>
      </c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149">
        <f>SUM(B292:N292)</f>
        <v/>
      </c>
    </row>
    <row r="293" outlineLevel="2" ht="15" customHeight="1">
      <c r="A293" s="69" t="inlineStr">
        <is>
          <t xml:space="preserve">      FP Receipt Date</t>
        </is>
      </c>
      <c r="B293" s="76">
        <f>IF('Final Calculation Sheet'!$Y$21="","",'Final Calculation Sheet'!$Y$21)</f>
        <v/>
      </c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147" t="inlineStr">
        <is>
          <t>–</t>
        </is>
      </c>
    </row>
    <row r="294" outlineLevel="1" ht="16" customHeight="1">
      <c r="A294" s="143" t="inlineStr">
        <is>
          <t xml:space="preserve">  ▸ LPP</t>
        </is>
      </c>
      <c r="B294" s="145" t="n"/>
      <c r="C294" s="145" t="n"/>
      <c r="D294" s="145" t="n"/>
      <c r="E294" s="145" t="n"/>
      <c r="F294" s="145" t="n"/>
      <c r="G294" s="145" t="n"/>
      <c r="H294" s="145" t="n"/>
      <c r="I294" s="145" t="n"/>
      <c r="J294" s="145" t="n"/>
      <c r="K294" s="145" t="n"/>
      <c r="L294" s="145" t="n"/>
      <c r="M294" s="145" t="n"/>
      <c r="N294" s="145" t="n"/>
      <c r="O294" s="145" t="n"/>
    </row>
    <row r="295" outlineLevel="2" ht="15" customHeight="1">
      <c r="A295" s="69" t="inlineStr">
        <is>
          <t xml:space="preserve">      LPP Expected (₹)</t>
        </is>
      </c>
      <c r="B295" s="70">
        <f>IF('Final Calculation Sheet'!$Z$21="","",'Final Calculation Sheet'!$Z$21)</f>
        <v/>
      </c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149">
        <f>SUM(B295:N295)</f>
        <v/>
      </c>
    </row>
    <row r="296" outlineLevel="2" ht="15" customHeight="1">
      <c r="A296" s="69" t="inlineStr">
        <is>
          <t xml:space="preserve">      LPP Received (₹)</t>
        </is>
      </c>
      <c r="B296" s="70">
        <f>IF('Final Calculation Sheet'!$AA$21="","",'Final Calculation Sheet'!$AA$21)</f>
        <v/>
      </c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149">
        <f>SUM(B296:N296)</f>
        <v/>
      </c>
    </row>
    <row r="297" outlineLevel="2" ht="15" customHeight="1">
      <c r="A297" s="69" t="inlineStr">
        <is>
          <t xml:space="preserve">      LPP Receipt Date</t>
        </is>
      </c>
      <c r="B297" s="76">
        <f>IF('Final Calculation Sheet'!$AB$21="","",'Final Calculation Sheet'!$AB$21)</f>
        <v/>
      </c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147" t="inlineStr">
        <is>
          <t>–</t>
        </is>
      </c>
    </row>
    <row r="298" outlineLevel="1" ht="16" customHeight="1">
      <c r="A298" s="143" t="inlineStr">
        <is>
          <t xml:space="preserve">  ▸ SUMMARY</t>
        </is>
      </c>
      <c r="B298" s="145" t="n"/>
      <c r="C298" s="145" t="n"/>
      <c r="D298" s="145" t="n"/>
      <c r="E298" s="145" t="n"/>
      <c r="F298" s="145" t="n"/>
      <c r="G298" s="145" t="n"/>
      <c r="H298" s="145" t="n"/>
      <c r="I298" s="145" t="n"/>
      <c r="J298" s="145" t="n"/>
      <c r="K298" s="145" t="n"/>
      <c r="L298" s="145" t="n"/>
      <c r="M298" s="145" t="n"/>
      <c r="N298" s="145" t="n"/>
      <c r="O298" s="145" t="n"/>
    </row>
    <row r="299" outlineLevel="2" ht="15" customHeight="1">
      <c r="A299" s="69" t="inlineStr">
        <is>
          <t xml:space="preserve">      Total Received (₹)</t>
        </is>
      </c>
      <c r="B299" s="70">
        <f>IF('Final Calculation Sheet'!$AC$21="","",'Final Calculation Sheet'!$AC$21)</f>
        <v/>
      </c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149">
        <f>SUM(B299:N299)</f>
        <v/>
      </c>
    </row>
    <row r="300" outlineLevel="2" ht="15" customHeight="1">
      <c r="A300" s="69" t="inlineStr">
        <is>
          <t xml:space="preserve">      Outstanding (₹)</t>
        </is>
      </c>
      <c r="B300" s="70">
        <f>IF('Final Calculation Sheet'!$AD$21="","",'Final Calculation Sheet'!$AD$21)</f>
        <v/>
      </c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149">
        <f>SUM(B300:N300)</f>
        <v/>
      </c>
    </row>
    <row r="301" outlineLevel="2" ht="15" customHeight="1">
      <c r="A301" s="69" t="inlineStr">
        <is>
          <t xml:space="preserve">      Payment Status</t>
        </is>
      </c>
      <c r="B301" s="81">
        <f>IF('Final Calculation Sheet'!$AD$21="","",IF('Final Calculation Sheet'!$AD$21&lt;=0,"SETTLED","OUTSTANDING"))</f>
        <v/>
      </c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147" t="inlineStr">
        <is>
          <t>–</t>
        </is>
      </c>
    </row>
    <row r="302" outlineLevel="1" ht="16" customHeight="1">
      <c r="A302" s="143" t="inlineStr">
        <is>
          <t xml:space="preserve">  ▸ DOCUMENT</t>
        </is>
      </c>
      <c r="B302" s="145" t="n"/>
      <c r="C302" s="145" t="n"/>
      <c r="D302" s="145" t="n"/>
      <c r="E302" s="145" t="n"/>
      <c r="F302" s="145" t="n"/>
      <c r="G302" s="145" t="n"/>
      <c r="H302" s="145" t="n"/>
      <c r="I302" s="145" t="n"/>
      <c r="J302" s="145" t="n"/>
      <c r="K302" s="145" t="n"/>
      <c r="L302" s="145" t="n"/>
      <c r="M302" s="145" t="n"/>
      <c r="N302" s="145" t="n"/>
      <c r="O302" s="145" t="n"/>
    </row>
    <row r="303" outlineLevel="2" ht="15" customHeight="1">
      <c r="A303" s="69" t="inlineStr">
        <is>
          <t xml:space="preserve">      Invoice No.</t>
        </is>
      </c>
      <c r="B303" s="76">
        <f>IF('Final Calculation Sheet'!$AE$21="","",'Final Calculation Sheet'!$AE$21)</f>
        <v/>
      </c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147" t="inlineStr">
        <is>
          <t>–</t>
        </is>
      </c>
    </row>
    <row r="304" outlineLevel="2" ht="15" customHeight="1">
      <c r="A304" s="69" t="inlineStr">
        <is>
          <t xml:space="preserve">      SAP Document</t>
        </is>
      </c>
      <c r="B304" s="70">
        <f>IF('Final Calculation Sheet'!$AF$21="","",'Final Calculation Sheet'!$AF$21)</f>
        <v/>
      </c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147" t="inlineStr">
        <is>
          <t>–</t>
        </is>
      </c>
    </row>
    <row r="305" outlineLevel="2" ht="15" customHeight="1">
      <c r="A305" s="69" t="inlineStr">
        <is>
          <t xml:space="preserve">      Doc./Invoice Date</t>
        </is>
      </c>
      <c r="B305" s="76">
        <f>IF('Final Calculation Sheet'!$AG$21="","",'Final Calculation Sheet'!$AG$21)</f>
        <v/>
      </c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147" t="inlineStr">
        <is>
          <t>–</t>
        </is>
      </c>
    </row>
    <row r="306" ht="7" customHeight="1">
      <c r="A306" s="82" t="n"/>
      <c r="B306" s="82" t="n"/>
      <c r="C306" s="82" t="n"/>
      <c r="D306" s="82" t="n"/>
      <c r="E306" s="82" t="n"/>
      <c r="F306" s="82" t="n"/>
      <c r="G306" s="82" t="n"/>
      <c r="H306" s="82" t="n"/>
      <c r="I306" s="82" t="n"/>
      <c r="J306" s="82" t="n"/>
      <c r="K306" s="82" t="n"/>
      <c r="L306" s="82" t="n"/>
      <c r="M306" s="82" t="n"/>
      <c r="N306" s="82" t="n"/>
      <c r="O306" s="82" t="n"/>
    </row>
    <row r="307" ht="24" customHeight="1">
      <c r="A307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</row>
    <row r="308" outlineLevel="1" ht="18" customHeight="1">
      <c r="A308" s="152" t="inlineStr">
        <is>
          <t xml:space="preserve">   Lot No. →</t>
        </is>
      </c>
      <c r="B308" s="153">
        <f>IF('Final Calculation Sheet'!$F$8="","",'Final Calculation Sheet'!$F$8)</f>
        <v/>
      </c>
      <c r="C308" s="153">
        <f>IF('Final Calculation Sheet'!$F$20="","",'Final Calculation Sheet'!$F$20)</f>
        <v/>
      </c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5" t="inlineStr">
        <is>
          <t>TOTAL</t>
        </is>
      </c>
    </row>
    <row r="309" outlineLevel="1" ht="16" customHeight="1">
      <c r="A309" s="152" t="inlineStr">
        <is>
          <t xml:space="preserve">  ▸ LOT INFORMATION</t>
        </is>
      </c>
      <c r="B309" s="154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</row>
    <row r="310" outlineLevel="2" ht="15" customHeight="1">
      <c r="A310" s="69" t="inlineStr">
        <is>
          <t xml:space="preserve">      Lot No.</t>
        </is>
      </c>
      <c r="B310" s="70">
        <f>IF('Final Calculation Sheet'!$F$8="","",'Final Calculation Sheet'!$F$8)</f>
        <v/>
      </c>
      <c r="C310" s="156">
        <f>IF('Final Calculation Sheet'!$F$20="","",'Final Calculation Sheet'!$F$20)</f>
        <v/>
      </c>
      <c r="D310" s="71" t="n"/>
      <c r="E310" s="71" t="n"/>
      <c r="F310" s="71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157" t="inlineStr">
        <is>
          <t>–</t>
        </is>
      </c>
    </row>
    <row r="311" outlineLevel="2" ht="60" customHeight="1">
      <c r="A311" s="69" t="inlineStr">
        <is>
          <t xml:space="preserve">      Lot Name</t>
        </is>
      </c>
      <c r="B311" s="73">
        <f>IF('Final Calculation Sheet'!$B$8="","",'Final Calculation Sheet'!$B$8)</f>
        <v/>
      </c>
      <c r="C311" s="158">
        <f>IF('Final Calculation Sheet'!$B$20="","",'Final Calculation Sheet'!$B$20)</f>
        <v/>
      </c>
      <c r="D311" s="71" t="n"/>
      <c r="E311" s="71" t="n"/>
      <c r="F311" s="71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157" t="inlineStr">
        <is>
          <t>–</t>
        </is>
      </c>
    </row>
    <row r="312" outlineLevel="2" ht="15" customHeight="1">
      <c r="A312" s="69" t="inlineStr">
        <is>
          <t xml:space="preserve">      Bid Sheet / Auction</t>
        </is>
      </c>
      <c r="B312" s="70">
        <f>IF('Final Calculation Sheet'!$D$8="","",'Final Calculation Sheet'!$D$8)</f>
        <v/>
      </c>
      <c r="C312" s="156">
        <f>IF('Final Calculation Sheet'!$D$20="","",'Final Calculation Sheet'!$D$20)</f>
        <v/>
      </c>
      <c r="D312" s="71" t="n"/>
      <c r="E312" s="71" t="n"/>
      <c r="F312" s="71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157" t="inlineStr">
        <is>
          <t>–</t>
        </is>
      </c>
    </row>
    <row r="313" outlineLevel="2" ht="15" customHeight="1">
      <c r="A313" s="69" t="inlineStr">
        <is>
          <t xml:space="preserve">      Quantity</t>
        </is>
      </c>
      <c r="B313" s="74">
        <f>IF('Final Calculation Sheet'!$A$8="","",'Final Calculation Sheet'!$A$8)</f>
        <v/>
      </c>
      <c r="C313" s="159">
        <f>IF('Final Calculation Sheet'!$A$20="","",'Final Calculation Sheet'!$A$20)</f>
        <v/>
      </c>
      <c r="D313" s="71" t="n"/>
      <c r="E313" s="71" t="n"/>
      <c r="F313" s="71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160">
        <f>SUM(B313:N313)</f>
        <v/>
      </c>
    </row>
    <row r="314" outlineLevel="2" ht="15" customHeight="1">
      <c r="A314" s="69" t="inlineStr">
        <is>
          <t xml:space="preserve">      Unit</t>
        </is>
      </c>
      <c r="B314" s="76">
        <f>IF('Final Calculation Sheet'!$E$8="","",'Final Calculation Sheet'!$E$8)</f>
        <v/>
      </c>
      <c r="C314" s="161">
        <f>IF('Final Calculation Sheet'!$E$20="","",'Final Calculation Sheet'!$E$20)</f>
        <v/>
      </c>
      <c r="D314" s="71" t="n"/>
      <c r="E314" s="71" t="n"/>
      <c r="F314" s="71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157" t="inlineStr">
        <is>
          <t>–</t>
        </is>
      </c>
    </row>
    <row r="315" outlineLevel="2" ht="15" customHeight="1">
      <c r="A315" s="69" t="inlineStr">
        <is>
          <t xml:space="preserve">      Rate (₹)</t>
        </is>
      </c>
      <c r="B315" s="70">
        <f>IF('Final Calculation Sheet'!$C$8="","",'Final Calculation Sheet'!$C$8)</f>
        <v/>
      </c>
      <c r="C315" s="156">
        <f>IF('Final Calculation Sheet'!$C$20="","",'Final Calculation Sheet'!$C$20)</f>
        <v/>
      </c>
      <c r="D315" s="71" t="n"/>
      <c r="E315" s="71" t="n"/>
      <c r="F315" s="71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157" t="inlineStr">
        <is>
          <t>–</t>
        </is>
      </c>
    </row>
    <row r="316" outlineLevel="1" ht="16" customHeight="1">
      <c r="A316" s="152" t="inlineStr">
        <is>
          <t xml:space="preserve">  ▸ FINANCIALS</t>
        </is>
      </c>
      <c r="B316" s="154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</row>
    <row r="317" outlineLevel="2" ht="15" customHeight="1">
      <c r="A317" s="69" t="inlineStr">
        <is>
          <t xml:space="preserve">      Mat. Value (₹)</t>
        </is>
      </c>
      <c r="B317" s="70">
        <f>IF('Final Calculation Sheet'!$H$8="","",'Final Calculation Sheet'!$H$8)</f>
        <v/>
      </c>
      <c r="C317" s="156">
        <f>IF('Final Calculation Sheet'!$H$20="","",'Final Calculation Sheet'!$H$20)</f>
        <v/>
      </c>
      <c r="D317" s="71" t="n"/>
      <c r="E317" s="71" t="n"/>
      <c r="F317" s="71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162">
        <f>SUM(B317:N317)</f>
        <v/>
      </c>
    </row>
    <row r="318" outlineLevel="2" ht="15" customHeight="1">
      <c r="A318" s="69" t="inlineStr">
        <is>
          <t xml:space="preserve">      GST @ 18% (₹)</t>
        </is>
      </c>
      <c r="B318" s="70">
        <f>IF('Final Calculation Sheet'!$I$8="","",'Final Calculation Sheet'!$I$8)</f>
        <v/>
      </c>
      <c r="C318" s="156">
        <f>IF('Final Calculation Sheet'!$I$20="","",'Final Calculation Sheet'!$I$20)</f>
        <v/>
      </c>
      <c r="D318" s="71" t="n"/>
      <c r="E318" s="71" t="n"/>
      <c r="F318" s="71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162">
        <f>SUM(B318:N318)</f>
        <v/>
      </c>
    </row>
    <row r="319" outlineLevel="2" ht="15" customHeight="1">
      <c r="A319" s="69" t="inlineStr">
        <is>
          <t xml:space="preserve">      Mat. Value + GST (₹)</t>
        </is>
      </c>
      <c r="B319" s="70">
        <f>IF('Final Calculation Sheet'!$J$8="","",'Final Calculation Sheet'!$J$8)</f>
        <v/>
      </c>
      <c r="C319" s="156">
        <f>IF('Final Calculation Sheet'!$J$20="","",'Final Calculation Sheet'!$J$20)</f>
        <v/>
      </c>
      <c r="D319" s="71" t="n"/>
      <c r="E319" s="71" t="n"/>
      <c r="F319" s="71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162">
        <f>SUM(B319:N319)</f>
        <v/>
      </c>
    </row>
    <row r="320" outlineLevel="2" ht="15" customHeight="1">
      <c r="A320" s="69" t="inlineStr">
        <is>
          <t xml:space="preserve">      TCS @ 2% (₹)</t>
        </is>
      </c>
      <c r="B320" s="70">
        <f>IF('Final Calculation Sheet'!$K$8="","",'Final Calculation Sheet'!$K$8)</f>
        <v/>
      </c>
      <c r="C320" s="156">
        <f>IF('Final Calculation Sheet'!$K$20="","",'Final Calculation Sheet'!$K$20)</f>
        <v/>
      </c>
      <c r="D320" s="71" t="n"/>
      <c r="E320" s="71" t="n"/>
      <c r="F320" s="71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162">
        <f>SUM(B320:N320)</f>
        <v/>
      </c>
    </row>
    <row r="321" outlineLevel="2" ht="15" customHeight="1">
      <c r="A321" s="69" t="inlineStr">
        <is>
          <t xml:space="preserve">      TDS u/s 194(O) (₹)</t>
        </is>
      </c>
      <c r="B321" s="78">
        <f>IF('Final Calculation Sheet'!$L$8="","",'Final Calculation Sheet'!$L$8)</f>
        <v/>
      </c>
      <c r="C321" s="163">
        <f>IF('Final Calculation Sheet'!$L$20="","",'Final Calculation Sheet'!$L$20)</f>
        <v/>
      </c>
      <c r="D321" s="71" t="n"/>
      <c r="E321" s="71" t="n"/>
      <c r="F321" s="71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164">
        <f>SUM(B321:N321)</f>
        <v/>
      </c>
    </row>
    <row r="322" outlineLevel="2" ht="15" customHeight="1">
      <c r="A322" s="69" t="inlineStr">
        <is>
          <t xml:space="preserve">      Service Charge gross (₹)</t>
        </is>
      </c>
      <c r="B322" s="78">
        <f>IF('Final Calculation Sheet'!$M$8="","",'Final Calculation Sheet'!$M$8)</f>
        <v/>
      </c>
      <c r="C322" s="163">
        <f>IF('Final Calculation Sheet'!$M$20="","",'Final Calculation Sheet'!$M$20)</f>
        <v/>
      </c>
      <c r="D322" s="71" t="n"/>
      <c r="E322" s="71" t="n"/>
      <c r="F322" s="71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164">
        <f>SUM(B322:N322)</f>
        <v/>
      </c>
    </row>
    <row r="323" outlineLevel="2" ht="15" customHeight="1">
      <c r="A323" s="69" t="inlineStr">
        <is>
          <t xml:space="preserve">      TDS u/s 194(H) (₹)</t>
        </is>
      </c>
      <c r="B323" s="78">
        <f>IF('Final Calculation Sheet'!$N$8="","",'Final Calculation Sheet'!$N$8)</f>
        <v/>
      </c>
      <c r="C323" s="163">
        <f>IF('Final Calculation Sheet'!$N$20="","",'Final Calculation Sheet'!$N$20)</f>
        <v/>
      </c>
      <c r="D323" s="71" t="n"/>
      <c r="E323" s="71" t="n"/>
      <c r="F323" s="71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164">
        <f>SUM(B323:N323)</f>
        <v/>
      </c>
    </row>
    <row r="324" outlineLevel="2" ht="15" customHeight="1">
      <c r="A324" s="69" t="inlineStr">
        <is>
          <t xml:space="preserve">      Net Service Charge (₹)</t>
        </is>
      </c>
      <c r="B324" s="78">
        <f>IF('Final Calculation Sheet'!$O$8="","",'Final Calculation Sheet'!$O$8)</f>
        <v/>
      </c>
      <c r="C324" s="163">
        <f>IF('Final Calculation Sheet'!$O$20="","",'Final Calculation Sheet'!$O$20)</f>
        <v/>
      </c>
      <c r="D324" s="71" t="n"/>
      <c r="E324" s="71" t="n"/>
      <c r="F324" s="71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164">
        <f>SUM(B324:N324)</f>
        <v/>
      </c>
    </row>
    <row r="325" outlineLevel="2" ht="15" customHeight="1">
      <c r="A325" s="69" t="inlineStr">
        <is>
          <t xml:space="preserve">      Svc Charge to MSTC (₹)</t>
        </is>
      </c>
      <c r="B325" s="70">
        <f>IF('Final Calculation Sheet'!$P$8="","",'Final Calculation Sheet'!$P$8)</f>
        <v/>
      </c>
      <c r="C325" s="156">
        <f>IF('Final Calculation Sheet'!$P$20="","",'Final Calculation Sheet'!$P$20)</f>
        <v/>
      </c>
      <c r="D325" s="71" t="n"/>
      <c r="E325" s="71" t="n"/>
      <c r="F325" s="71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162">
        <f>SUM(B325:N325)</f>
        <v/>
      </c>
    </row>
    <row r="326" outlineLevel="2" ht="15" customHeight="1">
      <c r="A326" s="69" t="inlineStr">
        <is>
          <t xml:space="preserve">      GST TDS Rate</t>
        </is>
      </c>
      <c r="B326" s="80">
        <f>IF('Final Calculation Sheet'!$Q$8="","",'Final Calculation Sheet'!$Q$8)</f>
        <v/>
      </c>
      <c r="C326" s="165">
        <f>IF('Final Calculation Sheet'!$Q$20="","",'Final Calculation Sheet'!$Q$20)</f>
        <v/>
      </c>
      <c r="D326" s="71" t="n"/>
      <c r="E326" s="71" t="n"/>
      <c r="F326" s="71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157" t="inlineStr">
        <is>
          <t>–</t>
        </is>
      </c>
    </row>
    <row r="327" outlineLevel="2" ht="15" customHeight="1">
      <c r="A327" s="69" t="inlineStr">
        <is>
          <t xml:space="preserve">      GST TDS (₹)</t>
        </is>
      </c>
      <c r="B327" s="70">
        <f>IF('Final Calculation Sheet'!$R$8="","",'Final Calculation Sheet'!$R$8)</f>
        <v/>
      </c>
      <c r="C327" s="156">
        <f>IF('Final Calculation Sheet'!$R$20="","",'Final Calculation Sheet'!$R$20)</f>
        <v/>
      </c>
      <c r="D327" s="71" t="n"/>
      <c r="E327" s="71" t="n"/>
      <c r="F327" s="71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162">
        <f>SUM(B327:N327)</f>
        <v/>
      </c>
    </row>
    <row r="328" outlineLevel="2" ht="15" customHeight="1">
      <c r="A328" s="69" t="inlineStr">
        <is>
          <t xml:space="preserve">      Total Receivables (₹)</t>
        </is>
      </c>
      <c r="B328" s="70">
        <f>IF('Final Calculation Sheet'!$S$8="","",'Final Calculation Sheet'!$S$8)</f>
        <v/>
      </c>
      <c r="C328" s="156">
        <f>IF('Final Calculation Sheet'!$S$20="","",'Final Calculation Sheet'!$S$20)</f>
        <v/>
      </c>
      <c r="D328" s="71" t="n"/>
      <c r="E328" s="71" t="n"/>
      <c r="F328" s="71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162">
        <f>SUM(B328:N328)</f>
        <v/>
      </c>
    </row>
    <row r="329" outlineLevel="1" ht="16" customHeight="1">
      <c r="A329" s="152" t="inlineStr">
        <is>
          <t xml:space="preserve">  ▸ SECURITY DEPOSIT</t>
        </is>
      </c>
      <c r="B329" s="154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</row>
    <row r="330" outlineLevel="2" ht="15" customHeight="1">
      <c r="A330" s="69" t="inlineStr">
        <is>
          <t xml:space="preserve">      SD Expected (₹)</t>
        </is>
      </c>
      <c r="B330" s="70">
        <f>IF('Final Calculation Sheet'!$T$8="","",'Final Calculation Sheet'!$T$8)</f>
        <v/>
      </c>
      <c r="C330" s="156">
        <f>IF('Final Calculation Sheet'!$T$20="","",'Final Calculation Sheet'!$T$20)</f>
        <v/>
      </c>
      <c r="D330" s="71" t="n"/>
      <c r="E330" s="71" t="n"/>
      <c r="F330" s="71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162">
        <f>SUM(B330:N330)</f>
        <v/>
      </c>
    </row>
    <row r="331" outlineLevel="2" ht="15" customHeight="1">
      <c r="A331" s="69" t="inlineStr">
        <is>
          <t xml:space="preserve">      SD Received (₹)</t>
        </is>
      </c>
      <c r="B331" s="70">
        <f>IF('Final Calculation Sheet'!$U$8="","",'Final Calculation Sheet'!$U$8)</f>
        <v/>
      </c>
      <c r="C331" s="156">
        <f>IF('Final Calculation Sheet'!$U$20="","",'Final Calculation Sheet'!$U$20)</f>
        <v/>
      </c>
      <c r="D331" s="71" t="n"/>
      <c r="E331" s="71" t="n"/>
      <c r="F331" s="71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162">
        <f>SUM(B331:N331)</f>
        <v/>
      </c>
    </row>
    <row r="332" outlineLevel="2" ht="15" customHeight="1">
      <c r="A332" s="69" t="inlineStr">
        <is>
          <t xml:space="preserve">      SD Receipt Date</t>
        </is>
      </c>
      <c r="B332" s="76">
        <f>IF('Final Calculation Sheet'!$V$8="","",'Final Calculation Sheet'!$V$8)</f>
        <v/>
      </c>
      <c r="C332" s="161">
        <f>IF('Final Calculation Sheet'!$V$20="","",'Final Calculation Sheet'!$V$20)</f>
        <v/>
      </c>
      <c r="D332" s="71" t="n"/>
      <c r="E332" s="71" t="n"/>
      <c r="F332" s="71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157" t="inlineStr">
        <is>
          <t>–</t>
        </is>
      </c>
    </row>
    <row r="333" outlineLevel="1" ht="16" customHeight="1">
      <c r="A333" s="152" t="inlineStr">
        <is>
          <t xml:space="preserve">  ▸ FINAL PAYMENT</t>
        </is>
      </c>
      <c r="B333" s="154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</row>
    <row r="334" outlineLevel="2" ht="15" customHeight="1">
      <c r="A334" s="69" t="inlineStr">
        <is>
          <t xml:space="preserve">      FP Expected (₹)</t>
        </is>
      </c>
      <c r="B334" s="70">
        <f>IF('Final Calculation Sheet'!$W$8="","",'Final Calculation Sheet'!$W$8)</f>
        <v/>
      </c>
      <c r="C334" s="156">
        <f>IF('Final Calculation Sheet'!$W$20="","",'Final Calculation Sheet'!$W$20)</f>
        <v/>
      </c>
      <c r="D334" s="71" t="n"/>
      <c r="E334" s="71" t="n"/>
      <c r="F334" s="71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162">
        <f>SUM(B334:N334)</f>
        <v/>
      </c>
    </row>
    <row r="335" outlineLevel="2" ht="15" customHeight="1">
      <c r="A335" s="69" t="inlineStr">
        <is>
          <t xml:space="preserve">      FP Received (₹)</t>
        </is>
      </c>
      <c r="B335" s="70">
        <f>IF('Final Calculation Sheet'!$X$8="","",'Final Calculation Sheet'!$X$8)</f>
        <v/>
      </c>
      <c r="C335" s="156">
        <f>IF('Final Calculation Sheet'!$X$20="","",'Final Calculation Sheet'!$X$20)</f>
        <v/>
      </c>
      <c r="D335" s="71" t="n"/>
      <c r="E335" s="71" t="n"/>
      <c r="F335" s="71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162">
        <f>SUM(B335:N335)</f>
        <v/>
      </c>
    </row>
    <row r="336" outlineLevel="2" ht="15" customHeight="1">
      <c r="A336" s="69" t="inlineStr">
        <is>
          <t xml:space="preserve">      FP Receipt Date</t>
        </is>
      </c>
      <c r="B336" s="76">
        <f>IF('Final Calculation Sheet'!$Y$8="","",'Final Calculation Sheet'!$Y$8)</f>
        <v/>
      </c>
      <c r="C336" s="161">
        <f>IF('Final Calculation Sheet'!$Y$20="","",'Final Calculation Sheet'!$Y$20)</f>
        <v/>
      </c>
      <c r="D336" s="71" t="n"/>
      <c r="E336" s="71" t="n"/>
      <c r="F336" s="71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157" t="inlineStr">
        <is>
          <t>–</t>
        </is>
      </c>
    </row>
    <row r="337" outlineLevel="1" ht="16" customHeight="1">
      <c r="A337" s="152" t="inlineStr">
        <is>
          <t xml:space="preserve">  ▸ LPP</t>
        </is>
      </c>
      <c r="B337" s="154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</row>
    <row r="338" outlineLevel="2" ht="15" customHeight="1">
      <c r="A338" s="69" t="inlineStr">
        <is>
          <t xml:space="preserve">      LPP Expected (₹)</t>
        </is>
      </c>
      <c r="B338" s="70">
        <f>IF('Final Calculation Sheet'!$Z$8="","",'Final Calculation Sheet'!$Z$8)</f>
        <v/>
      </c>
      <c r="C338" s="156">
        <f>IF('Final Calculation Sheet'!$Z$20="","",'Final Calculation Sheet'!$Z$20)</f>
        <v/>
      </c>
      <c r="D338" s="71" t="n"/>
      <c r="E338" s="71" t="n"/>
      <c r="F338" s="71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162">
        <f>SUM(B338:N338)</f>
        <v/>
      </c>
    </row>
    <row r="339" outlineLevel="2" ht="15" customHeight="1">
      <c r="A339" s="69" t="inlineStr">
        <is>
          <t xml:space="preserve">      LPP Received (₹)</t>
        </is>
      </c>
      <c r="B339" s="70">
        <f>IF('Final Calculation Sheet'!$AA$8="","",'Final Calculation Sheet'!$AA$8)</f>
        <v/>
      </c>
      <c r="C339" s="156">
        <f>IF('Final Calculation Sheet'!$AA$20="","",'Final Calculation Sheet'!$AA$20)</f>
        <v/>
      </c>
      <c r="D339" s="71" t="n"/>
      <c r="E339" s="71" t="n"/>
      <c r="F339" s="71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162">
        <f>SUM(B339:N339)</f>
        <v/>
      </c>
    </row>
    <row r="340" outlineLevel="2" ht="15" customHeight="1">
      <c r="A340" s="69" t="inlineStr">
        <is>
          <t xml:space="preserve">      LPP Receipt Date</t>
        </is>
      </c>
      <c r="B340" s="76">
        <f>IF('Final Calculation Sheet'!$AB$8="","",'Final Calculation Sheet'!$AB$8)</f>
        <v/>
      </c>
      <c r="C340" s="161">
        <f>IF('Final Calculation Sheet'!$AB$20="","",'Final Calculation Sheet'!$AB$20)</f>
        <v/>
      </c>
      <c r="D340" s="71" t="n"/>
      <c r="E340" s="71" t="n"/>
      <c r="F340" s="71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157" t="inlineStr">
        <is>
          <t>–</t>
        </is>
      </c>
    </row>
    <row r="341" outlineLevel="1" ht="16" customHeight="1">
      <c r="A341" s="152" t="inlineStr">
        <is>
          <t xml:space="preserve">  ▸ SUMMARY</t>
        </is>
      </c>
      <c r="B341" s="154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</row>
    <row r="342" outlineLevel="2" ht="15" customHeight="1">
      <c r="A342" s="69" t="inlineStr">
        <is>
          <t xml:space="preserve">      Total Received (₹)</t>
        </is>
      </c>
      <c r="B342" s="70">
        <f>IF('Final Calculation Sheet'!$AC$8="","",'Final Calculation Sheet'!$AC$8)</f>
        <v/>
      </c>
      <c r="C342" s="156">
        <f>IF('Final Calculation Sheet'!$AC$20="","",'Final Calculation Sheet'!$AC$20)</f>
        <v/>
      </c>
      <c r="D342" s="71" t="n"/>
      <c r="E342" s="71" t="n"/>
      <c r="F342" s="71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162">
        <f>SUM(B342:N342)</f>
        <v/>
      </c>
    </row>
    <row r="343" outlineLevel="2" ht="15" customHeight="1">
      <c r="A343" s="69" t="inlineStr">
        <is>
          <t xml:space="preserve">      Outstanding (₹)</t>
        </is>
      </c>
      <c r="B343" s="70">
        <f>IF('Final Calculation Sheet'!$AD$8="","",'Final Calculation Sheet'!$AD$8)</f>
        <v/>
      </c>
      <c r="C343" s="156">
        <f>IF('Final Calculation Sheet'!$AD$20="","",'Final Calculation Sheet'!$AD$20)</f>
        <v/>
      </c>
      <c r="D343" s="71" t="n"/>
      <c r="E343" s="71" t="n"/>
      <c r="F343" s="71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162">
        <f>SUM(B343:N343)</f>
        <v/>
      </c>
    </row>
    <row r="344" outlineLevel="2" ht="15" customHeight="1">
      <c r="A344" s="69" t="inlineStr">
        <is>
          <t xml:space="preserve">      Payment Status</t>
        </is>
      </c>
      <c r="B344" s="81">
        <f>IF('Final Calculation Sheet'!$AD$8="","",IF('Final Calculation Sheet'!$AD$8&lt;=0,"SETTLED","OUTSTANDING"))</f>
        <v/>
      </c>
      <c r="C344" s="166">
        <f>IF('Final Calculation Sheet'!$AD$20="","",IF('Final Calculation Sheet'!$AD$20&lt;=0,"SETTLED","OUTSTANDING"))</f>
        <v/>
      </c>
      <c r="D344" s="71" t="n"/>
      <c r="E344" s="71" t="n"/>
      <c r="F344" s="71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157" t="inlineStr">
        <is>
          <t>–</t>
        </is>
      </c>
    </row>
    <row r="345" outlineLevel="1" ht="16" customHeight="1">
      <c r="A345" s="152" t="inlineStr">
        <is>
          <t xml:space="preserve">  ▸ DOCUMENT</t>
        </is>
      </c>
      <c r="B345" s="154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</row>
    <row r="346" outlineLevel="2" ht="15" customHeight="1">
      <c r="A346" s="69" t="inlineStr">
        <is>
          <t xml:space="preserve">      Invoice No.</t>
        </is>
      </c>
      <c r="B346" s="76">
        <f>IF('Final Calculation Sheet'!$AE$8="","",'Final Calculation Sheet'!$AE$8)</f>
        <v/>
      </c>
      <c r="C346" s="161">
        <f>IF('Final Calculation Sheet'!$AE$20="","",'Final Calculation Sheet'!$AE$20)</f>
        <v/>
      </c>
      <c r="D346" s="71" t="n"/>
      <c r="E346" s="71" t="n"/>
      <c r="F346" s="71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157" t="inlineStr">
        <is>
          <t>–</t>
        </is>
      </c>
    </row>
    <row r="347" outlineLevel="2" ht="15" customHeight="1">
      <c r="A347" s="69" t="inlineStr">
        <is>
          <t xml:space="preserve">      SAP Document</t>
        </is>
      </c>
      <c r="B347" s="70">
        <f>IF('Final Calculation Sheet'!$AF$8="","",'Final Calculation Sheet'!$AF$8)</f>
        <v/>
      </c>
      <c r="C347" s="156">
        <f>IF('Final Calculation Sheet'!$AF$20="","",'Final Calculation Sheet'!$AF$20)</f>
        <v/>
      </c>
      <c r="D347" s="71" t="n"/>
      <c r="E347" s="71" t="n"/>
      <c r="F347" s="71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157" t="inlineStr">
        <is>
          <t>–</t>
        </is>
      </c>
    </row>
    <row r="348" outlineLevel="2" ht="15" customHeight="1">
      <c r="A348" s="69" t="inlineStr">
        <is>
          <t xml:space="preserve">      Doc./Invoice Date</t>
        </is>
      </c>
      <c r="B348" s="76">
        <f>IF('Final Calculation Sheet'!$AG$8="","",'Final Calculation Sheet'!$AG$8)</f>
        <v/>
      </c>
      <c r="C348" s="161">
        <f>IF('Final Calculation Sheet'!$AG$20="","",'Final Calculation Sheet'!$AG$20)</f>
        <v/>
      </c>
      <c r="D348" s="71" t="n"/>
      <c r="E348" s="71" t="n"/>
      <c r="F348" s="71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157" t="inlineStr">
        <is>
          <t>–</t>
        </is>
      </c>
    </row>
    <row r="349" ht="7" customHeight="1">
      <c r="A349" s="82" t="n"/>
      <c r="B349" s="82" t="n"/>
      <c r="C349" s="82" t="n"/>
      <c r="D349" s="82" t="n"/>
      <c r="E349" s="82" t="n"/>
      <c r="F349" s="82" t="n"/>
      <c r="G349" s="82" t="n"/>
      <c r="H349" s="82" t="n"/>
      <c r="I349" s="82" t="n"/>
      <c r="J349" s="82" t="n"/>
      <c r="K349" s="82" t="n"/>
      <c r="L349" s="82" t="n"/>
      <c r="M349" s="82" t="n"/>
      <c r="N349" s="82" t="n"/>
      <c r="O349" s="82" t="n"/>
    </row>
    <row r="350" ht="24" customHeight="1">
      <c r="A350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</row>
    <row r="351" outlineLevel="1" ht="18" customHeight="1">
      <c r="A351" s="65" t="inlineStr">
        <is>
          <t xml:space="preserve">   Lot No. →</t>
        </is>
      </c>
      <c r="B351" s="66">
        <f>IF('Final Calculation Sheet'!$F$39="","",'Final Calculation Sheet'!$F$39)</f>
        <v/>
      </c>
      <c r="C351" s="66">
        <f>IF('Final Calculation Sheet'!$F$40="","",'Final Calculation Sheet'!$F$40)</f>
        <v/>
      </c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8" t="inlineStr">
        <is>
          <t>TOTAL</t>
        </is>
      </c>
    </row>
    <row r="352" outlineLevel="1" ht="16" customHeight="1">
      <c r="A352" s="65" t="inlineStr">
        <is>
          <t xml:space="preserve">  ▸ LOT INFORMATION</t>
        </is>
      </c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</row>
    <row r="353" outlineLevel="2" ht="15" customHeight="1">
      <c r="A353" s="69" t="inlineStr">
        <is>
          <t xml:space="preserve">      Lot No.</t>
        </is>
      </c>
      <c r="B353" s="70">
        <f>IF('Final Calculation Sheet'!$F$39="","",'Final Calculation Sheet'!$F$39)</f>
        <v/>
      </c>
      <c r="C353" s="167">
        <f>IF('Final Calculation Sheet'!$F$40="","",'Final Calculation Sheet'!$F$40)</f>
        <v/>
      </c>
      <c r="D353" s="71" t="n"/>
      <c r="E353" s="71" t="n"/>
      <c r="F353" s="71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2" t="inlineStr">
        <is>
          <t>–</t>
        </is>
      </c>
    </row>
    <row r="354" outlineLevel="2" ht="60" customHeight="1">
      <c r="A354" s="69" t="inlineStr">
        <is>
          <t xml:space="preserve">      Lot Name</t>
        </is>
      </c>
      <c r="B354" s="73">
        <f>IF('Final Calculation Sheet'!$B$39="","",'Final Calculation Sheet'!$B$39)</f>
        <v/>
      </c>
      <c r="C354" s="168">
        <f>IF('Final Calculation Sheet'!$B$40="","",'Final Calculation Sheet'!$B$40)</f>
        <v/>
      </c>
      <c r="D354" s="71" t="n"/>
      <c r="E354" s="71" t="n"/>
      <c r="F354" s="71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2" t="inlineStr">
        <is>
          <t>–</t>
        </is>
      </c>
    </row>
    <row r="355" outlineLevel="2" ht="15" customHeight="1">
      <c r="A355" s="69" t="inlineStr">
        <is>
          <t xml:space="preserve">      Bid Sheet / Auction</t>
        </is>
      </c>
      <c r="B355" s="70">
        <f>IF('Final Calculation Sheet'!$D$39="","",'Final Calculation Sheet'!$D$39)</f>
        <v/>
      </c>
      <c r="C355" s="167">
        <f>IF('Final Calculation Sheet'!$D$40="","",'Final Calculation Sheet'!$D$40)</f>
        <v/>
      </c>
      <c r="D355" s="71" t="n"/>
      <c r="E355" s="71" t="n"/>
      <c r="F355" s="71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2" t="inlineStr">
        <is>
          <t>–</t>
        </is>
      </c>
    </row>
    <row r="356" outlineLevel="2" ht="15" customHeight="1">
      <c r="A356" s="69" t="inlineStr">
        <is>
          <t xml:space="preserve">      Quantity</t>
        </is>
      </c>
      <c r="B356" s="74">
        <f>IF('Final Calculation Sheet'!$A$39="","",'Final Calculation Sheet'!$A$39)</f>
        <v/>
      </c>
      <c r="C356" s="169">
        <f>IF('Final Calculation Sheet'!$A$40="","",'Final Calculation Sheet'!$A$40)</f>
        <v/>
      </c>
      <c r="D356" s="71" t="n"/>
      <c r="E356" s="71" t="n"/>
      <c r="F356" s="71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5">
        <f>SUM(B356:N356)</f>
        <v/>
      </c>
    </row>
    <row r="357" outlineLevel="2" ht="15" customHeight="1">
      <c r="A357" s="69" t="inlineStr">
        <is>
          <t xml:space="preserve">      Unit</t>
        </is>
      </c>
      <c r="B357" s="76">
        <f>IF('Final Calculation Sheet'!$E$39="","",'Final Calculation Sheet'!$E$39)</f>
        <v/>
      </c>
      <c r="C357" s="170">
        <f>IF('Final Calculation Sheet'!$E$40="","",'Final Calculation Sheet'!$E$40)</f>
        <v/>
      </c>
      <c r="D357" s="71" t="n"/>
      <c r="E357" s="71" t="n"/>
      <c r="F357" s="71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2" t="inlineStr">
        <is>
          <t>–</t>
        </is>
      </c>
    </row>
    <row r="358" outlineLevel="2" ht="15" customHeight="1">
      <c r="A358" s="69" t="inlineStr">
        <is>
          <t xml:space="preserve">      Rate (₹)</t>
        </is>
      </c>
      <c r="B358" s="70">
        <f>IF('Final Calculation Sheet'!$C$39="","",'Final Calculation Sheet'!$C$39)</f>
        <v/>
      </c>
      <c r="C358" s="167">
        <f>IF('Final Calculation Sheet'!$C$40="","",'Final Calculation Sheet'!$C$40)</f>
        <v/>
      </c>
      <c r="D358" s="71" t="n"/>
      <c r="E358" s="71" t="n"/>
      <c r="F358" s="71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2" t="inlineStr">
        <is>
          <t>–</t>
        </is>
      </c>
    </row>
    <row r="359" outlineLevel="1" ht="16" customHeight="1">
      <c r="A359" s="65" t="inlineStr">
        <is>
          <t xml:space="preserve">  ▸ FINANCIALS</t>
        </is>
      </c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</row>
    <row r="360" outlineLevel="2" ht="15" customHeight="1">
      <c r="A360" s="69" t="inlineStr">
        <is>
          <t xml:space="preserve">      Mat. Value (₹)</t>
        </is>
      </c>
      <c r="B360" s="70">
        <f>IF('Final Calculation Sheet'!$H$39="","",'Final Calculation Sheet'!$H$39)</f>
        <v/>
      </c>
      <c r="C360" s="167">
        <f>IF('Final Calculation Sheet'!$H$40="","",'Final Calculation Sheet'!$H$40)</f>
        <v/>
      </c>
      <c r="D360" s="71" t="n"/>
      <c r="E360" s="71" t="n"/>
      <c r="F360" s="71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7">
        <f>SUM(B360:N360)</f>
        <v/>
      </c>
    </row>
    <row r="361" outlineLevel="2" ht="15" customHeight="1">
      <c r="A361" s="69" t="inlineStr">
        <is>
          <t xml:space="preserve">      GST @ 18% (₹)</t>
        </is>
      </c>
      <c r="B361" s="70">
        <f>IF('Final Calculation Sheet'!$I$39="","",'Final Calculation Sheet'!$I$39)</f>
        <v/>
      </c>
      <c r="C361" s="167">
        <f>IF('Final Calculation Sheet'!$I$40="","",'Final Calculation Sheet'!$I$40)</f>
        <v/>
      </c>
      <c r="D361" s="71" t="n"/>
      <c r="E361" s="71" t="n"/>
      <c r="F361" s="71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7">
        <f>SUM(B361:N361)</f>
        <v/>
      </c>
    </row>
    <row r="362" outlineLevel="2" ht="15" customHeight="1">
      <c r="A362" s="69" t="inlineStr">
        <is>
          <t xml:space="preserve">      Mat. Value + GST (₹)</t>
        </is>
      </c>
      <c r="B362" s="70">
        <f>IF('Final Calculation Sheet'!$J$39="","",'Final Calculation Sheet'!$J$39)</f>
        <v/>
      </c>
      <c r="C362" s="167">
        <f>IF('Final Calculation Sheet'!$J$40="","",'Final Calculation Sheet'!$J$40)</f>
        <v/>
      </c>
      <c r="D362" s="71" t="n"/>
      <c r="E362" s="71" t="n"/>
      <c r="F362" s="71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7">
        <f>SUM(B362:N362)</f>
        <v/>
      </c>
    </row>
    <row r="363" outlineLevel="2" ht="15" customHeight="1">
      <c r="A363" s="69" t="inlineStr">
        <is>
          <t xml:space="preserve">      TCS @ 2% (₹)</t>
        </is>
      </c>
      <c r="B363" s="70">
        <f>IF('Final Calculation Sheet'!$K$39="","",'Final Calculation Sheet'!$K$39)</f>
        <v/>
      </c>
      <c r="C363" s="167">
        <f>IF('Final Calculation Sheet'!$K$40="","",'Final Calculation Sheet'!$K$40)</f>
        <v/>
      </c>
      <c r="D363" s="71" t="n"/>
      <c r="E363" s="71" t="n"/>
      <c r="F363" s="71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7">
        <f>SUM(B363:N363)</f>
        <v/>
      </c>
    </row>
    <row r="364" outlineLevel="2" ht="15" customHeight="1">
      <c r="A364" s="69" t="inlineStr">
        <is>
          <t xml:space="preserve">      TDS u/s 194(O) (₹)</t>
        </is>
      </c>
      <c r="B364" s="78">
        <f>IF('Final Calculation Sheet'!$L$39="","",'Final Calculation Sheet'!$L$39)</f>
        <v/>
      </c>
      <c r="C364" s="171">
        <f>IF('Final Calculation Sheet'!$L$40="","",'Final Calculation Sheet'!$L$40)</f>
        <v/>
      </c>
      <c r="D364" s="71" t="n"/>
      <c r="E364" s="71" t="n"/>
      <c r="F364" s="71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9">
        <f>SUM(B364:N364)</f>
        <v/>
      </c>
    </row>
    <row r="365" outlineLevel="2" ht="15" customHeight="1">
      <c r="A365" s="69" t="inlineStr">
        <is>
          <t xml:space="preserve">      Service Charge gross (₹)</t>
        </is>
      </c>
      <c r="B365" s="78">
        <f>IF('Final Calculation Sheet'!$M$39="","",'Final Calculation Sheet'!$M$39)</f>
        <v/>
      </c>
      <c r="C365" s="171">
        <f>IF('Final Calculation Sheet'!$M$40="","",'Final Calculation Sheet'!$M$40)</f>
        <v/>
      </c>
      <c r="D365" s="71" t="n"/>
      <c r="E365" s="71" t="n"/>
      <c r="F365" s="71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9">
        <f>SUM(B365:N365)</f>
        <v/>
      </c>
    </row>
    <row r="366" outlineLevel="2" ht="15" customHeight="1">
      <c r="A366" s="69" t="inlineStr">
        <is>
          <t xml:space="preserve">      TDS u/s 194(H) (₹)</t>
        </is>
      </c>
      <c r="B366" s="78">
        <f>IF('Final Calculation Sheet'!$N$39="","",'Final Calculation Sheet'!$N$39)</f>
        <v/>
      </c>
      <c r="C366" s="171">
        <f>IF('Final Calculation Sheet'!$N$40="","",'Final Calculation Sheet'!$N$40)</f>
        <v/>
      </c>
      <c r="D366" s="71" t="n"/>
      <c r="E366" s="71" t="n"/>
      <c r="F366" s="71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9">
        <f>SUM(B366:N366)</f>
        <v/>
      </c>
    </row>
    <row r="367" outlineLevel="2" ht="15" customHeight="1">
      <c r="A367" s="69" t="inlineStr">
        <is>
          <t xml:space="preserve">      Net Service Charge (₹)</t>
        </is>
      </c>
      <c r="B367" s="78">
        <f>IF('Final Calculation Sheet'!$O$39="","",'Final Calculation Sheet'!$O$39)</f>
        <v/>
      </c>
      <c r="C367" s="171">
        <f>IF('Final Calculation Sheet'!$O$40="","",'Final Calculation Sheet'!$O$40)</f>
        <v/>
      </c>
      <c r="D367" s="71" t="n"/>
      <c r="E367" s="71" t="n"/>
      <c r="F367" s="71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9">
        <f>SUM(B367:N367)</f>
        <v/>
      </c>
    </row>
    <row r="368" outlineLevel="2" ht="15" customHeight="1">
      <c r="A368" s="69" t="inlineStr">
        <is>
          <t xml:space="preserve">      Svc Charge to MSTC (₹)</t>
        </is>
      </c>
      <c r="B368" s="70">
        <f>IF('Final Calculation Sheet'!$P$39="","",'Final Calculation Sheet'!$P$39)</f>
        <v/>
      </c>
      <c r="C368" s="167">
        <f>IF('Final Calculation Sheet'!$P$40="","",'Final Calculation Sheet'!$P$40)</f>
        <v/>
      </c>
      <c r="D368" s="71" t="n"/>
      <c r="E368" s="71" t="n"/>
      <c r="F368" s="71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7">
        <f>SUM(B368:N368)</f>
        <v/>
      </c>
    </row>
    <row r="369" outlineLevel="2" ht="15" customHeight="1">
      <c r="A369" s="69" t="inlineStr">
        <is>
          <t xml:space="preserve">      GST TDS Rate</t>
        </is>
      </c>
      <c r="B369" s="80">
        <f>IF('Final Calculation Sheet'!$Q$39="","",'Final Calculation Sheet'!$Q$39)</f>
        <v/>
      </c>
      <c r="C369" s="172">
        <f>IF('Final Calculation Sheet'!$Q$40="","",'Final Calculation Sheet'!$Q$40)</f>
        <v/>
      </c>
      <c r="D369" s="71" t="n"/>
      <c r="E369" s="71" t="n"/>
      <c r="F369" s="71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2" t="inlineStr">
        <is>
          <t>–</t>
        </is>
      </c>
    </row>
    <row r="370" outlineLevel="2" ht="15" customHeight="1">
      <c r="A370" s="69" t="inlineStr">
        <is>
          <t xml:space="preserve">      GST TDS (₹)</t>
        </is>
      </c>
      <c r="B370" s="70">
        <f>IF('Final Calculation Sheet'!$R$39="","",'Final Calculation Sheet'!$R$39)</f>
        <v/>
      </c>
      <c r="C370" s="167">
        <f>IF('Final Calculation Sheet'!$R$40="","",'Final Calculation Sheet'!$R$40)</f>
        <v/>
      </c>
      <c r="D370" s="71" t="n"/>
      <c r="E370" s="71" t="n"/>
      <c r="F370" s="71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7">
        <f>SUM(B370:N370)</f>
        <v/>
      </c>
    </row>
    <row r="371" outlineLevel="2" ht="15" customHeight="1">
      <c r="A371" s="69" t="inlineStr">
        <is>
          <t xml:space="preserve">      Total Receivables (₹)</t>
        </is>
      </c>
      <c r="B371" s="70">
        <f>IF('Final Calculation Sheet'!$S$39="","",'Final Calculation Sheet'!$S$39)</f>
        <v/>
      </c>
      <c r="C371" s="167">
        <f>IF('Final Calculation Sheet'!$S$40="","",'Final Calculation Sheet'!$S$40)</f>
        <v/>
      </c>
      <c r="D371" s="71" t="n"/>
      <c r="E371" s="71" t="n"/>
      <c r="F371" s="71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7">
        <f>SUM(B371:N371)</f>
        <v/>
      </c>
    </row>
    <row r="372" outlineLevel="1" ht="16" customHeight="1">
      <c r="A372" s="65" t="inlineStr">
        <is>
          <t xml:space="preserve">  ▸ SECURITY DEPOSIT</t>
        </is>
      </c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</row>
    <row r="373" outlineLevel="2" ht="15" customHeight="1">
      <c r="A373" s="69" t="inlineStr">
        <is>
          <t xml:space="preserve">      SD Expected (₹)</t>
        </is>
      </c>
      <c r="B373" s="70">
        <f>IF('Final Calculation Sheet'!$T$39="","",'Final Calculation Sheet'!$T$39)</f>
        <v/>
      </c>
      <c r="C373" s="167">
        <f>IF('Final Calculation Sheet'!$T$40="","",'Final Calculation Sheet'!$T$40)</f>
        <v/>
      </c>
      <c r="D373" s="71" t="n"/>
      <c r="E373" s="71" t="n"/>
      <c r="F373" s="71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7">
        <f>SUM(B373:N373)</f>
        <v/>
      </c>
    </row>
    <row r="374" outlineLevel="2" ht="15" customHeight="1">
      <c r="A374" s="69" t="inlineStr">
        <is>
          <t xml:space="preserve">      SD Received (₹)</t>
        </is>
      </c>
      <c r="B374" s="70">
        <f>IF('Final Calculation Sheet'!$U$39="","",'Final Calculation Sheet'!$U$39)</f>
        <v/>
      </c>
      <c r="C374" s="167">
        <f>IF('Final Calculation Sheet'!$U$40="","",'Final Calculation Sheet'!$U$40)</f>
        <v/>
      </c>
      <c r="D374" s="71" t="n"/>
      <c r="E374" s="71" t="n"/>
      <c r="F374" s="71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7">
        <f>SUM(B374:N374)</f>
        <v/>
      </c>
    </row>
    <row r="375" outlineLevel="2" ht="15" customHeight="1">
      <c r="A375" s="69" t="inlineStr">
        <is>
          <t xml:space="preserve">      SD Receipt Date</t>
        </is>
      </c>
      <c r="B375" s="76">
        <f>IF('Final Calculation Sheet'!$V$39="","",'Final Calculation Sheet'!$V$39)</f>
        <v/>
      </c>
      <c r="C375" s="170">
        <f>IF('Final Calculation Sheet'!$V$40="","",'Final Calculation Sheet'!$V$40)</f>
        <v/>
      </c>
      <c r="D375" s="71" t="n"/>
      <c r="E375" s="71" t="n"/>
      <c r="F375" s="71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2" t="inlineStr">
        <is>
          <t>–</t>
        </is>
      </c>
    </row>
    <row r="376" outlineLevel="1" ht="16" customHeight="1">
      <c r="A376" s="65" t="inlineStr">
        <is>
          <t xml:space="preserve">  ▸ FINAL PAYMENT</t>
        </is>
      </c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</row>
    <row r="377" outlineLevel="2" ht="15" customHeight="1">
      <c r="A377" s="69" t="inlineStr">
        <is>
          <t xml:space="preserve">      FP Expected (₹)</t>
        </is>
      </c>
      <c r="B377" s="70">
        <f>IF('Final Calculation Sheet'!$W$39="","",'Final Calculation Sheet'!$W$39)</f>
        <v/>
      </c>
      <c r="C377" s="167">
        <f>IF('Final Calculation Sheet'!$W$40="","",'Final Calculation Sheet'!$W$40)</f>
        <v/>
      </c>
      <c r="D377" s="71" t="n"/>
      <c r="E377" s="71" t="n"/>
      <c r="F377" s="71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7">
        <f>SUM(B377:N377)</f>
        <v/>
      </c>
    </row>
    <row r="378" outlineLevel="2" ht="15" customHeight="1">
      <c r="A378" s="69" t="inlineStr">
        <is>
          <t xml:space="preserve">      FP Received (₹)</t>
        </is>
      </c>
      <c r="B378" s="70">
        <f>IF('Final Calculation Sheet'!$X$39="","",'Final Calculation Sheet'!$X$39)</f>
        <v/>
      </c>
      <c r="C378" s="167">
        <f>IF('Final Calculation Sheet'!$X$40="","",'Final Calculation Sheet'!$X$40)</f>
        <v/>
      </c>
      <c r="D378" s="71" t="n"/>
      <c r="E378" s="71" t="n"/>
      <c r="F378" s="71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7">
        <f>SUM(B378:N378)</f>
        <v/>
      </c>
    </row>
    <row r="379" outlineLevel="2" ht="15" customHeight="1">
      <c r="A379" s="69" t="inlineStr">
        <is>
          <t xml:space="preserve">      FP Receipt Date</t>
        </is>
      </c>
      <c r="B379" s="76">
        <f>IF('Final Calculation Sheet'!$Y$39="","",'Final Calculation Sheet'!$Y$39)</f>
        <v/>
      </c>
      <c r="C379" s="170">
        <f>IF('Final Calculation Sheet'!$Y$40="","",'Final Calculation Sheet'!$Y$40)</f>
        <v/>
      </c>
      <c r="D379" s="71" t="n"/>
      <c r="E379" s="71" t="n"/>
      <c r="F379" s="71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2" t="inlineStr">
        <is>
          <t>–</t>
        </is>
      </c>
    </row>
    <row r="380" outlineLevel="1" ht="16" customHeight="1">
      <c r="A380" s="65" t="inlineStr">
        <is>
          <t xml:space="preserve">  ▸ LPP</t>
        </is>
      </c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</row>
    <row r="381" outlineLevel="2" ht="15" customHeight="1">
      <c r="A381" s="69" t="inlineStr">
        <is>
          <t xml:space="preserve">      LPP Expected (₹)</t>
        </is>
      </c>
      <c r="B381" s="70">
        <f>IF('Final Calculation Sheet'!$Z$39="","",'Final Calculation Sheet'!$Z$39)</f>
        <v/>
      </c>
      <c r="C381" s="167">
        <f>IF('Final Calculation Sheet'!$Z$40="","",'Final Calculation Sheet'!$Z$40)</f>
        <v/>
      </c>
      <c r="D381" s="71" t="n"/>
      <c r="E381" s="71" t="n"/>
      <c r="F381" s="71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7">
        <f>SUM(B381:N381)</f>
        <v/>
      </c>
    </row>
    <row r="382" outlineLevel="2" ht="15" customHeight="1">
      <c r="A382" s="69" t="inlineStr">
        <is>
          <t xml:space="preserve">      LPP Received (₹)</t>
        </is>
      </c>
      <c r="B382" s="70">
        <f>IF('Final Calculation Sheet'!$AA$39="","",'Final Calculation Sheet'!$AA$39)</f>
        <v/>
      </c>
      <c r="C382" s="167">
        <f>IF('Final Calculation Sheet'!$AA$40="","",'Final Calculation Sheet'!$AA$40)</f>
        <v/>
      </c>
      <c r="D382" s="71" t="n"/>
      <c r="E382" s="71" t="n"/>
      <c r="F382" s="71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7">
        <f>SUM(B382:N382)</f>
        <v/>
      </c>
    </row>
    <row r="383" outlineLevel="2" ht="15" customHeight="1">
      <c r="A383" s="69" t="inlineStr">
        <is>
          <t xml:space="preserve">      LPP Receipt Date</t>
        </is>
      </c>
      <c r="B383" s="76">
        <f>IF('Final Calculation Sheet'!$AB$39="","",'Final Calculation Sheet'!$AB$39)</f>
        <v/>
      </c>
      <c r="C383" s="170">
        <f>IF('Final Calculation Sheet'!$AB$40="","",'Final Calculation Sheet'!$AB$40)</f>
        <v/>
      </c>
      <c r="D383" s="71" t="n"/>
      <c r="E383" s="71" t="n"/>
      <c r="F383" s="71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2" t="inlineStr">
        <is>
          <t>–</t>
        </is>
      </c>
    </row>
    <row r="384" outlineLevel="1" ht="16" customHeight="1">
      <c r="A384" s="65" t="inlineStr">
        <is>
          <t xml:space="preserve">  ▸ SUMMARY</t>
        </is>
      </c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</row>
    <row r="385" outlineLevel="2" ht="15" customHeight="1">
      <c r="A385" s="69" t="inlineStr">
        <is>
          <t xml:space="preserve">      Total Received (₹)</t>
        </is>
      </c>
      <c r="B385" s="70">
        <f>IF('Final Calculation Sheet'!$AC$39="","",'Final Calculation Sheet'!$AC$39)</f>
        <v/>
      </c>
      <c r="C385" s="167">
        <f>IF('Final Calculation Sheet'!$AC$40="","",'Final Calculation Sheet'!$AC$40)</f>
        <v/>
      </c>
      <c r="D385" s="71" t="n"/>
      <c r="E385" s="71" t="n"/>
      <c r="F385" s="71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7">
        <f>SUM(B385:N385)</f>
        <v/>
      </c>
    </row>
    <row r="386" outlineLevel="2" ht="15" customHeight="1">
      <c r="A386" s="69" t="inlineStr">
        <is>
          <t xml:space="preserve">      Outstanding (₹)</t>
        </is>
      </c>
      <c r="B386" s="70">
        <f>IF('Final Calculation Sheet'!$AD$39="","",'Final Calculation Sheet'!$AD$39)</f>
        <v/>
      </c>
      <c r="C386" s="167">
        <f>IF('Final Calculation Sheet'!$AD$40="","",'Final Calculation Sheet'!$AD$40)</f>
        <v/>
      </c>
      <c r="D386" s="71" t="n"/>
      <c r="E386" s="71" t="n"/>
      <c r="F386" s="71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7">
        <f>SUM(B386:N386)</f>
        <v/>
      </c>
    </row>
    <row r="387" outlineLevel="2" ht="15" customHeight="1">
      <c r="A387" s="69" t="inlineStr">
        <is>
          <t xml:space="preserve">      Payment Status</t>
        </is>
      </c>
      <c r="B387" s="81">
        <f>IF('Final Calculation Sheet'!$AD$39="","",IF('Final Calculation Sheet'!$AD$39&lt;=0,"SETTLED","OUTSTANDING"))</f>
        <v/>
      </c>
      <c r="C387" s="173">
        <f>IF('Final Calculation Sheet'!$AD$40="","",IF('Final Calculation Sheet'!$AD$40&lt;=0,"SETTLED","OUTSTANDING"))</f>
        <v/>
      </c>
      <c r="D387" s="71" t="n"/>
      <c r="E387" s="71" t="n"/>
      <c r="F387" s="71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2" t="inlineStr">
        <is>
          <t>–</t>
        </is>
      </c>
    </row>
    <row r="388" outlineLevel="1" ht="16" customHeight="1">
      <c r="A388" s="65" t="inlineStr">
        <is>
          <t xml:space="preserve">  ▸ DOCUMENT</t>
        </is>
      </c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</row>
    <row r="389" outlineLevel="2" ht="15" customHeight="1">
      <c r="A389" s="69" t="inlineStr">
        <is>
          <t xml:space="preserve">      Invoice No.</t>
        </is>
      </c>
      <c r="B389" s="76">
        <f>IF('Final Calculation Sheet'!$AE$39="","",'Final Calculation Sheet'!$AE$39)</f>
        <v/>
      </c>
      <c r="C389" s="170">
        <f>IF('Final Calculation Sheet'!$AE$40="","",'Final Calculation Sheet'!$AE$40)</f>
        <v/>
      </c>
      <c r="D389" s="71" t="n"/>
      <c r="E389" s="71" t="n"/>
      <c r="F389" s="71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2" t="inlineStr">
        <is>
          <t>–</t>
        </is>
      </c>
    </row>
    <row r="390" outlineLevel="2" ht="15" customHeight="1">
      <c r="A390" s="69" t="inlineStr">
        <is>
          <t xml:space="preserve">      SAP Document</t>
        </is>
      </c>
      <c r="B390" s="70">
        <f>IF('Final Calculation Sheet'!$AF$39="","",'Final Calculation Sheet'!$AF$39)</f>
        <v/>
      </c>
      <c r="C390" s="167">
        <f>IF('Final Calculation Sheet'!$AF$40="","",'Final Calculation Sheet'!$AF$40)</f>
        <v/>
      </c>
      <c r="D390" s="71" t="n"/>
      <c r="E390" s="71" t="n"/>
      <c r="F390" s="71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2" t="inlineStr">
        <is>
          <t>–</t>
        </is>
      </c>
    </row>
    <row r="391" outlineLevel="2" ht="15" customHeight="1">
      <c r="A391" s="69" t="inlineStr">
        <is>
          <t xml:space="preserve">      Doc./Invoice Date</t>
        </is>
      </c>
      <c r="B391" s="76">
        <f>IF('Final Calculation Sheet'!$AG$39="","",'Final Calculation Sheet'!$AG$39)</f>
        <v/>
      </c>
      <c r="C391" s="170">
        <f>IF('Final Calculation Sheet'!$AG$40="","",'Final Calculation Sheet'!$AG$40)</f>
        <v/>
      </c>
      <c r="D391" s="71" t="n"/>
      <c r="E391" s="71" t="n"/>
      <c r="F391" s="71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2" t="inlineStr">
        <is>
          <t>–</t>
        </is>
      </c>
    </row>
    <row r="392" ht="7" customHeight="1">
      <c r="A392" s="82" t="n"/>
      <c r="B392" s="82" t="n"/>
      <c r="C392" s="82" t="n"/>
      <c r="D392" s="82" t="n"/>
      <c r="E392" s="82" t="n"/>
      <c r="F392" s="82" t="n"/>
      <c r="G392" s="82" t="n"/>
      <c r="H392" s="82" t="n"/>
      <c r="I392" s="82" t="n"/>
      <c r="J392" s="82" t="n"/>
      <c r="K392" s="82" t="n"/>
      <c r="L392" s="82" t="n"/>
      <c r="M392" s="82" t="n"/>
      <c r="N392" s="82" t="n"/>
      <c r="O392" s="82" t="n"/>
    </row>
    <row r="393" ht="24" customHeight="1">
      <c r="A393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</row>
    <row r="394" outlineLevel="1" ht="18" customHeight="1">
      <c r="A394" s="84" t="inlineStr">
        <is>
          <t xml:space="preserve">   Lot No. →</t>
        </is>
      </c>
      <c r="B394" s="85">
        <f>IF('Final Calculation Sheet'!$F$31="","",'Final Calculation Sheet'!$F$31)</f>
        <v/>
      </c>
      <c r="C394" s="86" t="n"/>
      <c r="D394" s="86" t="n"/>
      <c r="E394" s="86" t="n"/>
      <c r="F394" s="86" t="n"/>
      <c r="G394" s="86" t="n"/>
      <c r="H394" s="86" t="n"/>
      <c r="I394" s="86" t="n"/>
      <c r="J394" s="86" t="n"/>
      <c r="K394" s="86" t="n"/>
      <c r="L394" s="86" t="n"/>
      <c r="M394" s="86" t="n"/>
      <c r="N394" s="86" t="n"/>
      <c r="O394" s="87" t="inlineStr">
        <is>
          <t>TOTAL</t>
        </is>
      </c>
    </row>
    <row r="395" outlineLevel="1" ht="16" customHeight="1">
      <c r="A395" s="84" t="inlineStr">
        <is>
          <t xml:space="preserve">  ▸ LOT INFORMATION</t>
        </is>
      </c>
      <c r="B395" s="86" t="n"/>
      <c r="C395" s="86" t="n"/>
      <c r="D395" s="86" t="n"/>
      <c r="E395" s="86" t="n"/>
      <c r="F395" s="86" t="n"/>
      <c r="G395" s="86" t="n"/>
      <c r="H395" s="86" t="n"/>
      <c r="I395" s="86" t="n"/>
      <c r="J395" s="86" t="n"/>
      <c r="K395" s="86" t="n"/>
      <c r="L395" s="86" t="n"/>
      <c r="M395" s="86" t="n"/>
      <c r="N395" s="86" t="n"/>
      <c r="O395" s="86" t="n"/>
    </row>
    <row r="396" outlineLevel="2" ht="15" customHeight="1">
      <c r="A396" s="69" t="inlineStr">
        <is>
          <t xml:space="preserve">      Lot No.</t>
        </is>
      </c>
      <c r="B396" s="70">
        <f>IF('Final Calculation Sheet'!$F$31="","",'Final Calculation Sheet'!$F$31)</f>
        <v/>
      </c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89" t="inlineStr">
        <is>
          <t>–</t>
        </is>
      </c>
    </row>
    <row r="397" outlineLevel="2" ht="60" customHeight="1">
      <c r="A397" s="69" t="inlineStr">
        <is>
          <t xml:space="preserve">      Lot Name</t>
        </is>
      </c>
      <c r="B397" s="73">
        <f>IF('Final Calculation Sheet'!$B$31="","",'Final Calculation Sheet'!$B$31)</f>
        <v/>
      </c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89" t="inlineStr">
        <is>
          <t>–</t>
        </is>
      </c>
    </row>
    <row r="398" outlineLevel="2" ht="15" customHeight="1">
      <c r="A398" s="69" t="inlineStr">
        <is>
          <t xml:space="preserve">      Bid Sheet / Auction</t>
        </is>
      </c>
      <c r="B398" s="70">
        <f>IF('Final Calculation Sheet'!$D$31="","",'Final Calculation Sheet'!$D$31)</f>
        <v/>
      </c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89" t="inlineStr">
        <is>
          <t>–</t>
        </is>
      </c>
    </row>
    <row r="399" outlineLevel="2" ht="15" customHeight="1">
      <c r="A399" s="69" t="inlineStr">
        <is>
          <t xml:space="preserve">      Quantity</t>
        </is>
      </c>
      <c r="B399" s="74">
        <f>IF('Final Calculation Sheet'!$A$31="","",'Final Calculation Sheet'!$A$31)</f>
        <v/>
      </c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92">
        <f>SUM(B399:N399)</f>
        <v/>
      </c>
    </row>
    <row r="400" outlineLevel="2" ht="15" customHeight="1">
      <c r="A400" s="69" t="inlineStr">
        <is>
          <t xml:space="preserve">      Unit</t>
        </is>
      </c>
      <c r="B400" s="76">
        <f>IF('Final Calculation Sheet'!$E$31="","",'Final Calculation Sheet'!$E$31)</f>
        <v/>
      </c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89" t="inlineStr">
        <is>
          <t>–</t>
        </is>
      </c>
    </row>
    <row r="401" outlineLevel="2" ht="15" customHeight="1">
      <c r="A401" s="69" t="inlineStr">
        <is>
          <t xml:space="preserve">      Rate (₹)</t>
        </is>
      </c>
      <c r="B401" s="70">
        <f>IF('Final Calculation Sheet'!$C$31="","",'Final Calculation Sheet'!$C$31)</f>
        <v/>
      </c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89" t="inlineStr">
        <is>
          <t>–</t>
        </is>
      </c>
    </row>
    <row r="402" outlineLevel="1" ht="16" customHeight="1">
      <c r="A402" s="84" t="inlineStr">
        <is>
          <t xml:space="preserve">  ▸ FINANCIALS</t>
        </is>
      </c>
      <c r="B402" s="86" t="n"/>
      <c r="C402" s="86" t="n"/>
      <c r="D402" s="86" t="n"/>
      <c r="E402" s="86" t="n"/>
      <c r="F402" s="86" t="n"/>
      <c r="G402" s="86" t="n"/>
      <c r="H402" s="86" t="n"/>
      <c r="I402" s="86" t="n"/>
      <c r="J402" s="86" t="n"/>
      <c r="K402" s="86" t="n"/>
      <c r="L402" s="86" t="n"/>
      <c r="M402" s="86" t="n"/>
      <c r="N402" s="86" t="n"/>
      <c r="O402" s="86" t="n"/>
    </row>
    <row r="403" outlineLevel="2" ht="15" customHeight="1">
      <c r="A403" s="69" t="inlineStr">
        <is>
          <t xml:space="preserve">      Mat. Value (₹)</t>
        </is>
      </c>
      <c r="B403" s="70">
        <f>IF('Final Calculation Sheet'!$H$31="","",'Final Calculation Sheet'!$H$31)</f>
        <v/>
      </c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94">
        <f>SUM(B403:N403)</f>
        <v/>
      </c>
    </row>
    <row r="404" outlineLevel="2" ht="15" customHeight="1">
      <c r="A404" s="69" t="inlineStr">
        <is>
          <t xml:space="preserve">      GST @ 18% (₹)</t>
        </is>
      </c>
      <c r="B404" s="70">
        <f>IF('Final Calculation Sheet'!$I$31="","",'Final Calculation Sheet'!$I$31)</f>
        <v/>
      </c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94">
        <f>SUM(B404:N404)</f>
        <v/>
      </c>
    </row>
    <row r="405" outlineLevel="2" ht="15" customHeight="1">
      <c r="A405" s="69" t="inlineStr">
        <is>
          <t xml:space="preserve">      Mat. Value + GST (₹)</t>
        </is>
      </c>
      <c r="B405" s="70">
        <f>IF('Final Calculation Sheet'!$J$31="","",'Final Calculation Sheet'!$J$31)</f>
        <v/>
      </c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94">
        <f>SUM(B405:N405)</f>
        <v/>
      </c>
    </row>
    <row r="406" outlineLevel="2" ht="15" customHeight="1">
      <c r="A406" s="69" t="inlineStr">
        <is>
          <t xml:space="preserve">      TCS @ 2% (₹)</t>
        </is>
      </c>
      <c r="B406" s="70">
        <f>IF('Final Calculation Sheet'!$K$31="","",'Final Calculation Sheet'!$K$31)</f>
        <v/>
      </c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94">
        <f>SUM(B406:N406)</f>
        <v/>
      </c>
    </row>
    <row r="407" outlineLevel="2" ht="15" customHeight="1">
      <c r="A407" s="69" t="inlineStr">
        <is>
          <t xml:space="preserve">      TDS u/s 194(O) (₹)</t>
        </is>
      </c>
      <c r="B407" s="78">
        <f>IF('Final Calculation Sheet'!$L$31="","",'Final Calculation Sheet'!$L$31)</f>
        <v/>
      </c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96">
        <f>SUM(B407:N407)</f>
        <v/>
      </c>
    </row>
    <row r="408" outlineLevel="2" ht="15" customHeight="1">
      <c r="A408" s="69" t="inlineStr">
        <is>
          <t xml:space="preserve">      Service Charge gross (₹)</t>
        </is>
      </c>
      <c r="B408" s="78">
        <f>IF('Final Calculation Sheet'!$M$31="","",'Final Calculation Sheet'!$M$31)</f>
        <v/>
      </c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96">
        <f>SUM(B408:N408)</f>
        <v/>
      </c>
    </row>
    <row r="409" outlineLevel="2" ht="15" customHeight="1">
      <c r="A409" s="69" t="inlineStr">
        <is>
          <t xml:space="preserve">      TDS u/s 194(H) (₹)</t>
        </is>
      </c>
      <c r="B409" s="78">
        <f>IF('Final Calculation Sheet'!$N$31="","",'Final Calculation Sheet'!$N$31)</f>
        <v/>
      </c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96">
        <f>SUM(B409:N409)</f>
        <v/>
      </c>
    </row>
    <row r="410" outlineLevel="2" ht="15" customHeight="1">
      <c r="A410" s="69" t="inlineStr">
        <is>
          <t xml:space="preserve">      Net Service Charge (₹)</t>
        </is>
      </c>
      <c r="B410" s="78">
        <f>IF('Final Calculation Sheet'!$O$31="","",'Final Calculation Sheet'!$O$31)</f>
        <v/>
      </c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96">
        <f>SUM(B410:N410)</f>
        <v/>
      </c>
    </row>
    <row r="411" outlineLevel="2" ht="15" customHeight="1">
      <c r="A411" s="69" t="inlineStr">
        <is>
          <t xml:space="preserve">      Svc Charge to MSTC (₹)</t>
        </is>
      </c>
      <c r="B411" s="70">
        <f>IF('Final Calculation Sheet'!$P$31="","",'Final Calculation Sheet'!$P$31)</f>
        <v/>
      </c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94">
        <f>SUM(B411:N411)</f>
        <v/>
      </c>
    </row>
    <row r="412" outlineLevel="2" ht="15" customHeight="1">
      <c r="A412" s="69" t="inlineStr">
        <is>
          <t xml:space="preserve">      GST TDS Rate</t>
        </is>
      </c>
      <c r="B412" s="80">
        <f>IF('Final Calculation Sheet'!$Q$31="","",'Final Calculation Sheet'!$Q$31)</f>
        <v/>
      </c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89" t="inlineStr">
        <is>
          <t>–</t>
        </is>
      </c>
    </row>
    <row r="413" outlineLevel="2" ht="15" customHeight="1">
      <c r="A413" s="69" t="inlineStr">
        <is>
          <t xml:space="preserve">      GST TDS (₹)</t>
        </is>
      </c>
      <c r="B413" s="70">
        <f>IF('Final Calculation Sheet'!$R$31="","",'Final Calculation Sheet'!$R$31)</f>
        <v/>
      </c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94">
        <f>SUM(B413:N413)</f>
        <v/>
      </c>
    </row>
    <row r="414" outlineLevel="2" ht="15" customHeight="1">
      <c r="A414" s="69" t="inlineStr">
        <is>
          <t xml:space="preserve">      Total Receivables (₹)</t>
        </is>
      </c>
      <c r="B414" s="70">
        <f>IF('Final Calculation Sheet'!$S$31="","",'Final Calculation Sheet'!$S$31)</f>
        <v/>
      </c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94">
        <f>SUM(B414:N414)</f>
        <v/>
      </c>
    </row>
    <row r="415" outlineLevel="1" ht="16" customHeight="1">
      <c r="A415" s="84" t="inlineStr">
        <is>
          <t xml:space="preserve">  ▸ SECURITY DEPOSIT</t>
        </is>
      </c>
      <c r="B415" s="86" t="n"/>
      <c r="C415" s="86" t="n"/>
      <c r="D415" s="86" t="n"/>
      <c r="E415" s="86" t="n"/>
      <c r="F415" s="86" t="n"/>
      <c r="G415" s="86" t="n"/>
      <c r="H415" s="86" t="n"/>
      <c r="I415" s="86" t="n"/>
      <c r="J415" s="86" t="n"/>
      <c r="K415" s="86" t="n"/>
      <c r="L415" s="86" t="n"/>
      <c r="M415" s="86" t="n"/>
      <c r="N415" s="86" t="n"/>
      <c r="O415" s="86" t="n"/>
    </row>
    <row r="416" outlineLevel="2" ht="15" customHeight="1">
      <c r="A416" s="69" t="inlineStr">
        <is>
          <t xml:space="preserve">      SD Expected (₹)</t>
        </is>
      </c>
      <c r="B416" s="70">
        <f>IF('Final Calculation Sheet'!$T$31="","",'Final Calculation Sheet'!$T$31)</f>
        <v/>
      </c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94">
        <f>SUM(B416:N416)</f>
        <v/>
      </c>
    </row>
    <row r="417" outlineLevel="2" ht="15" customHeight="1">
      <c r="A417" s="69" t="inlineStr">
        <is>
          <t xml:space="preserve">      SD Received (₹)</t>
        </is>
      </c>
      <c r="B417" s="70">
        <f>IF('Final Calculation Sheet'!$U$31="","",'Final Calculation Sheet'!$U$31)</f>
        <v/>
      </c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94">
        <f>SUM(B417:N417)</f>
        <v/>
      </c>
    </row>
    <row r="418" outlineLevel="2" ht="15" customHeight="1">
      <c r="A418" s="69" t="inlineStr">
        <is>
          <t xml:space="preserve">      SD Receipt Date</t>
        </is>
      </c>
      <c r="B418" s="76">
        <f>IF('Final Calculation Sheet'!$V$31="","",'Final Calculation Sheet'!$V$31)</f>
        <v/>
      </c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89" t="inlineStr">
        <is>
          <t>–</t>
        </is>
      </c>
    </row>
    <row r="419" outlineLevel="1" ht="16" customHeight="1">
      <c r="A419" s="84" t="inlineStr">
        <is>
          <t xml:space="preserve">  ▸ FINAL PAYMENT</t>
        </is>
      </c>
      <c r="B419" s="86" t="n"/>
      <c r="C419" s="86" t="n"/>
      <c r="D419" s="86" t="n"/>
      <c r="E419" s="86" t="n"/>
      <c r="F419" s="86" t="n"/>
      <c r="G419" s="86" t="n"/>
      <c r="H419" s="86" t="n"/>
      <c r="I419" s="86" t="n"/>
      <c r="J419" s="86" t="n"/>
      <c r="K419" s="86" t="n"/>
      <c r="L419" s="86" t="n"/>
      <c r="M419" s="86" t="n"/>
      <c r="N419" s="86" t="n"/>
      <c r="O419" s="86" t="n"/>
    </row>
    <row r="420" outlineLevel="2" ht="15" customHeight="1">
      <c r="A420" s="69" t="inlineStr">
        <is>
          <t xml:space="preserve">      FP Expected (₹)</t>
        </is>
      </c>
      <c r="B420" s="70">
        <f>IF('Final Calculation Sheet'!$W$31="","",'Final Calculation Sheet'!$W$31)</f>
        <v/>
      </c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94">
        <f>SUM(B420:N420)</f>
        <v/>
      </c>
    </row>
    <row r="421" outlineLevel="2" ht="15" customHeight="1">
      <c r="A421" s="69" t="inlineStr">
        <is>
          <t xml:space="preserve">      FP Received (₹)</t>
        </is>
      </c>
      <c r="B421" s="70">
        <f>IF('Final Calculation Sheet'!$X$31="","",'Final Calculation Sheet'!$X$31)</f>
        <v/>
      </c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94">
        <f>SUM(B421:N421)</f>
        <v/>
      </c>
    </row>
    <row r="422" outlineLevel="2" ht="15" customHeight="1">
      <c r="A422" s="69" t="inlineStr">
        <is>
          <t xml:space="preserve">      FP Receipt Date</t>
        </is>
      </c>
      <c r="B422" s="76">
        <f>IF('Final Calculation Sheet'!$Y$31="","",'Final Calculation Sheet'!$Y$31)</f>
        <v/>
      </c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89" t="inlineStr">
        <is>
          <t>–</t>
        </is>
      </c>
    </row>
    <row r="423" outlineLevel="1" ht="16" customHeight="1">
      <c r="A423" s="84" t="inlineStr">
        <is>
          <t xml:space="preserve">  ▸ LPP</t>
        </is>
      </c>
      <c r="B423" s="86" t="n"/>
      <c r="C423" s="86" t="n"/>
      <c r="D423" s="86" t="n"/>
      <c r="E423" s="86" t="n"/>
      <c r="F423" s="86" t="n"/>
      <c r="G423" s="86" t="n"/>
      <c r="H423" s="86" t="n"/>
      <c r="I423" s="86" t="n"/>
      <c r="J423" s="86" t="n"/>
      <c r="K423" s="86" t="n"/>
      <c r="L423" s="86" t="n"/>
      <c r="M423" s="86" t="n"/>
      <c r="N423" s="86" t="n"/>
      <c r="O423" s="86" t="n"/>
    </row>
    <row r="424" outlineLevel="2" ht="15" customHeight="1">
      <c r="A424" s="69" t="inlineStr">
        <is>
          <t xml:space="preserve">      LPP Expected (₹)</t>
        </is>
      </c>
      <c r="B424" s="70">
        <f>IF('Final Calculation Sheet'!$Z$31="","",'Final Calculation Sheet'!$Z$31)</f>
        <v/>
      </c>
      <c r="C424" s="71" t="n"/>
      <c r="D424" s="71" t="n"/>
      <c r="E424" s="71" t="n"/>
      <c r="F424" s="71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94">
        <f>SUM(B424:N424)</f>
        <v/>
      </c>
    </row>
    <row r="425" outlineLevel="2" ht="15" customHeight="1">
      <c r="A425" s="69" t="inlineStr">
        <is>
          <t xml:space="preserve">      LPP Received (₹)</t>
        </is>
      </c>
      <c r="B425" s="70">
        <f>IF('Final Calculation Sheet'!$AA$31="","",'Final Calculation Sheet'!$AA$31)</f>
        <v/>
      </c>
      <c r="C425" s="71" t="n"/>
      <c r="D425" s="71" t="n"/>
      <c r="E425" s="71" t="n"/>
      <c r="F425" s="71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94">
        <f>SUM(B425:N425)</f>
        <v/>
      </c>
    </row>
    <row r="426" outlineLevel="2" ht="15" customHeight="1">
      <c r="A426" s="69" t="inlineStr">
        <is>
          <t xml:space="preserve">      LPP Receipt Date</t>
        </is>
      </c>
      <c r="B426" s="76">
        <f>IF('Final Calculation Sheet'!$AB$31="","",'Final Calculation Sheet'!$AB$31)</f>
        <v/>
      </c>
      <c r="C426" s="71" t="n"/>
      <c r="D426" s="71" t="n"/>
      <c r="E426" s="71" t="n"/>
      <c r="F426" s="71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89" t="inlineStr">
        <is>
          <t>–</t>
        </is>
      </c>
    </row>
    <row r="427" outlineLevel="1" ht="16" customHeight="1">
      <c r="A427" s="84" t="inlineStr">
        <is>
          <t xml:space="preserve">  ▸ SUMMARY</t>
        </is>
      </c>
      <c r="B427" s="86" t="n"/>
      <c r="C427" s="86" t="n"/>
      <c r="D427" s="86" t="n"/>
      <c r="E427" s="86" t="n"/>
      <c r="F427" s="86" t="n"/>
      <c r="G427" s="86" t="n"/>
      <c r="H427" s="86" t="n"/>
      <c r="I427" s="86" t="n"/>
      <c r="J427" s="86" t="n"/>
      <c r="K427" s="86" t="n"/>
      <c r="L427" s="86" t="n"/>
      <c r="M427" s="86" t="n"/>
      <c r="N427" s="86" t="n"/>
      <c r="O427" s="86" t="n"/>
    </row>
    <row r="428" outlineLevel="2" ht="15" customHeight="1">
      <c r="A428" s="69" t="inlineStr">
        <is>
          <t xml:space="preserve">      Total Received (₹)</t>
        </is>
      </c>
      <c r="B428" s="70">
        <f>IF('Final Calculation Sheet'!$AC$31="","",'Final Calculation Sheet'!$AC$31)</f>
        <v/>
      </c>
      <c r="C428" s="71" t="n"/>
      <c r="D428" s="71" t="n"/>
      <c r="E428" s="71" t="n"/>
      <c r="F428" s="71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94">
        <f>SUM(B428:N428)</f>
        <v/>
      </c>
    </row>
    <row r="429" outlineLevel="2" ht="15" customHeight="1">
      <c r="A429" s="69" t="inlineStr">
        <is>
          <t xml:space="preserve">      Outstanding (₹)</t>
        </is>
      </c>
      <c r="B429" s="70">
        <f>IF('Final Calculation Sheet'!$AD$31="","",'Final Calculation Sheet'!$AD$31)</f>
        <v/>
      </c>
      <c r="C429" s="71" t="n"/>
      <c r="D429" s="71" t="n"/>
      <c r="E429" s="71" t="n"/>
      <c r="F429" s="71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94">
        <f>SUM(B429:N429)</f>
        <v/>
      </c>
    </row>
    <row r="430" outlineLevel="2" ht="15" customHeight="1">
      <c r="A430" s="69" t="inlineStr">
        <is>
          <t xml:space="preserve">      Payment Status</t>
        </is>
      </c>
      <c r="B430" s="81">
        <f>IF('Final Calculation Sheet'!$AD$31="","",IF('Final Calculation Sheet'!$AD$31&lt;=0,"SETTLED","OUTSTANDING"))</f>
        <v/>
      </c>
      <c r="C430" s="71" t="n"/>
      <c r="D430" s="71" t="n"/>
      <c r="E430" s="71" t="n"/>
      <c r="F430" s="71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89" t="inlineStr">
        <is>
          <t>–</t>
        </is>
      </c>
    </row>
    <row r="431" outlineLevel="1" ht="16" customHeight="1">
      <c r="A431" s="84" t="inlineStr">
        <is>
          <t xml:space="preserve">  ▸ DOCUMENT</t>
        </is>
      </c>
      <c r="B431" s="86" t="n"/>
      <c r="C431" s="86" t="n"/>
      <c r="D431" s="86" t="n"/>
      <c r="E431" s="86" t="n"/>
      <c r="F431" s="86" t="n"/>
      <c r="G431" s="86" t="n"/>
      <c r="H431" s="86" t="n"/>
      <c r="I431" s="86" t="n"/>
      <c r="J431" s="86" t="n"/>
      <c r="K431" s="86" t="n"/>
      <c r="L431" s="86" t="n"/>
      <c r="M431" s="86" t="n"/>
      <c r="N431" s="86" t="n"/>
      <c r="O431" s="86" t="n"/>
    </row>
    <row r="432" outlineLevel="2" ht="15" customHeight="1">
      <c r="A432" s="69" t="inlineStr">
        <is>
          <t xml:space="preserve">      Invoice No.</t>
        </is>
      </c>
      <c r="B432" s="76">
        <f>IF('Final Calculation Sheet'!$AE$31="","",'Final Calculation Sheet'!$AE$31)</f>
        <v/>
      </c>
      <c r="C432" s="71" t="n"/>
      <c r="D432" s="71" t="n"/>
      <c r="E432" s="71" t="n"/>
      <c r="F432" s="71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89" t="inlineStr">
        <is>
          <t>–</t>
        </is>
      </c>
    </row>
    <row r="433" outlineLevel="2" ht="15" customHeight="1">
      <c r="A433" s="69" t="inlineStr">
        <is>
          <t xml:space="preserve">      SAP Document</t>
        </is>
      </c>
      <c r="B433" s="70">
        <f>IF('Final Calculation Sheet'!$AF$31="","",'Final Calculation Sheet'!$AF$31)</f>
        <v/>
      </c>
      <c r="C433" s="71" t="n"/>
      <c r="D433" s="71" t="n"/>
      <c r="E433" s="71" t="n"/>
      <c r="F433" s="71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89" t="inlineStr">
        <is>
          <t>–</t>
        </is>
      </c>
    </row>
    <row r="434" outlineLevel="2" ht="15" customHeight="1">
      <c r="A434" s="69" t="inlineStr">
        <is>
          <t xml:space="preserve">      Doc./Invoice Date</t>
        </is>
      </c>
      <c r="B434" s="76">
        <f>IF('Final Calculation Sheet'!$AG$31="","",'Final Calculation Sheet'!$AG$31)</f>
        <v/>
      </c>
      <c r="C434" s="71" t="n"/>
      <c r="D434" s="71" t="n"/>
      <c r="E434" s="71" t="n"/>
      <c r="F434" s="71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89" t="inlineStr">
        <is>
          <t>–</t>
        </is>
      </c>
    </row>
    <row r="435" ht="7" customHeight="1">
      <c r="A435" s="82" t="n"/>
      <c r="B435" s="82" t="n"/>
      <c r="C435" s="82" t="n"/>
      <c r="D435" s="82" t="n"/>
      <c r="E435" s="82" t="n"/>
      <c r="F435" s="82" t="n"/>
      <c r="G435" s="82" t="n"/>
      <c r="H435" s="82" t="n"/>
      <c r="I435" s="82" t="n"/>
      <c r="J435" s="82" t="n"/>
      <c r="K435" s="82" t="n"/>
      <c r="L435" s="82" t="n"/>
      <c r="M435" s="82" t="n"/>
      <c r="N435" s="82" t="n"/>
      <c r="O435" s="82" t="n"/>
    </row>
    <row r="436" ht="24" customHeight="1">
      <c r="A436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</row>
    <row r="437" outlineLevel="1" ht="18" customHeight="1">
      <c r="A437" s="100" t="inlineStr">
        <is>
          <t xml:space="preserve">   Lot No. →</t>
        </is>
      </c>
      <c r="B437" s="101">
        <f>IF('Final Calculation Sheet'!$F$9="","",'Final Calculation Sheet'!$F$9)</f>
        <v/>
      </c>
      <c r="C437" s="101">
        <f>IF('Final Calculation Sheet'!$F$14="","",'Final Calculation Sheet'!$F$14)</f>
        <v/>
      </c>
      <c r="D437" s="102" t="n"/>
      <c r="E437" s="102" t="n"/>
      <c r="F437" s="102" t="n"/>
      <c r="G437" s="102" t="n"/>
      <c r="H437" s="102" t="n"/>
      <c r="I437" s="102" t="n"/>
      <c r="J437" s="102" t="n"/>
      <c r="K437" s="102" t="n"/>
      <c r="L437" s="102" t="n"/>
      <c r="M437" s="102" t="n"/>
      <c r="N437" s="102" t="n"/>
      <c r="O437" s="103" t="inlineStr">
        <is>
          <t>TOTAL</t>
        </is>
      </c>
    </row>
    <row r="438" outlineLevel="1" ht="16" customHeight="1">
      <c r="A438" s="100" t="inlineStr">
        <is>
          <t xml:space="preserve">  ▸ LOT INFORMATION</t>
        </is>
      </c>
      <c r="B438" s="102" t="n"/>
      <c r="C438" s="102" t="n"/>
      <c r="D438" s="102" t="n"/>
      <c r="E438" s="102" t="n"/>
      <c r="F438" s="102" t="n"/>
      <c r="G438" s="102" t="n"/>
      <c r="H438" s="102" t="n"/>
      <c r="I438" s="102" t="n"/>
      <c r="J438" s="102" t="n"/>
      <c r="K438" s="102" t="n"/>
      <c r="L438" s="102" t="n"/>
      <c r="M438" s="102" t="n"/>
      <c r="N438" s="102" t="n"/>
      <c r="O438" s="102" t="n"/>
    </row>
    <row r="439" outlineLevel="2" ht="15" customHeight="1">
      <c r="A439" s="69" t="inlineStr">
        <is>
          <t xml:space="preserve">      Lot No.</t>
        </is>
      </c>
      <c r="B439" s="70">
        <f>IF('Final Calculation Sheet'!$F$9="","",'Final Calculation Sheet'!$F$9)</f>
        <v/>
      </c>
      <c r="C439" s="174">
        <f>IF('Final Calculation Sheet'!$F$14="","",'Final Calculation Sheet'!$F$14)</f>
        <v/>
      </c>
      <c r="D439" s="71" t="n"/>
      <c r="E439" s="71" t="n"/>
      <c r="F439" s="71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104" t="inlineStr">
        <is>
          <t>–</t>
        </is>
      </c>
    </row>
    <row r="440" outlineLevel="2" ht="60" customHeight="1">
      <c r="A440" s="69" t="inlineStr">
        <is>
          <t xml:space="preserve">      Lot Name</t>
        </is>
      </c>
      <c r="B440" s="73">
        <f>IF('Final Calculation Sheet'!$B$9="","",'Final Calculation Sheet'!$B$9)</f>
        <v/>
      </c>
      <c r="C440" s="175">
        <f>IF('Final Calculation Sheet'!$B$14="","",'Final Calculation Sheet'!$B$14)</f>
        <v/>
      </c>
      <c r="D440" s="71" t="n"/>
      <c r="E440" s="71" t="n"/>
      <c r="F440" s="71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104" t="inlineStr">
        <is>
          <t>–</t>
        </is>
      </c>
    </row>
    <row r="441" outlineLevel="2" ht="15" customHeight="1">
      <c r="A441" s="69" t="inlineStr">
        <is>
          <t xml:space="preserve">      Bid Sheet / Auction</t>
        </is>
      </c>
      <c r="B441" s="70">
        <f>IF('Final Calculation Sheet'!$D$9="","",'Final Calculation Sheet'!$D$9)</f>
        <v/>
      </c>
      <c r="C441" s="174">
        <f>IF('Final Calculation Sheet'!$D$14="","",'Final Calculation Sheet'!$D$14)</f>
        <v/>
      </c>
      <c r="D441" s="71" t="n"/>
      <c r="E441" s="71" t="n"/>
      <c r="F441" s="71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104" t="inlineStr">
        <is>
          <t>–</t>
        </is>
      </c>
    </row>
    <row r="442" outlineLevel="2" ht="15" customHeight="1">
      <c r="A442" s="69" t="inlineStr">
        <is>
          <t xml:space="preserve">      Quantity</t>
        </is>
      </c>
      <c r="B442" s="74">
        <f>IF('Final Calculation Sheet'!$A$9="","",'Final Calculation Sheet'!$A$9)</f>
        <v/>
      </c>
      <c r="C442" s="176">
        <f>IF('Final Calculation Sheet'!$A$14="","",'Final Calculation Sheet'!$A$14)</f>
        <v/>
      </c>
      <c r="D442" s="71" t="n"/>
      <c r="E442" s="71" t="n"/>
      <c r="F442" s="71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105">
        <f>SUM(B442:N442)</f>
        <v/>
      </c>
    </row>
    <row r="443" outlineLevel="2" ht="15" customHeight="1">
      <c r="A443" s="69" t="inlineStr">
        <is>
          <t xml:space="preserve">      Unit</t>
        </is>
      </c>
      <c r="B443" s="76">
        <f>IF('Final Calculation Sheet'!$E$9="","",'Final Calculation Sheet'!$E$9)</f>
        <v/>
      </c>
      <c r="C443" s="177">
        <f>IF('Final Calculation Sheet'!$E$14="","",'Final Calculation Sheet'!$E$14)</f>
        <v/>
      </c>
      <c r="D443" s="71" t="n"/>
      <c r="E443" s="71" t="n"/>
      <c r="F443" s="71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104" t="inlineStr">
        <is>
          <t>–</t>
        </is>
      </c>
    </row>
    <row r="444" outlineLevel="2" ht="15" customHeight="1">
      <c r="A444" s="69" t="inlineStr">
        <is>
          <t xml:space="preserve">      Rate (₹)</t>
        </is>
      </c>
      <c r="B444" s="70">
        <f>IF('Final Calculation Sheet'!$C$9="","",'Final Calculation Sheet'!$C$9)</f>
        <v/>
      </c>
      <c r="C444" s="174">
        <f>IF('Final Calculation Sheet'!$C$14="","",'Final Calculation Sheet'!$C$14)</f>
        <v/>
      </c>
      <c r="D444" s="71" t="n"/>
      <c r="E444" s="71" t="n"/>
      <c r="F444" s="71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104" t="inlineStr">
        <is>
          <t>–</t>
        </is>
      </c>
    </row>
    <row r="445" outlineLevel="1" ht="16" customHeight="1">
      <c r="A445" s="100" t="inlineStr">
        <is>
          <t xml:space="preserve">  ▸ FINANCIALS</t>
        </is>
      </c>
      <c r="B445" s="102" t="n"/>
      <c r="C445" s="102" t="n"/>
      <c r="D445" s="102" t="n"/>
      <c r="E445" s="102" t="n"/>
      <c r="F445" s="102" t="n"/>
      <c r="G445" s="102" t="n"/>
      <c r="H445" s="102" t="n"/>
      <c r="I445" s="102" t="n"/>
      <c r="J445" s="102" t="n"/>
      <c r="K445" s="102" t="n"/>
      <c r="L445" s="102" t="n"/>
      <c r="M445" s="102" t="n"/>
      <c r="N445" s="102" t="n"/>
      <c r="O445" s="102" t="n"/>
    </row>
    <row r="446" outlineLevel="2" ht="15" customHeight="1">
      <c r="A446" s="69" t="inlineStr">
        <is>
          <t xml:space="preserve">      Mat. Value (₹)</t>
        </is>
      </c>
      <c r="B446" s="70">
        <f>IF('Final Calculation Sheet'!$H$9="","",'Final Calculation Sheet'!$H$9)</f>
        <v/>
      </c>
      <c r="C446" s="174">
        <f>IF('Final Calculation Sheet'!$H$14="","",'Final Calculation Sheet'!$H$14)</f>
        <v/>
      </c>
      <c r="D446" s="71" t="n"/>
      <c r="E446" s="71" t="n"/>
      <c r="F446" s="71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106">
        <f>SUM(B446:N446)</f>
        <v/>
      </c>
    </row>
    <row r="447" outlineLevel="2" ht="15" customHeight="1">
      <c r="A447" s="69" t="inlineStr">
        <is>
          <t xml:space="preserve">      GST @ 18% (₹)</t>
        </is>
      </c>
      <c r="B447" s="70">
        <f>IF('Final Calculation Sheet'!$I$9="","",'Final Calculation Sheet'!$I$9)</f>
        <v/>
      </c>
      <c r="C447" s="174">
        <f>IF('Final Calculation Sheet'!$I$14="","",'Final Calculation Sheet'!$I$14)</f>
        <v/>
      </c>
      <c r="D447" s="71" t="n"/>
      <c r="E447" s="71" t="n"/>
      <c r="F447" s="71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106">
        <f>SUM(B447:N447)</f>
        <v/>
      </c>
    </row>
    <row r="448" outlineLevel="2" ht="15" customHeight="1">
      <c r="A448" s="69" t="inlineStr">
        <is>
          <t xml:space="preserve">      Mat. Value + GST (₹)</t>
        </is>
      </c>
      <c r="B448" s="70">
        <f>IF('Final Calculation Sheet'!$J$9="","",'Final Calculation Sheet'!$J$9)</f>
        <v/>
      </c>
      <c r="C448" s="174">
        <f>IF('Final Calculation Sheet'!$J$14="","",'Final Calculation Sheet'!$J$14)</f>
        <v/>
      </c>
      <c r="D448" s="71" t="n"/>
      <c r="E448" s="71" t="n"/>
      <c r="F448" s="71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106">
        <f>SUM(B448:N448)</f>
        <v/>
      </c>
    </row>
    <row r="449" outlineLevel="2" ht="15" customHeight="1">
      <c r="A449" s="69" t="inlineStr">
        <is>
          <t xml:space="preserve">      TCS @ 2% (₹)</t>
        </is>
      </c>
      <c r="B449" s="70">
        <f>IF('Final Calculation Sheet'!$K$9="","",'Final Calculation Sheet'!$K$9)</f>
        <v/>
      </c>
      <c r="C449" s="174">
        <f>IF('Final Calculation Sheet'!$K$14="","",'Final Calculation Sheet'!$K$14)</f>
        <v/>
      </c>
      <c r="D449" s="71" t="n"/>
      <c r="E449" s="71" t="n"/>
      <c r="F449" s="71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106">
        <f>SUM(B449:N449)</f>
        <v/>
      </c>
    </row>
    <row r="450" outlineLevel="2" ht="15" customHeight="1">
      <c r="A450" s="69" t="inlineStr">
        <is>
          <t xml:space="preserve">      TDS u/s 194(O) (₹)</t>
        </is>
      </c>
      <c r="B450" s="78">
        <f>IF('Final Calculation Sheet'!$L$9="","",'Final Calculation Sheet'!$L$9)</f>
        <v/>
      </c>
      <c r="C450" s="178">
        <f>IF('Final Calculation Sheet'!$L$14="","",'Final Calculation Sheet'!$L$14)</f>
        <v/>
      </c>
      <c r="D450" s="71" t="n"/>
      <c r="E450" s="71" t="n"/>
      <c r="F450" s="71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107">
        <f>SUM(B450:N450)</f>
        <v/>
      </c>
    </row>
    <row r="451" outlineLevel="2" ht="15" customHeight="1">
      <c r="A451" s="69" t="inlineStr">
        <is>
          <t xml:space="preserve">      Service Charge gross (₹)</t>
        </is>
      </c>
      <c r="B451" s="78">
        <f>IF('Final Calculation Sheet'!$M$9="","",'Final Calculation Sheet'!$M$9)</f>
        <v/>
      </c>
      <c r="C451" s="178">
        <f>IF('Final Calculation Sheet'!$M$14="","",'Final Calculation Sheet'!$M$14)</f>
        <v/>
      </c>
      <c r="D451" s="71" t="n"/>
      <c r="E451" s="71" t="n"/>
      <c r="F451" s="71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107">
        <f>SUM(B451:N451)</f>
        <v/>
      </c>
    </row>
    <row r="452" outlineLevel="2" ht="15" customHeight="1">
      <c r="A452" s="69" t="inlineStr">
        <is>
          <t xml:space="preserve">      TDS u/s 194(H) (₹)</t>
        </is>
      </c>
      <c r="B452" s="78">
        <f>IF('Final Calculation Sheet'!$N$9="","",'Final Calculation Sheet'!$N$9)</f>
        <v/>
      </c>
      <c r="C452" s="178">
        <f>IF('Final Calculation Sheet'!$N$14="","",'Final Calculation Sheet'!$N$14)</f>
        <v/>
      </c>
      <c r="D452" s="71" t="n"/>
      <c r="E452" s="71" t="n"/>
      <c r="F452" s="71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107">
        <f>SUM(B452:N452)</f>
        <v/>
      </c>
    </row>
    <row r="453" outlineLevel="2" ht="15" customHeight="1">
      <c r="A453" s="69" t="inlineStr">
        <is>
          <t xml:space="preserve">      Net Service Charge (₹)</t>
        </is>
      </c>
      <c r="B453" s="78">
        <f>IF('Final Calculation Sheet'!$O$9="","",'Final Calculation Sheet'!$O$9)</f>
        <v/>
      </c>
      <c r="C453" s="178">
        <f>IF('Final Calculation Sheet'!$O$14="","",'Final Calculation Sheet'!$O$14)</f>
        <v/>
      </c>
      <c r="D453" s="71" t="n"/>
      <c r="E453" s="71" t="n"/>
      <c r="F453" s="71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107">
        <f>SUM(B453:N453)</f>
        <v/>
      </c>
    </row>
    <row r="454" outlineLevel="2" ht="15" customHeight="1">
      <c r="A454" s="69" t="inlineStr">
        <is>
          <t xml:space="preserve">      Svc Charge to MSTC (₹)</t>
        </is>
      </c>
      <c r="B454" s="70">
        <f>IF('Final Calculation Sheet'!$P$9="","",'Final Calculation Sheet'!$P$9)</f>
        <v/>
      </c>
      <c r="C454" s="174">
        <f>IF('Final Calculation Sheet'!$P$14="","",'Final Calculation Sheet'!$P$14)</f>
        <v/>
      </c>
      <c r="D454" s="71" t="n"/>
      <c r="E454" s="71" t="n"/>
      <c r="F454" s="71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106">
        <f>SUM(B454:N454)</f>
        <v/>
      </c>
    </row>
    <row r="455" outlineLevel="2" ht="15" customHeight="1">
      <c r="A455" s="69" t="inlineStr">
        <is>
          <t xml:space="preserve">      GST TDS Rate</t>
        </is>
      </c>
      <c r="B455" s="80">
        <f>IF('Final Calculation Sheet'!$Q$9="","",'Final Calculation Sheet'!$Q$9)</f>
        <v/>
      </c>
      <c r="C455" s="179">
        <f>IF('Final Calculation Sheet'!$Q$14="","",'Final Calculation Sheet'!$Q$14)</f>
        <v/>
      </c>
      <c r="D455" s="71" t="n"/>
      <c r="E455" s="71" t="n"/>
      <c r="F455" s="71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104" t="inlineStr">
        <is>
          <t>–</t>
        </is>
      </c>
    </row>
    <row r="456" outlineLevel="2" ht="15" customHeight="1">
      <c r="A456" s="69" t="inlineStr">
        <is>
          <t xml:space="preserve">      GST TDS (₹)</t>
        </is>
      </c>
      <c r="B456" s="70">
        <f>IF('Final Calculation Sheet'!$R$9="","",'Final Calculation Sheet'!$R$9)</f>
        <v/>
      </c>
      <c r="C456" s="174">
        <f>IF('Final Calculation Sheet'!$R$14="","",'Final Calculation Sheet'!$R$14)</f>
        <v/>
      </c>
      <c r="D456" s="71" t="n"/>
      <c r="E456" s="71" t="n"/>
      <c r="F456" s="71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106">
        <f>SUM(B456:N456)</f>
        <v/>
      </c>
    </row>
    <row r="457" outlineLevel="2" ht="15" customHeight="1">
      <c r="A457" s="69" t="inlineStr">
        <is>
          <t xml:space="preserve">      Total Receivables (₹)</t>
        </is>
      </c>
      <c r="B457" s="70">
        <f>IF('Final Calculation Sheet'!$S$9="","",'Final Calculation Sheet'!$S$9)</f>
        <v/>
      </c>
      <c r="C457" s="174">
        <f>IF('Final Calculation Sheet'!$S$14="","",'Final Calculation Sheet'!$S$14)</f>
        <v/>
      </c>
      <c r="D457" s="71" t="n"/>
      <c r="E457" s="71" t="n"/>
      <c r="F457" s="71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106">
        <f>SUM(B457:N457)</f>
        <v/>
      </c>
    </row>
    <row r="458" outlineLevel="1" ht="16" customHeight="1">
      <c r="A458" s="100" t="inlineStr">
        <is>
          <t xml:space="preserve">  ▸ SECURITY DEPOSIT</t>
        </is>
      </c>
      <c r="B458" s="102" t="n"/>
      <c r="C458" s="102" t="n"/>
      <c r="D458" s="102" t="n"/>
      <c r="E458" s="102" t="n"/>
      <c r="F458" s="102" t="n"/>
      <c r="G458" s="102" t="n"/>
      <c r="H458" s="102" t="n"/>
      <c r="I458" s="102" t="n"/>
      <c r="J458" s="102" t="n"/>
      <c r="K458" s="102" t="n"/>
      <c r="L458" s="102" t="n"/>
      <c r="M458" s="102" t="n"/>
      <c r="N458" s="102" t="n"/>
      <c r="O458" s="102" t="n"/>
    </row>
    <row r="459" outlineLevel="2" ht="15" customHeight="1">
      <c r="A459" s="69" t="inlineStr">
        <is>
          <t xml:space="preserve">      SD Expected (₹)</t>
        </is>
      </c>
      <c r="B459" s="70">
        <f>IF('Final Calculation Sheet'!$T$9="","",'Final Calculation Sheet'!$T$9)</f>
        <v/>
      </c>
      <c r="C459" s="174">
        <f>IF('Final Calculation Sheet'!$T$14="","",'Final Calculation Sheet'!$T$14)</f>
        <v/>
      </c>
      <c r="D459" s="71" t="n"/>
      <c r="E459" s="71" t="n"/>
      <c r="F459" s="71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106">
        <f>SUM(B459:N459)</f>
        <v/>
      </c>
    </row>
    <row r="460" outlineLevel="2" ht="15" customHeight="1">
      <c r="A460" s="69" t="inlineStr">
        <is>
          <t xml:space="preserve">      SD Received (₹)</t>
        </is>
      </c>
      <c r="B460" s="70">
        <f>IF('Final Calculation Sheet'!$U$9="","",'Final Calculation Sheet'!$U$9)</f>
        <v/>
      </c>
      <c r="C460" s="174">
        <f>IF('Final Calculation Sheet'!$U$14="","",'Final Calculation Sheet'!$U$14)</f>
        <v/>
      </c>
      <c r="D460" s="71" t="n"/>
      <c r="E460" s="71" t="n"/>
      <c r="F460" s="71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106">
        <f>SUM(B460:N460)</f>
        <v/>
      </c>
    </row>
    <row r="461" outlineLevel="2" ht="15" customHeight="1">
      <c r="A461" s="69" t="inlineStr">
        <is>
          <t xml:space="preserve">      SD Receipt Date</t>
        </is>
      </c>
      <c r="B461" s="76">
        <f>IF('Final Calculation Sheet'!$V$9="","",'Final Calculation Sheet'!$V$9)</f>
        <v/>
      </c>
      <c r="C461" s="177">
        <f>IF('Final Calculation Sheet'!$V$14="","",'Final Calculation Sheet'!$V$14)</f>
        <v/>
      </c>
      <c r="D461" s="71" t="n"/>
      <c r="E461" s="71" t="n"/>
      <c r="F461" s="71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104" t="inlineStr">
        <is>
          <t>–</t>
        </is>
      </c>
    </row>
    <row r="462" outlineLevel="1" ht="16" customHeight="1">
      <c r="A462" s="100" t="inlineStr">
        <is>
          <t xml:space="preserve">  ▸ FINAL PAYMENT</t>
        </is>
      </c>
      <c r="B462" s="102" t="n"/>
      <c r="C462" s="102" t="n"/>
      <c r="D462" s="102" t="n"/>
      <c r="E462" s="102" t="n"/>
      <c r="F462" s="102" t="n"/>
      <c r="G462" s="102" t="n"/>
      <c r="H462" s="102" t="n"/>
      <c r="I462" s="102" t="n"/>
      <c r="J462" s="102" t="n"/>
      <c r="K462" s="102" t="n"/>
      <c r="L462" s="102" t="n"/>
      <c r="M462" s="102" t="n"/>
      <c r="N462" s="102" t="n"/>
      <c r="O462" s="102" t="n"/>
    </row>
    <row r="463" outlineLevel="2" ht="15" customHeight="1">
      <c r="A463" s="69" t="inlineStr">
        <is>
          <t xml:space="preserve">      FP Expected (₹)</t>
        </is>
      </c>
      <c r="B463" s="70">
        <f>IF('Final Calculation Sheet'!$W$9="","",'Final Calculation Sheet'!$W$9)</f>
        <v/>
      </c>
      <c r="C463" s="174">
        <f>IF('Final Calculation Sheet'!$W$14="","",'Final Calculation Sheet'!$W$14)</f>
        <v/>
      </c>
      <c r="D463" s="71" t="n"/>
      <c r="E463" s="71" t="n"/>
      <c r="F463" s="71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106">
        <f>SUM(B463:N463)</f>
        <v/>
      </c>
    </row>
    <row r="464" outlineLevel="2" ht="15" customHeight="1">
      <c r="A464" s="69" t="inlineStr">
        <is>
          <t xml:space="preserve">      FP Received (₹)</t>
        </is>
      </c>
      <c r="B464" s="70">
        <f>IF('Final Calculation Sheet'!$X$9="","",'Final Calculation Sheet'!$X$9)</f>
        <v/>
      </c>
      <c r="C464" s="174">
        <f>IF('Final Calculation Sheet'!$X$14="","",'Final Calculation Sheet'!$X$14)</f>
        <v/>
      </c>
      <c r="D464" s="71" t="n"/>
      <c r="E464" s="71" t="n"/>
      <c r="F464" s="71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106">
        <f>SUM(B464:N464)</f>
        <v/>
      </c>
    </row>
    <row r="465" outlineLevel="2" ht="15" customHeight="1">
      <c r="A465" s="69" t="inlineStr">
        <is>
          <t xml:space="preserve">      FP Receipt Date</t>
        </is>
      </c>
      <c r="B465" s="76">
        <f>IF('Final Calculation Sheet'!$Y$9="","",'Final Calculation Sheet'!$Y$9)</f>
        <v/>
      </c>
      <c r="C465" s="177">
        <f>IF('Final Calculation Sheet'!$Y$14="","",'Final Calculation Sheet'!$Y$14)</f>
        <v/>
      </c>
      <c r="D465" s="71" t="n"/>
      <c r="E465" s="71" t="n"/>
      <c r="F465" s="71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104" t="inlineStr">
        <is>
          <t>–</t>
        </is>
      </c>
    </row>
    <row r="466" outlineLevel="1" ht="16" customHeight="1">
      <c r="A466" s="100" t="inlineStr">
        <is>
          <t xml:space="preserve">  ▸ LPP</t>
        </is>
      </c>
      <c r="B466" s="102" t="n"/>
      <c r="C466" s="102" t="n"/>
      <c r="D466" s="102" t="n"/>
      <c r="E466" s="102" t="n"/>
      <c r="F466" s="102" t="n"/>
      <c r="G466" s="102" t="n"/>
      <c r="H466" s="102" t="n"/>
      <c r="I466" s="102" t="n"/>
      <c r="J466" s="102" t="n"/>
      <c r="K466" s="102" t="n"/>
      <c r="L466" s="102" t="n"/>
      <c r="M466" s="102" t="n"/>
      <c r="N466" s="102" t="n"/>
      <c r="O466" s="102" t="n"/>
    </row>
    <row r="467" outlineLevel="2" ht="15" customHeight="1">
      <c r="A467" s="69" t="inlineStr">
        <is>
          <t xml:space="preserve">      LPP Expected (₹)</t>
        </is>
      </c>
      <c r="B467" s="70">
        <f>IF('Final Calculation Sheet'!$Z$9="","",'Final Calculation Sheet'!$Z$9)</f>
        <v/>
      </c>
      <c r="C467" s="174">
        <f>IF('Final Calculation Sheet'!$Z$14="","",'Final Calculation Sheet'!$Z$14)</f>
        <v/>
      </c>
      <c r="D467" s="71" t="n"/>
      <c r="E467" s="71" t="n"/>
      <c r="F467" s="71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106">
        <f>SUM(B467:N467)</f>
        <v/>
      </c>
    </row>
    <row r="468" outlineLevel="2" ht="15" customHeight="1">
      <c r="A468" s="69" t="inlineStr">
        <is>
          <t xml:space="preserve">      LPP Received (₹)</t>
        </is>
      </c>
      <c r="B468" s="70">
        <f>IF('Final Calculation Sheet'!$AA$9="","",'Final Calculation Sheet'!$AA$9)</f>
        <v/>
      </c>
      <c r="C468" s="174">
        <f>IF('Final Calculation Sheet'!$AA$14="","",'Final Calculation Sheet'!$AA$14)</f>
        <v/>
      </c>
      <c r="D468" s="71" t="n"/>
      <c r="E468" s="71" t="n"/>
      <c r="F468" s="71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106">
        <f>SUM(B468:N468)</f>
        <v/>
      </c>
    </row>
    <row r="469" outlineLevel="2" ht="15" customHeight="1">
      <c r="A469" s="69" t="inlineStr">
        <is>
          <t xml:space="preserve">      LPP Receipt Date</t>
        </is>
      </c>
      <c r="B469" s="76">
        <f>IF('Final Calculation Sheet'!$AB$9="","",'Final Calculation Sheet'!$AB$9)</f>
        <v/>
      </c>
      <c r="C469" s="177">
        <f>IF('Final Calculation Sheet'!$AB$14="","",'Final Calculation Sheet'!$AB$14)</f>
        <v/>
      </c>
      <c r="D469" s="71" t="n"/>
      <c r="E469" s="71" t="n"/>
      <c r="F469" s="71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104" t="inlineStr">
        <is>
          <t>–</t>
        </is>
      </c>
    </row>
    <row r="470" outlineLevel="1" ht="16" customHeight="1">
      <c r="A470" s="100" t="inlineStr">
        <is>
          <t xml:space="preserve">  ▸ SUMMARY</t>
        </is>
      </c>
      <c r="B470" s="102" t="n"/>
      <c r="C470" s="102" t="n"/>
      <c r="D470" s="102" t="n"/>
      <c r="E470" s="102" t="n"/>
      <c r="F470" s="102" t="n"/>
      <c r="G470" s="102" t="n"/>
      <c r="H470" s="102" t="n"/>
      <c r="I470" s="102" t="n"/>
      <c r="J470" s="102" t="n"/>
      <c r="K470" s="102" t="n"/>
      <c r="L470" s="102" t="n"/>
      <c r="M470" s="102" t="n"/>
      <c r="N470" s="102" t="n"/>
      <c r="O470" s="102" t="n"/>
    </row>
    <row r="471" outlineLevel="2" ht="15" customHeight="1">
      <c r="A471" s="69" t="inlineStr">
        <is>
          <t xml:space="preserve">      Total Received (₹)</t>
        </is>
      </c>
      <c r="B471" s="70">
        <f>IF('Final Calculation Sheet'!$AC$9="","",'Final Calculation Sheet'!$AC$9)</f>
        <v/>
      </c>
      <c r="C471" s="174">
        <f>IF('Final Calculation Sheet'!$AC$14="","",'Final Calculation Sheet'!$AC$14)</f>
        <v/>
      </c>
      <c r="D471" s="71" t="n"/>
      <c r="E471" s="71" t="n"/>
      <c r="F471" s="71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106">
        <f>SUM(B471:N471)</f>
        <v/>
      </c>
    </row>
    <row r="472" outlineLevel="2" ht="15" customHeight="1">
      <c r="A472" s="69" t="inlineStr">
        <is>
          <t xml:space="preserve">      Outstanding (₹)</t>
        </is>
      </c>
      <c r="B472" s="70">
        <f>IF('Final Calculation Sheet'!$AD$9="","",'Final Calculation Sheet'!$AD$9)</f>
        <v/>
      </c>
      <c r="C472" s="174">
        <f>IF('Final Calculation Sheet'!$AD$14="","",'Final Calculation Sheet'!$AD$14)</f>
        <v/>
      </c>
      <c r="D472" s="71" t="n"/>
      <c r="E472" s="71" t="n"/>
      <c r="F472" s="71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106">
        <f>SUM(B472:N472)</f>
        <v/>
      </c>
    </row>
    <row r="473" outlineLevel="2" ht="15" customHeight="1">
      <c r="A473" s="69" t="inlineStr">
        <is>
          <t xml:space="preserve">      Payment Status</t>
        </is>
      </c>
      <c r="B473" s="81">
        <f>IF('Final Calculation Sheet'!$AD$9="","",IF('Final Calculation Sheet'!$AD$9&lt;=0,"SETTLED","OUTSTANDING"))</f>
        <v/>
      </c>
      <c r="C473" s="180">
        <f>IF('Final Calculation Sheet'!$AD$14="","",IF('Final Calculation Sheet'!$AD$14&lt;=0,"SETTLED","OUTSTANDING"))</f>
        <v/>
      </c>
      <c r="D473" s="71" t="n"/>
      <c r="E473" s="71" t="n"/>
      <c r="F473" s="71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104" t="inlineStr">
        <is>
          <t>–</t>
        </is>
      </c>
    </row>
    <row r="474" outlineLevel="1" ht="16" customHeight="1">
      <c r="A474" s="100" t="inlineStr">
        <is>
          <t xml:space="preserve">  ▸ DOCUMENT</t>
        </is>
      </c>
      <c r="B474" s="102" t="n"/>
      <c r="C474" s="102" t="n"/>
      <c r="D474" s="102" t="n"/>
      <c r="E474" s="102" t="n"/>
      <c r="F474" s="102" t="n"/>
      <c r="G474" s="102" t="n"/>
      <c r="H474" s="102" t="n"/>
      <c r="I474" s="102" t="n"/>
      <c r="J474" s="102" t="n"/>
      <c r="K474" s="102" t="n"/>
      <c r="L474" s="102" t="n"/>
      <c r="M474" s="102" t="n"/>
      <c r="N474" s="102" t="n"/>
      <c r="O474" s="102" t="n"/>
    </row>
    <row r="475" outlineLevel="2" ht="15" customHeight="1">
      <c r="A475" s="69" t="inlineStr">
        <is>
          <t xml:space="preserve">      Invoice No.</t>
        </is>
      </c>
      <c r="B475" s="76">
        <f>IF('Final Calculation Sheet'!$AE$9="","",'Final Calculation Sheet'!$AE$9)</f>
        <v/>
      </c>
      <c r="C475" s="177">
        <f>IF('Final Calculation Sheet'!$AE$14="","",'Final Calculation Sheet'!$AE$14)</f>
        <v/>
      </c>
      <c r="D475" s="71" t="n"/>
      <c r="E475" s="71" t="n"/>
      <c r="F475" s="71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104" t="inlineStr">
        <is>
          <t>–</t>
        </is>
      </c>
    </row>
    <row r="476" outlineLevel="2" ht="15" customHeight="1">
      <c r="A476" s="69" t="inlineStr">
        <is>
          <t xml:space="preserve">      SAP Document</t>
        </is>
      </c>
      <c r="B476" s="70">
        <f>IF('Final Calculation Sheet'!$AF$9="","",'Final Calculation Sheet'!$AF$9)</f>
        <v/>
      </c>
      <c r="C476" s="174">
        <f>IF('Final Calculation Sheet'!$AF$14="","",'Final Calculation Sheet'!$AF$14)</f>
        <v/>
      </c>
      <c r="D476" s="71" t="n"/>
      <c r="E476" s="71" t="n"/>
      <c r="F476" s="71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104" t="inlineStr">
        <is>
          <t>–</t>
        </is>
      </c>
    </row>
    <row r="477" outlineLevel="2" ht="15" customHeight="1">
      <c r="A477" s="69" t="inlineStr">
        <is>
          <t xml:space="preserve">      Doc./Invoice Date</t>
        </is>
      </c>
      <c r="B477" s="76">
        <f>IF('Final Calculation Sheet'!$AG$9="","",'Final Calculation Sheet'!$AG$9)</f>
        <v/>
      </c>
      <c r="C477" s="177">
        <f>IF('Final Calculation Sheet'!$AG$14="","",'Final Calculation Sheet'!$AG$14)</f>
        <v/>
      </c>
      <c r="D477" s="71" t="n"/>
      <c r="E477" s="71" t="n"/>
      <c r="F477" s="71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104" t="inlineStr">
        <is>
          <t>–</t>
        </is>
      </c>
    </row>
    <row r="478" ht="7" customHeight="1">
      <c r="A478" s="82" t="n"/>
      <c r="B478" s="82" t="n"/>
      <c r="C478" s="82" t="n"/>
      <c r="D478" s="82" t="n"/>
      <c r="E478" s="82" t="n"/>
      <c r="F478" s="82" t="n"/>
      <c r="G478" s="82" t="n"/>
      <c r="H478" s="82" t="n"/>
      <c r="I478" s="82" t="n"/>
      <c r="J478" s="82" t="n"/>
      <c r="K478" s="82" t="n"/>
      <c r="L478" s="82" t="n"/>
      <c r="M478" s="82" t="n"/>
      <c r="N478" s="82" t="n"/>
      <c r="O478" s="82" t="n"/>
    </row>
    <row r="479" ht="24" customHeight="1">
      <c r="A479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</row>
    <row r="480" outlineLevel="1" ht="18" customHeight="1">
      <c r="A480" s="109" t="inlineStr">
        <is>
          <t xml:space="preserve">   Lot No. →</t>
        </is>
      </c>
      <c r="B480" s="110">
        <f>IF('Final Calculation Sheet'!$F$13="","",'Final Calculation Sheet'!$F$13)</f>
        <v/>
      </c>
      <c r="C480" s="110">
        <f>IF('Final Calculation Sheet'!$F$16="","",'Final Calculation Sheet'!$F$16)</f>
        <v/>
      </c>
      <c r="D480" s="110">
        <f>IF('Final Calculation Sheet'!$F$17="","",'Final Calculation Sheet'!$F$17)</f>
        <v/>
      </c>
      <c r="E480" s="110">
        <f>IF('Final Calculation Sheet'!$F$23="","",'Final Calculation Sheet'!$F$23)</f>
        <v/>
      </c>
      <c r="F480" s="110">
        <f>IF('Final Calculation Sheet'!$F$29="","",'Final Calculation Sheet'!$F$29)</f>
        <v/>
      </c>
      <c r="G480" s="110">
        <f>IF('Final Calculation Sheet'!$F$34="","",'Final Calculation Sheet'!$F$34)</f>
        <v/>
      </c>
      <c r="H480" s="110">
        <f>IF('Final Calculation Sheet'!$F$36="","",'Final Calculation Sheet'!$F$36)</f>
        <v/>
      </c>
      <c r="I480" s="111" t="n"/>
      <c r="J480" s="111" t="n"/>
      <c r="K480" s="111" t="n"/>
      <c r="L480" s="111" t="n"/>
      <c r="M480" s="111" t="n"/>
      <c r="N480" s="111" t="n"/>
      <c r="O480" s="112" t="inlineStr">
        <is>
          <t>TOTAL</t>
        </is>
      </c>
    </row>
    <row r="481" outlineLevel="1" ht="16" customHeight="1">
      <c r="A481" s="109" t="inlineStr">
        <is>
          <t xml:space="preserve">  ▸ LOT INFORMATION</t>
        </is>
      </c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</row>
    <row r="482" outlineLevel="2" ht="15" customHeight="1">
      <c r="A482" s="69" t="inlineStr">
        <is>
          <t xml:space="preserve">      Lot No.</t>
        </is>
      </c>
      <c r="B482" s="70">
        <f>IF('Final Calculation Sheet'!$F$13="","",'Final Calculation Sheet'!$F$13)</f>
        <v/>
      </c>
      <c r="C482" s="181">
        <f>IF('Final Calculation Sheet'!$F$16="","",'Final Calculation Sheet'!$F$16)</f>
        <v/>
      </c>
      <c r="D482" s="70">
        <f>IF('Final Calculation Sheet'!$F$17="","",'Final Calculation Sheet'!$F$17)</f>
        <v/>
      </c>
      <c r="E482" s="181">
        <f>IF('Final Calculation Sheet'!$F$23="","",'Final Calculation Sheet'!$F$23)</f>
        <v/>
      </c>
      <c r="F482" s="70">
        <f>IF('Final Calculation Sheet'!$F$29="","",'Final Calculation Sheet'!$F$29)</f>
        <v/>
      </c>
      <c r="G482" s="181">
        <f>IF('Final Calculation Sheet'!$F$34="","",'Final Calculation Sheet'!$F$34)</f>
        <v/>
      </c>
      <c r="H482" s="70">
        <f>IF('Final Calculation Sheet'!$F$36="","",'Final Calculation Sheet'!$F$36)</f>
        <v/>
      </c>
      <c r="I482" s="71" t="n"/>
      <c r="J482" s="71" t="n"/>
      <c r="K482" s="71" t="n"/>
      <c r="L482" s="71" t="n"/>
      <c r="M482" s="71" t="n"/>
      <c r="N482" s="71" t="n"/>
      <c r="O482" s="113" t="inlineStr">
        <is>
          <t>–</t>
        </is>
      </c>
    </row>
    <row r="483" outlineLevel="2" ht="60" customHeight="1">
      <c r="A483" s="69" t="inlineStr">
        <is>
          <t xml:space="preserve">      Lot Name</t>
        </is>
      </c>
      <c r="B483" s="73">
        <f>IF('Final Calculation Sheet'!$B$13="","",'Final Calculation Sheet'!$B$13)</f>
        <v/>
      </c>
      <c r="C483" s="182">
        <f>IF('Final Calculation Sheet'!$B$16="","",'Final Calculation Sheet'!$B$16)</f>
        <v/>
      </c>
      <c r="D483" s="73">
        <f>IF('Final Calculation Sheet'!$B$17="","",'Final Calculation Sheet'!$B$17)</f>
        <v/>
      </c>
      <c r="E483" s="182">
        <f>IF('Final Calculation Sheet'!$B$23="","",'Final Calculation Sheet'!$B$23)</f>
        <v/>
      </c>
      <c r="F483" s="73">
        <f>IF('Final Calculation Sheet'!$B$29="","",'Final Calculation Sheet'!$B$29)</f>
        <v/>
      </c>
      <c r="G483" s="182">
        <f>IF('Final Calculation Sheet'!$B$34="","",'Final Calculation Sheet'!$B$34)</f>
        <v/>
      </c>
      <c r="H483" s="73">
        <f>IF('Final Calculation Sheet'!$B$36="","",'Final Calculation Sheet'!$B$36)</f>
        <v/>
      </c>
      <c r="I483" s="71" t="n"/>
      <c r="J483" s="71" t="n"/>
      <c r="K483" s="71" t="n"/>
      <c r="L483" s="71" t="n"/>
      <c r="M483" s="71" t="n"/>
      <c r="N483" s="71" t="n"/>
      <c r="O483" s="113" t="inlineStr">
        <is>
          <t>–</t>
        </is>
      </c>
    </row>
    <row r="484" outlineLevel="2" ht="15" customHeight="1">
      <c r="A484" s="69" t="inlineStr">
        <is>
          <t xml:space="preserve">      Bid Sheet / Auction</t>
        </is>
      </c>
      <c r="B484" s="70">
        <f>IF('Final Calculation Sheet'!$D$13="","",'Final Calculation Sheet'!$D$13)</f>
        <v/>
      </c>
      <c r="C484" s="181">
        <f>IF('Final Calculation Sheet'!$D$16="","",'Final Calculation Sheet'!$D$16)</f>
        <v/>
      </c>
      <c r="D484" s="70">
        <f>IF('Final Calculation Sheet'!$D$17="","",'Final Calculation Sheet'!$D$17)</f>
        <v/>
      </c>
      <c r="E484" s="181">
        <f>IF('Final Calculation Sheet'!$D$23="","",'Final Calculation Sheet'!$D$23)</f>
        <v/>
      </c>
      <c r="F484" s="70">
        <f>IF('Final Calculation Sheet'!$D$29="","",'Final Calculation Sheet'!$D$29)</f>
        <v/>
      </c>
      <c r="G484" s="181">
        <f>IF('Final Calculation Sheet'!$D$34="","",'Final Calculation Sheet'!$D$34)</f>
        <v/>
      </c>
      <c r="H484" s="70">
        <f>IF('Final Calculation Sheet'!$D$36="","",'Final Calculation Sheet'!$D$36)</f>
        <v/>
      </c>
      <c r="I484" s="71" t="n"/>
      <c r="J484" s="71" t="n"/>
      <c r="K484" s="71" t="n"/>
      <c r="L484" s="71" t="n"/>
      <c r="M484" s="71" t="n"/>
      <c r="N484" s="71" t="n"/>
      <c r="O484" s="113" t="inlineStr">
        <is>
          <t>–</t>
        </is>
      </c>
    </row>
    <row r="485" outlineLevel="2" ht="15" customHeight="1">
      <c r="A485" s="69" t="inlineStr">
        <is>
          <t xml:space="preserve">      Quantity</t>
        </is>
      </c>
      <c r="B485" s="74">
        <f>IF('Final Calculation Sheet'!$A$13="","",'Final Calculation Sheet'!$A$13)</f>
        <v/>
      </c>
      <c r="C485" s="183">
        <f>IF('Final Calculation Sheet'!$A$16="","",'Final Calculation Sheet'!$A$16)</f>
        <v/>
      </c>
      <c r="D485" s="74">
        <f>IF('Final Calculation Sheet'!$A$17="","",'Final Calculation Sheet'!$A$17)</f>
        <v/>
      </c>
      <c r="E485" s="183">
        <f>IF('Final Calculation Sheet'!$A$23="","",'Final Calculation Sheet'!$A$23)</f>
        <v/>
      </c>
      <c r="F485" s="74">
        <f>IF('Final Calculation Sheet'!$A$29="","",'Final Calculation Sheet'!$A$29)</f>
        <v/>
      </c>
      <c r="G485" s="183">
        <f>IF('Final Calculation Sheet'!$A$34="","",'Final Calculation Sheet'!$A$34)</f>
        <v/>
      </c>
      <c r="H485" s="74">
        <f>IF('Final Calculation Sheet'!$A$36="","",'Final Calculation Sheet'!$A$36)</f>
        <v/>
      </c>
      <c r="I485" s="71" t="n"/>
      <c r="J485" s="71" t="n"/>
      <c r="K485" s="71" t="n"/>
      <c r="L485" s="71" t="n"/>
      <c r="M485" s="71" t="n"/>
      <c r="N485" s="71" t="n"/>
      <c r="O485" s="114">
        <f>SUM(B485:N485)</f>
        <v/>
      </c>
    </row>
    <row r="486" outlineLevel="2" ht="15" customHeight="1">
      <c r="A486" s="69" t="inlineStr">
        <is>
          <t xml:space="preserve">      Unit</t>
        </is>
      </c>
      <c r="B486" s="76">
        <f>IF('Final Calculation Sheet'!$E$13="","",'Final Calculation Sheet'!$E$13)</f>
        <v/>
      </c>
      <c r="C486" s="184">
        <f>IF('Final Calculation Sheet'!$E$16="","",'Final Calculation Sheet'!$E$16)</f>
        <v/>
      </c>
      <c r="D486" s="76">
        <f>IF('Final Calculation Sheet'!$E$17="","",'Final Calculation Sheet'!$E$17)</f>
        <v/>
      </c>
      <c r="E486" s="184">
        <f>IF('Final Calculation Sheet'!$E$23="","",'Final Calculation Sheet'!$E$23)</f>
        <v/>
      </c>
      <c r="F486" s="76">
        <f>IF('Final Calculation Sheet'!$E$29="","",'Final Calculation Sheet'!$E$29)</f>
        <v/>
      </c>
      <c r="G486" s="184">
        <f>IF('Final Calculation Sheet'!$E$34="","",'Final Calculation Sheet'!$E$34)</f>
        <v/>
      </c>
      <c r="H486" s="76">
        <f>IF('Final Calculation Sheet'!$E$36="","",'Final Calculation Sheet'!$E$36)</f>
        <v/>
      </c>
      <c r="I486" s="71" t="n"/>
      <c r="J486" s="71" t="n"/>
      <c r="K486" s="71" t="n"/>
      <c r="L486" s="71" t="n"/>
      <c r="M486" s="71" t="n"/>
      <c r="N486" s="71" t="n"/>
      <c r="O486" s="113" t="inlineStr">
        <is>
          <t>–</t>
        </is>
      </c>
    </row>
    <row r="487" outlineLevel="2" ht="15" customHeight="1">
      <c r="A487" s="69" t="inlineStr">
        <is>
          <t xml:space="preserve">      Rate (₹)</t>
        </is>
      </c>
      <c r="B487" s="70">
        <f>IF('Final Calculation Sheet'!$C$13="","",'Final Calculation Sheet'!$C$13)</f>
        <v/>
      </c>
      <c r="C487" s="181">
        <f>IF('Final Calculation Sheet'!$C$16="","",'Final Calculation Sheet'!$C$16)</f>
        <v/>
      </c>
      <c r="D487" s="70">
        <f>IF('Final Calculation Sheet'!$C$17="","",'Final Calculation Sheet'!$C$17)</f>
        <v/>
      </c>
      <c r="E487" s="181">
        <f>IF('Final Calculation Sheet'!$C$23="","",'Final Calculation Sheet'!$C$23)</f>
        <v/>
      </c>
      <c r="F487" s="70">
        <f>IF('Final Calculation Sheet'!$C$29="","",'Final Calculation Sheet'!$C$29)</f>
        <v/>
      </c>
      <c r="G487" s="181">
        <f>IF('Final Calculation Sheet'!$C$34="","",'Final Calculation Sheet'!$C$34)</f>
        <v/>
      </c>
      <c r="H487" s="70">
        <f>IF('Final Calculation Sheet'!$C$36="","",'Final Calculation Sheet'!$C$36)</f>
        <v/>
      </c>
      <c r="I487" s="71" t="n"/>
      <c r="J487" s="71" t="n"/>
      <c r="K487" s="71" t="n"/>
      <c r="L487" s="71" t="n"/>
      <c r="M487" s="71" t="n"/>
      <c r="N487" s="71" t="n"/>
      <c r="O487" s="113" t="inlineStr">
        <is>
          <t>–</t>
        </is>
      </c>
    </row>
    <row r="488" outlineLevel="1" ht="16" customHeight="1">
      <c r="A488" s="109" t="inlineStr">
        <is>
          <t xml:space="preserve">  ▸ FINANCIALS</t>
        </is>
      </c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</row>
    <row r="489" outlineLevel="2" ht="15" customHeight="1">
      <c r="A489" s="69" t="inlineStr">
        <is>
          <t xml:space="preserve">      Mat. Value (₹)</t>
        </is>
      </c>
      <c r="B489" s="70">
        <f>IF('Final Calculation Sheet'!$H$13="","",'Final Calculation Sheet'!$H$13)</f>
        <v/>
      </c>
      <c r="C489" s="181">
        <f>IF('Final Calculation Sheet'!$H$16="","",'Final Calculation Sheet'!$H$16)</f>
        <v/>
      </c>
      <c r="D489" s="70">
        <f>IF('Final Calculation Sheet'!$H$17="","",'Final Calculation Sheet'!$H$17)</f>
        <v/>
      </c>
      <c r="E489" s="181">
        <f>IF('Final Calculation Sheet'!$H$23="","",'Final Calculation Sheet'!$H$23)</f>
        <v/>
      </c>
      <c r="F489" s="70">
        <f>IF('Final Calculation Sheet'!$H$29="","",'Final Calculation Sheet'!$H$29)</f>
        <v/>
      </c>
      <c r="G489" s="181">
        <f>IF('Final Calculation Sheet'!$H$34="","",'Final Calculation Sheet'!$H$34)</f>
        <v/>
      </c>
      <c r="H489" s="70">
        <f>IF('Final Calculation Sheet'!$H$36="","",'Final Calculation Sheet'!$H$36)</f>
        <v/>
      </c>
      <c r="I489" s="71" t="n"/>
      <c r="J489" s="71" t="n"/>
      <c r="K489" s="71" t="n"/>
      <c r="L489" s="71" t="n"/>
      <c r="M489" s="71" t="n"/>
      <c r="N489" s="71" t="n"/>
      <c r="O489" s="115">
        <f>SUM(B489:N489)</f>
        <v/>
      </c>
    </row>
    <row r="490" outlineLevel="2" ht="15" customHeight="1">
      <c r="A490" s="69" t="inlineStr">
        <is>
          <t xml:space="preserve">      GST @ 18% (₹)</t>
        </is>
      </c>
      <c r="B490" s="70">
        <f>IF('Final Calculation Sheet'!$I$13="","",'Final Calculation Sheet'!$I$13)</f>
        <v/>
      </c>
      <c r="C490" s="181">
        <f>IF('Final Calculation Sheet'!$I$16="","",'Final Calculation Sheet'!$I$16)</f>
        <v/>
      </c>
      <c r="D490" s="70">
        <f>IF('Final Calculation Sheet'!$I$17="","",'Final Calculation Sheet'!$I$17)</f>
        <v/>
      </c>
      <c r="E490" s="181">
        <f>IF('Final Calculation Sheet'!$I$23="","",'Final Calculation Sheet'!$I$23)</f>
        <v/>
      </c>
      <c r="F490" s="70">
        <f>IF('Final Calculation Sheet'!$I$29="","",'Final Calculation Sheet'!$I$29)</f>
        <v/>
      </c>
      <c r="G490" s="181">
        <f>IF('Final Calculation Sheet'!$I$34="","",'Final Calculation Sheet'!$I$34)</f>
        <v/>
      </c>
      <c r="H490" s="70">
        <f>IF('Final Calculation Sheet'!$I$36="","",'Final Calculation Sheet'!$I$36)</f>
        <v/>
      </c>
      <c r="I490" s="71" t="n"/>
      <c r="J490" s="71" t="n"/>
      <c r="K490" s="71" t="n"/>
      <c r="L490" s="71" t="n"/>
      <c r="M490" s="71" t="n"/>
      <c r="N490" s="71" t="n"/>
      <c r="O490" s="115">
        <f>SUM(B490:N490)</f>
        <v/>
      </c>
    </row>
    <row r="491" outlineLevel="2" ht="15" customHeight="1">
      <c r="A491" s="69" t="inlineStr">
        <is>
          <t xml:space="preserve">      Mat. Value + GST (₹)</t>
        </is>
      </c>
      <c r="B491" s="70">
        <f>IF('Final Calculation Sheet'!$J$13="","",'Final Calculation Sheet'!$J$13)</f>
        <v/>
      </c>
      <c r="C491" s="181">
        <f>IF('Final Calculation Sheet'!$J$16="","",'Final Calculation Sheet'!$J$16)</f>
        <v/>
      </c>
      <c r="D491" s="70">
        <f>IF('Final Calculation Sheet'!$J$17="","",'Final Calculation Sheet'!$J$17)</f>
        <v/>
      </c>
      <c r="E491" s="181">
        <f>IF('Final Calculation Sheet'!$J$23="","",'Final Calculation Sheet'!$J$23)</f>
        <v/>
      </c>
      <c r="F491" s="70">
        <f>IF('Final Calculation Sheet'!$J$29="","",'Final Calculation Sheet'!$J$29)</f>
        <v/>
      </c>
      <c r="G491" s="181">
        <f>IF('Final Calculation Sheet'!$J$34="","",'Final Calculation Sheet'!$J$34)</f>
        <v/>
      </c>
      <c r="H491" s="70">
        <f>IF('Final Calculation Sheet'!$J$36="","",'Final Calculation Sheet'!$J$36)</f>
        <v/>
      </c>
      <c r="I491" s="71" t="n"/>
      <c r="J491" s="71" t="n"/>
      <c r="K491" s="71" t="n"/>
      <c r="L491" s="71" t="n"/>
      <c r="M491" s="71" t="n"/>
      <c r="N491" s="71" t="n"/>
      <c r="O491" s="115">
        <f>SUM(B491:N491)</f>
        <v/>
      </c>
    </row>
    <row r="492" outlineLevel="2" ht="15" customHeight="1">
      <c r="A492" s="69" t="inlineStr">
        <is>
          <t xml:space="preserve">      TCS @ 2% (₹)</t>
        </is>
      </c>
      <c r="B492" s="70">
        <f>IF('Final Calculation Sheet'!$K$13="","",'Final Calculation Sheet'!$K$13)</f>
        <v/>
      </c>
      <c r="C492" s="181">
        <f>IF('Final Calculation Sheet'!$K$16="","",'Final Calculation Sheet'!$K$16)</f>
        <v/>
      </c>
      <c r="D492" s="70">
        <f>IF('Final Calculation Sheet'!$K$17="","",'Final Calculation Sheet'!$K$17)</f>
        <v/>
      </c>
      <c r="E492" s="181">
        <f>IF('Final Calculation Sheet'!$K$23="","",'Final Calculation Sheet'!$K$23)</f>
        <v/>
      </c>
      <c r="F492" s="70">
        <f>IF('Final Calculation Sheet'!$K$29="","",'Final Calculation Sheet'!$K$29)</f>
        <v/>
      </c>
      <c r="G492" s="181">
        <f>IF('Final Calculation Sheet'!$K$34="","",'Final Calculation Sheet'!$K$34)</f>
        <v/>
      </c>
      <c r="H492" s="70">
        <f>IF('Final Calculation Sheet'!$K$36="","",'Final Calculation Sheet'!$K$36)</f>
        <v/>
      </c>
      <c r="I492" s="71" t="n"/>
      <c r="J492" s="71" t="n"/>
      <c r="K492" s="71" t="n"/>
      <c r="L492" s="71" t="n"/>
      <c r="M492" s="71" t="n"/>
      <c r="N492" s="71" t="n"/>
      <c r="O492" s="115">
        <f>SUM(B492:N492)</f>
        <v/>
      </c>
    </row>
    <row r="493" outlineLevel="2" ht="15" customHeight="1">
      <c r="A493" s="69" t="inlineStr">
        <is>
          <t xml:space="preserve">      TDS u/s 194(O) (₹)</t>
        </is>
      </c>
      <c r="B493" s="78">
        <f>IF('Final Calculation Sheet'!$L$13="","",'Final Calculation Sheet'!$L$13)</f>
        <v/>
      </c>
      <c r="C493" s="185">
        <f>IF('Final Calculation Sheet'!$L$16="","",'Final Calculation Sheet'!$L$16)</f>
        <v/>
      </c>
      <c r="D493" s="78">
        <f>IF('Final Calculation Sheet'!$L$17="","",'Final Calculation Sheet'!$L$17)</f>
        <v/>
      </c>
      <c r="E493" s="185">
        <f>IF('Final Calculation Sheet'!$L$23="","",'Final Calculation Sheet'!$L$23)</f>
        <v/>
      </c>
      <c r="F493" s="78">
        <f>IF('Final Calculation Sheet'!$L$29="","",'Final Calculation Sheet'!$L$29)</f>
        <v/>
      </c>
      <c r="G493" s="185">
        <f>IF('Final Calculation Sheet'!$L$34="","",'Final Calculation Sheet'!$L$34)</f>
        <v/>
      </c>
      <c r="H493" s="78">
        <f>IF('Final Calculation Sheet'!$L$36="","",'Final Calculation Sheet'!$L$36)</f>
        <v/>
      </c>
      <c r="I493" s="71" t="n"/>
      <c r="J493" s="71" t="n"/>
      <c r="K493" s="71" t="n"/>
      <c r="L493" s="71" t="n"/>
      <c r="M493" s="71" t="n"/>
      <c r="N493" s="71" t="n"/>
      <c r="O493" s="116">
        <f>SUM(B493:N493)</f>
        <v/>
      </c>
    </row>
    <row r="494" outlineLevel="2" ht="15" customHeight="1">
      <c r="A494" s="69" t="inlineStr">
        <is>
          <t xml:space="preserve">      Service Charge gross (₹)</t>
        </is>
      </c>
      <c r="B494" s="78">
        <f>IF('Final Calculation Sheet'!$M$13="","",'Final Calculation Sheet'!$M$13)</f>
        <v/>
      </c>
      <c r="C494" s="185">
        <f>IF('Final Calculation Sheet'!$M$16="","",'Final Calculation Sheet'!$M$16)</f>
        <v/>
      </c>
      <c r="D494" s="78">
        <f>IF('Final Calculation Sheet'!$M$17="","",'Final Calculation Sheet'!$M$17)</f>
        <v/>
      </c>
      <c r="E494" s="185">
        <f>IF('Final Calculation Sheet'!$M$23="","",'Final Calculation Sheet'!$M$23)</f>
        <v/>
      </c>
      <c r="F494" s="78">
        <f>IF('Final Calculation Sheet'!$M$29="","",'Final Calculation Sheet'!$M$29)</f>
        <v/>
      </c>
      <c r="G494" s="185">
        <f>IF('Final Calculation Sheet'!$M$34="","",'Final Calculation Sheet'!$M$34)</f>
        <v/>
      </c>
      <c r="H494" s="78">
        <f>IF('Final Calculation Sheet'!$M$36="","",'Final Calculation Sheet'!$M$36)</f>
        <v/>
      </c>
      <c r="I494" s="71" t="n"/>
      <c r="J494" s="71" t="n"/>
      <c r="K494" s="71" t="n"/>
      <c r="L494" s="71" t="n"/>
      <c r="M494" s="71" t="n"/>
      <c r="N494" s="71" t="n"/>
      <c r="O494" s="116">
        <f>SUM(B494:N494)</f>
        <v/>
      </c>
    </row>
    <row r="495" outlineLevel="2" ht="15" customHeight="1">
      <c r="A495" s="69" t="inlineStr">
        <is>
          <t xml:space="preserve">      TDS u/s 194(H) (₹)</t>
        </is>
      </c>
      <c r="B495" s="78">
        <f>IF('Final Calculation Sheet'!$N$13="","",'Final Calculation Sheet'!$N$13)</f>
        <v/>
      </c>
      <c r="C495" s="185">
        <f>IF('Final Calculation Sheet'!$N$16="","",'Final Calculation Sheet'!$N$16)</f>
        <v/>
      </c>
      <c r="D495" s="78">
        <f>IF('Final Calculation Sheet'!$N$17="","",'Final Calculation Sheet'!$N$17)</f>
        <v/>
      </c>
      <c r="E495" s="185">
        <f>IF('Final Calculation Sheet'!$N$23="","",'Final Calculation Sheet'!$N$23)</f>
        <v/>
      </c>
      <c r="F495" s="78">
        <f>IF('Final Calculation Sheet'!$N$29="","",'Final Calculation Sheet'!$N$29)</f>
        <v/>
      </c>
      <c r="G495" s="185">
        <f>IF('Final Calculation Sheet'!$N$34="","",'Final Calculation Sheet'!$N$34)</f>
        <v/>
      </c>
      <c r="H495" s="78">
        <f>IF('Final Calculation Sheet'!$N$36="","",'Final Calculation Sheet'!$N$36)</f>
        <v/>
      </c>
      <c r="I495" s="71" t="n"/>
      <c r="J495" s="71" t="n"/>
      <c r="K495" s="71" t="n"/>
      <c r="L495" s="71" t="n"/>
      <c r="M495" s="71" t="n"/>
      <c r="N495" s="71" t="n"/>
      <c r="O495" s="116">
        <f>SUM(B495:N495)</f>
        <v/>
      </c>
    </row>
    <row r="496" outlineLevel="2" ht="15" customHeight="1">
      <c r="A496" s="69" t="inlineStr">
        <is>
          <t xml:space="preserve">      Net Service Charge (₹)</t>
        </is>
      </c>
      <c r="B496" s="78">
        <f>IF('Final Calculation Sheet'!$O$13="","",'Final Calculation Sheet'!$O$13)</f>
        <v/>
      </c>
      <c r="C496" s="185">
        <f>IF('Final Calculation Sheet'!$O$16="","",'Final Calculation Sheet'!$O$16)</f>
        <v/>
      </c>
      <c r="D496" s="78">
        <f>IF('Final Calculation Sheet'!$O$17="","",'Final Calculation Sheet'!$O$17)</f>
        <v/>
      </c>
      <c r="E496" s="185">
        <f>IF('Final Calculation Sheet'!$O$23="","",'Final Calculation Sheet'!$O$23)</f>
        <v/>
      </c>
      <c r="F496" s="78">
        <f>IF('Final Calculation Sheet'!$O$29="","",'Final Calculation Sheet'!$O$29)</f>
        <v/>
      </c>
      <c r="G496" s="185">
        <f>IF('Final Calculation Sheet'!$O$34="","",'Final Calculation Sheet'!$O$34)</f>
        <v/>
      </c>
      <c r="H496" s="78">
        <f>IF('Final Calculation Sheet'!$O$36="","",'Final Calculation Sheet'!$O$36)</f>
        <v/>
      </c>
      <c r="I496" s="71" t="n"/>
      <c r="J496" s="71" t="n"/>
      <c r="K496" s="71" t="n"/>
      <c r="L496" s="71" t="n"/>
      <c r="M496" s="71" t="n"/>
      <c r="N496" s="71" t="n"/>
      <c r="O496" s="116">
        <f>SUM(B496:N496)</f>
        <v/>
      </c>
    </row>
    <row r="497" outlineLevel="2" ht="15" customHeight="1">
      <c r="A497" s="69" t="inlineStr">
        <is>
          <t xml:space="preserve">      Svc Charge to MSTC (₹)</t>
        </is>
      </c>
      <c r="B497" s="70">
        <f>IF('Final Calculation Sheet'!$P$13="","",'Final Calculation Sheet'!$P$13)</f>
        <v/>
      </c>
      <c r="C497" s="181">
        <f>IF('Final Calculation Sheet'!$P$16="","",'Final Calculation Sheet'!$P$16)</f>
        <v/>
      </c>
      <c r="D497" s="70">
        <f>IF('Final Calculation Sheet'!$P$17="","",'Final Calculation Sheet'!$P$17)</f>
        <v/>
      </c>
      <c r="E497" s="181">
        <f>IF('Final Calculation Sheet'!$P$23="","",'Final Calculation Sheet'!$P$23)</f>
        <v/>
      </c>
      <c r="F497" s="70">
        <f>IF('Final Calculation Sheet'!$P$29="","",'Final Calculation Sheet'!$P$29)</f>
        <v/>
      </c>
      <c r="G497" s="181">
        <f>IF('Final Calculation Sheet'!$P$34="","",'Final Calculation Sheet'!$P$34)</f>
        <v/>
      </c>
      <c r="H497" s="70">
        <f>IF('Final Calculation Sheet'!$P$36="","",'Final Calculation Sheet'!$P$36)</f>
        <v/>
      </c>
      <c r="I497" s="71" t="n"/>
      <c r="J497" s="71" t="n"/>
      <c r="K497" s="71" t="n"/>
      <c r="L497" s="71" t="n"/>
      <c r="M497" s="71" t="n"/>
      <c r="N497" s="71" t="n"/>
      <c r="O497" s="115">
        <f>SUM(B497:N497)</f>
        <v/>
      </c>
    </row>
    <row r="498" outlineLevel="2" ht="15" customHeight="1">
      <c r="A498" s="69" t="inlineStr">
        <is>
          <t xml:space="preserve">      GST TDS Rate</t>
        </is>
      </c>
      <c r="B498" s="80">
        <f>IF('Final Calculation Sheet'!$Q$13="","",'Final Calculation Sheet'!$Q$13)</f>
        <v/>
      </c>
      <c r="C498" s="186">
        <f>IF('Final Calculation Sheet'!$Q$16="","",'Final Calculation Sheet'!$Q$16)</f>
        <v/>
      </c>
      <c r="D498" s="80">
        <f>IF('Final Calculation Sheet'!$Q$17="","",'Final Calculation Sheet'!$Q$17)</f>
        <v/>
      </c>
      <c r="E498" s="186">
        <f>IF('Final Calculation Sheet'!$Q$23="","",'Final Calculation Sheet'!$Q$23)</f>
        <v/>
      </c>
      <c r="F498" s="80">
        <f>IF('Final Calculation Sheet'!$Q$29="","",'Final Calculation Sheet'!$Q$29)</f>
        <v/>
      </c>
      <c r="G498" s="186">
        <f>IF('Final Calculation Sheet'!$Q$34="","",'Final Calculation Sheet'!$Q$34)</f>
        <v/>
      </c>
      <c r="H498" s="80">
        <f>IF('Final Calculation Sheet'!$Q$36="","",'Final Calculation Sheet'!$Q$36)</f>
        <v/>
      </c>
      <c r="I498" s="71" t="n"/>
      <c r="J498" s="71" t="n"/>
      <c r="K498" s="71" t="n"/>
      <c r="L498" s="71" t="n"/>
      <c r="M498" s="71" t="n"/>
      <c r="N498" s="71" t="n"/>
      <c r="O498" s="113" t="inlineStr">
        <is>
          <t>–</t>
        </is>
      </c>
    </row>
    <row r="499" outlineLevel="2" ht="15" customHeight="1">
      <c r="A499" s="69" t="inlineStr">
        <is>
          <t xml:space="preserve">      GST TDS (₹)</t>
        </is>
      </c>
      <c r="B499" s="70">
        <f>IF('Final Calculation Sheet'!$R$13="","",'Final Calculation Sheet'!$R$13)</f>
        <v/>
      </c>
      <c r="C499" s="181">
        <f>IF('Final Calculation Sheet'!$R$16="","",'Final Calculation Sheet'!$R$16)</f>
        <v/>
      </c>
      <c r="D499" s="70">
        <f>IF('Final Calculation Sheet'!$R$17="","",'Final Calculation Sheet'!$R$17)</f>
        <v/>
      </c>
      <c r="E499" s="181">
        <f>IF('Final Calculation Sheet'!$R$23="","",'Final Calculation Sheet'!$R$23)</f>
        <v/>
      </c>
      <c r="F499" s="70">
        <f>IF('Final Calculation Sheet'!$R$29="","",'Final Calculation Sheet'!$R$29)</f>
        <v/>
      </c>
      <c r="G499" s="181">
        <f>IF('Final Calculation Sheet'!$R$34="","",'Final Calculation Sheet'!$R$34)</f>
        <v/>
      </c>
      <c r="H499" s="70">
        <f>IF('Final Calculation Sheet'!$R$36="","",'Final Calculation Sheet'!$R$36)</f>
        <v/>
      </c>
      <c r="I499" s="71" t="n"/>
      <c r="J499" s="71" t="n"/>
      <c r="K499" s="71" t="n"/>
      <c r="L499" s="71" t="n"/>
      <c r="M499" s="71" t="n"/>
      <c r="N499" s="71" t="n"/>
      <c r="O499" s="115">
        <f>SUM(B499:N499)</f>
        <v/>
      </c>
    </row>
    <row r="500" outlineLevel="2" ht="15" customHeight="1">
      <c r="A500" s="69" t="inlineStr">
        <is>
          <t xml:space="preserve">      Total Receivables (₹)</t>
        </is>
      </c>
      <c r="B500" s="70">
        <f>IF('Final Calculation Sheet'!$S$13="","",'Final Calculation Sheet'!$S$13)</f>
        <v/>
      </c>
      <c r="C500" s="181">
        <f>IF('Final Calculation Sheet'!$S$16="","",'Final Calculation Sheet'!$S$16)</f>
        <v/>
      </c>
      <c r="D500" s="70">
        <f>IF('Final Calculation Sheet'!$S$17="","",'Final Calculation Sheet'!$S$17)</f>
        <v/>
      </c>
      <c r="E500" s="181">
        <f>IF('Final Calculation Sheet'!$S$23="","",'Final Calculation Sheet'!$S$23)</f>
        <v/>
      </c>
      <c r="F500" s="70">
        <f>IF('Final Calculation Sheet'!$S$29="","",'Final Calculation Sheet'!$S$29)</f>
        <v/>
      </c>
      <c r="G500" s="181">
        <f>IF('Final Calculation Sheet'!$S$34="","",'Final Calculation Sheet'!$S$34)</f>
        <v/>
      </c>
      <c r="H500" s="70">
        <f>IF('Final Calculation Sheet'!$S$36="","",'Final Calculation Sheet'!$S$36)</f>
        <v/>
      </c>
      <c r="I500" s="71" t="n"/>
      <c r="J500" s="71" t="n"/>
      <c r="K500" s="71" t="n"/>
      <c r="L500" s="71" t="n"/>
      <c r="M500" s="71" t="n"/>
      <c r="N500" s="71" t="n"/>
      <c r="O500" s="115">
        <f>SUM(B500:N500)</f>
        <v/>
      </c>
    </row>
    <row r="501" outlineLevel="1" ht="16" customHeight="1">
      <c r="A501" s="109" t="inlineStr">
        <is>
          <t xml:space="preserve">  ▸ SECURITY DEPOSIT</t>
        </is>
      </c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</row>
    <row r="502" outlineLevel="2" ht="15" customHeight="1">
      <c r="A502" s="69" t="inlineStr">
        <is>
          <t xml:space="preserve">      SD Expected (₹)</t>
        </is>
      </c>
      <c r="B502" s="70">
        <f>IF('Final Calculation Sheet'!$T$13="","",'Final Calculation Sheet'!$T$13)</f>
        <v/>
      </c>
      <c r="C502" s="181">
        <f>IF('Final Calculation Sheet'!$T$16="","",'Final Calculation Sheet'!$T$16)</f>
        <v/>
      </c>
      <c r="D502" s="70">
        <f>IF('Final Calculation Sheet'!$T$17="","",'Final Calculation Sheet'!$T$17)</f>
        <v/>
      </c>
      <c r="E502" s="181">
        <f>IF('Final Calculation Sheet'!$T$23="","",'Final Calculation Sheet'!$T$23)</f>
        <v/>
      </c>
      <c r="F502" s="70">
        <f>IF('Final Calculation Sheet'!$T$29="","",'Final Calculation Sheet'!$T$29)</f>
        <v/>
      </c>
      <c r="G502" s="181">
        <f>IF('Final Calculation Sheet'!$T$34="","",'Final Calculation Sheet'!$T$34)</f>
        <v/>
      </c>
      <c r="H502" s="70">
        <f>IF('Final Calculation Sheet'!$T$36="","",'Final Calculation Sheet'!$T$36)</f>
        <v/>
      </c>
      <c r="I502" s="71" t="n"/>
      <c r="J502" s="71" t="n"/>
      <c r="K502" s="71" t="n"/>
      <c r="L502" s="71" t="n"/>
      <c r="M502" s="71" t="n"/>
      <c r="N502" s="71" t="n"/>
      <c r="O502" s="115">
        <f>SUM(B502:N502)</f>
        <v/>
      </c>
    </row>
    <row r="503" outlineLevel="2" ht="15" customHeight="1">
      <c r="A503" s="69" t="inlineStr">
        <is>
          <t xml:space="preserve">      SD Received (₹)</t>
        </is>
      </c>
      <c r="B503" s="70">
        <f>IF('Final Calculation Sheet'!$U$13="","",'Final Calculation Sheet'!$U$13)</f>
        <v/>
      </c>
      <c r="C503" s="181">
        <f>IF('Final Calculation Sheet'!$U$16="","",'Final Calculation Sheet'!$U$16)</f>
        <v/>
      </c>
      <c r="D503" s="70">
        <f>IF('Final Calculation Sheet'!$U$17="","",'Final Calculation Sheet'!$U$17)</f>
        <v/>
      </c>
      <c r="E503" s="181">
        <f>IF('Final Calculation Sheet'!$U$23="","",'Final Calculation Sheet'!$U$23)</f>
        <v/>
      </c>
      <c r="F503" s="70">
        <f>IF('Final Calculation Sheet'!$U$29="","",'Final Calculation Sheet'!$U$29)</f>
        <v/>
      </c>
      <c r="G503" s="181">
        <f>IF('Final Calculation Sheet'!$U$34="","",'Final Calculation Sheet'!$U$34)</f>
        <v/>
      </c>
      <c r="H503" s="70">
        <f>IF('Final Calculation Sheet'!$U$36="","",'Final Calculation Sheet'!$U$36)</f>
        <v/>
      </c>
      <c r="I503" s="71" t="n"/>
      <c r="J503" s="71" t="n"/>
      <c r="K503" s="71" t="n"/>
      <c r="L503" s="71" t="n"/>
      <c r="M503" s="71" t="n"/>
      <c r="N503" s="71" t="n"/>
      <c r="O503" s="115">
        <f>SUM(B503:N503)</f>
        <v/>
      </c>
    </row>
    <row r="504" outlineLevel="2" ht="15" customHeight="1">
      <c r="A504" s="69" t="inlineStr">
        <is>
          <t xml:space="preserve">      SD Receipt Date</t>
        </is>
      </c>
      <c r="B504" s="76">
        <f>IF('Final Calculation Sheet'!$V$13="","",'Final Calculation Sheet'!$V$13)</f>
        <v/>
      </c>
      <c r="C504" s="184">
        <f>IF('Final Calculation Sheet'!$V$16="","",'Final Calculation Sheet'!$V$16)</f>
        <v/>
      </c>
      <c r="D504" s="76">
        <f>IF('Final Calculation Sheet'!$V$17="","",'Final Calculation Sheet'!$V$17)</f>
        <v/>
      </c>
      <c r="E504" s="184">
        <f>IF('Final Calculation Sheet'!$V$23="","",'Final Calculation Sheet'!$V$23)</f>
        <v/>
      </c>
      <c r="F504" s="76">
        <f>IF('Final Calculation Sheet'!$V$29="","",'Final Calculation Sheet'!$V$29)</f>
        <v/>
      </c>
      <c r="G504" s="184">
        <f>IF('Final Calculation Sheet'!$V$34="","",'Final Calculation Sheet'!$V$34)</f>
        <v/>
      </c>
      <c r="H504" s="76">
        <f>IF('Final Calculation Sheet'!$V$36="","",'Final Calculation Sheet'!$V$36)</f>
        <v/>
      </c>
      <c r="I504" s="71" t="n"/>
      <c r="J504" s="71" t="n"/>
      <c r="K504" s="71" t="n"/>
      <c r="L504" s="71" t="n"/>
      <c r="M504" s="71" t="n"/>
      <c r="N504" s="71" t="n"/>
      <c r="O504" s="113" t="inlineStr">
        <is>
          <t>–</t>
        </is>
      </c>
    </row>
    <row r="505" outlineLevel="1" ht="16" customHeight="1">
      <c r="A505" s="109" t="inlineStr">
        <is>
          <t xml:space="preserve">  ▸ FINAL PAYMENT</t>
        </is>
      </c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</row>
    <row r="506" outlineLevel="2" ht="15" customHeight="1">
      <c r="A506" s="69" t="inlineStr">
        <is>
          <t xml:space="preserve">      FP Expected (₹)</t>
        </is>
      </c>
      <c r="B506" s="70">
        <f>IF('Final Calculation Sheet'!$W$13="","",'Final Calculation Sheet'!$W$13)</f>
        <v/>
      </c>
      <c r="C506" s="181">
        <f>IF('Final Calculation Sheet'!$W$16="","",'Final Calculation Sheet'!$W$16)</f>
        <v/>
      </c>
      <c r="D506" s="70">
        <f>IF('Final Calculation Sheet'!$W$17="","",'Final Calculation Sheet'!$W$17)</f>
        <v/>
      </c>
      <c r="E506" s="181">
        <f>IF('Final Calculation Sheet'!$W$23="","",'Final Calculation Sheet'!$W$23)</f>
        <v/>
      </c>
      <c r="F506" s="70">
        <f>IF('Final Calculation Sheet'!$W$29="","",'Final Calculation Sheet'!$W$29)</f>
        <v/>
      </c>
      <c r="G506" s="181">
        <f>IF('Final Calculation Sheet'!$W$34="","",'Final Calculation Sheet'!$W$34)</f>
        <v/>
      </c>
      <c r="H506" s="70">
        <f>IF('Final Calculation Sheet'!$W$36="","",'Final Calculation Sheet'!$W$36)</f>
        <v/>
      </c>
      <c r="I506" s="71" t="n"/>
      <c r="J506" s="71" t="n"/>
      <c r="K506" s="71" t="n"/>
      <c r="L506" s="71" t="n"/>
      <c r="M506" s="71" t="n"/>
      <c r="N506" s="71" t="n"/>
      <c r="O506" s="115">
        <f>SUM(B506:N506)</f>
        <v/>
      </c>
    </row>
    <row r="507" outlineLevel="2" ht="15" customHeight="1">
      <c r="A507" s="69" t="inlineStr">
        <is>
          <t xml:space="preserve">      FP Received (₹)</t>
        </is>
      </c>
      <c r="B507" s="70">
        <f>IF('Final Calculation Sheet'!$X$13="","",'Final Calculation Sheet'!$X$13)</f>
        <v/>
      </c>
      <c r="C507" s="181">
        <f>IF('Final Calculation Sheet'!$X$16="","",'Final Calculation Sheet'!$X$16)</f>
        <v/>
      </c>
      <c r="D507" s="70">
        <f>IF('Final Calculation Sheet'!$X$17="","",'Final Calculation Sheet'!$X$17)</f>
        <v/>
      </c>
      <c r="E507" s="181">
        <f>IF('Final Calculation Sheet'!$X$23="","",'Final Calculation Sheet'!$X$23)</f>
        <v/>
      </c>
      <c r="F507" s="70">
        <f>IF('Final Calculation Sheet'!$X$29="","",'Final Calculation Sheet'!$X$29)</f>
        <v/>
      </c>
      <c r="G507" s="181">
        <f>IF('Final Calculation Sheet'!$X$34="","",'Final Calculation Sheet'!$X$34)</f>
        <v/>
      </c>
      <c r="H507" s="70">
        <f>IF('Final Calculation Sheet'!$X$36="","",'Final Calculation Sheet'!$X$36)</f>
        <v/>
      </c>
      <c r="I507" s="71" t="n"/>
      <c r="J507" s="71" t="n"/>
      <c r="K507" s="71" t="n"/>
      <c r="L507" s="71" t="n"/>
      <c r="M507" s="71" t="n"/>
      <c r="N507" s="71" t="n"/>
      <c r="O507" s="115">
        <f>SUM(B507:N507)</f>
        <v/>
      </c>
    </row>
    <row r="508" outlineLevel="2" ht="15" customHeight="1">
      <c r="A508" s="69" t="inlineStr">
        <is>
          <t xml:space="preserve">      FP Receipt Date</t>
        </is>
      </c>
      <c r="B508" s="76">
        <f>IF('Final Calculation Sheet'!$Y$13="","",'Final Calculation Sheet'!$Y$13)</f>
        <v/>
      </c>
      <c r="C508" s="184">
        <f>IF('Final Calculation Sheet'!$Y$16="","",'Final Calculation Sheet'!$Y$16)</f>
        <v/>
      </c>
      <c r="D508" s="76">
        <f>IF('Final Calculation Sheet'!$Y$17="","",'Final Calculation Sheet'!$Y$17)</f>
        <v/>
      </c>
      <c r="E508" s="184">
        <f>IF('Final Calculation Sheet'!$Y$23="","",'Final Calculation Sheet'!$Y$23)</f>
        <v/>
      </c>
      <c r="F508" s="76">
        <f>IF('Final Calculation Sheet'!$Y$29="","",'Final Calculation Sheet'!$Y$29)</f>
        <v/>
      </c>
      <c r="G508" s="184">
        <f>IF('Final Calculation Sheet'!$Y$34="","",'Final Calculation Sheet'!$Y$34)</f>
        <v/>
      </c>
      <c r="H508" s="76">
        <f>IF('Final Calculation Sheet'!$Y$36="","",'Final Calculation Sheet'!$Y$36)</f>
        <v/>
      </c>
      <c r="I508" s="71" t="n"/>
      <c r="J508" s="71" t="n"/>
      <c r="K508" s="71" t="n"/>
      <c r="L508" s="71" t="n"/>
      <c r="M508" s="71" t="n"/>
      <c r="N508" s="71" t="n"/>
      <c r="O508" s="113" t="inlineStr">
        <is>
          <t>–</t>
        </is>
      </c>
    </row>
    <row r="509" outlineLevel="1" ht="16" customHeight="1">
      <c r="A509" s="109" t="inlineStr">
        <is>
          <t xml:space="preserve">  ▸ LPP</t>
        </is>
      </c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</row>
    <row r="510" outlineLevel="2" ht="15" customHeight="1">
      <c r="A510" s="69" t="inlineStr">
        <is>
          <t xml:space="preserve">      LPP Expected (₹)</t>
        </is>
      </c>
      <c r="B510" s="70">
        <f>IF('Final Calculation Sheet'!$Z$13="","",'Final Calculation Sheet'!$Z$13)</f>
        <v/>
      </c>
      <c r="C510" s="181">
        <f>IF('Final Calculation Sheet'!$Z$16="","",'Final Calculation Sheet'!$Z$16)</f>
        <v/>
      </c>
      <c r="D510" s="70">
        <f>IF('Final Calculation Sheet'!$Z$17="","",'Final Calculation Sheet'!$Z$17)</f>
        <v/>
      </c>
      <c r="E510" s="181">
        <f>IF('Final Calculation Sheet'!$Z$23="","",'Final Calculation Sheet'!$Z$23)</f>
        <v/>
      </c>
      <c r="F510" s="70">
        <f>IF('Final Calculation Sheet'!$Z$29="","",'Final Calculation Sheet'!$Z$29)</f>
        <v/>
      </c>
      <c r="G510" s="181">
        <f>IF('Final Calculation Sheet'!$Z$34="","",'Final Calculation Sheet'!$Z$34)</f>
        <v/>
      </c>
      <c r="H510" s="70">
        <f>IF('Final Calculation Sheet'!$Z$36="","",'Final Calculation Sheet'!$Z$36)</f>
        <v/>
      </c>
      <c r="I510" s="71" t="n"/>
      <c r="J510" s="71" t="n"/>
      <c r="K510" s="71" t="n"/>
      <c r="L510" s="71" t="n"/>
      <c r="M510" s="71" t="n"/>
      <c r="N510" s="71" t="n"/>
      <c r="O510" s="115">
        <f>SUM(B510:N510)</f>
        <v/>
      </c>
    </row>
    <row r="511" outlineLevel="2" ht="15" customHeight="1">
      <c r="A511" s="69" t="inlineStr">
        <is>
          <t xml:space="preserve">      LPP Received (₹)</t>
        </is>
      </c>
      <c r="B511" s="70">
        <f>IF('Final Calculation Sheet'!$AA$13="","",'Final Calculation Sheet'!$AA$13)</f>
        <v/>
      </c>
      <c r="C511" s="181">
        <f>IF('Final Calculation Sheet'!$AA$16="","",'Final Calculation Sheet'!$AA$16)</f>
        <v/>
      </c>
      <c r="D511" s="70">
        <f>IF('Final Calculation Sheet'!$AA$17="","",'Final Calculation Sheet'!$AA$17)</f>
        <v/>
      </c>
      <c r="E511" s="181">
        <f>IF('Final Calculation Sheet'!$AA$23="","",'Final Calculation Sheet'!$AA$23)</f>
        <v/>
      </c>
      <c r="F511" s="70">
        <f>IF('Final Calculation Sheet'!$AA$29="","",'Final Calculation Sheet'!$AA$29)</f>
        <v/>
      </c>
      <c r="G511" s="181">
        <f>IF('Final Calculation Sheet'!$AA$34="","",'Final Calculation Sheet'!$AA$34)</f>
        <v/>
      </c>
      <c r="H511" s="70">
        <f>IF('Final Calculation Sheet'!$AA$36="","",'Final Calculation Sheet'!$AA$36)</f>
        <v/>
      </c>
      <c r="I511" s="71" t="n"/>
      <c r="J511" s="71" t="n"/>
      <c r="K511" s="71" t="n"/>
      <c r="L511" s="71" t="n"/>
      <c r="M511" s="71" t="n"/>
      <c r="N511" s="71" t="n"/>
      <c r="O511" s="115">
        <f>SUM(B511:N511)</f>
        <v/>
      </c>
    </row>
    <row r="512" outlineLevel="2" ht="15" customHeight="1">
      <c r="A512" s="69" t="inlineStr">
        <is>
          <t xml:space="preserve">      LPP Receipt Date</t>
        </is>
      </c>
      <c r="B512" s="76">
        <f>IF('Final Calculation Sheet'!$AB$13="","",'Final Calculation Sheet'!$AB$13)</f>
        <v/>
      </c>
      <c r="C512" s="184">
        <f>IF('Final Calculation Sheet'!$AB$16="","",'Final Calculation Sheet'!$AB$16)</f>
        <v/>
      </c>
      <c r="D512" s="76">
        <f>IF('Final Calculation Sheet'!$AB$17="","",'Final Calculation Sheet'!$AB$17)</f>
        <v/>
      </c>
      <c r="E512" s="184">
        <f>IF('Final Calculation Sheet'!$AB$23="","",'Final Calculation Sheet'!$AB$23)</f>
        <v/>
      </c>
      <c r="F512" s="76">
        <f>IF('Final Calculation Sheet'!$AB$29="","",'Final Calculation Sheet'!$AB$29)</f>
        <v/>
      </c>
      <c r="G512" s="184">
        <f>IF('Final Calculation Sheet'!$AB$34="","",'Final Calculation Sheet'!$AB$34)</f>
        <v/>
      </c>
      <c r="H512" s="76">
        <f>IF('Final Calculation Sheet'!$AB$36="","",'Final Calculation Sheet'!$AB$36)</f>
        <v/>
      </c>
      <c r="I512" s="71" t="n"/>
      <c r="J512" s="71" t="n"/>
      <c r="K512" s="71" t="n"/>
      <c r="L512" s="71" t="n"/>
      <c r="M512" s="71" t="n"/>
      <c r="N512" s="71" t="n"/>
      <c r="O512" s="113" t="inlineStr">
        <is>
          <t>–</t>
        </is>
      </c>
    </row>
    <row r="513" outlineLevel="1" ht="16" customHeight="1">
      <c r="A513" s="109" t="inlineStr">
        <is>
          <t xml:space="preserve">  ▸ SUMMARY</t>
        </is>
      </c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</row>
    <row r="514" outlineLevel="2" ht="15" customHeight="1">
      <c r="A514" s="69" t="inlineStr">
        <is>
          <t xml:space="preserve">      Total Received (₹)</t>
        </is>
      </c>
      <c r="B514" s="70">
        <f>IF('Final Calculation Sheet'!$AC$13="","",'Final Calculation Sheet'!$AC$13)</f>
        <v/>
      </c>
      <c r="C514" s="181">
        <f>IF('Final Calculation Sheet'!$AC$16="","",'Final Calculation Sheet'!$AC$16)</f>
        <v/>
      </c>
      <c r="D514" s="70">
        <f>IF('Final Calculation Sheet'!$AC$17="","",'Final Calculation Sheet'!$AC$17)</f>
        <v/>
      </c>
      <c r="E514" s="181">
        <f>IF('Final Calculation Sheet'!$AC$23="","",'Final Calculation Sheet'!$AC$23)</f>
        <v/>
      </c>
      <c r="F514" s="70">
        <f>IF('Final Calculation Sheet'!$AC$29="","",'Final Calculation Sheet'!$AC$29)</f>
        <v/>
      </c>
      <c r="G514" s="181">
        <f>IF('Final Calculation Sheet'!$AC$34="","",'Final Calculation Sheet'!$AC$34)</f>
        <v/>
      </c>
      <c r="H514" s="70">
        <f>IF('Final Calculation Sheet'!$AC$36="","",'Final Calculation Sheet'!$AC$36)</f>
        <v/>
      </c>
      <c r="I514" s="71" t="n"/>
      <c r="J514" s="71" t="n"/>
      <c r="K514" s="71" t="n"/>
      <c r="L514" s="71" t="n"/>
      <c r="M514" s="71" t="n"/>
      <c r="N514" s="71" t="n"/>
      <c r="O514" s="115">
        <f>SUM(B514:N514)</f>
        <v/>
      </c>
    </row>
    <row r="515" outlineLevel="2" ht="15" customHeight="1">
      <c r="A515" s="69" t="inlineStr">
        <is>
          <t xml:space="preserve">      Outstanding (₹)</t>
        </is>
      </c>
      <c r="B515" s="70">
        <f>IF('Final Calculation Sheet'!$AD$13="","",'Final Calculation Sheet'!$AD$13)</f>
        <v/>
      </c>
      <c r="C515" s="181">
        <f>IF('Final Calculation Sheet'!$AD$16="","",'Final Calculation Sheet'!$AD$16)</f>
        <v/>
      </c>
      <c r="D515" s="70">
        <f>IF('Final Calculation Sheet'!$AD$17="","",'Final Calculation Sheet'!$AD$17)</f>
        <v/>
      </c>
      <c r="E515" s="181">
        <f>IF('Final Calculation Sheet'!$AD$23="","",'Final Calculation Sheet'!$AD$23)</f>
        <v/>
      </c>
      <c r="F515" s="70">
        <f>IF('Final Calculation Sheet'!$AD$29="","",'Final Calculation Sheet'!$AD$29)</f>
        <v/>
      </c>
      <c r="G515" s="181">
        <f>IF('Final Calculation Sheet'!$AD$34="","",'Final Calculation Sheet'!$AD$34)</f>
        <v/>
      </c>
      <c r="H515" s="70">
        <f>IF('Final Calculation Sheet'!$AD$36="","",'Final Calculation Sheet'!$AD$36)</f>
        <v/>
      </c>
      <c r="I515" s="71" t="n"/>
      <c r="J515" s="71" t="n"/>
      <c r="K515" s="71" t="n"/>
      <c r="L515" s="71" t="n"/>
      <c r="M515" s="71" t="n"/>
      <c r="N515" s="71" t="n"/>
      <c r="O515" s="115">
        <f>SUM(B515:N515)</f>
        <v/>
      </c>
    </row>
    <row r="516" outlineLevel="2" ht="15" customHeight="1">
      <c r="A516" s="69" t="inlineStr">
        <is>
          <t xml:space="preserve">      Payment Status</t>
        </is>
      </c>
      <c r="B516" s="81">
        <f>IF('Final Calculation Sheet'!$AD$13="","",IF('Final Calculation Sheet'!$AD$13&lt;=0,"SETTLED","OUTSTANDING"))</f>
        <v/>
      </c>
      <c r="C516" s="187">
        <f>IF('Final Calculation Sheet'!$AD$16="","",IF('Final Calculation Sheet'!$AD$16&lt;=0,"SETTLED","OUTSTANDING"))</f>
        <v/>
      </c>
      <c r="D516" s="81">
        <f>IF('Final Calculation Sheet'!$AD$17="","",IF('Final Calculation Sheet'!$AD$17&lt;=0,"SETTLED","OUTSTANDING"))</f>
        <v/>
      </c>
      <c r="E516" s="187">
        <f>IF('Final Calculation Sheet'!$AD$23="","",IF('Final Calculation Sheet'!$AD$23&lt;=0,"SETTLED","OUTSTANDING"))</f>
        <v/>
      </c>
      <c r="F516" s="81">
        <f>IF('Final Calculation Sheet'!$AD$29="","",IF('Final Calculation Sheet'!$AD$29&lt;=0,"SETTLED","OUTSTANDING"))</f>
        <v/>
      </c>
      <c r="G516" s="187">
        <f>IF('Final Calculation Sheet'!$AD$34="","",IF('Final Calculation Sheet'!$AD$34&lt;=0,"SETTLED","OUTSTANDING"))</f>
        <v/>
      </c>
      <c r="H516" s="81">
        <f>IF('Final Calculation Sheet'!$AD$36="","",IF('Final Calculation Sheet'!$AD$36&lt;=0,"SETTLED","OUTSTANDING"))</f>
        <v/>
      </c>
      <c r="I516" s="71" t="n"/>
      <c r="J516" s="71" t="n"/>
      <c r="K516" s="71" t="n"/>
      <c r="L516" s="71" t="n"/>
      <c r="M516" s="71" t="n"/>
      <c r="N516" s="71" t="n"/>
      <c r="O516" s="113" t="inlineStr">
        <is>
          <t>–</t>
        </is>
      </c>
    </row>
    <row r="517" outlineLevel="1" ht="16" customHeight="1">
      <c r="A517" s="109" t="inlineStr">
        <is>
          <t xml:space="preserve">  ▸ DOCUMENT</t>
        </is>
      </c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</row>
    <row r="518" outlineLevel="2" ht="15" customHeight="1">
      <c r="A518" s="69" t="inlineStr">
        <is>
          <t xml:space="preserve">      Invoice No.</t>
        </is>
      </c>
      <c r="B518" s="76">
        <f>IF('Final Calculation Sheet'!$AE$13="","",'Final Calculation Sheet'!$AE$13)</f>
        <v/>
      </c>
      <c r="C518" s="184">
        <f>IF('Final Calculation Sheet'!$AE$16="","",'Final Calculation Sheet'!$AE$16)</f>
        <v/>
      </c>
      <c r="D518" s="76">
        <f>IF('Final Calculation Sheet'!$AE$17="","",'Final Calculation Sheet'!$AE$17)</f>
        <v/>
      </c>
      <c r="E518" s="184">
        <f>IF('Final Calculation Sheet'!$AE$23="","",'Final Calculation Sheet'!$AE$23)</f>
        <v/>
      </c>
      <c r="F518" s="76">
        <f>IF('Final Calculation Sheet'!$AE$29="","",'Final Calculation Sheet'!$AE$29)</f>
        <v/>
      </c>
      <c r="G518" s="184">
        <f>IF('Final Calculation Sheet'!$AE$34="","",'Final Calculation Sheet'!$AE$34)</f>
        <v/>
      </c>
      <c r="H518" s="76">
        <f>IF('Final Calculation Sheet'!$AE$36="","",'Final Calculation Sheet'!$AE$36)</f>
        <v/>
      </c>
      <c r="I518" s="71" t="n"/>
      <c r="J518" s="71" t="n"/>
      <c r="K518" s="71" t="n"/>
      <c r="L518" s="71" t="n"/>
      <c r="M518" s="71" t="n"/>
      <c r="N518" s="71" t="n"/>
      <c r="O518" s="113" t="inlineStr">
        <is>
          <t>–</t>
        </is>
      </c>
    </row>
    <row r="519" outlineLevel="2" ht="15" customHeight="1">
      <c r="A519" s="69" t="inlineStr">
        <is>
          <t xml:space="preserve">      SAP Document</t>
        </is>
      </c>
      <c r="B519" s="70">
        <f>IF('Final Calculation Sheet'!$AF$13="","",'Final Calculation Sheet'!$AF$13)</f>
        <v/>
      </c>
      <c r="C519" s="181">
        <f>IF('Final Calculation Sheet'!$AF$16="","",'Final Calculation Sheet'!$AF$16)</f>
        <v/>
      </c>
      <c r="D519" s="70">
        <f>IF('Final Calculation Sheet'!$AF$17="","",'Final Calculation Sheet'!$AF$17)</f>
        <v/>
      </c>
      <c r="E519" s="181">
        <f>IF('Final Calculation Sheet'!$AF$23="","",'Final Calculation Sheet'!$AF$23)</f>
        <v/>
      </c>
      <c r="F519" s="70">
        <f>IF('Final Calculation Sheet'!$AF$29="","",'Final Calculation Sheet'!$AF$29)</f>
        <v/>
      </c>
      <c r="G519" s="181">
        <f>IF('Final Calculation Sheet'!$AF$34="","",'Final Calculation Sheet'!$AF$34)</f>
        <v/>
      </c>
      <c r="H519" s="70">
        <f>IF('Final Calculation Sheet'!$AF$36="","",'Final Calculation Sheet'!$AF$36)</f>
        <v/>
      </c>
      <c r="I519" s="71" t="n"/>
      <c r="J519" s="71" t="n"/>
      <c r="K519" s="71" t="n"/>
      <c r="L519" s="71" t="n"/>
      <c r="M519" s="71" t="n"/>
      <c r="N519" s="71" t="n"/>
      <c r="O519" s="113" t="inlineStr">
        <is>
          <t>–</t>
        </is>
      </c>
    </row>
    <row r="520" outlineLevel="2" ht="15" customHeight="1">
      <c r="A520" s="69" t="inlineStr">
        <is>
          <t xml:space="preserve">      Doc./Invoice Date</t>
        </is>
      </c>
      <c r="B520" s="76">
        <f>IF('Final Calculation Sheet'!$AG$13="","",'Final Calculation Sheet'!$AG$13)</f>
        <v/>
      </c>
      <c r="C520" s="184">
        <f>IF('Final Calculation Sheet'!$AG$16="","",'Final Calculation Sheet'!$AG$16)</f>
        <v/>
      </c>
      <c r="D520" s="76">
        <f>IF('Final Calculation Sheet'!$AG$17="","",'Final Calculation Sheet'!$AG$17)</f>
        <v/>
      </c>
      <c r="E520" s="184">
        <f>IF('Final Calculation Sheet'!$AG$23="","",'Final Calculation Sheet'!$AG$23)</f>
        <v/>
      </c>
      <c r="F520" s="76">
        <f>IF('Final Calculation Sheet'!$AG$29="","",'Final Calculation Sheet'!$AG$29)</f>
        <v/>
      </c>
      <c r="G520" s="184">
        <f>IF('Final Calculation Sheet'!$AG$34="","",'Final Calculation Sheet'!$AG$34)</f>
        <v/>
      </c>
      <c r="H520" s="76">
        <f>IF('Final Calculation Sheet'!$AG$36="","",'Final Calculation Sheet'!$AG$36)</f>
        <v/>
      </c>
      <c r="I520" s="71" t="n"/>
      <c r="J520" s="71" t="n"/>
      <c r="K520" s="71" t="n"/>
      <c r="L520" s="71" t="n"/>
      <c r="M520" s="71" t="n"/>
      <c r="N520" s="71" t="n"/>
      <c r="O520" s="113" t="inlineStr">
        <is>
          <t>–</t>
        </is>
      </c>
    </row>
    <row r="521" ht="7" customHeight="1">
      <c r="A521" s="82" t="n"/>
      <c r="B521" s="82" t="n"/>
      <c r="C521" s="82" t="n"/>
      <c r="D521" s="82" t="n"/>
      <c r="E521" s="82" t="n"/>
      <c r="F521" s="82" t="n"/>
      <c r="G521" s="82" t="n"/>
      <c r="H521" s="82" t="n"/>
      <c r="I521" s="82" t="n"/>
      <c r="J521" s="82" t="n"/>
      <c r="K521" s="82" t="n"/>
      <c r="L521" s="82" t="n"/>
      <c r="M521" s="82" t="n"/>
      <c r="N521" s="82" t="n"/>
      <c r="O521" s="82" t="n"/>
    </row>
    <row r="522" ht="24" customHeight="1">
      <c r="A522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</row>
    <row r="523" outlineLevel="1" ht="18" customHeight="1">
      <c r="A523" s="118" t="inlineStr">
        <is>
          <t xml:space="preserve">   Lot No. →</t>
        </is>
      </c>
      <c r="B523" s="119">
        <f>IF('Final Calculation Sheet'!$F$25="","",'Final Calculation Sheet'!$F$25)</f>
        <v/>
      </c>
      <c r="C523" s="119">
        <f>IF('Final Calculation Sheet'!$F$28="","",'Final Calculation Sheet'!$F$28)</f>
        <v/>
      </c>
      <c r="D523" s="119">
        <f>IF('Final Calculation Sheet'!$F$35="","",'Final Calculation Sheet'!$F$35)</f>
        <v/>
      </c>
      <c r="E523" s="120" t="n"/>
      <c r="F523" s="120" t="n"/>
      <c r="G523" s="120" t="n"/>
      <c r="H523" s="120" t="n"/>
      <c r="I523" s="120" t="n"/>
      <c r="J523" s="120" t="n"/>
      <c r="K523" s="120" t="n"/>
      <c r="L523" s="120" t="n"/>
      <c r="M523" s="120" t="n"/>
      <c r="N523" s="120" t="n"/>
      <c r="O523" s="121" t="inlineStr">
        <is>
          <t>TOTAL</t>
        </is>
      </c>
    </row>
    <row r="524" outlineLevel="1" ht="16" customHeight="1">
      <c r="A524" s="118" t="inlineStr">
        <is>
          <t xml:space="preserve">  ▸ LOT INFORMATION</t>
        </is>
      </c>
      <c r="B524" s="120" t="n"/>
      <c r="C524" s="120" t="n"/>
      <c r="D524" s="120" t="n"/>
      <c r="E524" s="120" t="n"/>
      <c r="F524" s="120" t="n"/>
      <c r="G524" s="120" t="n"/>
      <c r="H524" s="120" t="n"/>
      <c r="I524" s="120" t="n"/>
      <c r="J524" s="120" t="n"/>
      <c r="K524" s="120" t="n"/>
      <c r="L524" s="120" t="n"/>
      <c r="M524" s="120" t="n"/>
      <c r="N524" s="120" t="n"/>
      <c r="O524" s="120" t="n"/>
    </row>
    <row r="525" outlineLevel="2" ht="15" customHeight="1">
      <c r="A525" s="69" t="inlineStr">
        <is>
          <t xml:space="preserve">      Lot No.</t>
        </is>
      </c>
      <c r="B525" s="70">
        <f>IF('Final Calculation Sheet'!$F$25="","",'Final Calculation Sheet'!$F$25)</f>
        <v/>
      </c>
      <c r="C525" s="188">
        <f>IF('Final Calculation Sheet'!$F$28="","",'Final Calculation Sheet'!$F$28)</f>
        <v/>
      </c>
      <c r="D525" s="70">
        <f>IF('Final Calculation Sheet'!$F$35="","",'Final Calculation Sheet'!$F$35)</f>
        <v/>
      </c>
      <c r="E525" s="71" t="n"/>
      <c r="F525" s="71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122" t="inlineStr">
        <is>
          <t>–</t>
        </is>
      </c>
    </row>
    <row r="526" outlineLevel="2" ht="60" customHeight="1">
      <c r="A526" s="69" t="inlineStr">
        <is>
          <t xml:space="preserve">      Lot Name</t>
        </is>
      </c>
      <c r="B526" s="73">
        <f>IF('Final Calculation Sheet'!$B$25="","",'Final Calculation Sheet'!$B$25)</f>
        <v/>
      </c>
      <c r="C526" s="189">
        <f>IF('Final Calculation Sheet'!$B$28="","",'Final Calculation Sheet'!$B$28)</f>
        <v/>
      </c>
      <c r="D526" s="73">
        <f>IF('Final Calculation Sheet'!$B$35="","",'Final Calculation Sheet'!$B$35)</f>
        <v/>
      </c>
      <c r="E526" s="71" t="n"/>
      <c r="F526" s="71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122" t="inlineStr">
        <is>
          <t>–</t>
        </is>
      </c>
    </row>
    <row r="527" outlineLevel="2" ht="15" customHeight="1">
      <c r="A527" s="69" t="inlineStr">
        <is>
          <t xml:space="preserve">      Bid Sheet / Auction</t>
        </is>
      </c>
      <c r="B527" s="70">
        <f>IF('Final Calculation Sheet'!$D$25="","",'Final Calculation Sheet'!$D$25)</f>
        <v/>
      </c>
      <c r="C527" s="188">
        <f>IF('Final Calculation Sheet'!$D$28="","",'Final Calculation Sheet'!$D$28)</f>
        <v/>
      </c>
      <c r="D527" s="70">
        <f>IF('Final Calculation Sheet'!$D$35="","",'Final Calculation Sheet'!$D$35)</f>
        <v/>
      </c>
      <c r="E527" s="71" t="n"/>
      <c r="F527" s="71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122" t="inlineStr">
        <is>
          <t>–</t>
        </is>
      </c>
    </row>
    <row r="528" outlineLevel="2" ht="15" customHeight="1">
      <c r="A528" s="69" t="inlineStr">
        <is>
          <t xml:space="preserve">      Quantity</t>
        </is>
      </c>
      <c r="B528" s="74">
        <f>IF('Final Calculation Sheet'!$A$25="","",'Final Calculation Sheet'!$A$25)</f>
        <v/>
      </c>
      <c r="C528" s="190">
        <f>IF('Final Calculation Sheet'!$A$28="","",'Final Calculation Sheet'!$A$28)</f>
        <v/>
      </c>
      <c r="D528" s="74">
        <f>IF('Final Calculation Sheet'!$A$35="","",'Final Calculation Sheet'!$A$35)</f>
        <v/>
      </c>
      <c r="E528" s="71" t="n"/>
      <c r="F528" s="71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123">
        <f>SUM(B528:N528)</f>
        <v/>
      </c>
    </row>
    <row r="529" outlineLevel="2" ht="15" customHeight="1">
      <c r="A529" s="69" t="inlineStr">
        <is>
          <t xml:space="preserve">      Unit</t>
        </is>
      </c>
      <c r="B529" s="76">
        <f>IF('Final Calculation Sheet'!$E$25="","",'Final Calculation Sheet'!$E$25)</f>
        <v/>
      </c>
      <c r="C529" s="191">
        <f>IF('Final Calculation Sheet'!$E$28="","",'Final Calculation Sheet'!$E$28)</f>
        <v/>
      </c>
      <c r="D529" s="76">
        <f>IF('Final Calculation Sheet'!$E$35="","",'Final Calculation Sheet'!$E$35)</f>
        <v/>
      </c>
      <c r="E529" s="71" t="n"/>
      <c r="F529" s="71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122" t="inlineStr">
        <is>
          <t>–</t>
        </is>
      </c>
    </row>
    <row r="530" outlineLevel="2" ht="15" customHeight="1">
      <c r="A530" s="69" t="inlineStr">
        <is>
          <t xml:space="preserve">      Rate (₹)</t>
        </is>
      </c>
      <c r="B530" s="70">
        <f>IF('Final Calculation Sheet'!$C$25="","",'Final Calculation Sheet'!$C$25)</f>
        <v/>
      </c>
      <c r="C530" s="188">
        <f>IF('Final Calculation Sheet'!$C$28="","",'Final Calculation Sheet'!$C$28)</f>
        <v/>
      </c>
      <c r="D530" s="70">
        <f>IF('Final Calculation Sheet'!$C$35="","",'Final Calculation Sheet'!$C$35)</f>
        <v/>
      </c>
      <c r="E530" s="71" t="n"/>
      <c r="F530" s="71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122" t="inlineStr">
        <is>
          <t>–</t>
        </is>
      </c>
    </row>
    <row r="531" outlineLevel="1" ht="16" customHeight="1">
      <c r="A531" s="118" t="inlineStr">
        <is>
          <t xml:space="preserve">  ▸ FINANCIALS</t>
        </is>
      </c>
      <c r="B531" s="120" t="n"/>
      <c r="C531" s="120" t="n"/>
      <c r="D531" s="120" t="n"/>
      <c r="E531" s="120" t="n"/>
      <c r="F531" s="120" t="n"/>
      <c r="G531" s="120" t="n"/>
      <c r="H531" s="120" t="n"/>
      <c r="I531" s="120" t="n"/>
      <c r="J531" s="120" t="n"/>
      <c r="K531" s="120" t="n"/>
      <c r="L531" s="120" t="n"/>
      <c r="M531" s="120" t="n"/>
      <c r="N531" s="120" t="n"/>
      <c r="O531" s="120" t="n"/>
    </row>
    <row r="532" outlineLevel="2" ht="15" customHeight="1">
      <c r="A532" s="69" t="inlineStr">
        <is>
          <t xml:space="preserve">      Mat. Value (₹)</t>
        </is>
      </c>
      <c r="B532" s="70">
        <f>IF('Final Calculation Sheet'!$H$25="","",'Final Calculation Sheet'!$H$25)</f>
        <v/>
      </c>
      <c r="C532" s="188">
        <f>IF('Final Calculation Sheet'!$H$28="","",'Final Calculation Sheet'!$H$28)</f>
        <v/>
      </c>
      <c r="D532" s="70">
        <f>IF('Final Calculation Sheet'!$H$35="","",'Final Calculation Sheet'!$H$35)</f>
        <v/>
      </c>
      <c r="E532" s="71" t="n"/>
      <c r="F532" s="71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124">
        <f>SUM(B532:N532)</f>
        <v/>
      </c>
    </row>
    <row r="533" outlineLevel="2" ht="15" customHeight="1">
      <c r="A533" s="69" t="inlineStr">
        <is>
          <t xml:space="preserve">      GST @ 18% (₹)</t>
        </is>
      </c>
      <c r="B533" s="70">
        <f>IF('Final Calculation Sheet'!$I$25="","",'Final Calculation Sheet'!$I$25)</f>
        <v/>
      </c>
      <c r="C533" s="188">
        <f>IF('Final Calculation Sheet'!$I$28="","",'Final Calculation Sheet'!$I$28)</f>
        <v/>
      </c>
      <c r="D533" s="70">
        <f>IF('Final Calculation Sheet'!$I$35="","",'Final Calculation Sheet'!$I$35)</f>
        <v/>
      </c>
      <c r="E533" s="71" t="n"/>
      <c r="F533" s="71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124">
        <f>SUM(B533:N533)</f>
        <v/>
      </c>
    </row>
    <row r="534" outlineLevel="2" ht="15" customHeight="1">
      <c r="A534" s="69" t="inlineStr">
        <is>
          <t xml:space="preserve">      Mat. Value + GST (₹)</t>
        </is>
      </c>
      <c r="B534" s="70">
        <f>IF('Final Calculation Sheet'!$J$25="","",'Final Calculation Sheet'!$J$25)</f>
        <v/>
      </c>
      <c r="C534" s="188">
        <f>IF('Final Calculation Sheet'!$J$28="","",'Final Calculation Sheet'!$J$28)</f>
        <v/>
      </c>
      <c r="D534" s="70">
        <f>IF('Final Calculation Sheet'!$J$35="","",'Final Calculation Sheet'!$J$35)</f>
        <v/>
      </c>
      <c r="E534" s="71" t="n"/>
      <c r="F534" s="71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124">
        <f>SUM(B534:N534)</f>
        <v/>
      </c>
    </row>
    <row r="535" outlineLevel="2" ht="15" customHeight="1">
      <c r="A535" s="69" t="inlineStr">
        <is>
          <t xml:space="preserve">      TCS @ 2% (₹)</t>
        </is>
      </c>
      <c r="B535" s="70">
        <f>IF('Final Calculation Sheet'!$K$25="","",'Final Calculation Sheet'!$K$25)</f>
        <v/>
      </c>
      <c r="C535" s="188">
        <f>IF('Final Calculation Sheet'!$K$28="","",'Final Calculation Sheet'!$K$28)</f>
        <v/>
      </c>
      <c r="D535" s="70">
        <f>IF('Final Calculation Sheet'!$K$35="","",'Final Calculation Sheet'!$K$35)</f>
        <v/>
      </c>
      <c r="E535" s="71" t="n"/>
      <c r="F535" s="71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124">
        <f>SUM(B535:N535)</f>
        <v/>
      </c>
    </row>
    <row r="536" outlineLevel="2" ht="15" customHeight="1">
      <c r="A536" s="69" t="inlineStr">
        <is>
          <t xml:space="preserve">      TDS u/s 194(O) (₹)</t>
        </is>
      </c>
      <c r="B536" s="78">
        <f>IF('Final Calculation Sheet'!$L$25="","",'Final Calculation Sheet'!$L$25)</f>
        <v/>
      </c>
      <c r="C536" s="192">
        <f>IF('Final Calculation Sheet'!$L$28="","",'Final Calculation Sheet'!$L$28)</f>
        <v/>
      </c>
      <c r="D536" s="78">
        <f>IF('Final Calculation Sheet'!$L$35="","",'Final Calculation Sheet'!$L$35)</f>
        <v/>
      </c>
      <c r="E536" s="71" t="n"/>
      <c r="F536" s="71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125">
        <f>SUM(B536:N536)</f>
        <v/>
      </c>
    </row>
    <row r="537" outlineLevel="2" ht="15" customHeight="1">
      <c r="A537" s="69" t="inlineStr">
        <is>
          <t xml:space="preserve">      Service Charge gross (₹)</t>
        </is>
      </c>
      <c r="B537" s="78">
        <f>IF('Final Calculation Sheet'!$M$25="","",'Final Calculation Sheet'!$M$25)</f>
        <v/>
      </c>
      <c r="C537" s="192">
        <f>IF('Final Calculation Sheet'!$M$28="","",'Final Calculation Sheet'!$M$28)</f>
        <v/>
      </c>
      <c r="D537" s="78">
        <f>IF('Final Calculation Sheet'!$M$35="","",'Final Calculation Sheet'!$M$35)</f>
        <v/>
      </c>
      <c r="E537" s="71" t="n"/>
      <c r="F537" s="71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125">
        <f>SUM(B537:N537)</f>
        <v/>
      </c>
    </row>
    <row r="538" outlineLevel="2" ht="15" customHeight="1">
      <c r="A538" s="69" t="inlineStr">
        <is>
          <t xml:space="preserve">      TDS u/s 194(H) (₹)</t>
        </is>
      </c>
      <c r="B538" s="78">
        <f>IF('Final Calculation Sheet'!$N$25="","",'Final Calculation Sheet'!$N$25)</f>
        <v/>
      </c>
      <c r="C538" s="192">
        <f>IF('Final Calculation Sheet'!$N$28="","",'Final Calculation Sheet'!$N$28)</f>
        <v/>
      </c>
      <c r="D538" s="78">
        <f>IF('Final Calculation Sheet'!$N$35="","",'Final Calculation Sheet'!$N$35)</f>
        <v/>
      </c>
      <c r="E538" s="71" t="n"/>
      <c r="F538" s="71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125">
        <f>SUM(B538:N538)</f>
        <v/>
      </c>
    </row>
    <row r="539" outlineLevel="2" ht="15" customHeight="1">
      <c r="A539" s="69" t="inlineStr">
        <is>
          <t xml:space="preserve">      Net Service Charge (₹)</t>
        </is>
      </c>
      <c r="B539" s="78">
        <f>IF('Final Calculation Sheet'!$O$25="","",'Final Calculation Sheet'!$O$25)</f>
        <v/>
      </c>
      <c r="C539" s="192">
        <f>IF('Final Calculation Sheet'!$O$28="","",'Final Calculation Sheet'!$O$28)</f>
        <v/>
      </c>
      <c r="D539" s="78">
        <f>IF('Final Calculation Sheet'!$O$35="","",'Final Calculation Sheet'!$O$35)</f>
        <v/>
      </c>
      <c r="E539" s="71" t="n"/>
      <c r="F539" s="71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125">
        <f>SUM(B539:N539)</f>
        <v/>
      </c>
    </row>
    <row r="540" outlineLevel="2" ht="15" customHeight="1">
      <c r="A540" s="69" t="inlineStr">
        <is>
          <t xml:space="preserve">      Svc Charge to MSTC (₹)</t>
        </is>
      </c>
      <c r="B540" s="70">
        <f>IF('Final Calculation Sheet'!$P$25="","",'Final Calculation Sheet'!$P$25)</f>
        <v/>
      </c>
      <c r="C540" s="188">
        <f>IF('Final Calculation Sheet'!$P$28="","",'Final Calculation Sheet'!$P$28)</f>
        <v/>
      </c>
      <c r="D540" s="70">
        <f>IF('Final Calculation Sheet'!$P$35="","",'Final Calculation Sheet'!$P$35)</f>
        <v/>
      </c>
      <c r="E540" s="71" t="n"/>
      <c r="F540" s="71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124">
        <f>SUM(B540:N540)</f>
        <v/>
      </c>
    </row>
    <row r="541" outlineLevel="2" ht="15" customHeight="1">
      <c r="A541" s="69" t="inlineStr">
        <is>
          <t xml:space="preserve">      GST TDS Rate</t>
        </is>
      </c>
      <c r="B541" s="80">
        <f>IF('Final Calculation Sheet'!$Q$25="","",'Final Calculation Sheet'!$Q$25)</f>
        <v/>
      </c>
      <c r="C541" s="193">
        <f>IF('Final Calculation Sheet'!$Q$28="","",'Final Calculation Sheet'!$Q$28)</f>
        <v/>
      </c>
      <c r="D541" s="80">
        <f>IF('Final Calculation Sheet'!$Q$35="","",'Final Calculation Sheet'!$Q$35)</f>
        <v/>
      </c>
      <c r="E541" s="71" t="n"/>
      <c r="F541" s="71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122" t="inlineStr">
        <is>
          <t>–</t>
        </is>
      </c>
    </row>
    <row r="542" outlineLevel="2" ht="15" customHeight="1">
      <c r="A542" s="69" t="inlineStr">
        <is>
          <t xml:space="preserve">      GST TDS (₹)</t>
        </is>
      </c>
      <c r="B542" s="70">
        <f>IF('Final Calculation Sheet'!$R$25="","",'Final Calculation Sheet'!$R$25)</f>
        <v/>
      </c>
      <c r="C542" s="188">
        <f>IF('Final Calculation Sheet'!$R$28="","",'Final Calculation Sheet'!$R$28)</f>
        <v/>
      </c>
      <c r="D542" s="70">
        <f>IF('Final Calculation Sheet'!$R$35="","",'Final Calculation Sheet'!$R$35)</f>
        <v/>
      </c>
      <c r="E542" s="71" t="n"/>
      <c r="F542" s="71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124">
        <f>SUM(B542:N542)</f>
        <v/>
      </c>
    </row>
    <row r="543" outlineLevel="2" ht="15" customHeight="1">
      <c r="A543" s="69" t="inlineStr">
        <is>
          <t xml:space="preserve">      Total Receivables (₹)</t>
        </is>
      </c>
      <c r="B543" s="70">
        <f>IF('Final Calculation Sheet'!$S$25="","",'Final Calculation Sheet'!$S$25)</f>
        <v/>
      </c>
      <c r="C543" s="188">
        <f>IF('Final Calculation Sheet'!$S$28="","",'Final Calculation Sheet'!$S$28)</f>
        <v/>
      </c>
      <c r="D543" s="70">
        <f>IF('Final Calculation Sheet'!$S$35="","",'Final Calculation Sheet'!$S$35)</f>
        <v/>
      </c>
      <c r="E543" s="71" t="n"/>
      <c r="F543" s="71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124">
        <f>SUM(B543:N543)</f>
        <v/>
      </c>
    </row>
    <row r="544" outlineLevel="1" ht="16" customHeight="1">
      <c r="A544" s="118" t="inlineStr">
        <is>
          <t xml:space="preserve">  ▸ SECURITY DEPOSIT</t>
        </is>
      </c>
      <c r="B544" s="120" t="n"/>
      <c r="C544" s="120" t="n"/>
      <c r="D544" s="120" t="n"/>
      <c r="E544" s="120" t="n"/>
      <c r="F544" s="120" t="n"/>
      <c r="G544" s="120" t="n"/>
      <c r="H544" s="120" t="n"/>
      <c r="I544" s="120" t="n"/>
      <c r="J544" s="120" t="n"/>
      <c r="K544" s="120" t="n"/>
      <c r="L544" s="120" t="n"/>
      <c r="M544" s="120" t="n"/>
      <c r="N544" s="120" t="n"/>
      <c r="O544" s="120" t="n"/>
    </row>
    <row r="545" outlineLevel="2" ht="15" customHeight="1">
      <c r="A545" s="69" t="inlineStr">
        <is>
          <t xml:space="preserve">      SD Expected (₹)</t>
        </is>
      </c>
      <c r="B545" s="70">
        <f>IF('Final Calculation Sheet'!$T$25="","",'Final Calculation Sheet'!$T$25)</f>
        <v/>
      </c>
      <c r="C545" s="188">
        <f>IF('Final Calculation Sheet'!$T$28="","",'Final Calculation Sheet'!$T$28)</f>
        <v/>
      </c>
      <c r="D545" s="70">
        <f>IF('Final Calculation Sheet'!$T$35="","",'Final Calculation Sheet'!$T$35)</f>
        <v/>
      </c>
      <c r="E545" s="71" t="n"/>
      <c r="F545" s="71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124">
        <f>SUM(B545:N545)</f>
        <v/>
      </c>
    </row>
    <row r="546" outlineLevel="2" ht="15" customHeight="1">
      <c r="A546" s="69" t="inlineStr">
        <is>
          <t xml:space="preserve">      SD Received (₹)</t>
        </is>
      </c>
      <c r="B546" s="70">
        <f>IF('Final Calculation Sheet'!$U$25="","",'Final Calculation Sheet'!$U$25)</f>
        <v/>
      </c>
      <c r="C546" s="188">
        <f>IF('Final Calculation Sheet'!$U$28="","",'Final Calculation Sheet'!$U$28)</f>
        <v/>
      </c>
      <c r="D546" s="70">
        <f>IF('Final Calculation Sheet'!$U$35="","",'Final Calculation Sheet'!$U$35)</f>
        <v/>
      </c>
      <c r="E546" s="71" t="n"/>
      <c r="F546" s="71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124">
        <f>SUM(B546:N546)</f>
        <v/>
      </c>
    </row>
    <row r="547" outlineLevel="2" ht="15" customHeight="1">
      <c r="A547" s="69" t="inlineStr">
        <is>
          <t xml:space="preserve">      SD Receipt Date</t>
        </is>
      </c>
      <c r="B547" s="76">
        <f>IF('Final Calculation Sheet'!$V$25="","",'Final Calculation Sheet'!$V$25)</f>
        <v/>
      </c>
      <c r="C547" s="191">
        <f>IF('Final Calculation Sheet'!$V$28="","",'Final Calculation Sheet'!$V$28)</f>
        <v/>
      </c>
      <c r="D547" s="76">
        <f>IF('Final Calculation Sheet'!$V$35="","",'Final Calculation Sheet'!$V$35)</f>
        <v/>
      </c>
      <c r="E547" s="71" t="n"/>
      <c r="F547" s="71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122" t="inlineStr">
        <is>
          <t>–</t>
        </is>
      </c>
    </row>
    <row r="548" outlineLevel="1" ht="16" customHeight="1">
      <c r="A548" s="118" t="inlineStr">
        <is>
          <t xml:space="preserve">  ▸ FINAL PAYMENT</t>
        </is>
      </c>
      <c r="B548" s="120" t="n"/>
      <c r="C548" s="120" t="n"/>
      <c r="D548" s="120" t="n"/>
      <c r="E548" s="120" t="n"/>
      <c r="F548" s="120" t="n"/>
      <c r="G548" s="120" t="n"/>
      <c r="H548" s="120" t="n"/>
      <c r="I548" s="120" t="n"/>
      <c r="J548" s="120" t="n"/>
      <c r="K548" s="120" t="n"/>
      <c r="L548" s="120" t="n"/>
      <c r="M548" s="120" t="n"/>
      <c r="N548" s="120" t="n"/>
      <c r="O548" s="120" t="n"/>
    </row>
    <row r="549" outlineLevel="2" ht="15" customHeight="1">
      <c r="A549" s="69" t="inlineStr">
        <is>
          <t xml:space="preserve">      FP Expected (₹)</t>
        </is>
      </c>
      <c r="B549" s="70">
        <f>IF('Final Calculation Sheet'!$W$25="","",'Final Calculation Sheet'!$W$25)</f>
        <v/>
      </c>
      <c r="C549" s="188">
        <f>IF('Final Calculation Sheet'!$W$28="","",'Final Calculation Sheet'!$W$28)</f>
        <v/>
      </c>
      <c r="D549" s="70">
        <f>IF('Final Calculation Sheet'!$W$35="","",'Final Calculation Sheet'!$W$35)</f>
        <v/>
      </c>
      <c r="E549" s="71" t="n"/>
      <c r="F549" s="71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124">
        <f>SUM(B549:N549)</f>
        <v/>
      </c>
    </row>
    <row r="550" outlineLevel="2" ht="15" customHeight="1">
      <c r="A550" s="69" t="inlineStr">
        <is>
          <t xml:space="preserve">      FP Received (₹)</t>
        </is>
      </c>
      <c r="B550" s="70">
        <f>IF('Final Calculation Sheet'!$X$25="","",'Final Calculation Sheet'!$X$25)</f>
        <v/>
      </c>
      <c r="C550" s="188">
        <f>IF('Final Calculation Sheet'!$X$28="","",'Final Calculation Sheet'!$X$28)</f>
        <v/>
      </c>
      <c r="D550" s="70">
        <f>IF('Final Calculation Sheet'!$X$35="","",'Final Calculation Sheet'!$X$35)</f>
        <v/>
      </c>
      <c r="E550" s="71" t="n"/>
      <c r="F550" s="71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124">
        <f>SUM(B550:N550)</f>
        <v/>
      </c>
    </row>
    <row r="551" outlineLevel="2" ht="15" customHeight="1">
      <c r="A551" s="69" t="inlineStr">
        <is>
          <t xml:space="preserve">      FP Receipt Date</t>
        </is>
      </c>
      <c r="B551" s="76">
        <f>IF('Final Calculation Sheet'!$Y$25="","",'Final Calculation Sheet'!$Y$25)</f>
        <v/>
      </c>
      <c r="C551" s="191">
        <f>IF('Final Calculation Sheet'!$Y$28="","",'Final Calculation Sheet'!$Y$28)</f>
        <v/>
      </c>
      <c r="D551" s="76">
        <f>IF('Final Calculation Sheet'!$Y$35="","",'Final Calculation Sheet'!$Y$35)</f>
        <v/>
      </c>
      <c r="E551" s="71" t="n"/>
      <c r="F551" s="71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122" t="inlineStr">
        <is>
          <t>–</t>
        </is>
      </c>
    </row>
    <row r="552" outlineLevel="1" ht="16" customHeight="1">
      <c r="A552" s="118" t="inlineStr">
        <is>
          <t xml:space="preserve">  ▸ LPP</t>
        </is>
      </c>
      <c r="B552" s="120" t="n"/>
      <c r="C552" s="120" t="n"/>
      <c r="D552" s="120" t="n"/>
      <c r="E552" s="120" t="n"/>
      <c r="F552" s="120" t="n"/>
      <c r="G552" s="120" t="n"/>
      <c r="H552" s="120" t="n"/>
      <c r="I552" s="120" t="n"/>
      <c r="J552" s="120" t="n"/>
      <c r="K552" s="120" t="n"/>
      <c r="L552" s="120" t="n"/>
      <c r="M552" s="120" t="n"/>
      <c r="N552" s="120" t="n"/>
      <c r="O552" s="120" t="n"/>
    </row>
    <row r="553" outlineLevel="2" ht="15" customHeight="1">
      <c r="A553" s="69" t="inlineStr">
        <is>
          <t xml:space="preserve">      LPP Expected (₹)</t>
        </is>
      </c>
      <c r="B553" s="70">
        <f>IF('Final Calculation Sheet'!$Z$25="","",'Final Calculation Sheet'!$Z$25)</f>
        <v/>
      </c>
      <c r="C553" s="188">
        <f>IF('Final Calculation Sheet'!$Z$28="","",'Final Calculation Sheet'!$Z$28)</f>
        <v/>
      </c>
      <c r="D553" s="70">
        <f>IF('Final Calculation Sheet'!$Z$35="","",'Final Calculation Sheet'!$Z$35)</f>
        <v/>
      </c>
      <c r="E553" s="71" t="n"/>
      <c r="F553" s="71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124">
        <f>SUM(B553:N553)</f>
        <v/>
      </c>
    </row>
    <row r="554" outlineLevel="2" ht="15" customHeight="1">
      <c r="A554" s="69" t="inlineStr">
        <is>
          <t xml:space="preserve">      LPP Received (₹)</t>
        </is>
      </c>
      <c r="B554" s="70">
        <f>IF('Final Calculation Sheet'!$AA$25="","",'Final Calculation Sheet'!$AA$25)</f>
        <v/>
      </c>
      <c r="C554" s="188">
        <f>IF('Final Calculation Sheet'!$AA$28="","",'Final Calculation Sheet'!$AA$28)</f>
        <v/>
      </c>
      <c r="D554" s="70">
        <f>IF('Final Calculation Sheet'!$AA$35="","",'Final Calculation Sheet'!$AA$35)</f>
        <v/>
      </c>
      <c r="E554" s="71" t="n"/>
      <c r="F554" s="71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124">
        <f>SUM(B554:N554)</f>
        <v/>
      </c>
    </row>
    <row r="555" outlineLevel="2" ht="15" customHeight="1">
      <c r="A555" s="69" t="inlineStr">
        <is>
          <t xml:space="preserve">      LPP Receipt Date</t>
        </is>
      </c>
      <c r="B555" s="76">
        <f>IF('Final Calculation Sheet'!$AB$25="","",'Final Calculation Sheet'!$AB$25)</f>
        <v/>
      </c>
      <c r="C555" s="191">
        <f>IF('Final Calculation Sheet'!$AB$28="","",'Final Calculation Sheet'!$AB$28)</f>
        <v/>
      </c>
      <c r="D555" s="76">
        <f>IF('Final Calculation Sheet'!$AB$35="","",'Final Calculation Sheet'!$AB$35)</f>
        <v/>
      </c>
      <c r="E555" s="71" t="n"/>
      <c r="F555" s="71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122" t="inlineStr">
        <is>
          <t>–</t>
        </is>
      </c>
    </row>
    <row r="556" outlineLevel="1" ht="16" customHeight="1">
      <c r="A556" s="118" t="inlineStr">
        <is>
          <t xml:space="preserve">  ▸ SUMMARY</t>
        </is>
      </c>
      <c r="B556" s="120" t="n"/>
      <c r="C556" s="120" t="n"/>
      <c r="D556" s="120" t="n"/>
      <c r="E556" s="120" t="n"/>
      <c r="F556" s="120" t="n"/>
      <c r="G556" s="120" t="n"/>
      <c r="H556" s="120" t="n"/>
      <c r="I556" s="120" t="n"/>
      <c r="J556" s="120" t="n"/>
      <c r="K556" s="120" t="n"/>
      <c r="L556" s="120" t="n"/>
      <c r="M556" s="120" t="n"/>
      <c r="N556" s="120" t="n"/>
      <c r="O556" s="120" t="n"/>
    </row>
    <row r="557" outlineLevel="2" ht="15" customHeight="1">
      <c r="A557" s="69" t="inlineStr">
        <is>
          <t xml:space="preserve">      Total Received (₹)</t>
        </is>
      </c>
      <c r="B557" s="70">
        <f>IF('Final Calculation Sheet'!$AC$25="","",'Final Calculation Sheet'!$AC$25)</f>
        <v/>
      </c>
      <c r="C557" s="188">
        <f>IF('Final Calculation Sheet'!$AC$28="","",'Final Calculation Sheet'!$AC$28)</f>
        <v/>
      </c>
      <c r="D557" s="70">
        <f>IF('Final Calculation Sheet'!$AC$35="","",'Final Calculation Sheet'!$AC$35)</f>
        <v/>
      </c>
      <c r="E557" s="71" t="n"/>
      <c r="F557" s="71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124">
        <f>SUM(B557:N557)</f>
        <v/>
      </c>
    </row>
    <row r="558" outlineLevel="2" ht="15" customHeight="1">
      <c r="A558" s="69" t="inlineStr">
        <is>
          <t xml:space="preserve">      Outstanding (₹)</t>
        </is>
      </c>
      <c r="B558" s="70">
        <f>IF('Final Calculation Sheet'!$AD$25="","",'Final Calculation Sheet'!$AD$25)</f>
        <v/>
      </c>
      <c r="C558" s="188">
        <f>IF('Final Calculation Sheet'!$AD$28="","",'Final Calculation Sheet'!$AD$28)</f>
        <v/>
      </c>
      <c r="D558" s="70">
        <f>IF('Final Calculation Sheet'!$AD$35="","",'Final Calculation Sheet'!$AD$35)</f>
        <v/>
      </c>
      <c r="E558" s="71" t="n"/>
      <c r="F558" s="71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124">
        <f>SUM(B558:N558)</f>
        <v/>
      </c>
    </row>
    <row r="559" outlineLevel="2" ht="15" customHeight="1">
      <c r="A559" s="69" t="inlineStr">
        <is>
          <t xml:space="preserve">      Payment Status</t>
        </is>
      </c>
      <c r="B559" s="81">
        <f>IF('Final Calculation Sheet'!$AD$25="","",IF('Final Calculation Sheet'!$AD$25&lt;=0,"SETTLED","OUTSTANDING"))</f>
        <v/>
      </c>
      <c r="C559" s="194">
        <f>IF('Final Calculation Sheet'!$AD$28="","",IF('Final Calculation Sheet'!$AD$28&lt;=0,"SETTLED","OUTSTANDING"))</f>
        <v/>
      </c>
      <c r="D559" s="81">
        <f>IF('Final Calculation Sheet'!$AD$35="","",IF('Final Calculation Sheet'!$AD$35&lt;=0,"SETTLED","OUTSTANDING"))</f>
        <v/>
      </c>
      <c r="E559" s="71" t="n"/>
      <c r="F559" s="71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122" t="inlineStr">
        <is>
          <t>–</t>
        </is>
      </c>
    </row>
    <row r="560" outlineLevel="1" ht="16" customHeight="1">
      <c r="A560" s="118" t="inlineStr">
        <is>
          <t xml:space="preserve">  ▸ DOCUMENT</t>
        </is>
      </c>
      <c r="B560" s="120" t="n"/>
      <c r="C560" s="120" t="n"/>
      <c r="D560" s="120" t="n"/>
      <c r="E560" s="120" t="n"/>
      <c r="F560" s="120" t="n"/>
      <c r="G560" s="120" t="n"/>
      <c r="H560" s="120" t="n"/>
      <c r="I560" s="120" t="n"/>
      <c r="J560" s="120" t="n"/>
      <c r="K560" s="120" t="n"/>
      <c r="L560" s="120" t="n"/>
      <c r="M560" s="120" t="n"/>
      <c r="N560" s="120" t="n"/>
      <c r="O560" s="120" t="n"/>
    </row>
    <row r="561" outlineLevel="2" ht="15" customHeight="1">
      <c r="A561" s="69" t="inlineStr">
        <is>
          <t xml:space="preserve">      Invoice No.</t>
        </is>
      </c>
      <c r="B561" s="76">
        <f>IF('Final Calculation Sheet'!$AE$25="","",'Final Calculation Sheet'!$AE$25)</f>
        <v/>
      </c>
      <c r="C561" s="191">
        <f>IF('Final Calculation Sheet'!$AE$28="","",'Final Calculation Sheet'!$AE$28)</f>
        <v/>
      </c>
      <c r="D561" s="76">
        <f>IF('Final Calculation Sheet'!$AE$35="","",'Final Calculation Sheet'!$AE$35)</f>
        <v/>
      </c>
      <c r="E561" s="71" t="n"/>
      <c r="F561" s="71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122" t="inlineStr">
        <is>
          <t>–</t>
        </is>
      </c>
    </row>
    <row r="562" outlineLevel="2" ht="15" customHeight="1">
      <c r="A562" s="69" t="inlineStr">
        <is>
          <t xml:space="preserve">      SAP Document</t>
        </is>
      </c>
      <c r="B562" s="70">
        <f>IF('Final Calculation Sheet'!$AF$25="","",'Final Calculation Sheet'!$AF$25)</f>
        <v/>
      </c>
      <c r="C562" s="188">
        <f>IF('Final Calculation Sheet'!$AF$28="","",'Final Calculation Sheet'!$AF$28)</f>
        <v/>
      </c>
      <c r="D562" s="70">
        <f>IF('Final Calculation Sheet'!$AF$35="","",'Final Calculation Sheet'!$AF$35)</f>
        <v/>
      </c>
      <c r="E562" s="71" t="n"/>
      <c r="F562" s="71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122" t="inlineStr">
        <is>
          <t>–</t>
        </is>
      </c>
    </row>
    <row r="563" outlineLevel="2" ht="15" customHeight="1">
      <c r="A563" s="69" t="inlineStr">
        <is>
          <t xml:space="preserve">      Doc./Invoice Date</t>
        </is>
      </c>
      <c r="B563" s="76">
        <f>IF('Final Calculation Sheet'!$AG$25="","",'Final Calculation Sheet'!$AG$25)</f>
        <v/>
      </c>
      <c r="C563" s="191">
        <f>IF('Final Calculation Sheet'!$AG$28="","",'Final Calculation Sheet'!$AG$28)</f>
        <v/>
      </c>
      <c r="D563" s="76">
        <f>IF('Final Calculation Sheet'!$AG$35="","",'Final Calculation Sheet'!$AG$35)</f>
        <v/>
      </c>
      <c r="E563" s="71" t="n"/>
      <c r="F563" s="71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122" t="inlineStr">
        <is>
          <t>–</t>
        </is>
      </c>
    </row>
    <row r="564" ht="7" customHeight="1">
      <c r="A564" s="82" t="n"/>
      <c r="B564" s="82" t="n"/>
      <c r="C564" s="82" t="n"/>
      <c r="D564" s="82" t="n"/>
      <c r="E564" s="82" t="n"/>
      <c r="F564" s="82" t="n"/>
      <c r="G564" s="82" t="n"/>
      <c r="H564" s="82" t="n"/>
      <c r="I564" s="82" t="n"/>
      <c r="J564" s="82" t="n"/>
      <c r="K564" s="82" t="n"/>
      <c r="L564" s="82" t="n"/>
      <c r="M564" s="82" t="n"/>
      <c r="N564" s="82" t="n"/>
      <c r="O564" s="82" t="n"/>
    </row>
    <row r="566" ht="22" customHeight="1">
      <c r="A566" s="195" t="inlineStr">
        <is>
          <t>◈  BUYER INDEX  —  click a buyer name to jump to its block</t>
        </is>
      </c>
    </row>
    <row r="567" ht="26" customHeight="1">
      <c r="A567" s="196" t="inlineStr">
        <is>
          <t>BUYER (click to jump)</t>
        </is>
      </c>
      <c r="B567" s="196" t="inlineStr">
        <is>
          <t>LOTS</t>
        </is>
      </c>
      <c r="C567" s="196" t="inlineStr">
        <is>
          <t>MAT. VALUE ₹</t>
        </is>
      </c>
      <c r="D567" s="196" t="inlineStr">
        <is>
          <t>TOTAL RECEIVABLES ₹</t>
        </is>
      </c>
      <c r="E567" s="196" t="inlineStr">
        <is>
          <t>TOTAL RECEIVED ₹</t>
        </is>
      </c>
      <c r="F567" s="196" t="inlineStr">
        <is>
          <t>OUTSTANDING ₹</t>
        </is>
      </c>
      <c r="G567" s="196" t="inlineStr">
        <is>
          <t>STATUS</t>
        </is>
      </c>
    </row>
    <row r="568" ht="16" customHeight="1">
      <c r="A568" s="197" t="inlineStr">
        <is>
          <t>AL HAMD TRADE CORPORATION</t>
        </is>
      </c>
      <c r="B568" s="198">
        <f>COUNTIF('Final Calculation Sheet'!$G$4:$G$1000,"AL HAMD TRADE CORPORATION")</f>
        <v/>
      </c>
      <c r="C568" s="199">
        <f>SUMIF('Final Calculation Sheet'!$G$4:$G$1000,"AL HAMD TRADE CORPORATION",'Final Calculation Sheet'!$H$4:$H$1000)</f>
        <v/>
      </c>
      <c r="D568" s="199">
        <f>SUMIF('Final Calculation Sheet'!$G$4:$G$1000,"AL HAMD TRADE CORPORATION",'Final Calculation Sheet'!$S$4:$S$1000)</f>
        <v/>
      </c>
      <c r="E568" s="199">
        <f>SUMIF('Final Calculation Sheet'!$G$4:$G$1000,"AL HAMD TRADE CORPORATION",'Final Calculation Sheet'!$AC$4:$AC$1000)</f>
        <v/>
      </c>
      <c r="F568" s="199">
        <f>SUMIF('Final Calculation Sheet'!$G$4:$G$1000,"AL HAMD TRADE CORPORATION",'Final Calculation Sheet'!$AD$4:$AD$1000)</f>
        <v/>
      </c>
      <c r="G568" s="68">
        <f>IF(F568&lt;=0,"SETTLED","OUTSTANDING")</f>
        <v/>
      </c>
    </row>
    <row r="569" ht="16" customHeight="1">
      <c r="A569" s="200" t="inlineStr">
        <is>
          <t>F R KHANS ENTERPRISES</t>
        </is>
      </c>
      <c r="B569" s="201">
        <f>COUNTIF('Final Calculation Sheet'!$G$4:$G$1000,"F R KHANS ENTERPRISES")</f>
        <v/>
      </c>
      <c r="C569" s="202">
        <f>SUMIF('Final Calculation Sheet'!$G$4:$G$1000,"F R KHANS ENTERPRISES",'Final Calculation Sheet'!$H$4:$H$1000)</f>
        <v/>
      </c>
      <c r="D569" s="202">
        <f>SUMIF('Final Calculation Sheet'!$G$4:$G$1000,"F R KHANS ENTERPRISES",'Final Calculation Sheet'!$S$4:$S$1000)</f>
        <v/>
      </c>
      <c r="E569" s="202">
        <f>SUMIF('Final Calculation Sheet'!$G$4:$G$1000,"F R KHANS ENTERPRISES",'Final Calculation Sheet'!$AC$4:$AC$1000)</f>
        <v/>
      </c>
      <c r="F569" s="202">
        <f>SUMIF('Final Calculation Sheet'!$G$4:$G$1000,"F R KHANS ENTERPRISES",'Final Calculation Sheet'!$AD$4:$AD$1000)</f>
        <v/>
      </c>
      <c r="G569" s="203">
        <f>IF(F569&lt;=0,"SETTLED","OUTSTANDING")</f>
        <v/>
      </c>
    </row>
    <row r="570" ht="16" customHeight="1">
      <c r="A570" s="204" t="inlineStr">
        <is>
          <t>HIND TRADERS</t>
        </is>
      </c>
      <c r="B570" s="205">
        <f>COUNTIF('Final Calculation Sheet'!$G$4:$G$1000,"HIND TRADERS")</f>
        <v/>
      </c>
      <c r="C570" s="206">
        <f>SUMIF('Final Calculation Sheet'!$G$4:$G$1000,"HIND TRADERS",'Final Calculation Sheet'!$H$4:$H$1000)</f>
        <v/>
      </c>
      <c r="D570" s="206">
        <f>SUMIF('Final Calculation Sheet'!$G$4:$G$1000,"HIND TRADERS",'Final Calculation Sheet'!$S$4:$S$1000)</f>
        <v/>
      </c>
      <c r="E570" s="206">
        <f>SUMIF('Final Calculation Sheet'!$G$4:$G$1000,"HIND TRADERS",'Final Calculation Sheet'!$AC$4:$AC$1000)</f>
        <v/>
      </c>
      <c r="F570" s="206">
        <f>SUMIF('Final Calculation Sheet'!$G$4:$G$1000,"HIND TRADERS",'Final Calculation Sheet'!$AD$4:$AD$1000)</f>
        <v/>
      </c>
      <c r="G570" s="103">
        <f>IF(F570&lt;=0,"SETTLED","OUTSTANDING")</f>
        <v/>
      </c>
    </row>
    <row r="571" ht="16" customHeight="1">
      <c r="A571" s="207" t="inlineStr">
        <is>
          <t>KASHYAP TRADING CO</t>
        </is>
      </c>
      <c r="B571" s="208">
        <f>COUNTIF('Final Calculation Sheet'!$G$4:$G$1000,"KASHYAP TRADING CO")</f>
        <v/>
      </c>
      <c r="C571" s="209">
        <f>SUMIF('Final Calculation Sheet'!$G$4:$G$1000,"KASHYAP TRADING CO",'Final Calculation Sheet'!$H$4:$H$1000)</f>
        <v/>
      </c>
      <c r="D571" s="209">
        <f>SUMIF('Final Calculation Sheet'!$G$4:$G$1000,"KASHYAP TRADING CO",'Final Calculation Sheet'!$S$4:$S$1000)</f>
        <v/>
      </c>
      <c r="E571" s="209">
        <f>SUMIF('Final Calculation Sheet'!$G$4:$G$1000,"KASHYAP TRADING CO",'Final Calculation Sheet'!$AC$4:$AC$1000)</f>
        <v/>
      </c>
      <c r="F571" s="209">
        <f>SUMIF('Final Calculation Sheet'!$G$4:$G$1000,"KASHYAP TRADING CO",'Final Calculation Sheet'!$AD$4:$AD$1000)</f>
        <v/>
      </c>
      <c r="G571" s="210">
        <f>IF(F571&lt;=0,"SETTLED","OUTSTANDING")</f>
        <v/>
      </c>
    </row>
    <row r="572" ht="16" customHeight="1">
      <c r="A572" s="211" t="inlineStr">
        <is>
          <t>M I SCRAP TRADERS</t>
        </is>
      </c>
      <c r="B572" s="212">
        <f>COUNTIF('Final Calculation Sheet'!$G$4:$G$1000,"M I SCRAP TRADERS")</f>
        <v/>
      </c>
      <c r="C572" s="213">
        <f>SUMIF('Final Calculation Sheet'!$G$4:$G$1000,"M I SCRAP TRADERS",'Final Calculation Sheet'!$H$4:$H$1000)</f>
        <v/>
      </c>
      <c r="D572" s="213">
        <f>SUMIF('Final Calculation Sheet'!$G$4:$G$1000,"M I SCRAP TRADERS",'Final Calculation Sheet'!$S$4:$S$1000)</f>
        <v/>
      </c>
      <c r="E572" s="213">
        <f>SUMIF('Final Calculation Sheet'!$G$4:$G$1000,"M I SCRAP TRADERS",'Final Calculation Sheet'!$AC$4:$AC$1000)</f>
        <v/>
      </c>
      <c r="F572" s="213">
        <f>SUMIF('Final Calculation Sheet'!$G$4:$G$1000,"M I SCRAP TRADERS",'Final Calculation Sheet'!$AD$4:$AD$1000)</f>
        <v/>
      </c>
      <c r="G572" s="121">
        <f>IF(F572&lt;=0,"SETTLED","OUTSTANDING")</f>
        <v/>
      </c>
    </row>
    <row r="573" ht="16" customHeight="1">
      <c r="A573" s="214" t="inlineStr">
        <is>
          <t>NATIONAL ENTERPRISES</t>
        </is>
      </c>
      <c r="B573" s="215">
        <f>COUNTIF('Final Calculation Sheet'!$G$4:$G$1000,"NATIONAL ENTERPRISES")</f>
        <v/>
      </c>
      <c r="C573" s="216">
        <f>SUMIF('Final Calculation Sheet'!$G$4:$G$1000,"NATIONAL ENTERPRISES",'Final Calculation Sheet'!$H$4:$H$1000)</f>
        <v/>
      </c>
      <c r="D573" s="216">
        <f>SUMIF('Final Calculation Sheet'!$G$4:$G$1000,"NATIONAL ENTERPRISES",'Final Calculation Sheet'!$S$4:$S$1000)</f>
        <v/>
      </c>
      <c r="E573" s="216">
        <f>SUMIF('Final Calculation Sheet'!$G$4:$G$1000,"NATIONAL ENTERPRISES",'Final Calculation Sheet'!$AC$4:$AC$1000)</f>
        <v/>
      </c>
      <c r="F573" s="216">
        <f>SUMIF('Final Calculation Sheet'!$G$4:$G$1000,"NATIONAL ENTERPRISES",'Final Calculation Sheet'!$AD$4:$AD$1000)</f>
        <v/>
      </c>
      <c r="G573" s="217">
        <f>IF(F573&lt;=0,"SETTLED","OUTSTANDING")</f>
        <v/>
      </c>
    </row>
    <row r="574" ht="16" customHeight="1">
      <c r="A574" s="218" t="inlineStr">
        <is>
          <t>NATIONAL SCRAP AND BUILDING MATERIAL SUPPLIER</t>
        </is>
      </c>
      <c r="B574" s="219">
        <f>COUNTIF('Final Calculation Sheet'!$G$4:$G$1000,"NATIONAL SCRAP AND BUILDING MATERIAL SUPPLIER")</f>
        <v/>
      </c>
      <c r="C574" s="220">
        <f>SUMIF('Final Calculation Sheet'!$G$4:$G$1000,"NATIONAL SCRAP AND BUILDING MATERIAL SUPPLIER",'Final Calculation Sheet'!$H$4:$H$1000)</f>
        <v/>
      </c>
      <c r="D574" s="220">
        <f>SUMIF('Final Calculation Sheet'!$G$4:$G$1000,"NATIONAL SCRAP AND BUILDING MATERIAL SUPPLIER",'Final Calculation Sheet'!$S$4:$S$1000)</f>
        <v/>
      </c>
      <c r="E574" s="220">
        <f>SUMIF('Final Calculation Sheet'!$G$4:$G$1000,"NATIONAL SCRAP AND BUILDING MATERIAL SUPPLIER",'Final Calculation Sheet'!$AC$4:$AC$1000)</f>
        <v/>
      </c>
      <c r="F574" s="220">
        <f>SUMIF('Final Calculation Sheet'!$G$4:$G$1000,"NATIONAL SCRAP AND BUILDING MATERIAL SUPPLIER",'Final Calculation Sheet'!$AD$4:$AD$1000)</f>
        <v/>
      </c>
      <c r="G574" s="146">
        <f>IF(F574&lt;=0,"SETTLED","OUTSTANDING")</f>
        <v/>
      </c>
    </row>
    <row r="575" ht="16" customHeight="1">
      <c r="A575" s="221" t="inlineStr">
        <is>
          <t>OMKAR STEELS</t>
        </is>
      </c>
      <c r="B575" s="222">
        <f>COUNTIF('Final Calculation Sheet'!$G$4:$G$1000,"OMKAR STEELS")</f>
        <v/>
      </c>
      <c r="C575" s="223">
        <f>SUMIF('Final Calculation Sheet'!$G$4:$G$1000,"OMKAR STEELS",'Final Calculation Sheet'!$H$4:$H$1000)</f>
        <v/>
      </c>
      <c r="D575" s="223">
        <f>SUMIF('Final Calculation Sheet'!$G$4:$G$1000,"OMKAR STEELS",'Final Calculation Sheet'!$S$4:$S$1000)</f>
        <v/>
      </c>
      <c r="E575" s="223">
        <f>SUMIF('Final Calculation Sheet'!$G$4:$G$1000,"OMKAR STEELS",'Final Calculation Sheet'!$AC$4:$AC$1000)</f>
        <v/>
      </c>
      <c r="F575" s="223">
        <f>SUMIF('Final Calculation Sheet'!$G$4:$G$1000,"OMKAR STEELS",'Final Calculation Sheet'!$AD$4:$AD$1000)</f>
        <v/>
      </c>
      <c r="G575" s="224">
        <f>IF(F575&lt;=0,"SETTLED","OUTSTANDING")</f>
        <v/>
      </c>
    </row>
    <row r="576" ht="16" customHeight="1">
      <c r="A576" s="197" t="inlineStr">
        <is>
          <t>S M ENTERPRISES</t>
        </is>
      </c>
      <c r="B576" s="198">
        <f>COUNTIF('Final Calculation Sheet'!$G$4:$G$1000,"S M ENTERPRISES")</f>
        <v/>
      </c>
      <c r="C576" s="199">
        <f>SUMIF('Final Calculation Sheet'!$G$4:$G$1000,"S M ENTERPRISES",'Final Calculation Sheet'!$H$4:$H$1000)</f>
        <v/>
      </c>
      <c r="D576" s="199">
        <f>SUMIF('Final Calculation Sheet'!$G$4:$G$1000,"S M ENTERPRISES",'Final Calculation Sheet'!$S$4:$S$1000)</f>
        <v/>
      </c>
      <c r="E576" s="199">
        <f>SUMIF('Final Calculation Sheet'!$G$4:$G$1000,"S M ENTERPRISES",'Final Calculation Sheet'!$AC$4:$AC$1000)</f>
        <v/>
      </c>
      <c r="F576" s="199">
        <f>SUMIF('Final Calculation Sheet'!$G$4:$G$1000,"S M ENTERPRISES",'Final Calculation Sheet'!$AD$4:$AD$1000)</f>
        <v/>
      </c>
      <c r="G576" s="68">
        <f>IF(F576&lt;=0,"SETTLED","OUTSTANDING")</f>
        <v/>
      </c>
    </row>
    <row r="577" ht="16" customHeight="1">
      <c r="A577" s="200" t="inlineStr">
        <is>
          <t>SAHARA ENTERPRISES</t>
        </is>
      </c>
      <c r="B577" s="201">
        <f>COUNTIF('Final Calculation Sheet'!$G$4:$G$1000,"SAHARA ENTERPRISES")</f>
        <v/>
      </c>
      <c r="C577" s="202">
        <f>SUMIF('Final Calculation Sheet'!$G$4:$G$1000,"SAHARA ENTERPRISES",'Final Calculation Sheet'!$H$4:$H$1000)</f>
        <v/>
      </c>
      <c r="D577" s="202">
        <f>SUMIF('Final Calculation Sheet'!$G$4:$G$1000,"SAHARA ENTERPRISES",'Final Calculation Sheet'!$S$4:$S$1000)</f>
        <v/>
      </c>
      <c r="E577" s="202">
        <f>SUMIF('Final Calculation Sheet'!$G$4:$G$1000,"SAHARA ENTERPRISES",'Final Calculation Sheet'!$AC$4:$AC$1000)</f>
        <v/>
      </c>
      <c r="F577" s="202">
        <f>SUMIF('Final Calculation Sheet'!$G$4:$G$1000,"SAHARA ENTERPRISES",'Final Calculation Sheet'!$AD$4:$AD$1000)</f>
        <v/>
      </c>
      <c r="G577" s="203">
        <f>IF(F577&lt;=0,"SETTLED","OUTSTANDING")</f>
        <v/>
      </c>
    </row>
    <row r="578" ht="16" customHeight="1">
      <c r="A578" s="204" t="inlineStr">
        <is>
          <t>SHAR JAHAN TRADERS</t>
        </is>
      </c>
      <c r="B578" s="205">
        <f>COUNTIF('Final Calculation Sheet'!$G$4:$G$1000,"SHAR JAHAN TRADERS")</f>
        <v/>
      </c>
      <c r="C578" s="206">
        <f>SUMIF('Final Calculation Sheet'!$G$4:$G$1000,"SHAR JAHAN TRADERS",'Final Calculation Sheet'!$H$4:$H$1000)</f>
        <v/>
      </c>
      <c r="D578" s="206">
        <f>SUMIF('Final Calculation Sheet'!$G$4:$G$1000,"SHAR JAHAN TRADERS",'Final Calculation Sheet'!$S$4:$S$1000)</f>
        <v/>
      </c>
      <c r="E578" s="206">
        <f>SUMIF('Final Calculation Sheet'!$G$4:$G$1000,"SHAR JAHAN TRADERS",'Final Calculation Sheet'!$AC$4:$AC$1000)</f>
        <v/>
      </c>
      <c r="F578" s="206">
        <f>SUMIF('Final Calculation Sheet'!$G$4:$G$1000,"SHAR JAHAN TRADERS",'Final Calculation Sheet'!$AD$4:$AD$1000)</f>
        <v/>
      </c>
      <c r="G578" s="103">
        <f>IF(F578&lt;=0,"SETTLED","OUTSTANDING")</f>
        <v/>
      </c>
    </row>
    <row r="579" ht="16" customHeight="1">
      <c r="A579" s="207" t="inlineStr">
        <is>
          <t>STERLING ENTERPRISES</t>
        </is>
      </c>
      <c r="B579" s="208">
        <f>COUNTIF('Final Calculation Sheet'!$G$4:$G$1000,"STERLING ENTERPRISES")</f>
        <v/>
      </c>
      <c r="C579" s="209">
        <f>SUMIF('Final Calculation Sheet'!$G$4:$G$1000,"STERLING ENTERPRISES",'Final Calculation Sheet'!$H$4:$H$1000)</f>
        <v/>
      </c>
      <c r="D579" s="209">
        <f>SUMIF('Final Calculation Sheet'!$G$4:$G$1000,"STERLING ENTERPRISES",'Final Calculation Sheet'!$S$4:$S$1000)</f>
        <v/>
      </c>
      <c r="E579" s="209">
        <f>SUMIF('Final Calculation Sheet'!$G$4:$G$1000,"STERLING ENTERPRISES",'Final Calculation Sheet'!$AC$4:$AC$1000)</f>
        <v/>
      </c>
      <c r="F579" s="209">
        <f>SUMIF('Final Calculation Sheet'!$G$4:$G$1000,"STERLING ENTERPRISES",'Final Calculation Sheet'!$AD$4:$AD$1000)</f>
        <v/>
      </c>
      <c r="G579" s="210">
        <f>IF(F579&lt;=0,"SETTLED","OUTSTANDING")</f>
        <v/>
      </c>
    </row>
    <row r="580" ht="16" customHeight="1">
      <c r="A580" s="211" t="inlineStr">
        <is>
          <t>WATAN SCRAP TRADERS</t>
        </is>
      </c>
      <c r="B580" s="212">
        <f>COUNTIF('Final Calculation Sheet'!$G$4:$G$1000,"WATAN SCRAP TRADERS")</f>
        <v/>
      </c>
      <c r="C580" s="213">
        <f>SUMIF('Final Calculation Sheet'!$G$4:$G$1000,"WATAN SCRAP TRADERS",'Final Calculation Sheet'!$H$4:$H$1000)</f>
        <v/>
      </c>
      <c r="D580" s="213">
        <f>SUMIF('Final Calculation Sheet'!$G$4:$G$1000,"WATAN SCRAP TRADERS",'Final Calculation Sheet'!$S$4:$S$1000)</f>
        <v/>
      </c>
      <c r="E580" s="213">
        <f>SUMIF('Final Calculation Sheet'!$G$4:$G$1000,"WATAN SCRAP TRADERS",'Final Calculation Sheet'!$AC$4:$AC$1000)</f>
        <v/>
      </c>
      <c r="F580" s="213">
        <f>SUMIF('Final Calculation Sheet'!$G$4:$G$1000,"WATAN SCRAP TRADERS",'Final Calculation Sheet'!$AD$4:$AD$1000)</f>
        <v/>
      </c>
      <c r="G580" s="121">
        <f>IF(F580&lt;=0,"SETTLED","OUTSTANDING")</f>
        <v/>
      </c>
    </row>
    <row r="581" ht="18" customHeight="1">
      <c r="A581" s="225" t="inlineStr">
        <is>
          <t>∑  ALL BUYERS</t>
        </is>
      </c>
      <c r="B581" s="226">
        <f>SUM(B568:B580)</f>
        <v/>
      </c>
      <c r="C581" s="227">
        <f>SUM(C568:C580)</f>
        <v/>
      </c>
      <c r="D581" s="227">
        <f>SUM(D568:D580)</f>
        <v/>
      </c>
      <c r="E581" s="227">
        <f>SUM(E568:E580)</f>
        <v/>
      </c>
      <c r="F581" s="227">
        <f>SUM(F568:F580)</f>
        <v/>
      </c>
      <c r="G581" s="228">
        <f>IF(F581&lt;=0,"SETTLED","OUTSTANDING")</f>
        <v/>
      </c>
    </row>
  </sheetData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0">
      <formula>"SETTLED"</formula>
    </cfRule>
    <cfRule type="cellIs" priority="2" operator="equal" dxfId="1">
      <formula>"OUTSTANDING"</formula>
    </cfRule>
  </conditionalFormatting>
  <hyperlinks>
    <hyperlink ref="A568" location="'Collapsible - Lots Across'!A6" tooltip="Jump to AL HAMD TRADE CORPORATION" display="AL HAMD TRADE CORPORATION"/>
    <hyperlink ref="A569" location="'Collapsible - Lots Across'!A49" tooltip="Jump to F R KHANS ENTERPRISES" display="F R KHANS ENTERPRISES"/>
    <hyperlink ref="A570" location="'Collapsible - Lots Across'!A92" tooltip="Jump to HIND TRADERS" display="HIND TRADERS"/>
    <hyperlink ref="A571" location="'Collapsible - Lots Across'!A135" tooltip="Jump to KASHYAP TRADING CO" display="KASHYAP TRADING CO"/>
    <hyperlink ref="A572" location="'Collapsible - Lots Across'!A178" tooltip="Jump to M I SCRAP TRADERS" display="M I SCRAP TRADERS"/>
    <hyperlink ref="A573" location="'Collapsible - Lots Across'!A221" tooltip="Jump to NATIONAL ENTERPRISES" display="NATIONAL ENTERPRISES"/>
    <hyperlink ref="A574" location="'Collapsible - Lots Across'!A264" tooltip="Jump to NATIONAL SCRAP AND BUILDING MATERIAL SUPPLIER" display="NATIONAL SCRAP AND BUILDING MATERIAL SUPPLIER"/>
    <hyperlink ref="A575" location="'Collapsible - Lots Across'!A307" tooltip="Jump to OMKAR STEELS" display="OMKAR STEELS"/>
    <hyperlink ref="A576" location="'Collapsible - Lots Across'!A350" tooltip="Jump to S M ENTERPRISES" display="S M ENTERPRISES"/>
    <hyperlink ref="A577" location="'Collapsible - Lots Across'!A393" tooltip="Jump to SAHARA ENTERPRISES" display="SAHARA ENTERPRISES"/>
    <hyperlink ref="A578" location="'Collapsible - Lots Across'!A436" tooltip="Jump to SHAR JAHAN TRADERS" display="SHAR JAHAN TRADERS"/>
    <hyperlink ref="A579" location="'Collapsible - Lots Across'!A479" tooltip="Jump to STERLING ENTERPRISES" display="STERLING ENTERPRISES"/>
    <hyperlink ref="A580" location="'Collapsible - Lots Across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F4B183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59" t="inlineStr">
        <is>
          <t>MSTC LIMITED  •  BUYER × LOT COLLAPSIBLE VIEW   (fields ↓ rows  |  lots → columns)</t>
        </is>
      </c>
    </row>
    <row r="2" ht="18" customHeight="1">
      <c r="A2" s="60" t="inlineStr">
        <is>
          <t>Auctions 21977 • 21978 • 21979 • 21980   —   every figure below is a live link to 'Final Calculation Sheet'</t>
        </is>
      </c>
    </row>
    <row r="3" ht="32" customHeight="1">
      <c r="A3" s="61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62" t="inlineStr">
        <is>
          <t>FIELD  ▸  BUYER  |  LOT →</t>
        </is>
      </c>
      <c r="B5" s="62" t="inlineStr">
        <is>
          <t>LOT 1</t>
        </is>
      </c>
      <c r="C5" s="62" t="inlineStr">
        <is>
          <t>LOT 2</t>
        </is>
      </c>
      <c r="D5" s="62" t="inlineStr">
        <is>
          <t>LOT 3</t>
        </is>
      </c>
      <c r="E5" s="62" t="inlineStr">
        <is>
          <t>LOT 4</t>
        </is>
      </c>
      <c r="F5" s="62" t="inlineStr">
        <is>
          <t>LOT 5</t>
        </is>
      </c>
      <c r="G5" s="62" t="inlineStr">
        <is>
          <t>LOT 6</t>
        </is>
      </c>
      <c r="H5" s="62" t="inlineStr">
        <is>
          <t>LOT 7</t>
        </is>
      </c>
      <c r="I5" s="62" t="inlineStr">
        <is>
          <t>LOT 8</t>
        </is>
      </c>
      <c r="J5" s="62" t="inlineStr">
        <is>
          <t>LOT 9</t>
        </is>
      </c>
      <c r="K5" s="62" t="inlineStr">
        <is>
          <t>LOT 10</t>
        </is>
      </c>
      <c r="L5" s="62" t="inlineStr">
        <is>
          <t>LOT 11</t>
        </is>
      </c>
      <c r="M5" s="62" t="inlineStr">
        <is>
          <t>LOT 12</t>
        </is>
      </c>
      <c r="N5" s="62" t="inlineStr">
        <is>
          <t>LOT 13</t>
        </is>
      </c>
      <c r="O5" s="62" t="inlineStr">
        <is>
          <t>BUYER TOTAL</t>
        </is>
      </c>
    </row>
    <row r="6" ht="24" customHeight="1">
      <c r="A6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64" t="n"/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</row>
    <row r="7" outlineLevel="1" ht="18" customHeight="1">
      <c r="A7" s="65" t="inlineStr">
        <is>
          <t xml:space="preserve">   Lot No. →</t>
        </is>
      </c>
      <c r="B7" s="66">
        <f>IF('Final Calculation Sheet'!$F$4="","",'Final Calculation Sheet'!$F$4)</f>
        <v/>
      </c>
      <c r="C7" s="67" t="n"/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8" t="inlineStr">
        <is>
          <t>TOTAL</t>
        </is>
      </c>
    </row>
    <row r="8" outlineLevel="1" ht="16" customHeight="1">
      <c r="A8" s="65" t="inlineStr">
        <is>
          <t xml:space="preserve">  ▸ LOT INFORMATION</t>
        </is>
      </c>
      <c r="B8" s="67" t="n"/>
      <c r="C8" s="67" t="n"/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</row>
    <row r="9" outlineLevel="2" ht="15" customHeight="1">
      <c r="A9" s="69" t="inlineStr">
        <is>
          <t xml:space="preserve">      Lot No.</t>
        </is>
      </c>
      <c r="B9" s="70">
        <f>IF('Final Calculation Sheet'!$F$4="","",'Final Calculation Sheet'!$F$4)</f>
        <v/>
      </c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  <c r="N9" s="71" t="n"/>
      <c r="O9" s="72" t="inlineStr">
        <is>
          <t>–</t>
        </is>
      </c>
    </row>
    <row r="10" outlineLevel="2" ht="60" customHeight="1">
      <c r="A10" s="69" t="inlineStr">
        <is>
          <t xml:space="preserve">      Lot Name</t>
        </is>
      </c>
      <c r="B10" s="73">
        <f>IF('Final Calculation Sheet'!$B$4="","",'Final Calculation Sheet'!$B$4)</f>
        <v/>
      </c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2" t="inlineStr">
        <is>
          <t>–</t>
        </is>
      </c>
    </row>
    <row r="11" outlineLevel="2" ht="15" customHeight="1">
      <c r="A11" s="69" t="inlineStr">
        <is>
          <t xml:space="preserve">      Bid Sheet / Auction</t>
        </is>
      </c>
      <c r="B11" s="70">
        <f>IF('Final Calculation Sheet'!$D$4="","",'Final Calculation Sheet'!$D$4)</f>
        <v/>
      </c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  <c r="N11" s="71" t="n"/>
      <c r="O11" s="72" t="inlineStr">
        <is>
          <t>–</t>
        </is>
      </c>
    </row>
    <row r="12" outlineLevel="2" ht="15" customHeight="1">
      <c r="A12" s="69" t="inlineStr">
        <is>
          <t xml:space="preserve">      Quantity</t>
        </is>
      </c>
      <c r="B12" s="74">
        <f>IF('Final Calculation Sheet'!$A$4="","",'Final Calculation Sheet'!$A$4)</f>
        <v/>
      </c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  <c r="N12" s="71" t="n"/>
      <c r="O12" s="75">
        <f>SUM(B12:N12)</f>
        <v/>
      </c>
    </row>
    <row r="13" outlineLevel="2" ht="15" customHeight="1">
      <c r="A13" s="69" t="inlineStr">
        <is>
          <t xml:space="preserve">      Unit</t>
        </is>
      </c>
      <c r="B13" s="76">
        <f>IF('Final Calculation Sheet'!$E$4="","",'Final Calculation Sheet'!$E$4)</f>
        <v/>
      </c>
      <c r="C13" s="71" t="n"/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  <c r="N13" s="71" t="n"/>
      <c r="O13" s="72" t="inlineStr">
        <is>
          <t>–</t>
        </is>
      </c>
    </row>
    <row r="14" outlineLevel="2" ht="15" customHeight="1">
      <c r="A14" s="69" t="inlineStr">
        <is>
          <t xml:space="preserve">      Rate (₹)</t>
        </is>
      </c>
      <c r="B14" s="70">
        <f>IF('Final Calculation Sheet'!$C$4="","",'Final Calculation Sheet'!$C$4)</f>
        <v/>
      </c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2" t="inlineStr">
        <is>
          <t>–</t>
        </is>
      </c>
    </row>
    <row r="15" outlineLevel="1" ht="16" customHeight="1">
      <c r="A15" s="65" t="inlineStr">
        <is>
          <t xml:space="preserve">  ▸ FINANCIALS</t>
        </is>
      </c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</row>
    <row r="16" outlineLevel="2" ht="15" customHeight="1">
      <c r="A16" s="69" t="inlineStr">
        <is>
          <t xml:space="preserve">      Mat. Value (₹)</t>
        </is>
      </c>
      <c r="B16" s="70">
        <f>IF('Final Calculation Sheet'!$H$4="","",'Final Calculation Sheet'!$H$4)</f>
        <v/>
      </c>
      <c r="C16" s="71" t="n"/>
      <c r="D16" s="71" t="n"/>
      <c r="E16" s="71" t="n"/>
      <c r="F16" s="71" t="n"/>
      <c r="G16" s="71" t="n"/>
      <c r="H16" s="71" t="n"/>
      <c r="I16" s="71" t="n"/>
      <c r="J16" s="71" t="n"/>
      <c r="K16" s="71" t="n"/>
      <c r="L16" s="71" t="n"/>
      <c r="M16" s="71" t="n"/>
      <c r="N16" s="71" t="n"/>
      <c r="O16" s="77">
        <f>SUM(B16:N16)</f>
        <v/>
      </c>
    </row>
    <row r="17" outlineLevel="2" ht="15" customHeight="1">
      <c r="A17" s="69" t="inlineStr">
        <is>
          <t xml:space="preserve">      GST @ 18% (₹)</t>
        </is>
      </c>
      <c r="B17" s="70">
        <f>IF('Final Calculation Sheet'!$I$4="","",'Final Calculation Sheet'!$I$4)</f>
        <v/>
      </c>
      <c r="C17" s="71" t="n"/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  <c r="N17" s="71" t="n"/>
      <c r="O17" s="77">
        <f>SUM(B17:N17)</f>
        <v/>
      </c>
    </row>
    <row r="18" outlineLevel="2" ht="15" customHeight="1">
      <c r="A18" s="69" t="inlineStr">
        <is>
          <t xml:space="preserve">      Mat. Value + GST (₹)</t>
        </is>
      </c>
      <c r="B18" s="70">
        <f>IF('Final Calculation Sheet'!$J$4="","",'Final Calculation Sheet'!$J$4)</f>
        <v/>
      </c>
      <c r="C18" s="71" t="n"/>
      <c r="D18" s="71" t="n"/>
      <c r="E18" s="71" t="n"/>
      <c r="F18" s="71" t="n"/>
      <c r="G18" s="71" t="n"/>
      <c r="H18" s="71" t="n"/>
      <c r="I18" s="71" t="n"/>
      <c r="J18" s="71" t="n"/>
      <c r="K18" s="71" t="n"/>
      <c r="L18" s="71" t="n"/>
      <c r="M18" s="71" t="n"/>
      <c r="N18" s="71" t="n"/>
      <c r="O18" s="77">
        <f>SUM(B18:N18)</f>
        <v/>
      </c>
    </row>
    <row r="19" outlineLevel="2" ht="15" customHeight="1">
      <c r="A19" s="69" t="inlineStr">
        <is>
          <t xml:space="preserve">      TCS @ 2% (₹)</t>
        </is>
      </c>
      <c r="B19" s="70">
        <f>IF('Final Calculation Sheet'!$K$4="","",'Final Calculation Sheet'!$K$4)</f>
        <v/>
      </c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77">
        <f>SUM(B19:N19)</f>
        <v/>
      </c>
    </row>
    <row r="20" outlineLevel="2" ht="15" customHeight="1">
      <c r="A20" s="69" t="inlineStr">
        <is>
          <t xml:space="preserve">      TDS u/s 194(O) (₹)</t>
        </is>
      </c>
      <c r="B20" s="78">
        <f>IF('Final Calculation Sheet'!$L$4="","",'Final Calculation Sheet'!$L$4)</f>
        <v/>
      </c>
      <c r="C20" s="71" t="n"/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  <c r="N20" s="71" t="n"/>
      <c r="O20" s="79">
        <f>SUM(B20:N20)</f>
        <v/>
      </c>
    </row>
    <row r="21" outlineLevel="2" ht="15" customHeight="1">
      <c r="A21" s="69" t="inlineStr">
        <is>
          <t xml:space="preserve">      Service Charge gross (₹)</t>
        </is>
      </c>
      <c r="B21" s="78">
        <f>IF('Final Calculation Sheet'!$M$4="","",'Final Calculation Sheet'!$M$4)</f>
        <v/>
      </c>
      <c r="C21" s="71" t="n"/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  <c r="N21" s="71" t="n"/>
      <c r="O21" s="79">
        <f>SUM(B21:N21)</f>
        <v/>
      </c>
    </row>
    <row r="22" outlineLevel="2" ht="15" customHeight="1">
      <c r="A22" s="69" t="inlineStr">
        <is>
          <t xml:space="preserve">      TDS u/s 194(H) (₹)</t>
        </is>
      </c>
      <c r="B22" s="78">
        <f>IF('Final Calculation Sheet'!$N$4="","",'Final Calculation Sheet'!$N$4)</f>
        <v/>
      </c>
      <c r="C22" s="71" t="n"/>
      <c r="D22" s="71" t="n"/>
      <c r="E22" s="71" t="n"/>
      <c r="F22" s="71" t="n"/>
      <c r="G22" s="71" t="n"/>
      <c r="H22" s="71" t="n"/>
      <c r="I22" s="71" t="n"/>
      <c r="J22" s="71" t="n"/>
      <c r="K22" s="71" t="n"/>
      <c r="L22" s="71" t="n"/>
      <c r="M22" s="71" t="n"/>
      <c r="N22" s="71" t="n"/>
      <c r="O22" s="79">
        <f>SUM(B22:N22)</f>
        <v/>
      </c>
    </row>
    <row r="23" outlineLevel="2" ht="15" customHeight="1">
      <c r="A23" s="69" t="inlineStr">
        <is>
          <t xml:space="preserve">      Net Service Charge (₹)</t>
        </is>
      </c>
      <c r="B23" s="78">
        <f>IF('Final Calculation Sheet'!$O$4="","",'Final Calculation Sheet'!$O$4)</f>
        <v/>
      </c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9">
        <f>SUM(B23:N23)</f>
        <v/>
      </c>
    </row>
    <row r="24" outlineLevel="2" ht="15" customHeight="1">
      <c r="A24" s="69" t="inlineStr">
        <is>
          <t xml:space="preserve">      Svc Charge to MSTC (₹)</t>
        </is>
      </c>
      <c r="B24" s="70">
        <f>IF('Final Calculation Sheet'!$P$4="","",'Final Calculation Sheet'!$P$4)</f>
        <v/>
      </c>
      <c r="C24" s="71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  <c r="N24" s="71" t="n"/>
      <c r="O24" s="77">
        <f>SUM(B24:N24)</f>
        <v/>
      </c>
    </row>
    <row r="25" outlineLevel="2" ht="15" customHeight="1">
      <c r="A25" s="69" t="inlineStr">
        <is>
          <t xml:space="preserve">      GST TDS Rate</t>
        </is>
      </c>
      <c r="B25" s="80">
        <f>IF('Final Calculation Sheet'!$Q$4="","",'Final Calculation Sheet'!$Q$4)</f>
        <v/>
      </c>
      <c r="C25" s="71" t="n"/>
      <c r="D25" s="71" t="n"/>
      <c r="E25" s="71" t="n"/>
      <c r="F25" s="71" t="n"/>
      <c r="G25" s="71" t="n"/>
      <c r="H25" s="71" t="n"/>
      <c r="I25" s="71" t="n"/>
      <c r="J25" s="71" t="n"/>
      <c r="K25" s="71" t="n"/>
      <c r="L25" s="71" t="n"/>
      <c r="M25" s="71" t="n"/>
      <c r="N25" s="71" t="n"/>
      <c r="O25" s="72" t="inlineStr">
        <is>
          <t>–</t>
        </is>
      </c>
    </row>
    <row r="26" outlineLevel="2" ht="15" customHeight="1">
      <c r="A26" s="69" t="inlineStr">
        <is>
          <t xml:space="preserve">      GST TDS (₹)</t>
        </is>
      </c>
      <c r="B26" s="70">
        <f>IF('Final Calculation Sheet'!$R$4="","",'Final Calculation Sheet'!$R$4)</f>
        <v/>
      </c>
      <c r="C26" s="71" t="n"/>
      <c r="D26" s="71" t="n"/>
      <c r="E26" s="71" t="n"/>
      <c r="F26" s="71" t="n"/>
      <c r="G26" s="71" t="n"/>
      <c r="H26" s="71" t="n"/>
      <c r="I26" s="71" t="n"/>
      <c r="J26" s="71" t="n"/>
      <c r="K26" s="71" t="n"/>
      <c r="L26" s="71" t="n"/>
      <c r="M26" s="71" t="n"/>
      <c r="N26" s="71" t="n"/>
      <c r="O26" s="77">
        <f>SUM(B26:N26)</f>
        <v/>
      </c>
    </row>
    <row r="27" outlineLevel="2" ht="15" customHeight="1">
      <c r="A27" s="69" t="inlineStr">
        <is>
          <t xml:space="preserve">      Total Receivables (₹)</t>
        </is>
      </c>
      <c r="B27" s="70">
        <f>IF('Final Calculation Sheet'!$S$4="","",'Final Calculation Sheet'!$S$4)</f>
        <v/>
      </c>
      <c r="C27" s="71" t="n"/>
      <c r="D27" s="71" t="n"/>
      <c r="E27" s="71" t="n"/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77">
        <f>SUM(B27:N27)</f>
        <v/>
      </c>
    </row>
    <row r="28" outlineLevel="1" ht="16" customHeight="1">
      <c r="A28" s="65" t="inlineStr">
        <is>
          <t xml:space="preserve">  ▸ SECURITY DEPOSIT</t>
        </is>
      </c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</row>
    <row r="29" outlineLevel="2" ht="15" customHeight="1">
      <c r="A29" s="69" t="inlineStr">
        <is>
          <t xml:space="preserve">      SD Expected (₹)</t>
        </is>
      </c>
      <c r="B29" s="70">
        <f>IF('Final Calculation Sheet'!$T$4="","",'Final Calculation Sheet'!$T$4)</f>
        <v/>
      </c>
      <c r="C29" s="71" t="n"/>
      <c r="D29" s="71" t="n"/>
      <c r="E29" s="71" t="n"/>
      <c r="F29" s="71" t="n"/>
      <c r="G29" s="71" t="n"/>
      <c r="H29" s="71" t="n"/>
      <c r="I29" s="71" t="n"/>
      <c r="J29" s="71" t="n"/>
      <c r="K29" s="71" t="n"/>
      <c r="L29" s="71" t="n"/>
      <c r="M29" s="71" t="n"/>
      <c r="N29" s="71" t="n"/>
      <c r="O29" s="77">
        <f>SUM(B29:N29)</f>
        <v/>
      </c>
    </row>
    <row r="30" outlineLevel="2" ht="15" customHeight="1">
      <c r="A30" s="69" t="inlineStr">
        <is>
          <t xml:space="preserve">      SD Received (₹)</t>
        </is>
      </c>
      <c r="B30" s="70">
        <f>IF('Final Calculation Sheet'!$U$4="","",'Final Calculation Sheet'!$U$4)</f>
        <v/>
      </c>
      <c r="C30" s="71" t="n"/>
      <c r="D30" s="71" t="n"/>
      <c r="E30" s="71" t="n"/>
      <c r="F30" s="71" t="n"/>
      <c r="G30" s="71" t="n"/>
      <c r="H30" s="71" t="n"/>
      <c r="I30" s="71" t="n"/>
      <c r="J30" s="71" t="n"/>
      <c r="K30" s="71" t="n"/>
      <c r="L30" s="71" t="n"/>
      <c r="M30" s="71" t="n"/>
      <c r="N30" s="71" t="n"/>
      <c r="O30" s="77">
        <f>SUM(B30:N30)</f>
        <v/>
      </c>
    </row>
    <row r="31" outlineLevel="2" ht="15" customHeight="1">
      <c r="A31" s="69" t="inlineStr">
        <is>
          <t xml:space="preserve">      SD Receipt Date</t>
        </is>
      </c>
      <c r="B31" s="76">
        <f>IF('Final Calculation Sheet'!$V$4="","",'Final Calculation Sheet'!$V$4)</f>
        <v/>
      </c>
      <c r="C31" s="71" t="n"/>
      <c r="D31" s="71" t="n"/>
      <c r="E31" s="71" t="n"/>
      <c r="F31" s="71" t="n"/>
      <c r="G31" s="71" t="n"/>
      <c r="H31" s="71" t="n"/>
      <c r="I31" s="71" t="n"/>
      <c r="J31" s="71" t="n"/>
      <c r="K31" s="71" t="n"/>
      <c r="L31" s="71" t="n"/>
      <c r="M31" s="71" t="n"/>
      <c r="N31" s="71" t="n"/>
      <c r="O31" s="72" t="inlineStr">
        <is>
          <t>–</t>
        </is>
      </c>
    </row>
    <row r="32" outlineLevel="1" ht="16" customHeight="1">
      <c r="A32" s="65" t="inlineStr">
        <is>
          <t xml:space="preserve">  ▸ FINAL PAYMENT</t>
        </is>
      </c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</row>
    <row r="33" outlineLevel="2" ht="15" customHeight="1">
      <c r="A33" s="69" t="inlineStr">
        <is>
          <t xml:space="preserve">      FP Expected (₹)</t>
        </is>
      </c>
      <c r="B33" s="70">
        <f>IF('Final Calculation Sheet'!$W$4="","",'Final Calculation Sheet'!$W$4)</f>
        <v/>
      </c>
      <c r="C33" s="71" t="n"/>
      <c r="D33" s="71" t="n"/>
      <c r="E33" s="71" t="n"/>
      <c r="F33" s="71" t="n"/>
      <c r="G33" s="71" t="n"/>
      <c r="H33" s="71" t="n"/>
      <c r="I33" s="71" t="n"/>
      <c r="J33" s="71" t="n"/>
      <c r="K33" s="71" t="n"/>
      <c r="L33" s="71" t="n"/>
      <c r="M33" s="71" t="n"/>
      <c r="N33" s="71" t="n"/>
      <c r="O33" s="77">
        <f>SUM(B33:N33)</f>
        <v/>
      </c>
    </row>
    <row r="34" outlineLevel="2" ht="15" customHeight="1">
      <c r="A34" s="69" t="inlineStr">
        <is>
          <t xml:space="preserve">      FP Received (₹)</t>
        </is>
      </c>
      <c r="B34" s="70">
        <f>IF('Final Calculation Sheet'!$X$4="","",'Final Calculation Sheet'!$X$4)</f>
        <v/>
      </c>
      <c r="C34" s="71" t="n"/>
      <c r="D34" s="71" t="n"/>
      <c r="E34" s="71" t="n"/>
      <c r="F34" s="71" t="n"/>
      <c r="G34" s="71" t="n"/>
      <c r="H34" s="71" t="n"/>
      <c r="I34" s="71" t="n"/>
      <c r="J34" s="71" t="n"/>
      <c r="K34" s="71" t="n"/>
      <c r="L34" s="71" t="n"/>
      <c r="M34" s="71" t="n"/>
      <c r="N34" s="71" t="n"/>
      <c r="O34" s="77">
        <f>SUM(B34:N34)</f>
        <v/>
      </c>
    </row>
    <row r="35" outlineLevel="2" ht="15" customHeight="1">
      <c r="A35" s="69" t="inlineStr">
        <is>
          <t xml:space="preserve">      FP Receipt Date</t>
        </is>
      </c>
      <c r="B35" s="76">
        <f>IF('Final Calculation Sheet'!$Y$4="","",'Final Calculation Sheet'!$Y$4)</f>
        <v/>
      </c>
      <c r="C35" s="71" t="n"/>
      <c r="D35" s="71" t="n"/>
      <c r="E35" s="71" t="n"/>
      <c r="F35" s="71" t="n"/>
      <c r="G35" s="71" t="n"/>
      <c r="H35" s="71" t="n"/>
      <c r="I35" s="71" t="n"/>
      <c r="J35" s="71" t="n"/>
      <c r="K35" s="71" t="n"/>
      <c r="L35" s="71" t="n"/>
      <c r="M35" s="71" t="n"/>
      <c r="N35" s="71" t="n"/>
      <c r="O35" s="72" t="inlineStr">
        <is>
          <t>–</t>
        </is>
      </c>
    </row>
    <row r="36" outlineLevel="1" ht="16" customHeight="1">
      <c r="A36" s="65" t="inlineStr">
        <is>
          <t xml:space="preserve">  ▸ LPP</t>
        </is>
      </c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</row>
    <row r="37" outlineLevel="2" ht="15" customHeight="1">
      <c r="A37" s="69" t="inlineStr">
        <is>
          <t xml:space="preserve">      LPP Expected (₹)</t>
        </is>
      </c>
      <c r="B37" s="70">
        <f>IF('Final Calculation Sheet'!$Z$4="","",'Final Calculation Sheet'!$Z$4)</f>
        <v/>
      </c>
      <c r="C37" s="71" t="n"/>
      <c r="D37" s="71" t="n"/>
      <c r="E37" s="71" t="n"/>
      <c r="F37" s="71" t="n"/>
      <c r="G37" s="71" t="n"/>
      <c r="H37" s="71" t="n"/>
      <c r="I37" s="71" t="n"/>
      <c r="J37" s="71" t="n"/>
      <c r="K37" s="71" t="n"/>
      <c r="L37" s="71" t="n"/>
      <c r="M37" s="71" t="n"/>
      <c r="N37" s="71" t="n"/>
      <c r="O37" s="77">
        <f>SUM(B37:N37)</f>
        <v/>
      </c>
    </row>
    <row r="38" outlineLevel="2" ht="15" customHeight="1">
      <c r="A38" s="69" t="inlineStr">
        <is>
          <t xml:space="preserve">      LPP Received (₹)</t>
        </is>
      </c>
      <c r="B38" s="70">
        <f>IF('Final Calculation Sheet'!$AA$4="","",'Final Calculation Sheet'!$AA$4)</f>
        <v/>
      </c>
      <c r="C38" s="71" t="n"/>
      <c r="D38" s="71" t="n"/>
      <c r="E38" s="71" t="n"/>
      <c r="F38" s="71" t="n"/>
      <c r="G38" s="71" t="n"/>
      <c r="H38" s="71" t="n"/>
      <c r="I38" s="71" t="n"/>
      <c r="J38" s="71" t="n"/>
      <c r="K38" s="71" t="n"/>
      <c r="L38" s="71" t="n"/>
      <c r="M38" s="71" t="n"/>
      <c r="N38" s="71" t="n"/>
      <c r="O38" s="77">
        <f>SUM(B38:N38)</f>
        <v/>
      </c>
    </row>
    <row r="39" outlineLevel="2" ht="15" customHeight="1">
      <c r="A39" s="69" t="inlineStr">
        <is>
          <t xml:space="preserve">      LPP Receipt Date</t>
        </is>
      </c>
      <c r="B39" s="76">
        <f>IF('Final Calculation Sheet'!$AB$4="","",'Final Calculation Sheet'!$AB$4)</f>
        <v/>
      </c>
      <c r="C39" s="71" t="n"/>
      <c r="D39" s="71" t="n"/>
      <c r="E39" s="71" t="n"/>
      <c r="F39" s="71" t="n"/>
      <c r="G39" s="71" t="n"/>
      <c r="H39" s="71" t="n"/>
      <c r="I39" s="71" t="n"/>
      <c r="J39" s="71" t="n"/>
      <c r="K39" s="71" t="n"/>
      <c r="L39" s="71" t="n"/>
      <c r="M39" s="71" t="n"/>
      <c r="N39" s="71" t="n"/>
      <c r="O39" s="72" t="inlineStr">
        <is>
          <t>–</t>
        </is>
      </c>
    </row>
    <row r="40" outlineLevel="1" ht="16" customHeight="1">
      <c r="A40" s="65" t="inlineStr">
        <is>
          <t xml:space="preserve">  ▸ SUMMARY</t>
        </is>
      </c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</row>
    <row r="41" outlineLevel="2" ht="15" customHeight="1">
      <c r="A41" s="69" t="inlineStr">
        <is>
          <t xml:space="preserve">      Total Received (₹)</t>
        </is>
      </c>
      <c r="B41" s="70">
        <f>IF('Final Calculation Sheet'!$AC$4="","",'Final Calculation Sheet'!$AC$4)</f>
        <v/>
      </c>
      <c r="C41" s="71" t="n"/>
      <c r="D41" s="71" t="n"/>
      <c r="E41" s="71" t="n"/>
      <c r="F41" s="71" t="n"/>
      <c r="G41" s="71" t="n"/>
      <c r="H41" s="71" t="n"/>
      <c r="I41" s="71" t="n"/>
      <c r="J41" s="71" t="n"/>
      <c r="K41" s="71" t="n"/>
      <c r="L41" s="71" t="n"/>
      <c r="M41" s="71" t="n"/>
      <c r="N41" s="71" t="n"/>
      <c r="O41" s="77">
        <f>SUM(B41:N41)</f>
        <v/>
      </c>
    </row>
    <row r="42" outlineLevel="2" ht="15" customHeight="1">
      <c r="A42" s="69" t="inlineStr">
        <is>
          <t xml:space="preserve">      Outstanding (₹)</t>
        </is>
      </c>
      <c r="B42" s="70">
        <f>IF('Final Calculation Sheet'!$AD$4="","",'Final Calculation Sheet'!$AD$4)</f>
        <v/>
      </c>
      <c r="C42" s="71" t="n"/>
      <c r="D42" s="71" t="n"/>
      <c r="E42" s="71" t="n"/>
      <c r="F42" s="71" t="n"/>
      <c r="G42" s="71" t="n"/>
      <c r="H42" s="71" t="n"/>
      <c r="I42" s="71" t="n"/>
      <c r="J42" s="71" t="n"/>
      <c r="K42" s="71" t="n"/>
      <c r="L42" s="71" t="n"/>
      <c r="M42" s="71" t="n"/>
      <c r="N42" s="71" t="n"/>
      <c r="O42" s="77">
        <f>SUM(B42:N42)</f>
        <v/>
      </c>
    </row>
    <row r="43" outlineLevel="2" ht="15" customHeight="1">
      <c r="A43" s="69" t="inlineStr">
        <is>
          <t xml:space="preserve">      Payment Status</t>
        </is>
      </c>
      <c r="B43" s="81">
        <f>IF('Final Calculation Sheet'!$AD$4="","",IF('Final Calculation Sheet'!$AD$4&lt;=0,"SETTLED","OUTSTANDING"))</f>
        <v/>
      </c>
      <c r="C43" s="71" t="n"/>
      <c r="D43" s="71" t="n"/>
      <c r="E43" s="71" t="n"/>
      <c r="F43" s="71" t="n"/>
      <c r="G43" s="71" t="n"/>
      <c r="H43" s="71" t="n"/>
      <c r="I43" s="71" t="n"/>
      <c r="J43" s="71" t="n"/>
      <c r="K43" s="71" t="n"/>
      <c r="L43" s="71" t="n"/>
      <c r="M43" s="71" t="n"/>
      <c r="N43" s="71" t="n"/>
      <c r="O43" s="72" t="inlineStr">
        <is>
          <t>–</t>
        </is>
      </c>
    </row>
    <row r="44" outlineLevel="1" ht="16" customHeight="1">
      <c r="A44" s="65" t="inlineStr">
        <is>
          <t xml:space="preserve">  ▸ DOCUMENT</t>
        </is>
      </c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</row>
    <row r="45" outlineLevel="2" ht="15" customHeight="1">
      <c r="A45" s="69" t="inlineStr">
        <is>
          <t xml:space="preserve">      Invoice No.</t>
        </is>
      </c>
      <c r="B45" s="76">
        <f>IF('Final Calculation Sheet'!$AE$4="","",'Final Calculation Sheet'!$AE$4)</f>
        <v/>
      </c>
      <c r="C45" s="71" t="n"/>
      <c r="D45" s="71" t="n"/>
      <c r="E45" s="71" t="n"/>
      <c r="F45" s="71" t="n"/>
      <c r="G45" s="71" t="n"/>
      <c r="H45" s="71" t="n"/>
      <c r="I45" s="71" t="n"/>
      <c r="J45" s="71" t="n"/>
      <c r="K45" s="71" t="n"/>
      <c r="L45" s="71" t="n"/>
      <c r="M45" s="71" t="n"/>
      <c r="N45" s="71" t="n"/>
      <c r="O45" s="72" t="inlineStr">
        <is>
          <t>–</t>
        </is>
      </c>
    </row>
    <row r="46" outlineLevel="2" ht="15" customHeight="1">
      <c r="A46" s="69" t="inlineStr">
        <is>
          <t xml:space="preserve">      SAP Document</t>
        </is>
      </c>
      <c r="B46" s="70">
        <f>IF('Final Calculation Sheet'!$AF$4="","",'Final Calculation Sheet'!$AF$4)</f>
        <v/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2" t="inlineStr">
        <is>
          <t>–</t>
        </is>
      </c>
    </row>
    <row r="47" outlineLevel="2" ht="15" customHeight="1">
      <c r="A47" s="69" t="inlineStr">
        <is>
          <t xml:space="preserve">      Doc./Invoice Date</t>
        </is>
      </c>
      <c r="B47" s="76">
        <f>IF('Final Calculation Sheet'!$AG$4="","",'Final Calculation Sheet'!$AG$4)</f>
        <v/>
      </c>
      <c r="C47" s="71" t="n"/>
      <c r="D47" s="71" t="n"/>
      <c r="E47" s="71" t="n"/>
      <c r="F47" s="71" t="n"/>
      <c r="G47" s="71" t="n"/>
      <c r="H47" s="71" t="n"/>
      <c r="I47" s="71" t="n"/>
      <c r="J47" s="71" t="n"/>
      <c r="K47" s="71" t="n"/>
      <c r="L47" s="71" t="n"/>
      <c r="M47" s="71" t="n"/>
      <c r="N47" s="71" t="n"/>
      <c r="O47" s="72" t="inlineStr">
        <is>
          <t>–</t>
        </is>
      </c>
    </row>
    <row r="48" ht="7" customHeight="1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4" customHeight="1">
      <c r="A4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</row>
    <row r="50" outlineLevel="1" ht="18" customHeight="1">
      <c r="A50" s="84" t="inlineStr">
        <is>
          <t xml:space="preserve">   Lot No. →</t>
        </is>
      </c>
      <c r="B50" s="85">
        <f>IF('Final Calculation Sheet'!$F$6="","",'Final Calculation Sheet'!$F$6)</f>
        <v/>
      </c>
      <c r="C50" s="85">
        <f>IF('Final Calculation Sheet'!$F$7="","",'Final Calculation Sheet'!$F$7)</f>
        <v/>
      </c>
      <c r="D50" s="86" t="n"/>
      <c r="E50" s="86" t="n"/>
      <c r="F50" s="86" t="n"/>
      <c r="G50" s="86" t="n"/>
      <c r="H50" s="86" t="n"/>
      <c r="I50" s="86" t="n"/>
      <c r="J50" s="86" t="n"/>
      <c r="K50" s="86" t="n"/>
      <c r="L50" s="86" t="n"/>
      <c r="M50" s="86" t="n"/>
      <c r="N50" s="86" t="n"/>
      <c r="O50" s="87" t="inlineStr">
        <is>
          <t>TOTAL</t>
        </is>
      </c>
    </row>
    <row r="51" outlineLevel="1" ht="16" customHeight="1">
      <c r="A51" s="84" t="inlineStr">
        <is>
          <t xml:space="preserve">  ▸ LOT INFORMATION</t>
        </is>
      </c>
      <c r="B51" s="86" t="n"/>
      <c r="C51" s="86" t="n"/>
      <c r="D51" s="86" t="n"/>
      <c r="E51" s="86" t="n"/>
      <c r="F51" s="86" t="n"/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/>
    </row>
    <row r="52" outlineLevel="2" ht="15" customHeight="1">
      <c r="A52" s="69" t="inlineStr">
        <is>
          <t xml:space="preserve">      Lot No.</t>
        </is>
      </c>
      <c r="B52" s="70">
        <f>IF('Final Calculation Sheet'!$F$6="","",'Final Calculation Sheet'!$F$6)</f>
        <v/>
      </c>
      <c r="C52" s="88">
        <f>IF('Final Calculation Sheet'!$F$7="","",'Final Calculation Sheet'!$F$7)</f>
        <v/>
      </c>
      <c r="D52" s="71" t="n"/>
      <c r="E52" s="71" t="n"/>
      <c r="F52" s="71" t="n"/>
      <c r="G52" s="71" t="n"/>
      <c r="H52" s="71" t="n"/>
      <c r="I52" s="71" t="n"/>
      <c r="J52" s="71" t="n"/>
      <c r="K52" s="71" t="n"/>
      <c r="L52" s="71" t="n"/>
      <c r="M52" s="71" t="n"/>
      <c r="N52" s="71" t="n"/>
      <c r="O52" s="89" t="inlineStr">
        <is>
          <t>–</t>
        </is>
      </c>
    </row>
    <row r="53" outlineLevel="2" ht="60" customHeight="1">
      <c r="A53" s="69" t="inlineStr">
        <is>
          <t xml:space="preserve">      Lot Name</t>
        </is>
      </c>
      <c r="B53" s="73">
        <f>IF('Final Calculation Sheet'!$B$6="","",'Final Calculation Sheet'!$B$6)</f>
        <v/>
      </c>
      <c r="C53" s="90">
        <f>IF('Final Calculation Sheet'!$B$7="","",'Final Calculation Sheet'!$B$7)</f>
        <v/>
      </c>
      <c r="D53" s="71" t="n"/>
      <c r="E53" s="71" t="n"/>
      <c r="F53" s="71" t="n"/>
      <c r="G53" s="71" t="n"/>
      <c r="H53" s="71" t="n"/>
      <c r="I53" s="71" t="n"/>
      <c r="J53" s="71" t="n"/>
      <c r="K53" s="71" t="n"/>
      <c r="L53" s="71" t="n"/>
      <c r="M53" s="71" t="n"/>
      <c r="N53" s="71" t="n"/>
      <c r="O53" s="89" t="inlineStr">
        <is>
          <t>–</t>
        </is>
      </c>
    </row>
    <row r="54" outlineLevel="2" ht="15" customHeight="1">
      <c r="A54" s="69" t="inlineStr">
        <is>
          <t xml:space="preserve">      Bid Sheet / Auction</t>
        </is>
      </c>
      <c r="B54" s="70">
        <f>IF('Final Calculation Sheet'!$D$6="","",'Final Calculation Sheet'!$D$6)</f>
        <v/>
      </c>
      <c r="C54" s="88">
        <f>IF('Final Calculation Sheet'!$D$7="","",'Final Calculation Sheet'!$D$7)</f>
        <v/>
      </c>
      <c r="D54" s="71" t="n"/>
      <c r="E54" s="71" t="n"/>
      <c r="F54" s="71" t="n"/>
      <c r="G54" s="71" t="n"/>
      <c r="H54" s="71" t="n"/>
      <c r="I54" s="71" t="n"/>
      <c r="J54" s="71" t="n"/>
      <c r="K54" s="71" t="n"/>
      <c r="L54" s="71" t="n"/>
      <c r="M54" s="71" t="n"/>
      <c r="N54" s="71" t="n"/>
      <c r="O54" s="89" t="inlineStr">
        <is>
          <t>–</t>
        </is>
      </c>
    </row>
    <row r="55" outlineLevel="2" ht="15" customHeight="1">
      <c r="A55" s="69" t="inlineStr">
        <is>
          <t xml:space="preserve">      Quantity</t>
        </is>
      </c>
      <c r="B55" s="74">
        <f>IF('Final Calculation Sheet'!$A$6="","",'Final Calculation Sheet'!$A$6)</f>
        <v/>
      </c>
      <c r="C55" s="91">
        <f>IF('Final Calculation Sheet'!$A$7="","",'Final Calculation Sheet'!$A$7)</f>
        <v/>
      </c>
      <c r="D55" s="71" t="n"/>
      <c r="E55" s="71" t="n"/>
      <c r="F55" s="71" t="n"/>
      <c r="G55" s="71" t="n"/>
      <c r="H55" s="71" t="n"/>
      <c r="I55" s="71" t="n"/>
      <c r="J55" s="71" t="n"/>
      <c r="K55" s="71" t="n"/>
      <c r="L55" s="71" t="n"/>
      <c r="M55" s="71" t="n"/>
      <c r="N55" s="71" t="n"/>
      <c r="O55" s="92">
        <f>SUM(B55:N55)</f>
        <v/>
      </c>
    </row>
    <row r="56" outlineLevel="2" ht="15" customHeight="1">
      <c r="A56" s="69" t="inlineStr">
        <is>
          <t xml:space="preserve">      Unit</t>
        </is>
      </c>
      <c r="B56" s="76">
        <f>IF('Final Calculation Sheet'!$E$6="","",'Final Calculation Sheet'!$E$6)</f>
        <v/>
      </c>
      <c r="C56" s="93">
        <f>IF('Final Calculation Sheet'!$E$7="","",'Final Calculation Sheet'!$E$7)</f>
        <v/>
      </c>
      <c r="D56" s="71" t="n"/>
      <c r="E56" s="71" t="n"/>
      <c r="F56" s="71" t="n"/>
      <c r="G56" s="71" t="n"/>
      <c r="H56" s="71" t="n"/>
      <c r="I56" s="71" t="n"/>
      <c r="J56" s="71" t="n"/>
      <c r="K56" s="71" t="n"/>
      <c r="L56" s="71" t="n"/>
      <c r="M56" s="71" t="n"/>
      <c r="N56" s="71" t="n"/>
      <c r="O56" s="89" t="inlineStr">
        <is>
          <t>–</t>
        </is>
      </c>
    </row>
    <row r="57" outlineLevel="2" ht="15" customHeight="1">
      <c r="A57" s="69" t="inlineStr">
        <is>
          <t xml:space="preserve">      Rate (₹)</t>
        </is>
      </c>
      <c r="B57" s="70">
        <f>IF('Final Calculation Sheet'!$C$6="","",'Final Calculation Sheet'!$C$6)</f>
        <v/>
      </c>
      <c r="C57" s="88">
        <f>IF('Final Calculation Sheet'!$C$7="","",'Final Calculation Sheet'!$C$7)</f>
        <v/>
      </c>
      <c r="D57" s="71" t="n"/>
      <c r="E57" s="71" t="n"/>
      <c r="F57" s="71" t="n"/>
      <c r="G57" s="71" t="n"/>
      <c r="H57" s="71" t="n"/>
      <c r="I57" s="71" t="n"/>
      <c r="J57" s="71" t="n"/>
      <c r="K57" s="71" t="n"/>
      <c r="L57" s="71" t="n"/>
      <c r="M57" s="71" t="n"/>
      <c r="N57" s="71" t="n"/>
      <c r="O57" s="89" t="inlineStr">
        <is>
          <t>–</t>
        </is>
      </c>
    </row>
    <row r="58" outlineLevel="1" ht="16" customHeight="1">
      <c r="A58" s="84" t="inlineStr">
        <is>
          <t xml:space="preserve">  ▸ FINANCIALS</t>
        </is>
      </c>
      <c r="B58" s="86" t="n"/>
      <c r="C58" s="86" t="n"/>
      <c r="D58" s="86" t="n"/>
      <c r="E58" s="86" t="n"/>
      <c r="F58" s="86" t="n"/>
      <c r="G58" s="86" t="n"/>
      <c r="H58" s="86" t="n"/>
      <c r="I58" s="86" t="n"/>
      <c r="J58" s="86" t="n"/>
      <c r="K58" s="86" t="n"/>
      <c r="L58" s="86" t="n"/>
      <c r="M58" s="86" t="n"/>
      <c r="N58" s="86" t="n"/>
      <c r="O58" s="86" t="n"/>
    </row>
    <row r="59" outlineLevel="2" ht="15" customHeight="1">
      <c r="A59" s="69" t="inlineStr">
        <is>
          <t xml:space="preserve">      Mat. Value (₹)</t>
        </is>
      </c>
      <c r="B59" s="70">
        <f>IF('Final Calculation Sheet'!$H$6="","",'Final Calculation Sheet'!$H$6)</f>
        <v/>
      </c>
      <c r="C59" s="88">
        <f>IF('Final Calculation Sheet'!$H$7="","",'Final Calculation Sheet'!$H$7)</f>
        <v/>
      </c>
      <c r="D59" s="71" t="n"/>
      <c r="E59" s="71" t="n"/>
      <c r="F59" s="71" t="n"/>
      <c r="G59" s="71" t="n"/>
      <c r="H59" s="71" t="n"/>
      <c r="I59" s="71" t="n"/>
      <c r="J59" s="71" t="n"/>
      <c r="K59" s="71" t="n"/>
      <c r="L59" s="71" t="n"/>
      <c r="M59" s="71" t="n"/>
      <c r="N59" s="71" t="n"/>
      <c r="O59" s="94">
        <f>SUM(B59:N59)</f>
        <v/>
      </c>
    </row>
    <row r="60" outlineLevel="2" ht="15" customHeight="1">
      <c r="A60" s="69" t="inlineStr">
        <is>
          <t xml:space="preserve">      GST @ 18% (₹)</t>
        </is>
      </c>
      <c r="B60" s="70">
        <f>IF('Final Calculation Sheet'!$I$6="","",'Final Calculation Sheet'!$I$6)</f>
        <v/>
      </c>
      <c r="C60" s="88">
        <f>IF('Final Calculation Sheet'!$I$7="","",'Final Calculation Sheet'!$I$7)</f>
        <v/>
      </c>
      <c r="D60" s="71" t="n"/>
      <c r="E60" s="71" t="n"/>
      <c r="F60" s="71" t="n"/>
      <c r="G60" s="71" t="n"/>
      <c r="H60" s="71" t="n"/>
      <c r="I60" s="71" t="n"/>
      <c r="J60" s="71" t="n"/>
      <c r="K60" s="71" t="n"/>
      <c r="L60" s="71" t="n"/>
      <c r="M60" s="71" t="n"/>
      <c r="N60" s="71" t="n"/>
      <c r="O60" s="94">
        <f>SUM(B60:N60)</f>
        <v/>
      </c>
    </row>
    <row r="61" outlineLevel="2" ht="15" customHeight="1">
      <c r="A61" s="69" t="inlineStr">
        <is>
          <t xml:space="preserve">      Mat. Value + GST (₹)</t>
        </is>
      </c>
      <c r="B61" s="70">
        <f>IF('Final Calculation Sheet'!$J$6="","",'Final Calculation Sheet'!$J$6)</f>
        <v/>
      </c>
      <c r="C61" s="88">
        <f>IF('Final Calculation Sheet'!$J$7="","",'Final Calculation Sheet'!$J$7)</f>
        <v/>
      </c>
      <c r="D61" s="71" t="n"/>
      <c r="E61" s="71" t="n"/>
      <c r="F61" s="71" t="n"/>
      <c r="G61" s="71" t="n"/>
      <c r="H61" s="71" t="n"/>
      <c r="I61" s="71" t="n"/>
      <c r="J61" s="71" t="n"/>
      <c r="K61" s="71" t="n"/>
      <c r="L61" s="71" t="n"/>
      <c r="M61" s="71" t="n"/>
      <c r="N61" s="71" t="n"/>
      <c r="O61" s="94">
        <f>SUM(B61:N61)</f>
        <v/>
      </c>
    </row>
    <row r="62" outlineLevel="2" ht="15" customHeight="1">
      <c r="A62" s="69" t="inlineStr">
        <is>
          <t xml:space="preserve">      TCS @ 2% (₹)</t>
        </is>
      </c>
      <c r="B62" s="70">
        <f>IF('Final Calculation Sheet'!$K$6="","",'Final Calculation Sheet'!$K$6)</f>
        <v/>
      </c>
      <c r="C62" s="88">
        <f>IF('Final Calculation Sheet'!$K$7="","",'Final Calculation Sheet'!$K$7)</f>
        <v/>
      </c>
      <c r="D62" s="71" t="n"/>
      <c r="E62" s="71" t="n"/>
      <c r="F62" s="71" t="n"/>
      <c r="G62" s="71" t="n"/>
      <c r="H62" s="71" t="n"/>
      <c r="I62" s="71" t="n"/>
      <c r="J62" s="71" t="n"/>
      <c r="K62" s="71" t="n"/>
      <c r="L62" s="71" t="n"/>
      <c r="M62" s="71" t="n"/>
      <c r="N62" s="71" t="n"/>
      <c r="O62" s="94">
        <f>SUM(B62:N62)</f>
        <v/>
      </c>
    </row>
    <row r="63" outlineLevel="2" ht="15" customHeight="1">
      <c r="A63" s="69" t="inlineStr">
        <is>
          <t xml:space="preserve">      TDS u/s 194(O) (₹)</t>
        </is>
      </c>
      <c r="B63" s="78">
        <f>IF('Final Calculation Sheet'!$L$6="","",'Final Calculation Sheet'!$L$6)</f>
        <v/>
      </c>
      <c r="C63" s="95">
        <f>IF('Final Calculation Sheet'!$L$7="","",'Final Calculation Sheet'!$L$7)</f>
        <v/>
      </c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96">
        <f>SUM(B63:N63)</f>
        <v/>
      </c>
    </row>
    <row r="64" outlineLevel="2" ht="15" customHeight="1">
      <c r="A64" s="69" t="inlineStr">
        <is>
          <t xml:space="preserve">      Service Charge gross (₹)</t>
        </is>
      </c>
      <c r="B64" s="78">
        <f>IF('Final Calculation Sheet'!$M$6="","",'Final Calculation Sheet'!$M$6)</f>
        <v/>
      </c>
      <c r="C64" s="95">
        <f>IF('Final Calculation Sheet'!$M$7="","",'Final Calculation Sheet'!$M$7)</f>
        <v/>
      </c>
      <c r="D64" s="71" t="n"/>
      <c r="E64" s="71" t="n"/>
      <c r="F64" s="71" t="n"/>
      <c r="G64" s="71" t="n"/>
      <c r="H64" s="71" t="n"/>
      <c r="I64" s="71" t="n"/>
      <c r="J64" s="71" t="n"/>
      <c r="K64" s="71" t="n"/>
      <c r="L64" s="71" t="n"/>
      <c r="M64" s="71" t="n"/>
      <c r="N64" s="71" t="n"/>
      <c r="O64" s="96">
        <f>SUM(B64:N64)</f>
        <v/>
      </c>
    </row>
    <row r="65" outlineLevel="2" ht="15" customHeight="1">
      <c r="A65" s="69" t="inlineStr">
        <is>
          <t xml:space="preserve">      TDS u/s 194(H) (₹)</t>
        </is>
      </c>
      <c r="B65" s="78">
        <f>IF('Final Calculation Sheet'!$N$6="","",'Final Calculation Sheet'!$N$6)</f>
        <v/>
      </c>
      <c r="C65" s="95">
        <f>IF('Final Calculation Sheet'!$N$7="","",'Final Calculation Sheet'!$N$7)</f>
        <v/>
      </c>
      <c r="D65" s="71" t="n"/>
      <c r="E65" s="71" t="n"/>
      <c r="F65" s="71" t="n"/>
      <c r="G65" s="71" t="n"/>
      <c r="H65" s="71" t="n"/>
      <c r="I65" s="71" t="n"/>
      <c r="J65" s="71" t="n"/>
      <c r="K65" s="71" t="n"/>
      <c r="L65" s="71" t="n"/>
      <c r="M65" s="71" t="n"/>
      <c r="N65" s="71" t="n"/>
      <c r="O65" s="96">
        <f>SUM(B65:N65)</f>
        <v/>
      </c>
    </row>
    <row r="66" outlineLevel="2" ht="15" customHeight="1">
      <c r="A66" s="69" t="inlineStr">
        <is>
          <t xml:space="preserve">      Net Service Charge (₹)</t>
        </is>
      </c>
      <c r="B66" s="78">
        <f>IF('Final Calculation Sheet'!$O$6="","",'Final Calculation Sheet'!$O$6)</f>
        <v/>
      </c>
      <c r="C66" s="95">
        <f>IF('Final Calculation Sheet'!$O$7="","",'Final Calculation Sheet'!$O$7)</f>
        <v/>
      </c>
      <c r="D66" s="71" t="n"/>
      <c r="E66" s="71" t="n"/>
      <c r="F66" s="71" t="n"/>
      <c r="G66" s="71" t="n"/>
      <c r="H66" s="71" t="n"/>
      <c r="I66" s="71" t="n"/>
      <c r="J66" s="71" t="n"/>
      <c r="K66" s="71" t="n"/>
      <c r="L66" s="71" t="n"/>
      <c r="M66" s="71" t="n"/>
      <c r="N66" s="71" t="n"/>
      <c r="O66" s="96">
        <f>SUM(B66:N66)</f>
        <v/>
      </c>
    </row>
    <row r="67" outlineLevel="2" ht="15" customHeight="1">
      <c r="A67" s="69" t="inlineStr">
        <is>
          <t xml:space="preserve">      Svc Charge to MSTC (₹)</t>
        </is>
      </c>
      <c r="B67" s="70">
        <f>IF('Final Calculation Sheet'!$P$6="","",'Final Calculation Sheet'!$P$6)</f>
        <v/>
      </c>
      <c r="C67" s="88">
        <f>IF('Final Calculation Sheet'!$P$7="","",'Final Calculation Sheet'!$P$7)</f>
        <v/>
      </c>
      <c r="D67" s="71" t="n"/>
      <c r="E67" s="71" t="n"/>
      <c r="F67" s="71" t="n"/>
      <c r="G67" s="71" t="n"/>
      <c r="H67" s="71" t="n"/>
      <c r="I67" s="71" t="n"/>
      <c r="J67" s="71" t="n"/>
      <c r="K67" s="71" t="n"/>
      <c r="L67" s="71" t="n"/>
      <c r="M67" s="71" t="n"/>
      <c r="N67" s="71" t="n"/>
      <c r="O67" s="94">
        <f>SUM(B67:N67)</f>
        <v/>
      </c>
    </row>
    <row r="68" outlineLevel="2" ht="15" customHeight="1">
      <c r="A68" s="69" t="inlineStr">
        <is>
          <t xml:space="preserve">      GST TDS Rate</t>
        </is>
      </c>
      <c r="B68" s="80">
        <f>IF('Final Calculation Sheet'!$Q$6="","",'Final Calculation Sheet'!$Q$6)</f>
        <v/>
      </c>
      <c r="C68" s="97">
        <f>IF('Final Calculation Sheet'!$Q$7="","",'Final Calculation Sheet'!$Q$7)</f>
        <v/>
      </c>
      <c r="D68" s="71" t="n"/>
      <c r="E68" s="71" t="n"/>
      <c r="F68" s="71" t="n"/>
      <c r="G68" s="71" t="n"/>
      <c r="H68" s="71" t="n"/>
      <c r="I68" s="71" t="n"/>
      <c r="J68" s="71" t="n"/>
      <c r="K68" s="71" t="n"/>
      <c r="L68" s="71" t="n"/>
      <c r="M68" s="71" t="n"/>
      <c r="N68" s="71" t="n"/>
      <c r="O68" s="89" t="inlineStr">
        <is>
          <t>–</t>
        </is>
      </c>
    </row>
    <row r="69" outlineLevel="2" ht="15" customHeight="1">
      <c r="A69" s="69" t="inlineStr">
        <is>
          <t xml:space="preserve">      GST TDS (₹)</t>
        </is>
      </c>
      <c r="B69" s="70">
        <f>IF('Final Calculation Sheet'!$R$6="","",'Final Calculation Sheet'!$R$6)</f>
        <v/>
      </c>
      <c r="C69" s="88">
        <f>IF('Final Calculation Sheet'!$R$7="","",'Final Calculation Sheet'!$R$7)</f>
        <v/>
      </c>
      <c r="D69" s="71" t="n"/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94">
        <f>SUM(B69:N69)</f>
        <v/>
      </c>
    </row>
    <row r="70" outlineLevel="2" ht="15" customHeight="1">
      <c r="A70" s="69" t="inlineStr">
        <is>
          <t xml:space="preserve">      Total Receivables (₹)</t>
        </is>
      </c>
      <c r="B70" s="70">
        <f>IF('Final Calculation Sheet'!$S$6="","",'Final Calculation Sheet'!$S$6)</f>
        <v/>
      </c>
      <c r="C70" s="88">
        <f>IF('Final Calculation Sheet'!$S$7="","",'Final Calculation Sheet'!$S$7)</f>
        <v/>
      </c>
      <c r="D70" s="71" t="n"/>
      <c r="E70" s="71" t="n"/>
      <c r="F70" s="71" t="n"/>
      <c r="G70" s="71" t="n"/>
      <c r="H70" s="71" t="n"/>
      <c r="I70" s="71" t="n"/>
      <c r="J70" s="71" t="n"/>
      <c r="K70" s="71" t="n"/>
      <c r="L70" s="71" t="n"/>
      <c r="M70" s="71" t="n"/>
      <c r="N70" s="71" t="n"/>
      <c r="O70" s="94">
        <f>SUM(B70:N70)</f>
        <v/>
      </c>
    </row>
    <row r="71" outlineLevel="1" ht="16" customHeight="1">
      <c r="A71" s="84" t="inlineStr">
        <is>
          <t xml:space="preserve">  ▸ SECURITY DEPOSIT</t>
        </is>
      </c>
      <c r="B71" s="86" t="n"/>
      <c r="C71" s="86" t="n"/>
      <c r="D71" s="86" t="n"/>
      <c r="E71" s="86" t="n"/>
      <c r="F71" s="86" t="n"/>
      <c r="G71" s="86" t="n"/>
      <c r="H71" s="86" t="n"/>
      <c r="I71" s="86" t="n"/>
      <c r="J71" s="86" t="n"/>
      <c r="K71" s="86" t="n"/>
      <c r="L71" s="86" t="n"/>
      <c r="M71" s="86" t="n"/>
      <c r="N71" s="86" t="n"/>
      <c r="O71" s="86" t="n"/>
    </row>
    <row r="72" outlineLevel="2" ht="15" customHeight="1">
      <c r="A72" s="69" t="inlineStr">
        <is>
          <t xml:space="preserve">      SD Expected (₹)</t>
        </is>
      </c>
      <c r="B72" s="70">
        <f>IF('Final Calculation Sheet'!$T$6="","",'Final Calculation Sheet'!$T$6)</f>
        <v/>
      </c>
      <c r="C72" s="88">
        <f>IF('Final Calculation Sheet'!$T$7="","",'Final Calculation Sheet'!$T$7)</f>
        <v/>
      </c>
      <c r="D72" s="71" t="n"/>
      <c r="E72" s="71" t="n"/>
      <c r="F72" s="71" t="n"/>
      <c r="G72" s="71" t="n"/>
      <c r="H72" s="71" t="n"/>
      <c r="I72" s="71" t="n"/>
      <c r="J72" s="71" t="n"/>
      <c r="K72" s="71" t="n"/>
      <c r="L72" s="71" t="n"/>
      <c r="M72" s="71" t="n"/>
      <c r="N72" s="71" t="n"/>
      <c r="O72" s="94">
        <f>SUM(B72:N72)</f>
        <v/>
      </c>
    </row>
    <row r="73" outlineLevel="2" ht="15" customHeight="1">
      <c r="A73" s="69" t="inlineStr">
        <is>
          <t xml:space="preserve">      SD Received (₹)</t>
        </is>
      </c>
      <c r="B73" s="70">
        <f>IF('Final Calculation Sheet'!$U$6="","",'Final Calculation Sheet'!$U$6)</f>
        <v/>
      </c>
      <c r="C73" s="88">
        <f>IF('Final Calculation Sheet'!$U$7="","",'Final Calculation Sheet'!$U$7)</f>
        <v/>
      </c>
      <c r="D73" s="71" t="n"/>
      <c r="E73" s="71" t="n"/>
      <c r="F73" s="71" t="n"/>
      <c r="G73" s="71" t="n"/>
      <c r="H73" s="71" t="n"/>
      <c r="I73" s="71" t="n"/>
      <c r="J73" s="71" t="n"/>
      <c r="K73" s="71" t="n"/>
      <c r="L73" s="71" t="n"/>
      <c r="M73" s="71" t="n"/>
      <c r="N73" s="71" t="n"/>
      <c r="O73" s="94">
        <f>SUM(B73:N73)</f>
        <v/>
      </c>
    </row>
    <row r="74" outlineLevel="2" ht="15" customHeight="1">
      <c r="A74" s="69" t="inlineStr">
        <is>
          <t xml:space="preserve">      SD Receipt Date</t>
        </is>
      </c>
      <c r="B74" s="76">
        <f>IF('Final Calculation Sheet'!$V$6="","",'Final Calculation Sheet'!$V$6)</f>
        <v/>
      </c>
      <c r="C74" s="93">
        <f>IF('Final Calculation Sheet'!$V$7="","",'Final Calculation Sheet'!$V$7)</f>
        <v/>
      </c>
      <c r="D74" s="71" t="n"/>
      <c r="E74" s="71" t="n"/>
      <c r="F74" s="71" t="n"/>
      <c r="G74" s="71" t="n"/>
      <c r="H74" s="71" t="n"/>
      <c r="I74" s="71" t="n"/>
      <c r="J74" s="71" t="n"/>
      <c r="K74" s="71" t="n"/>
      <c r="L74" s="71" t="n"/>
      <c r="M74" s="71" t="n"/>
      <c r="N74" s="71" t="n"/>
      <c r="O74" s="89" t="inlineStr">
        <is>
          <t>–</t>
        </is>
      </c>
    </row>
    <row r="75" outlineLevel="1" ht="16" customHeight="1">
      <c r="A75" s="84" t="inlineStr">
        <is>
          <t xml:space="preserve">  ▸ FINAL PAYMENT</t>
        </is>
      </c>
      <c r="B75" s="86" t="n"/>
      <c r="C75" s="86" t="n"/>
      <c r="D75" s="86" t="n"/>
      <c r="E75" s="86" t="n"/>
      <c r="F75" s="86" t="n"/>
      <c r="G75" s="86" t="n"/>
      <c r="H75" s="86" t="n"/>
      <c r="I75" s="86" t="n"/>
      <c r="J75" s="86" t="n"/>
      <c r="K75" s="86" t="n"/>
      <c r="L75" s="86" t="n"/>
      <c r="M75" s="86" t="n"/>
      <c r="N75" s="86" t="n"/>
      <c r="O75" s="86" t="n"/>
    </row>
    <row r="76" outlineLevel="2" ht="15" customHeight="1">
      <c r="A76" s="69" t="inlineStr">
        <is>
          <t xml:space="preserve">      FP Expected (₹)</t>
        </is>
      </c>
      <c r="B76" s="70">
        <f>IF('Final Calculation Sheet'!$W$6="","",'Final Calculation Sheet'!$W$6)</f>
        <v/>
      </c>
      <c r="C76" s="88">
        <f>IF('Final Calculation Sheet'!$W$7="","",'Final Calculation Sheet'!$W$7)</f>
        <v/>
      </c>
      <c r="D76" s="71" t="n"/>
      <c r="E76" s="71" t="n"/>
      <c r="F76" s="71" t="n"/>
      <c r="G76" s="71" t="n"/>
      <c r="H76" s="71" t="n"/>
      <c r="I76" s="71" t="n"/>
      <c r="J76" s="71" t="n"/>
      <c r="K76" s="71" t="n"/>
      <c r="L76" s="71" t="n"/>
      <c r="M76" s="71" t="n"/>
      <c r="N76" s="71" t="n"/>
      <c r="O76" s="94">
        <f>SUM(B76:N76)</f>
        <v/>
      </c>
    </row>
    <row r="77" outlineLevel="2" ht="15" customHeight="1">
      <c r="A77" s="69" t="inlineStr">
        <is>
          <t xml:space="preserve">      FP Received (₹)</t>
        </is>
      </c>
      <c r="B77" s="70">
        <f>IF('Final Calculation Sheet'!$X$6="","",'Final Calculation Sheet'!$X$6)</f>
        <v/>
      </c>
      <c r="C77" s="88">
        <f>IF('Final Calculation Sheet'!$X$7="","",'Final Calculation Sheet'!$X$7)</f>
        <v/>
      </c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94">
        <f>SUM(B77:N77)</f>
        <v/>
      </c>
    </row>
    <row r="78" outlineLevel="2" ht="15" customHeight="1">
      <c r="A78" s="69" t="inlineStr">
        <is>
          <t xml:space="preserve">      FP Receipt Date</t>
        </is>
      </c>
      <c r="B78" s="76">
        <f>IF('Final Calculation Sheet'!$Y$6="","",'Final Calculation Sheet'!$Y$6)</f>
        <v/>
      </c>
      <c r="C78" s="93">
        <f>IF('Final Calculation Sheet'!$Y$7="","",'Final Calculation Sheet'!$Y$7)</f>
        <v/>
      </c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89" t="inlineStr">
        <is>
          <t>–</t>
        </is>
      </c>
    </row>
    <row r="79" outlineLevel="1" ht="16" customHeight="1">
      <c r="A79" s="84" t="inlineStr">
        <is>
          <t xml:space="preserve">  ▸ LPP</t>
        </is>
      </c>
      <c r="B79" s="86" t="n"/>
      <c r="C79" s="86" t="n"/>
      <c r="D79" s="86" t="n"/>
      <c r="E79" s="86" t="n"/>
      <c r="F79" s="86" t="n"/>
      <c r="G79" s="86" t="n"/>
      <c r="H79" s="86" t="n"/>
      <c r="I79" s="86" t="n"/>
      <c r="J79" s="86" t="n"/>
      <c r="K79" s="86" t="n"/>
      <c r="L79" s="86" t="n"/>
      <c r="M79" s="86" t="n"/>
      <c r="N79" s="86" t="n"/>
      <c r="O79" s="86" t="n"/>
    </row>
    <row r="80" outlineLevel="2" ht="15" customHeight="1">
      <c r="A80" s="69" t="inlineStr">
        <is>
          <t xml:space="preserve">      LPP Expected (₹)</t>
        </is>
      </c>
      <c r="B80" s="70">
        <f>IF('Final Calculation Sheet'!$Z$6="","",'Final Calculation Sheet'!$Z$6)</f>
        <v/>
      </c>
      <c r="C80" s="88">
        <f>IF('Final Calculation Sheet'!$Z$7="","",'Final Calculation Sheet'!$Z$7)</f>
        <v/>
      </c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94">
        <f>SUM(B80:N80)</f>
        <v/>
      </c>
    </row>
    <row r="81" outlineLevel="2" ht="15" customHeight="1">
      <c r="A81" s="69" t="inlineStr">
        <is>
          <t xml:space="preserve">      LPP Received (₹)</t>
        </is>
      </c>
      <c r="B81" s="70">
        <f>IF('Final Calculation Sheet'!$AA$6="","",'Final Calculation Sheet'!$AA$6)</f>
        <v/>
      </c>
      <c r="C81" s="88">
        <f>IF('Final Calculation Sheet'!$AA$7="","",'Final Calculation Sheet'!$AA$7)</f>
        <v/>
      </c>
      <c r="D81" s="71" t="n"/>
      <c r="E81" s="71" t="n"/>
      <c r="F81" s="71" t="n"/>
      <c r="G81" s="71" t="n"/>
      <c r="H81" s="71" t="n"/>
      <c r="I81" s="71" t="n"/>
      <c r="J81" s="71" t="n"/>
      <c r="K81" s="71" t="n"/>
      <c r="L81" s="71" t="n"/>
      <c r="M81" s="71" t="n"/>
      <c r="N81" s="71" t="n"/>
      <c r="O81" s="94">
        <f>SUM(B81:N81)</f>
        <v/>
      </c>
    </row>
    <row r="82" outlineLevel="2" ht="15" customHeight="1">
      <c r="A82" s="69" t="inlineStr">
        <is>
          <t xml:space="preserve">      LPP Receipt Date</t>
        </is>
      </c>
      <c r="B82" s="76">
        <f>IF('Final Calculation Sheet'!$AB$6="","",'Final Calculation Sheet'!$AB$6)</f>
        <v/>
      </c>
      <c r="C82" s="93">
        <f>IF('Final Calculation Sheet'!$AB$7="","",'Final Calculation Sheet'!$AB$7)</f>
        <v/>
      </c>
      <c r="D82" s="71" t="n"/>
      <c r="E82" s="71" t="n"/>
      <c r="F82" s="71" t="n"/>
      <c r="G82" s="71" t="n"/>
      <c r="H82" s="71" t="n"/>
      <c r="I82" s="71" t="n"/>
      <c r="J82" s="71" t="n"/>
      <c r="K82" s="71" t="n"/>
      <c r="L82" s="71" t="n"/>
      <c r="M82" s="71" t="n"/>
      <c r="N82" s="71" t="n"/>
      <c r="O82" s="89" t="inlineStr">
        <is>
          <t>–</t>
        </is>
      </c>
    </row>
    <row r="83" outlineLevel="1" ht="16" customHeight="1">
      <c r="A83" s="84" t="inlineStr">
        <is>
          <t xml:space="preserve">  ▸ SUMMARY</t>
        </is>
      </c>
      <c r="B83" s="86" t="n"/>
      <c r="C83" s="86" t="n"/>
      <c r="D83" s="86" t="n"/>
      <c r="E83" s="86" t="n"/>
      <c r="F83" s="86" t="n"/>
      <c r="G83" s="86" t="n"/>
      <c r="H83" s="86" t="n"/>
      <c r="I83" s="86" t="n"/>
      <c r="J83" s="86" t="n"/>
      <c r="K83" s="86" t="n"/>
      <c r="L83" s="86" t="n"/>
      <c r="M83" s="86" t="n"/>
      <c r="N83" s="86" t="n"/>
      <c r="O83" s="86" t="n"/>
    </row>
    <row r="84" outlineLevel="2" ht="15" customHeight="1">
      <c r="A84" s="69" t="inlineStr">
        <is>
          <t xml:space="preserve">      Total Received (₹)</t>
        </is>
      </c>
      <c r="B84" s="70">
        <f>IF('Final Calculation Sheet'!$AC$6="","",'Final Calculation Sheet'!$AC$6)</f>
        <v/>
      </c>
      <c r="C84" s="88">
        <f>IF('Final Calculation Sheet'!$AC$7="","",'Final Calculation Sheet'!$AC$7)</f>
        <v/>
      </c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  <c r="M84" s="71" t="n"/>
      <c r="N84" s="71" t="n"/>
      <c r="O84" s="94">
        <f>SUM(B84:N84)</f>
        <v/>
      </c>
    </row>
    <row r="85" outlineLevel="2" ht="15" customHeight="1">
      <c r="A85" s="69" t="inlineStr">
        <is>
          <t xml:space="preserve">      Outstanding (₹)</t>
        </is>
      </c>
      <c r="B85" s="70">
        <f>IF('Final Calculation Sheet'!$AD$6="","",'Final Calculation Sheet'!$AD$6)</f>
        <v/>
      </c>
      <c r="C85" s="88">
        <f>IF('Final Calculation Sheet'!$AD$7="","",'Final Calculation Sheet'!$AD$7)</f>
        <v/>
      </c>
      <c r="D85" s="71" t="n"/>
      <c r="E85" s="71" t="n"/>
      <c r="F85" s="71" t="n"/>
      <c r="G85" s="71" t="n"/>
      <c r="H85" s="71" t="n"/>
      <c r="I85" s="71" t="n"/>
      <c r="J85" s="71" t="n"/>
      <c r="K85" s="71" t="n"/>
      <c r="L85" s="71" t="n"/>
      <c r="M85" s="71" t="n"/>
      <c r="N85" s="71" t="n"/>
      <c r="O85" s="94">
        <f>SUM(B85:N85)</f>
        <v/>
      </c>
    </row>
    <row r="86" outlineLevel="2" ht="15" customHeight="1">
      <c r="A86" s="69" t="inlineStr">
        <is>
          <t xml:space="preserve">      Payment Status</t>
        </is>
      </c>
      <c r="B86" s="81">
        <f>IF('Final Calculation Sheet'!$AD$6="","",IF('Final Calculation Sheet'!$AD$6&lt;=0,"SETTLED","OUTSTANDING"))</f>
        <v/>
      </c>
      <c r="C86" s="98">
        <f>IF('Final Calculation Sheet'!$AD$7="","",IF('Final Calculation Sheet'!$AD$7&lt;=0,"SETTLED","OUTSTANDING"))</f>
        <v/>
      </c>
      <c r="D86" s="71" t="n"/>
      <c r="E86" s="71" t="n"/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89" t="inlineStr">
        <is>
          <t>–</t>
        </is>
      </c>
    </row>
    <row r="87" outlineLevel="1" ht="16" customHeight="1">
      <c r="A87" s="84" t="inlineStr">
        <is>
          <t xml:space="preserve">  ▸ DOCUMENT</t>
        </is>
      </c>
      <c r="B87" s="86" t="n"/>
      <c r="C87" s="86" t="n"/>
      <c r="D87" s="86" t="n"/>
      <c r="E87" s="86" t="n"/>
      <c r="F87" s="86" t="n"/>
      <c r="G87" s="86" t="n"/>
      <c r="H87" s="86" t="n"/>
      <c r="I87" s="86" t="n"/>
      <c r="J87" s="86" t="n"/>
      <c r="K87" s="86" t="n"/>
      <c r="L87" s="86" t="n"/>
      <c r="M87" s="86" t="n"/>
      <c r="N87" s="86" t="n"/>
      <c r="O87" s="86" t="n"/>
    </row>
    <row r="88" outlineLevel="2" ht="15" customHeight="1">
      <c r="A88" s="69" t="inlineStr">
        <is>
          <t xml:space="preserve">      Invoice No.</t>
        </is>
      </c>
      <c r="B88" s="76">
        <f>IF('Final Calculation Sheet'!$AE$6="","",'Final Calculation Sheet'!$AE$6)</f>
        <v/>
      </c>
      <c r="C88" s="93">
        <f>IF('Final Calculation Sheet'!$AE$7="","",'Final Calculation Sheet'!$AE$7)</f>
        <v/>
      </c>
      <c r="D88" s="71" t="n"/>
      <c r="E88" s="71" t="n"/>
      <c r="F88" s="71" t="n"/>
      <c r="G88" s="71" t="n"/>
      <c r="H88" s="71" t="n"/>
      <c r="I88" s="71" t="n"/>
      <c r="J88" s="71" t="n"/>
      <c r="K88" s="71" t="n"/>
      <c r="L88" s="71" t="n"/>
      <c r="M88" s="71" t="n"/>
      <c r="N88" s="71" t="n"/>
      <c r="O88" s="89" t="inlineStr">
        <is>
          <t>–</t>
        </is>
      </c>
    </row>
    <row r="89" outlineLevel="2" ht="15" customHeight="1">
      <c r="A89" s="69" t="inlineStr">
        <is>
          <t xml:space="preserve">      SAP Document</t>
        </is>
      </c>
      <c r="B89" s="70">
        <f>IF('Final Calculation Sheet'!$AF$6="","",'Final Calculation Sheet'!$AF$6)</f>
        <v/>
      </c>
      <c r="C89" s="88">
        <f>IF('Final Calculation Sheet'!$AF$7="","",'Final Calculation Sheet'!$AF$7)</f>
        <v/>
      </c>
      <c r="D89" s="71" t="n"/>
      <c r="E89" s="71" t="n"/>
      <c r="F89" s="71" t="n"/>
      <c r="G89" s="71" t="n"/>
      <c r="H89" s="71" t="n"/>
      <c r="I89" s="71" t="n"/>
      <c r="J89" s="71" t="n"/>
      <c r="K89" s="71" t="n"/>
      <c r="L89" s="71" t="n"/>
      <c r="M89" s="71" t="n"/>
      <c r="N89" s="71" t="n"/>
      <c r="O89" s="89" t="inlineStr">
        <is>
          <t>–</t>
        </is>
      </c>
    </row>
    <row r="90" outlineLevel="2" ht="15" customHeight="1">
      <c r="A90" s="69" t="inlineStr">
        <is>
          <t xml:space="preserve">      Doc./Invoice Date</t>
        </is>
      </c>
      <c r="B90" s="76">
        <f>IF('Final Calculation Sheet'!$AG$6="","",'Final Calculation Sheet'!$AG$6)</f>
        <v/>
      </c>
      <c r="C90" s="93">
        <f>IF('Final Calculation Sheet'!$AG$7="","",'Final Calculation Sheet'!$AG$7)</f>
        <v/>
      </c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89" t="inlineStr">
        <is>
          <t>–</t>
        </is>
      </c>
    </row>
    <row r="91" ht="7" customHeight="1">
      <c r="A91" s="82" t="n"/>
      <c r="B91" s="82" t="n"/>
      <c r="C91" s="82" t="n"/>
      <c r="D91" s="82" t="n"/>
      <c r="E91" s="82" t="n"/>
      <c r="F91" s="82" t="n"/>
      <c r="G91" s="82" t="n"/>
      <c r="H91" s="82" t="n"/>
      <c r="I91" s="82" t="n"/>
      <c r="J91" s="82" t="n"/>
      <c r="K91" s="82" t="n"/>
      <c r="L91" s="82" t="n"/>
      <c r="M91" s="82" t="n"/>
      <c r="N91" s="82" t="n"/>
      <c r="O91" s="82" t="n"/>
    </row>
    <row r="92" ht="24" customHeight="1">
      <c r="A92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</row>
    <row r="93" outlineLevel="1" ht="18" customHeight="1">
      <c r="A93" s="100" t="inlineStr">
        <is>
          <t xml:space="preserve">   Lot No. →</t>
        </is>
      </c>
      <c r="B93" s="101">
        <f>IF('Final Calculation Sheet'!$F$15="","",'Final Calculation Sheet'!$F$15)</f>
        <v/>
      </c>
      <c r="C93" s="102" t="n"/>
      <c r="D93" s="102" t="n"/>
      <c r="E93" s="102" t="n"/>
      <c r="F93" s="102" t="n"/>
      <c r="G93" s="102" t="n"/>
      <c r="H93" s="102" t="n"/>
      <c r="I93" s="102" t="n"/>
      <c r="J93" s="102" t="n"/>
      <c r="K93" s="102" t="n"/>
      <c r="L93" s="102" t="n"/>
      <c r="M93" s="102" t="n"/>
      <c r="N93" s="102" t="n"/>
      <c r="O93" s="103" t="inlineStr">
        <is>
          <t>TOTAL</t>
        </is>
      </c>
    </row>
    <row r="94" outlineLevel="1" ht="16" customHeight="1">
      <c r="A94" s="100" t="inlineStr">
        <is>
          <t xml:space="preserve">  ▸ LOT INFORMATION</t>
        </is>
      </c>
      <c r="B94" s="102" t="n"/>
      <c r="C94" s="102" t="n"/>
      <c r="D94" s="102" t="n"/>
      <c r="E94" s="102" t="n"/>
      <c r="F94" s="102" t="n"/>
      <c r="G94" s="102" t="n"/>
      <c r="H94" s="102" t="n"/>
      <c r="I94" s="102" t="n"/>
      <c r="J94" s="102" t="n"/>
      <c r="K94" s="102" t="n"/>
      <c r="L94" s="102" t="n"/>
      <c r="M94" s="102" t="n"/>
      <c r="N94" s="102" t="n"/>
      <c r="O94" s="102" t="n"/>
    </row>
    <row r="95" outlineLevel="2" ht="15" customHeight="1">
      <c r="A95" s="69" t="inlineStr">
        <is>
          <t xml:space="preserve">      Lot No.</t>
        </is>
      </c>
      <c r="B95" s="70">
        <f>IF('Final Calculation Sheet'!$F$15="","",'Final Calculation Sheet'!$F$15)</f>
        <v/>
      </c>
      <c r="C95" s="71" t="n"/>
      <c r="D95" s="71" t="n"/>
      <c r="E95" s="71" t="n"/>
      <c r="F95" s="71" t="n"/>
      <c r="G95" s="71" t="n"/>
      <c r="H95" s="71" t="n"/>
      <c r="I95" s="71" t="n"/>
      <c r="J95" s="71" t="n"/>
      <c r="K95" s="71" t="n"/>
      <c r="L95" s="71" t="n"/>
      <c r="M95" s="71" t="n"/>
      <c r="N95" s="71" t="n"/>
      <c r="O95" s="104" t="inlineStr">
        <is>
          <t>–</t>
        </is>
      </c>
    </row>
    <row r="96" outlineLevel="2" ht="60" customHeight="1">
      <c r="A96" s="69" t="inlineStr">
        <is>
          <t xml:space="preserve">      Lot Name</t>
        </is>
      </c>
      <c r="B96" s="73">
        <f>IF('Final Calculation Sheet'!$B$15="","",'Final Calculation Sheet'!$B$15)</f>
        <v/>
      </c>
      <c r="C96" s="71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104" t="inlineStr">
        <is>
          <t>–</t>
        </is>
      </c>
    </row>
    <row r="97" outlineLevel="2" ht="15" customHeight="1">
      <c r="A97" s="69" t="inlineStr">
        <is>
          <t xml:space="preserve">      Bid Sheet / Auction</t>
        </is>
      </c>
      <c r="B97" s="70">
        <f>IF('Final Calculation Sheet'!$D$15="","",'Final Calculation Sheet'!$D$15)</f>
        <v/>
      </c>
      <c r="C97" s="71" t="n"/>
      <c r="D97" s="71" t="n"/>
      <c r="E97" s="71" t="n"/>
      <c r="F97" s="71" t="n"/>
      <c r="G97" s="71" t="n"/>
      <c r="H97" s="71" t="n"/>
      <c r="I97" s="71" t="n"/>
      <c r="J97" s="71" t="n"/>
      <c r="K97" s="71" t="n"/>
      <c r="L97" s="71" t="n"/>
      <c r="M97" s="71" t="n"/>
      <c r="N97" s="71" t="n"/>
      <c r="O97" s="104" t="inlineStr">
        <is>
          <t>–</t>
        </is>
      </c>
    </row>
    <row r="98" outlineLevel="2" ht="15" customHeight="1">
      <c r="A98" s="69" t="inlineStr">
        <is>
          <t xml:space="preserve">      Quantity</t>
        </is>
      </c>
      <c r="B98" s="74">
        <f>IF('Final Calculation Sheet'!$A$15="","",'Final Calculation Sheet'!$A$15)</f>
        <v/>
      </c>
      <c r="C98" s="71" t="n"/>
      <c r="D98" s="71" t="n"/>
      <c r="E98" s="71" t="n"/>
      <c r="F98" s="71" t="n"/>
      <c r="G98" s="71" t="n"/>
      <c r="H98" s="71" t="n"/>
      <c r="I98" s="71" t="n"/>
      <c r="J98" s="71" t="n"/>
      <c r="K98" s="71" t="n"/>
      <c r="L98" s="71" t="n"/>
      <c r="M98" s="71" t="n"/>
      <c r="N98" s="71" t="n"/>
      <c r="O98" s="105">
        <f>SUM(B98:N98)</f>
        <v/>
      </c>
    </row>
    <row r="99" outlineLevel="2" ht="15" customHeight="1">
      <c r="A99" s="69" t="inlineStr">
        <is>
          <t xml:space="preserve">      Unit</t>
        </is>
      </c>
      <c r="B99" s="76">
        <f>IF('Final Calculation Sheet'!$E$15="","",'Final Calculation Sheet'!$E$15)</f>
        <v/>
      </c>
      <c r="C99" s="71" t="n"/>
      <c r="D99" s="71" t="n"/>
      <c r="E99" s="71" t="n"/>
      <c r="F99" s="71" t="n"/>
      <c r="G99" s="71" t="n"/>
      <c r="H99" s="71" t="n"/>
      <c r="I99" s="71" t="n"/>
      <c r="J99" s="71" t="n"/>
      <c r="K99" s="71" t="n"/>
      <c r="L99" s="71" t="n"/>
      <c r="M99" s="71" t="n"/>
      <c r="N99" s="71" t="n"/>
      <c r="O99" s="104" t="inlineStr">
        <is>
          <t>–</t>
        </is>
      </c>
    </row>
    <row r="100" outlineLevel="2" ht="15" customHeight="1">
      <c r="A100" s="69" t="inlineStr">
        <is>
          <t xml:space="preserve">      Rate (₹)</t>
        </is>
      </c>
      <c r="B100" s="70">
        <f>IF('Final Calculation Sheet'!$C$15="","",'Final Calculation Sheet'!$C$15)</f>
        <v/>
      </c>
      <c r="C100" s="71" t="n"/>
      <c r="D100" s="71" t="n"/>
      <c r="E100" s="71" t="n"/>
      <c r="F100" s="71" t="n"/>
      <c r="G100" s="71" t="n"/>
      <c r="H100" s="71" t="n"/>
      <c r="I100" s="71" t="n"/>
      <c r="J100" s="71" t="n"/>
      <c r="K100" s="71" t="n"/>
      <c r="L100" s="71" t="n"/>
      <c r="M100" s="71" t="n"/>
      <c r="N100" s="71" t="n"/>
      <c r="O100" s="104" t="inlineStr">
        <is>
          <t>–</t>
        </is>
      </c>
    </row>
    <row r="101" outlineLevel="1" ht="16" customHeight="1">
      <c r="A101" s="100" t="inlineStr">
        <is>
          <t xml:space="preserve">  ▸ FINANCIALS</t>
        </is>
      </c>
      <c r="B101" s="102" t="n"/>
      <c r="C101" s="102" t="n"/>
      <c r="D101" s="102" t="n"/>
      <c r="E101" s="102" t="n"/>
      <c r="F101" s="102" t="n"/>
      <c r="G101" s="102" t="n"/>
      <c r="H101" s="102" t="n"/>
      <c r="I101" s="102" t="n"/>
      <c r="J101" s="102" t="n"/>
      <c r="K101" s="102" t="n"/>
      <c r="L101" s="102" t="n"/>
      <c r="M101" s="102" t="n"/>
      <c r="N101" s="102" t="n"/>
      <c r="O101" s="102" t="n"/>
    </row>
    <row r="102" outlineLevel="2" ht="15" customHeight="1">
      <c r="A102" s="69" t="inlineStr">
        <is>
          <t xml:space="preserve">      Mat. Value (₹)</t>
        </is>
      </c>
      <c r="B102" s="70">
        <f>IF('Final Calculation Sheet'!$H$15="","",'Final Calculation Sheet'!$H$15)</f>
        <v/>
      </c>
      <c r="C102" s="71" t="n"/>
      <c r="D102" s="71" t="n"/>
      <c r="E102" s="71" t="n"/>
      <c r="F102" s="71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106">
        <f>SUM(B102:N102)</f>
        <v/>
      </c>
    </row>
    <row r="103" outlineLevel="2" ht="15" customHeight="1">
      <c r="A103" s="69" t="inlineStr">
        <is>
          <t xml:space="preserve">      GST @ 18% (₹)</t>
        </is>
      </c>
      <c r="B103" s="70">
        <f>IF('Final Calculation Sheet'!$I$15="","",'Final Calculation Sheet'!$I$15)</f>
        <v/>
      </c>
      <c r="C103" s="71" t="n"/>
      <c r="D103" s="71" t="n"/>
      <c r="E103" s="71" t="n"/>
      <c r="F103" s="71" t="n"/>
      <c r="G103" s="71" t="n"/>
      <c r="H103" s="71" t="n"/>
      <c r="I103" s="71" t="n"/>
      <c r="J103" s="71" t="n"/>
      <c r="K103" s="71" t="n"/>
      <c r="L103" s="71" t="n"/>
      <c r="M103" s="71" t="n"/>
      <c r="N103" s="71" t="n"/>
      <c r="O103" s="106">
        <f>SUM(B103:N103)</f>
        <v/>
      </c>
    </row>
    <row r="104" outlineLevel="2" ht="15" customHeight="1">
      <c r="A104" s="69" t="inlineStr">
        <is>
          <t xml:space="preserve">      Mat. Value + GST (₹)</t>
        </is>
      </c>
      <c r="B104" s="70">
        <f>IF('Final Calculation Sheet'!$J$15="","",'Final Calculation Sheet'!$J$15)</f>
        <v/>
      </c>
      <c r="C104" s="71" t="n"/>
      <c r="D104" s="71" t="n"/>
      <c r="E104" s="71" t="n"/>
      <c r="F104" s="71" t="n"/>
      <c r="G104" s="71" t="n"/>
      <c r="H104" s="71" t="n"/>
      <c r="I104" s="71" t="n"/>
      <c r="J104" s="71" t="n"/>
      <c r="K104" s="71" t="n"/>
      <c r="L104" s="71" t="n"/>
      <c r="M104" s="71" t="n"/>
      <c r="N104" s="71" t="n"/>
      <c r="O104" s="106">
        <f>SUM(B104:N104)</f>
        <v/>
      </c>
    </row>
    <row r="105" outlineLevel="2" ht="15" customHeight="1">
      <c r="A105" s="69" t="inlineStr">
        <is>
          <t xml:space="preserve">      TCS @ 2% (₹)</t>
        </is>
      </c>
      <c r="B105" s="70">
        <f>IF('Final Calculation Sheet'!$K$15="","",'Final Calculation Sheet'!$K$15)</f>
        <v/>
      </c>
      <c r="C105" s="71" t="n"/>
      <c r="D105" s="71" t="n"/>
      <c r="E105" s="71" t="n"/>
      <c r="F105" s="71" t="n"/>
      <c r="G105" s="71" t="n"/>
      <c r="H105" s="71" t="n"/>
      <c r="I105" s="71" t="n"/>
      <c r="J105" s="71" t="n"/>
      <c r="K105" s="71" t="n"/>
      <c r="L105" s="71" t="n"/>
      <c r="M105" s="71" t="n"/>
      <c r="N105" s="71" t="n"/>
      <c r="O105" s="106">
        <f>SUM(B105:N105)</f>
        <v/>
      </c>
    </row>
    <row r="106" outlineLevel="2" ht="15" customHeight="1">
      <c r="A106" s="69" t="inlineStr">
        <is>
          <t xml:space="preserve">      TDS u/s 194(O) (₹)</t>
        </is>
      </c>
      <c r="B106" s="78">
        <f>IF('Final Calculation Sheet'!$L$15="","",'Final Calculation Sheet'!$L$15)</f>
        <v/>
      </c>
      <c r="C106" s="71" t="n"/>
      <c r="D106" s="71" t="n"/>
      <c r="E106" s="71" t="n"/>
      <c r="F106" s="71" t="n"/>
      <c r="G106" s="71" t="n"/>
      <c r="H106" s="71" t="n"/>
      <c r="I106" s="71" t="n"/>
      <c r="J106" s="71" t="n"/>
      <c r="K106" s="71" t="n"/>
      <c r="L106" s="71" t="n"/>
      <c r="M106" s="71" t="n"/>
      <c r="N106" s="71" t="n"/>
      <c r="O106" s="107">
        <f>SUM(B106:N106)</f>
        <v/>
      </c>
    </row>
    <row r="107" outlineLevel="2" ht="15" customHeight="1">
      <c r="A107" s="69" t="inlineStr">
        <is>
          <t xml:space="preserve">      Service Charge gross (₹)</t>
        </is>
      </c>
      <c r="B107" s="78">
        <f>IF('Final Calculation Sheet'!$M$15="","",'Final Calculation Sheet'!$M$15)</f>
        <v/>
      </c>
      <c r="C107" s="71" t="n"/>
      <c r="D107" s="71" t="n"/>
      <c r="E107" s="71" t="n"/>
      <c r="F107" s="71" t="n"/>
      <c r="G107" s="71" t="n"/>
      <c r="H107" s="71" t="n"/>
      <c r="I107" s="71" t="n"/>
      <c r="J107" s="71" t="n"/>
      <c r="K107" s="71" t="n"/>
      <c r="L107" s="71" t="n"/>
      <c r="M107" s="71" t="n"/>
      <c r="N107" s="71" t="n"/>
      <c r="O107" s="107">
        <f>SUM(B107:N107)</f>
        <v/>
      </c>
    </row>
    <row r="108" outlineLevel="2" ht="15" customHeight="1">
      <c r="A108" s="69" t="inlineStr">
        <is>
          <t xml:space="preserve">      TDS u/s 194(H) (₹)</t>
        </is>
      </c>
      <c r="B108" s="78">
        <f>IF('Final Calculation Sheet'!$N$15="","",'Final Calculation Sheet'!$N$15)</f>
        <v/>
      </c>
      <c r="C108" s="71" t="n"/>
      <c r="D108" s="71" t="n"/>
      <c r="E108" s="71" t="n"/>
      <c r="F108" s="71" t="n"/>
      <c r="G108" s="71" t="n"/>
      <c r="H108" s="71" t="n"/>
      <c r="I108" s="71" t="n"/>
      <c r="J108" s="71" t="n"/>
      <c r="K108" s="71" t="n"/>
      <c r="L108" s="71" t="n"/>
      <c r="M108" s="71" t="n"/>
      <c r="N108" s="71" t="n"/>
      <c r="O108" s="107">
        <f>SUM(B108:N108)</f>
        <v/>
      </c>
    </row>
    <row r="109" outlineLevel="2" ht="15" customHeight="1">
      <c r="A109" s="69" t="inlineStr">
        <is>
          <t xml:space="preserve">      Net Service Charge (₹)</t>
        </is>
      </c>
      <c r="B109" s="78">
        <f>IF('Final Calculation Sheet'!$O$15="","",'Final Calculation Sheet'!$O$15)</f>
        <v/>
      </c>
      <c r="C109" s="71" t="n"/>
      <c r="D109" s="71" t="n"/>
      <c r="E109" s="71" t="n"/>
      <c r="F109" s="71" t="n"/>
      <c r="G109" s="71" t="n"/>
      <c r="H109" s="71" t="n"/>
      <c r="I109" s="71" t="n"/>
      <c r="J109" s="71" t="n"/>
      <c r="K109" s="71" t="n"/>
      <c r="L109" s="71" t="n"/>
      <c r="M109" s="71" t="n"/>
      <c r="N109" s="71" t="n"/>
      <c r="O109" s="107">
        <f>SUM(B109:N109)</f>
        <v/>
      </c>
    </row>
    <row r="110" outlineLevel="2" ht="15" customHeight="1">
      <c r="A110" s="69" t="inlineStr">
        <is>
          <t xml:space="preserve">      Svc Charge to MSTC (₹)</t>
        </is>
      </c>
      <c r="B110" s="70">
        <f>IF('Final Calculation Sheet'!$P$15="","",'Final Calculation Sheet'!$P$15)</f>
        <v/>
      </c>
      <c r="C110" s="71" t="n"/>
      <c r="D110" s="71" t="n"/>
      <c r="E110" s="71" t="n"/>
      <c r="F110" s="71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106">
        <f>SUM(B110:N110)</f>
        <v/>
      </c>
    </row>
    <row r="111" outlineLevel="2" ht="15" customHeight="1">
      <c r="A111" s="69" t="inlineStr">
        <is>
          <t xml:space="preserve">      GST TDS Rate</t>
        </is>
      </c>
      <c r="B111" s="80">
        <f>IF('Final Calculation Sheet'!$Q$15="","",'Final Calculation Sheet'!$Q$15)</f>
        <v/>
      </c>
      <c r="C111" s="71" t="n"/>
      <c r="D111" s="71" t="n"/>
      <c r="E111" s="71" t="n"/>
      <c r="F111" s="71" t="n"/>
      <c r="G111" s="71" t="n"/>
      <c r="H111" s="71" t="n"/>
      <c r="I111" s="71" t="n"/>
      <c r="J111" s="71" t="n"/>
      <c r="K111" s="71" t="n"/>
      <c r="L111" s="71" t="n"/>
      <c r="M111" s="71" t="n"/>
      <c r="N111" s="71" t="n"/>
      <c r="O111" s="104" t="inlineStr">
        <is>
          <t>–</t>
        </is>
      </c>
    </row>
    <row r="112" outlineLevel="2" ht="15" customHeight="1">
      <c r="A112" s="69" t="inlineStr">
        <is>
          <t xml:space="preserve">      GST TDS (₹)</t>
        </is>
      </c>
      <c r="B112" s="70">
        <f>IF('Final Calculation Sheet'!$R$15="","",'Final Calculation Sheet'!$R$15)</f>
        <v/>
      </c>
      <c r="C112" s="71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106">
        <f>SUM(B112:N112)</f>
        <v/>
      </c>
    </row>
    <row r="113" outlineLevel="2" ht="15" customHeight="1">
      <c r="A113" s="69" t="inlineStr">
        <is>
          <t xml:space="preserve">      Total Receivables (₹)</t>
        </is>
      </c>
      <c r="B113" s="70">
        <f>IF('Final Calculation Sheet'!$S$15="","",'Final Calculation Sheet'!$S$15)</f>
        <v/>
      </c>
      <c r="C113" s="71" t="n"/>
      <c r="D113" s="71" t="n"/>
      <c r="E113" s="71" t="n"/>
      <c r="F113" s="71" t="n"/>
      <c r="G113" s="71" t="n"/>
      <c r="H113" s="71" t="n"/>
      <c r="I113" s="71" t="n"/>
      <c r="J113" s="71" t="n"/>
      <c r="K113" s="71" t="n"/>
      <c r="L113" s="71" t="n"/>
      <c r="M113" s="71" t="n"/>
      <c r="N113" s="71" t="n"/>
      <c r="O113" s="106">
        <f>SUM(B113:N113)</f>
        <v/>
      </c>
    </row>
    <row r="114" outlineLevel="1" ht="16" customHeight="1">
      <c r="A114" s="100" t="inlineStr">
        <is>
          <t xml:space="preserve">  ▸ SECURITY DEPOSIT</t>
        </is>
      </c>
      <c r="B114" s="102" t="n"/>
      <c r="C114" s="102" t="n"/>
      <c r="D114" s="102" t="n"/>
      <c r="E114" s="102" t="n"/>
      <c r="F114" s="102" t="n"/>
      <c r="G114" s="102" t="n"/>
      <c r="H114" s="102" t="n"/>
      <c r="I114" s="102" t="n"/>
      <c r="J114" s="102" t="n"/>
      <c r="K114" s="102" t="n"/>
      <c r="L114" s="102" t="n"/>
      <c r="M114" s="102" t="n"/>
      <c r="N114" s="102" t="n"/>
      <c r="O114" s="102" t="n"/>
    </row>
    <row r="115" outlineLevel="2" ht="15" customHeight="1">
      <c r="A115" s="69" t="inlineStr">
        <is>
          <t xml:space="preserve">      SD Expected (₹)</t>
        </is>
      </c>
      <c r="B115" s="70">
        <f>IF('Final Calculation Sheet'!$T$15="","",'Final Calculation Sheet'!$T$15)</f>
        <v/>
      </c>
      <c r="C115" s="71" t="n"/>
      <c r="D115" s="71" t="n"/>
      <c r="E115" s="71" t="n"/>
      <c r="F115" s="71" t="n"/>
      <c r="G115" s="71" t="n"/>
      <c r="H115" s="71" t="n"/>
      <c r="I115" s="71" t="n"/>
      <c r="J115" s="71" t="n"/>
      <c r="K115" s="71" t="n"/>
      <c r="L115" s="71" t="n"/>
      <c r="M115" s="71" t="n"/>
      <c r="N115" s="71" t="n"/>
      <c r="O115" s="106">
        <f>SUM(B115:N115)</f>
        <v/>
      </c>
    </row>
    <row r="116" outlineLevel="2" ht="15" customHeight="1">
      <c r="A116" s="69" t="inlineStr">
        <is>
          <t xml:space="preserve">      SD Received (₹)</t>
        </is>
      </c>
      <c r="B116" s="70">
        <f>IF('Final Calculation Sheet'!$U$15="","",'Final Calculation Sheet'!$U$15)</f>
        <v/>
      </c>
      <c r="C116" s="71" t="n"/>
      <c r="D116" s="71" t="n"/>
      <c r="E116" s="71" t="n"/>
      <c r="F116" s="71" t="n"/>
      <c r="G116" s="71" t="n"/>
      <c r="H116" s="71" t="n"/>
      <c r="I116" s="71" t="n"/>
      <c r="J116" s="71" t="n"/>
      <c r="K116" s="71" t="n"/>
      <c r="L116" s="71" t="n"/>
      <c r="M116" s="71" t="n"/>
      <c r="N116" s="71" t="n"/>
      <c r="O116" s="106">
        <f>SUM(B116:N116)</f>
        <v/>
      </c>
    </row>
    <row r="117" outlineLevel="2" ht="15" customHeight="1">
      <c r="A117" s="69" t="inlineStr">
        <is>
          <t xml:space="preserve">      SD Receipt Date</t>
        </is>
      </c>
      <c r="B117" s="76">
        <f>IF('Final Calculation Sheet'!$V$15="","",'Final Calculation Sheet'!$V$15)</f>
        <v/>
      </c>
      <c r="C117" s="71" t="n"/>
      <c r="D117" s="71" t="n"/>
      <c r="E117" s="71" t="n"/>
      <c r="F117" s="71" t="n"/>
      <c r="G117" s="71" t="n"/>
      <c r="H117" s="71" t="n"/>
      <c r="I117" s="71" t="n"/>
      <c r="J117" s="71" t="n"/>
      <c r="K117" s="71" t="n"/>
      <c r="L117" s="71" t="n"/>
      <c r="M117" s="71" t="n"/>
      <c r="N117" s="71" t="n"/>
      <c r="O117" s="104" t="inlineStr">
        <is>
          <t>–</t>
        </is>
      </c>
    </row>
    <row r="118" outlineLevel="1" ht="16" customHeight="1">
      <c r="A118" s="100" t="inlineStr">
        <is>
          <t xml:space="preserve">  ▸ FINAL PAYMENT</t>
        </is>
      </c>
      <c r="B118" s="102" t="n"/>
      <c r="C118" s="102" t="n"/>
      <c r="D118" s="102" t="n"/>
      <c r="E118" s="102" t="n"/>
      <c r="F118" s="102" t="n"/>
      <c r="G118" s="102" t="n"/>
      <c r="H118" s="102" t="n"/>
      <c r="I118" s="102" t="n"/>
      <c r="J118" s="102" t="n"/>
      <c r="K118" s="102" t="n"/>
      <c r="L118" s="102" t="n"/>
      <c r="M118" s="102" t="n"/>
      <c r="N118" s="102" t="n"/>
      <c r="O118" s="102" t="n"/>
    </row>
    <row r="119" outlineLevel="2" ht="15" customHeight="1">
      <c r="A119" s="69" t="inlineStr">
        <is>
          <t xml:space="preserve">      FP Expected (₹)</t>
        </is>
      </c>
      <c r="B119" s="70">
        <f>IF('Final Calculation Sheet'!$W$15="","",'Final Calculation Sheet'!$W$15)</f>
        <v/>
      </c>
      <c r="C119" s="71" t="n"/>
      <c r="D119" s="71" t="n"/>
      <c r="E119" s="71" t="n"/>
      <c r="F119" s="71" t="n"/>
      <c r="G119" s="71" t="n"/>
      <c r="H119" s="71" t="n"/>
      <c r="I119" s="71" t="n"/>
      <c r="J119" s="71" t="n"/>
      <c r="K119" s="71" t="n"/>
      <c r="L119" s="71" t="n"/>
      <c r="M119" s="71" t="n"/>
      <c r="N119" s="71" t="n"/>
      <c r="O119" s="106">
        <f>SUM(B119:N119)</f>
        <v/>
      </c>
    </row>
    <row r="120" outlineLevel="2" ht="15" customHeight="1">
      <c r="A120" s="69" t="inlineStr">
        <is>
          <t xml:space="preserve">      FP Received (₹)</t>
        </is>
      </c>
      <c r="B120" s="70">
        <f>IF('Final Calculation Sheet'!$X$15="","",'Final Calculation Sheet'!$X$15)</f>
        <v/>
      </c>
      <c r="C120" s="71" t="n"/>
      <c r="D120" s="71" t="n"/>
      <c r="E120" s="71" t="n"/>
      <c r="F120" s="71" t="n"/>
      <c r="G120" s="71" t="n"/>
      <c r="H120" s="71" t="n"/>
      <c r="I120" s="71" t="n"/>
      <c r="J120" s="71" t="n"/>
      <c r="K120" s="71" t="n"/>
      <c r="L120" s="71" t="n"/>
      <c r="M120" s="71" t="n"/>
      <c r="N120" s="71" t="n"/>
      <c r="O120" s="106">
        <f>SUM(B120:N120)</f>
        <v/>
      </c>
    </row>
    <row r="121" outlineLevel="2" ht="15" customHeight="1">
      <c r="A121" s="69" t="inlineStr">
        <is>
          <t xml:space="preserve">      FP Receipt Date</t>
        </is>
      </c>
      <c r="B121" s="76">
        <f>IF('Final Calculation Sheet'!$Y$15="","",'Final Calculation Sheet'!$Y$15)</f>
        <v/>
      </c>
      <c r="C121" s="71" t="n"/>
      <c r="D121" s="71" t="n"/>
      <c r="E121" s="71" t="n"/>
      <c r="F121" s="71" t="n"/>
      <c r="G121" s="71" t="n"/>
      <c r="H121" s="71" t="n"/>
      <c r="I121" s="71" t="n"/>
      <c r="J121" s="71" t="n"/>
      <c r="K121" s="71" t="n"/>
      <c r="L121" s="71" t="n"/>
      <c r="M121" s="71" t="n"/>
      <c r="N121" s="71" t="n"/>
      <c r="O121" s="104" t="inlineStr">
        <is>
          <t>–</t>
        </is>
      </c>
    </row>
    <row r="122" outlineLevel="1" ht="16" customHeight="1">
      <c r="A122" s="100" t="inlineStr">
        <is>
          <t xml:space="preserve">  ▸ LPP</t>
        </is>
      </c>
      <c r="B122" s="102" t="n"/>
      <c r="C122" s="102" t="n"/>
      <c r="D122" s="102" t="n"/>
      <c r="E122" s="102" t="n"/>
      <c r="F122" s="102" t="n"/>
      <c r="G122" s="102" t="n"/>
      <c r="H122" s="102" t="n"/>
      <c r="I122" s="102" t="n"/>
      <c r="J122" s="102" t="n"/>
      <c r="K122" s="102" t="n"/>
      <c r="L122" s="102" t="n"/>
      <c r="M122" s="102" t="n"/>
      <c r="N122" s="102" t="n"/>
      <c r="O122" s="102" t="n"/>
    </row>
    <row r="123" outlineLevel="2" ht="15" customHeight="1">
      <c r="A123" s="69" t="inlineStr">
        <is>
          <t xml:space="preserve">      LPP Expected (₹)</t>
        </is>
      </c>
      <c r="B123" s="70">
        <f>IF('Final Calculation Sheet'!$Z$15="","",'Final Calculation Sheet'!$Z$15)</f>
        <v/>
      </c>
      <c r="C123" s="71" t="n"/>
      <c r="D123" s="71" t="n"/>
      <c r="E123" s="71" t="n"/>
      <c r="F123" s="71" t="n"/>
      <c r="G123" s="71" t="n"/>
      <c r="H123" s="71" t="n"/>
      <c r="I123" s="71" t="n"/>
      <c r="J123" s="71" t="n"/>
      <c r="K123" s="71" t="n"/>
      <c r="L123" s="71" t="n"/>
      <c r="M123" s="71" t="n"/>
      <c r="N123" s="71" t="n"/>
      <c r="O123" s="106">
        <f>SUM(B123:N123)</f>
        <v/>
      </c>
    </row>
    <row r="124" outlineLevel="2" ht="15" customHeight="1">
      <c r="A124" s="69" t="inlineStr">
        <is>
          <t xml:space="preserve">      LPP Received (₹)</t>
        </is>
      </c>
      <c r="B124" s="70">
        <f>IF('Final Calculation Sheet'!$AA$15="","",'Final Calculation Sheet'!$AA$15)</f>
        <v/>
      </c>
      <c r="C124" s="71" t="n"/>
      <c r="D124" s="71" t="n"/>
      <c r="E124" s="71" t="n"/>
      <c r="F124" s="71" t="n"/>
      <c r="G124" s="71" t="n"/>
      <c r="H124" s="71" t="n"/>
      <c r="I124" s="71" t="n"/>
      <c r="J124" s="71" t="n"/>
      <c r="K124" s="71" t="n"/>
      <c r="L124" s="71" t="n"/>
      <c r="M124" s="71" t="n"/>
      <c r="N124" s="71" t="n"/>
      <c r="O124" s="106">
        <f>SUM(B124:N124)</f>
        <v/>
      </c>
    </row>
    <row r="125" outlineLevel="2" ht="15" customHeight="1">
      <c r="A125" s="69" t="inlineStr">
        <is>
          <t xml:space="preserve">      LPP Receipt Date</t>
        </is>
      </c>
      <c r="B125" s="76">
        <f>IF('Final Calculation Sheet'!$AB$15="","",'Final Calculation Sheet'!$AB$15)</f>
        <v/>
      </c>
      <c r="C125" s="71" t="n"/>
      <c r="D125" s="71" t="n"/>
      <c r="E125" s="71" t="n"/>
      <c r="F125" s="71" t="n"/>
      <c r="G125" s="71" t="n"/>
      <c r="H125" s="71" t="n"/>
      <c r="I125" s="71" t="n"/>
      <c r="J125" s="71" t="n"/>
      <c r="K125" s="71" t="n"/>
      <c r="L125" s="71" t="n"/>
      <c r="M125" s="71" t="n"/>
      <c r="N125" s="71" t="n"/>
      <c r="O125" s="104" t="inlineStr">
        <is>
          <t>–</t>
        </is>
      </c>
    </row>
    <row r="126" outlineLevel="1" ht="16" customHeight="1">
      <c r="A126" s="100" t="inlineStr">
        <is>
          <t xml:space="preserve">  ▸ SUMMARY</t>
        </is>
      </c>
      <c r="B126" s="102" t="n"/>
      <c r="C126" s="102" t="n"/>
      <c r="D126" s="102" t="n"/>
      <c r="E126" s="102" t="n"/>
      <c r="F126" s="102" t="n"/>
      <c r="G126" s="102" t="n"/>
      <c r="H126" s="102" t="n"/>
      <c r="I126" s="102" t="n"/>
      <c r="J126" s="102" t="n"/>
      <c r="K126" s="102" t="n"/>
      <c r="L126" s="102" t="n"/>
      <c r="M126" s="102" t="n"/>
      <c r="N126" s="102" t="n"/>
      <c r="O126" s="102" t="n"/>
    </row>
    <row r="127" outlineLevel="2" ht="15" customHeight="1">
      <c r="A127" s="69" t="inlineStr">
        <is>
          <t xml:space="preserve">      Total Received (₹)</t>
        </is>
      </c>
      <c r="B127" s="70">
        <f>IF('Final Calculation Sheet'!$AC$15="","",'Final Calculation Sheet'!$AC$15)</f>
        <v/>
      </c>
      <c r="C127" s="71" t="n"/>
      <c r="D127" s="71" t="n"/>
      <c r="E127" s="71" t="n"/>
      <c r="F127" s="71" t="n"/>
      <c r="G127" s="71" t="n"/>
      <c r="H127" s="71" t="n"/>
      <c r="I127" s="71" t="n"/>
      <c r="J127" s="71" t="n"/>
      <c r="K127" s="71" t="n"/>
      <c r="L127" s="71" t="n"/>
      <c r="M127" s="71" t="n"/>
      <c r="N127" s="71" t="n"/>
      <c r="O127" s="106">
        <f>SUM(B127:N127)</f>
        <v/>
      </c>
    </row>
    <row r="128" outlineLevel="2" ht="15" customHeight="1">
      <c r="A128" s="69" t="inlineStr">
        <is>
          <t xml:space="preserve">      Outstanding (₹)</t>
        </is>
      </c>
      <c r="B128" s="70">
        <f>IF('Final Calculation Sheet'!$AD$15="","",'Final Calculation Sheet'!$AD$15)</f>
        <v/>
      </c>
      <c r="C128" s="71" t="n"/>
      <c r="D128" s="71" t="n"/>
      <c r="E128" s="71" t="n"/>
      <c r="F128" s="71" t="n"/>
      <c r="G128" s="71" t="n"/>
      <c r="H128" s="71" t="n"/>
      <c r="I128" s="71" t="n"/>
      <c r="J128" s="71" t="n"/>
      <c r="K128" s="71" t="n"/>
      <c r="L128" s="71" t="n"/>
      <c r="M128" s="71" t="n"/>
      <c r="N128" s="71" t="n"/>
      <c r="O128" s="106">
        <f>SUM(B128:N128)</f>
        <v/>
      </c>
    </row>
    <row r="129" outlineLevel="2" ht="15" customHeight="1">
      <c r="A129" s="69" t="inlineStr">
        <is>
          <t xml:space="preserve">      Payment Status</t>
        </is>
      </c>
      <c r="B129" s="81">
        <f>IF('Final Calculation Sheet'!$AD$15="","",IF('Final Calculation Sheet'!$AD$15&lt;=0,"SETTLED","OUTSTANDING"))</f>
        <v/>
      </c>
      <c r="C129" s="71" t="n"/>
      <c r="D129" s="71" t="n"/>
      <c r="E129" s="71" t="n"/>
      <c r="F129" s="71" t="n"/>
      <c r="G129" s="71" t="n"/>
      <c r="H129" s="71" t="n"/>
      <c r="I129" s="71" t="n"/>
      <c r="J129" s="71" t="n"/>
      <c r="K129" s="71" t="n"/>
      <c r="L129" s="71" t="n"/>
      <c r="M129" s="71" t="n"/>
      <c r="N129" s="71" t="n"/>
      <c r="O129" s="104" t="inlineStr">
        <is>
          <t>–</t>
        </is>
      </c>
    </row>
    <row r="130" outlineLevel="1" ht="16" customHeight="1">
      <c r="A130" s="100" t="inlineStr">
        <is>
          <t xml:space="preserve">  ▸ DOCUMENT</t>
        </is>
      </c>
      <c r="B130" s="102" t="n"/>
      <c r="C130" s="102" t="n"/>
      <c r="D130" s="102" t="n"/>
      <c r="E130" s="102" t="n"/>
      <c r="F130" s="102" t="n"/>
      <c r="G130" s="102" t="n"/>
      <c r="H130" s="102" t="n"/>
      <c r="I130" s="102" t="n"/>
      <c r="J130" s="102" t="n"/>
      <c r="K130" s="102" t="n"/>
      <c r="L130" s="102" t="n"/>
      <c r="M130" s="102" t="n"/>
      <c r="N130" s="102" t="n"/>
      <c r="O130" s="102" t="n"/>
    </row>
    <row r="131" outlineLevel="2" ht="15" customHeight="1">
      <c r="A131" s="69" t="inlineStr">
        <is>
          <t xml:space="preserve">      Invoice No.</t>
        </is>
      </c>
      <c r="B131" s="76">
        <f>IF('Final Calculation Sheet'!$AE$15="","",'Final Calculation Sheet'!$AE$15)</f>
        <v/>
      </c>
      <c r="C131" s="71" t="n"/>
      <c r="D131" s="71" t="n"/>
      <c r="E131" s="71" t="n"/>
      <c r="F131" s="71" t="n"/>
      <c r="G131" s="71" t="n"/>
      <c r="H131" s="71" t="n"/>
      <c r="I131" s="71" t="n"/>
      <c r="J131" s="71" t="n"/>
      <c r="K131" s="71" t="n"/>
      <c r="L131" s="71" t="n"/>
      <c r="M131" s="71" t="n"/>
      <c r="N131" s="71" t="n"/>
      <c r="O131" s="104" t="inlineStr">
        <is>
          <t>–</t>
        </is>
      </c>
    </row>
    <row r="132" outlineLevel="2" ht="15" customHeight="1">
      <c r="A132" s="69" t="inlineStr">
        <is>
          <t xml:space="preserve">      SAP Document</t>
        </is>
      </c>
      <c r="B132" s="70">
        <f>IF('Final Calculation Sheet'!$AF$15="","",'Final Calculation Sheet'!$AF$15)</f>
        <v/>
      </c>
      <c r="C132" s="71" t="n"/>
      <c r="D132" s="71" t="n"/>
      <c r="E132" s="71" t="n"/>
      <c r="F132" s="71" t="n"/>
      <c r="G132" s="71" t="n"/>
      <c r="H132" s="71" t="n"/>
      <c r="I132" s="71" t="n"/>
      <c r="J132" s="71" t="n"/>
      <c r="K132" s="71" t="n"/>
      <c r="L132" s="71" t="n"/>
      <c r="M132" s="71" t="n"/>
      <c r="N132" s="71" t="n"/>
      <c r="O132" s="104" t="inlineStr">
        <is>
          <t>–</t>
        </is>
      </c>
    </row>
    <row r="133" outlineLevel="2" ht="15" customHeight="1">
      <c r="A133" s="69" t="inlineStr">
        <is>
          <t xml:space="preserve">      Doc./Invoice Date</t>
        </is>
      </c>
      <c r="B133" s="76">
        <f>IF('Final Calculation Sheet'!$AG$15="","",'Final Calculation Sheet'!$AG$15)</f>
        <v/>
      </c>
      <c r="C133" s="71" t="n"/>
      <c r="D133" s="71" t="n"/>
      <c r="E133" s="71" t="n"/>
      <c r="F133" s="71" t="n"/>
      <c r="G133" s="71" t="n"/>
      <c r="H133" s="71" t="n"/>
      <c r="I133" s="71" t="n"/>
      <c r="J133" s="71" t="n"/>
      <c r="K133" s="71" t="n"/>
      <c r="L133" s="71" t="n"/>
      <c r="M133" s="71" t="n"/>
      <c r="N133" s="71" t="n"/>
      <c r="O133" s="104" t="inlineStr">
        <is>
          <t>–</t>
        </is>
      </c>
    </row>
    <row r="134" ht="7" customHeight="1">
      <c r="A134" s="82" t="n"/>
      <c r="B134" s="82" t="n"/>
      <c r="C134" s="82" t="n"/>
      <c r="D134" s="82" t="n"/>
      <c r="E134" s="82" t="n"/>
      <c r="F134" s="82" t="n"/>
      <c r="G134" s="82" t="n"/>
      <c r="H134" s="82" t="n"/>
      <c r="I134" s="82" t="n"/>
      <c r="J134" s="82" t="n"/>
      <c r="K134" s="82" t="n"/>
      <c r="L134" s="82" t="n"/>
      <c r="M134" s="82" t="n"/>
      <c r="N134" s="82" t="n"/>
      <c r="O134" s="82" t="n"/>
    </row>
    <row r="135" ht="24" customHeight="1">
      <c r="A135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</row>
    <row r="136" outlineLevel="1" ht="18" customHeight="1">
      <c r="A136" s="109" t="inlineStr">
        <is>
          <t xml:space="preserve">   Lot No. →</t>
        </is>
      </c>
      <c r="B136" s="110">
        <f>IF('Final Calculation Sheet'!$F$38="","",'Final Calculation Sheet'!$F$38)</f>
        <v/>
      </c>
      <c r="C136" s="111" t="n"/>
      <c r="D136" s="111" t="n"/>
      <c r="E136" s="111" t="n"/>
      <c r="F136" s="111" t="n"/>
      <c r="G136" s="111" t="n"/>
      <c r="H136" s="111" t="n"/>
      <c r="I136" s="111" t="n"/>
      <c r="J136" s="111" t="n"/>
      <c r="K136" s="111" t="n"/>
      <c r="L136" s="111" t="n"/>
      <c r="M136" s="111" t="n"/>
      <c r="N136" s="111" t="n"/>
      <c r="O136" s="112" t="inlineStr">
        <is>
          <t>TOTAL</t>
        </is>
      </c>
    </row>
    <row r="137" outlineLevel="1" ht="16" customHeight="1">
      <c r="A137" s="109" t="inlineStr">
        <is>
          <t xml:space="preserve">  ▸ LOT INFORMATION</t>
        </is>
      </c>
      <c r="B137" s="111" t="n"/>
      <c r="C137" s="111" t="n"/>
      <c r="D137" s="111" t="n"/>
      <c r="E137" s="111" t="n"/>
      <c r="F137" s="111" t="n"/>
      <c r="G137" s="111" t="n"/>
      <c r="H137" s="111" t="n"/>
      <c r="I137" s="111" t="n"/>
      <c r="J137" s="111" t="n"/>
      <c r="K137" s="111" t="n"/>
      <c r="L137" s="111" t="n"/>
      <c r="M137" s="111" t="n"/>
      <c r="N137" s="111" t="n"/>
      <c r="O137" s="111" t="n"/>
    </row>
    <row r="138" outlineLevel="2" ht="15" customHeight="1">
      <c r="A138" s="69" t="inlineStr">
        <is>
          <t xml:space="preserve">      Lot No.</t>
        </is>
      </c>
      <c r="B138" s="70">
        <f>IF('Final Calculation Sheet'!$F$38="","",'Final Calculation Sheet'!$F$38)</f>
        <v/>
      </c>
      <c r="C138" s="71" t="n"/>
      <c r="D138" s="71" t="n"/>
      <c r="E138" s="71" t="n"/>
      <c r="F138" s="71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113" t="inlineStr">
        <is>
          <t>–</t>
        </is>
      </c>
    </row>
    <row r="139" outlineLevel="2" ht="60" customHeight="1">
      <c r="A139" s="69" t="inlineStr">
        <is>
          <t xml:space="preserve">      Lot Name</t>
        </is>
      </c>
      <c r="B139" s="73">
        <f>IF('Final Calculation Sheet'!$B$38="","",'Final Calculation Sheet'!$B$38)</f>
        <v/>
      </c>
      <c r="C139" s="71" t="n"/>
      <c r="D139" s="71" t="n"/>
      <c r="E139" s="71" t="n"/>
      <c r="F139" s="71" t="n"/>
      <c r="G139" s="71" t="n"/>
      <c r="H139" s="71" t="n"/>
      <c r="I139" s="71" t="n"/>
      <c r="J139" s="71" t="n"/>
      <c r="K139" s="71" t="n"/>
      <c r="L139" s="71" t="n"/>
      <c r="M139" s="71" t="n"/>
      <c r="N139" s="71" t="n"/>
      <c r="O139" s="113" t="inlineStr">
        <is>
          <t>–</t>
        </is>
      </c>
    </row>
    <row r="140" outlineLevel="2" ht="15" customHeight="1">
      <c r="A140" s="69" t="inlineStr">
        <is>
          <t xml:space="preserve">      Bid Sheet / Auction</t>
        </is>
      </c>
      <c r="B140" s="70">
        <f>IF('Final Calculation Sheet'!$D$38="","",'Final Calculation Sheet'!$D$38)</f>
        <v/>
      </c>
      <c r="C140" s="71" t="n"/>
      <c r="D140" s="71" t="n"/>
      <c r="E140" s="71" t="n"/>
      <c r="F140" s="71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113" t="inlineStr">
        <is>
          <t>–</t>
        </is>
      </c>
    </row>
    <row r="141" outlineLevel="2" ht="15" customHeight="1">
      <c r="A141" s="69" t="inlineStr">
        <is>
          <t xml:space="preserve">      Quantity</t>
        </is>
      </c>
      <c r="B141" s="74">
        <f>IF('Final Calculation Sheet'!$A$38="","",'Final Calculation Sheet'!$A$38)</f>
        <v/>
      </c>
      <c r="C141" s="71" t="n"/>
      <c r="D141" s="71" t="n"/>
      <c r="E141" s="71" t="n"/>
      <c r="F141" s="71" t="n"/>
      <c r="G141" s="71" t="n"/>
      <c r="H141" s="71" t="n"/>
      <c r="I141" s="71" t="n"/>
      <c r="J141" s="71" t="n"/>
      <c r="K141" s="71" t="n"/>
      <c r="L141" s="71" t="n"/>
      <c r="M141" s="71" t="n"/>
      <c r="N141" s="71" t="n"/>
      <c r="O141" s="114">
        <f>SUM(B141:N141)</f>
        <v/>
      </c>
    </row>
    <row r="142" outlineLevel="2" ht="15" customHeight="1">
      <c r="A142" s="69" t="inlineStr">
        <is>
          <t xml:space="preserve">      Unit</t>
        </is>
      </c>
      <c r="B142" s="76">
        <f>IF('Final Calculation Sheet'!$E$38="","",'Final Calculation Sheet'!$E$38)</f>
        <v/>
      </c>
      <c r="C142" s="71" t="n"/>
      <c r="D142" s="71" t="n"/>
      <c r="E142" s="71" t="n"/>
      <c r="F142" s="71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113" t="inlineStr">
        <is>
          <t>–</t>
        </is>
      </c>
    </row>
    <row r="143" outlineLevel="2" ht="15" customHeight="1">
      <c r="A143" s="69" t="inlineStr">
        <is>
          <t xml:space="preserve">      Rate (₹)</t>
        </is>
      </c>
      <c r="B143" s="70">
        <f>IF('Final Calculation Sheet'!$C$38="","",'Final Calculation Sheet'!$C$38)</f>
        <v/>
      </c>
      <c r="C143" s="71" t="n"/>
      <c r="D143" s="71" t="n"/>
      <c r="E143" s="71" t="n"/>
      <c r="F143" s="71" t="n"/>
      <c r="G143" s="71" t="n"/>
      <c r="H143" s="71" t="n"/>
      <c r="I143" s="71" t="n"/>
      <c r="J143" s="71" t="n"/>
      <c r="K143" s="71" t="n"/>
      <c r="L143" s="71" t="n"/>
      <c r="M143" s="71" t="n"/>
      <c r="N143" s="71" t="n"/>
      <c r="O143" s="113" t="inlineStr">
        <is>
          <t>–</t>
        </is>
      </c>
    </row>
    <row r="144" outlineLevel="1" ht="16" customHeight="1">
      <c r="A144" s="109" t="inlineStr">
        <is>
          <t xml:space="preserve">  ▸ FINANCIALS</t>
        </is>
      </c>
      <c r="B144" s="111" t="n"/>
      <c r="C144" s="111" t="n"/>
      <c r="D144" s="111" t="n"/>
      <c r="E144" s="111" t="n"/>
      <c r="F144" s="111" t="n"/>
      <c r="G144" s="111" t="n"/>
      <c r="H144" s="111" t="n"/>
      <c r="I144" s="111" t="n"/>
      <c r="J144" s="111" t="n"/>
      <c r="K144" s="111" t="n"/>
      <c r="L144" s="111" t="n"/>
      <c r="M144" s="111" t="n"/>
      <c r="N144" s="111" t="n"/>
      <c r="O144" s="111" t="n"/>
    </row>
    <row r="145" outlineLevel="2" ht="15" customHeight="1">
      <c r="A145" s="69" t="inlineStr">
        <is>
          <t xml:space="preserve">      Mat. Value (₹)</t>
        </is>
      </c>
      <c r="B145" s="70">
        <f>IF('Final Calculation Sheet'!$H$38="","",'Final Calculation Sheet'!$H$38)</f>
        <v/>
      </c>
      <c r="C145" s="71" t="n"/>
      <c r="D145" s="71" t="n"/>
      <c r="E145" s="71" t="n"/>
      <c r="F145" s="71" t="n"/>
      <c r="G145" s="71" t="n"/>
      <c r="H145" s="71" t="n"/>
      <c r="I145" s="71" t="n"/>
      <c r="J145" s="71" t="n"/>
      <c r="K145" s="71" t="n"/>
      <c r="L145" s="71" t="n"/>
      <c r="M145" s="71" t="n"/>
      <c r="N145" s="71" t="n"/>
      <c r="O145" s="115">
        <f>SUM(B145:N145)</f>
        <v/>
      </c>
    </row>
    <row r="146" outlineLevel="2" ht="15" customHeight="1">
      <c r="A146" s="69" t="inlineStr">
        <is>
          <t xml:space="preserve">      GST @ 18% (₹)</t>
        </is>
      </c>
      <c r="B146" s="70">
        <f>IF('Final Calculation Sheet'!$I$38="","",'Final Calculation Sheet'!$I$38)</f>
        <v/>
      </c>
      <c r="C146" s="71" t="n"/>
      <c r="D146" s="71" t="n"/>
      <c r="E146" s="71" t="n"/>
      <c r="F146" s="71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115">
        <f>SUM(B146:N146)</f>
        <v/>
      </c>
    </row>
    <row r="147" outlineLevel="2" ht="15" customHeight="1">
      <c r="A147" s="69" t="inlineStr">
        <is>
          <t xml:space="preserve">      Mat. Value + GST (₹)</t>
        </is>
      </c>
      <c r="B147" s="70">
        <f>IF('Final Calculation Sheet'!$J$38="","",'Final Calculation Sheet'!$J$38)</f>
        <v/>
      </c>
      <c r="C147" s="71" t="n"/>
      <c r="D147" s="71" t="n"/>
      <c r="E147" s="71" t="n"/>
      <c r="F147" s="71" t="n"/>
      <c r="G147" s="71" t="n"/>
      <c r="H147" s="71" t="n"/>
      <c r="I147" s="71" t="n"/>
      <c r="J147" s="71" t="n"/>
      <c r="K147" s="71" t="n"/>
      <c r="L147" s="71" t="n"/>
      <c r="M147" s="71" t="n"/>
      <c r="N147" s="71" t="n"/>
      <c r="O147" s="115">
        <f>SUM(B147:N147)</f>
        <v/>
      </c>
    </row>
    <row r="148" outlineLevel="2" ht="15" customHeight="1">
      <c r="A148" s="69" t="inlineStr">
        <is>
          <t xml:space="preserve">      TCS @ 2% (₹)</t>
        </is>
      </c>
      <c r="B148" s="70">
        <f>IF('Final Calculation Sheet'!$K$38="","",'Final Calculation Sheet'!$K$38)</f>
        <v/>
      </c>
      <c r="C148" s="71" t="n"/>
      <c r="D148" s="71" t="n"/>
      <c r="E148" s="71" t="n"/>
      <c r="F148" s="71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115">
        <f>SUM(B148:N148)</f>
        <v/>
      </c>
    </row>
    <row r="149" outlineLevel="2" ht="15" customHeight="1">
      <c r="A149" s="69" t="inlineStr">
        <is>
          <t xml:space="preserve">      TDS u/s 194(O) (₹)</t>
        </is>
      </c>
      <c r="B149" s="78">
        <f>IF('Final Calculation Sheet'!$L$38="","",'Final Calculation Sheet'!$L$38)</f>
        <v/>
      </c>
      <c r="C149" s="71" t="n"/>
      <c r="D149" s="71" t="n"/>
      <c r="E149" s="71" t="n"/>
      <c r="F149" s="71" t="n"/>
      <c r="G149" s="71" t="n"/>
      <c r="H149" s="71" t="n"/>
      <c r="I149" s="71" t="n"/>
      <c r="J149" s="71" t="n"/>
      <c r="K149" s="71" t="n"/>
      <c r="L149" s="71" t="n"/>
      <c r="M149" s="71" t="n"/>
      <c r="N149" s="71" t="n"/>
      <c r="O149" s="116">
        <f>SUM(B149:N149)</f>
        <v/>
      </c>
    </row>
    <row r="150" outlineLevel="2" ht="15" customHeight="1">
      <c r="A150" s="69" t="inlineStr">
        <is>
          <t xml:space="preserve">      Service Charge gross (₹)</t>
        </is>
      </c>
      <c r="B150" s="78">
        <f>IF('Final Calculation Sheet'!$M$38="","",'Final Calculation Sheet'!$M$38)</f>
        <v/>
      </c>
      <c r="C150" s="71" t="n"/>
      <c r="D150" s="71" t="n"/>
      <c r="E150" s="71" t="n"/>
      <c r="F150" s="71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116">
        <f>SUM(B150:N150)</f>
        <v/>
      </c>
    </row>
    <row r="151" outlineLevel="2" ht="15" customHeight="1">
      <c r="A151" s="69" t="inlineStr">
        <is>
          <t xml:space="preserve">      TDS u/s 194(H) (₹)</t>
        </is>
      </c>
      <c r="B151" s="78">
        <f>IF('Final Calculation Sheet'!$N$38="","",'Final Calculation Sheet'!$N$38)</f>
        <v/>
      </c>
      <c r="C151" s="71" t="n"/>
      <c r="D151" s="71" t="n"/>
      <c r="E151" s="71" t="n"/>
      <c r="F151" s="71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116">
        <f>SUM(B151:N151)</f>
        <v/>
      </c>
    </row>
    <row r="152" outlineLevel="2" ht="15" customHeight="1">
      <c r="A152" s="69" t="inlineStr">
        <is>
          <t xml:space="preserve">      Net Service Charge (₹)</t>
        </is>
      </c>
      <c r="B152" s="78">
        <f>IF('Final Calculation Sheet'!$O$38="","",'Final Calculation Sheet'!$O$38)</f>
        <v/>
      </c>
      <c r="C152" s="71" t="n"/>
      <c r="D152" s="71" t="n"/>
      <c r="E152" s="71" t="n"/>
      <c r="F152" s="71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116">
        <f>SUM(B152:N152)</f>
        <v/>
      </c>
    </row>
    <row r="153" outlineLevel="2" ht="15" customHeight="1">
      <c r="A153" s="69" t="inlineStr">
        <is>
          <t xml:space="preserve">      Svc Charge to MSTC (₹)</t>
        </is>
      </c>
      <c r="B153" s="70">
        <f>IF('Final Calculation Sheet'!$P$38="","",'Final Calculation Sheet'!$P$38)</f>
        <v/>
      </c>
      <c r="C153" s="71" t="n"/>
      <c r="D153" s="71" t="n"/>
      <c r="E153" s="71" t="n"/>
      <c r="F153" s="71" t="n"/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115">
        <f>SUM(B153:N153)</f>
        <v/>
      </c>
    </row>
    <row r="154" outlineLevel="2" ht="15" customHeight="1">
      <c r="A154" s="69" t="inlineStr">
        <is>
          <t xml:space="preserve">      GST TDS Rate</t>
        </is>
      </c>
      <c r="B154" s="80">
        <f>IF('Final Calculation Sheet'!$Q$38="","",'Final Calculation Sheet'!$Q$38)</f>
        <v/>
      </c>
      <c r="C154" s="71" t="n"/>
      <c r="D154" s="71" t="n"/>
      <c r="E154" s="71" t="n"/>
      <c r="F154" s="71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113" t="inlineStr">
        <is>
          <t>–</t>
        </is>
      </c>
    </row>
    <row r="155" outlineLevel="2" ht="15" customHeight="1">
      <c r="A155" s="69" t="inlineStr">
        <is>
          <t xml:space="preserve">      GST TDS (₹)</t>
        </is>
      </c>
      <c r="B155" s="70">
        <f>IF('Final Calculation Sheet'!$R$38="","",'Final Calculation Sheet'!$R$38)</f>
        <v/>
      </c>
      <c r="C155" s="71" t="n"/>
      <c r="D155" s="71" t="n"/>
      <c r="E155" s="71" t="n"/>
      <c r="F155" s="71" t="n"/>
      <c r="G155" s="71" t="n"/>
      <c r="H155" s="71" t="n"/>
      <c r="I155" s="71" t="n"/>
      <c r="J155" s="71" t="n"/>
      <c r="K155" s="71" t="n"/>
      <c r="L155" s="71" t="n"/>
      <c r="M155" s="71" t="n"/>
      <c r="N155" s="71" t="n"/>
      <c r="O155" s="115">
        <f>SUM(B155:N155)</f>
        <v/>
      </c>
    </row>
    <row r="156" outlineLevel="2" ht="15" customHeight="1">
      <c r="A156" s="69" t="inlineStr">
        <is>
          <t xml:space="preserve">      Total Receivables (₹)</t>
        </is>
      </c>
      <c r="B156" s="70">
        <f>IF('Final Calculation Sheet'!$S$38="","",'Final Calculation Sheet'!$S$38)</f>
        <v/>
      </c>
      <c r="C156" s="71" t="n"/>
      <c r="D156" s="71" t="n"/>
      <c r="E156" s="71" t="n"/>
      <c r="F156" s="71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115">
        <f>SUM(B156:N156)</f>
        <v/>
      </c>
    </row>
    <row r="157" outlineLevel="1" ht="16" customHeight="1">
      <c r="A157" s="109" t="inlineStr">
        <is>
          <t xml:space="preserve">  ▸ SECURITY DEPOSIT</t>
        </is>
      </c>
      <c r="B157" s="111" t="n"/>
      <c r="C157" s="111" t="n"/>
      <c r="D157" s="111" t="n"/>
      <c r="E157" s="111" t="n"/>
      <c r="F157" s="111" t="n"/>
      <c r="G157" s="111" t="n"/>
      <c r="H157" s="111" t="n"/>
      <c r="I157" s="111" t="n"/>
      <c r="J157" s="111" t="n"/>
      <c r="K157" s="111" t="n"/>
      <c r="L157" s="111" t="n"/>
      <c r="M157" s="111" t="n"/>
      <c r="N157" s="111" t="n"/>
      <c r="O157" s="111" t="n"/>
    </row>
    <row r="158" outlineLevel="2" ht="15" customHeight="1">
      <c r="A158" s="69" t="inlineStr">
        <is>
          <t xml:space="preserve">      SD Expected (₹)</t>
        </is>
      </c>
      <c r="B158" s="70">
        <f>IF('Final Calculation Sheet'!$T$38="","",'Final Calculation Sheet'!$T$38)</f>
        <v/>
      </c>
      <c r="C158" s="71" t="n"/>
      <c r="D158" s="71" t="n"/>
      <c r="E158" s="71" t="n"/>
      <c r="F158" s="71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115">
        <f>SUM(B158:N158)</f>
        <v/>
      </c>
    </row>
    <row r="159" outlineLevel="2" ht="15" customHeight="1">
      <c r="A159" s="69" t="inlineStr">
        <is>
          <t xml:space="preserve">      SD Received (₹)</t>
        </is>
      </c>
      <c r="B159" s="70">
        <f>IF('Final Calculation Sheet'!$U$38="","",'Final Calculation Sheet'!$U$38)</f>
        <v/>
      </c>
      <c r="C159" s="71" t="n"/>
      <c r="D159" s="71" t="n"/>
      <c r="E159" s="71" t="n"/>
      <c r="F159" s="71" t="n"/>
      <c r="G159" s="71" t="n"/>
      <c r="H159" s="71" t="n"/>
      <c r="I159" s="71" t="n"/>
      <c r="J159" s="71" t="n"/>
      <c r="K159" s="71" t="n"/>
      <c r="L159" s="71" t="n"/>
      <c r="M159" s="71" t="n"/>
      <c r="N159" s="71" t="n"/>
      <c r="O159" s="115">
        <f>SUM(B159:N159)</f>
        <v/>
      </c>
    </row>
    <row r="160" outlineLevel="2" ht="15" customHeight="1">
      <c r="A160" s="69" t="inlineStr">
        <is>
          <t xml:space="preserve">      SD Receipt Date</t>
        </is>
      </c>
      <c r="B160" s="76">
        <f>IF('Final Calculation Sheet'!$V$38="","",'Final Calculation Sheet'!$V$38)</f>
        <v/>
      </c>
      <c r="C160" s="71" t="n"/>
      <c r="D160" s="71" t="n"/>
      <c r="E160" s="71" t="n"/>
      <c r="F160" s="71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113" t="inlineStr">
        <is>
          <t>–</t>
        </is>
      </c>
    </row>
    <row r="161" outlineLevel="1" ht="16" customHeight="1">
      <c r="A161" s="109" t="inlineStr">
        <is>
          <t xml:space="preserve">  ▸ FINAL PAYMENT</t>
        </is>
      </c>
      <c r="B161" s="111" t="n"/>
      <c r="C161" s="111" t="n"/>
      <c r="D161" s="111" t="n"/>
      <c r="E161" s="111" t="n"/>
      <c r="F161" s="111" t="n"/>
      <c r="G161" s="111" t="n"/>
      <c r="H161" s="111" t="n"/>
      <c r="I161" s="111" t="n"/>
      <c r="J161" s="111" t="n"/>
      <c r="K161" s="111" t="n"/>
      <c r="L161" s="111" t="n"/>
      <c r="M161" s="111" t="n"/>
      <c r="N161" s="111" t="n"/>
      <c r="O161" s="111" t="n"/>
    </row>
    <row r="162" outlineLevel="2" ht="15" customHeight="1">
      <c r="A162" s="69" t="inlineStr">
        <is>
          <t xml:space="preserve">      FP Expected (₹)</t>
        </is>
      </c>
      <c r="B162" s="70">
        <f>IF('Final Calculation Sheet'!$W$38="","",'Final Calculation Sheet'!$W$38)</f>
        <v/>
      </c>
      <c r="C162" s="71" t="n"/>
      <c r="D162" s="71" t="n"/>
      <c r="E162" s="71" t="n"/>
      <c r="F162" s="71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115">
        <f>SUM(B162:N162)</f>
        <v/>
      </c>
    </row>
    <row r="163" outlineLevel="2" ht="15" customHeight="1">
      <c r="A163" s="69" t="inlineStr">
        <is>
          <t xml:space="preserve">      FP Received (₹)</t>
        </is>
      </c>
      <c r="B163" s="70">
        <f>IF('Final Calculation Sheet'!$X$38="","",'Final Calculation Sheet'!$X$38)</f>
        <v/>
      </c>
      <c r="C163" s="71" t="n"/>
      <c r="D163" s="71" t="n"/>
      <c r="E163" s="71" t="n"/>
      <c r="F163" s="71" t="n"/>
      <c r="G163" s="71" t="n"/>
      <c r="H163" s="71" t="n"/>
      <c r="I163" s="71" t="n"/>
      <c r="J163" s="71" t="n"/>
      <c r="K163" s="71" t="n"/>
      <c r="L163" s="71" t="n"/>
      <c r="M163" s="71" t="n"/>
      <c r="N163" s="71" t="n"/>
      <c r="O163" s="115">
        <f>SUM(B163:N163)</f>
        <v/>
      </c>
    </row>
    <row r="164" outlineLevel="2" ht="15" customHeight="1">
      <c r="A164" s="69" t="inlineStr">
        <is>
          <t xml:space="preserve">      FP Receipt Date</t>
        </is>
      </c>
      <c r="B164" s="76">
        <f>IF('Final Calculation Sheet'!$Y$38="","",'Final Calculation Sheet'!$Y$38)</f>
        <v/>
      </c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113" t="inlineStr">
        <is>
          <t>–</t>
        </is>
      </c>
    </row>
    <row r="165" outlineLevel="1" ht="16" customHeight="1">
      <c r="A165" s="109" t="inlineStr">
        <is>
          <t xml:space="preserve">  ▸ LPP</t>
        </is>
      </c>
      <c r="B165" s="111" t="n"/>
      <c r="C165" s="111" t="n"/>
      <c r="D165" s="111" t="n"/>
      <c r="E165" s="111" t="n"/>
      <c r="F165" s="111" t="n"/>
      <c r="G165" s="111" t="n"/>
      <c r="H165" s="111" t="n"/>
      <c r="I165" s="111" t="n"/>
      <c r="J165" s="111" t="n"/>
      <c r="K165" s="111" t="n"/>
      <c r="L165" s="111" t="n"/>
      <c r="M165" s="111" t="n"/>
      <c r="N165" s="111" t="n"/>
      <c r="O165" s="111" t="n"/>
    </row>
    <row r="166" outlineLevel="2" ht="15" customHeight="1">
      <c r="A166" s="69" t="inlineStr">
        <is>
          <t xml:space="preserve">      LPP Expected (₹)</t>
        </is>
      </c>
      <c r="B166" s="70">
        <f>IF('Final Calculation Sheet'!$Z$38="","",'Final Calculation Sheet'!$Z$38)</f>
        <v/>
      </c>
      <c r="C166" s="71" t="n"/>
      <c r="D166" s="71" t="n"/>
      <c r="E166" s="71" t="n"/>
      <c r="F166" s="71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115">
        <f>SUM(B166:N166)</f>
        <v/>
      </c>
    </row>
    <row r="167" outlineLevel="2" ht="15" customHeight="1">
      <c r="A167" s="69" t="inlineStr">
        <is>
          <t xml:space="preserve">      LPP Received (₹)</t>
        </is>
      </c>
      <c r="B167" s="70">
        <f>IF('Final Calculation Sheet'!$AA$38="","",'Final Calculation Sheet'!$AA$38)</f>
        <v/>
      </c>
      <c r="C167" s="71" t="n"/>
      <c r="D167" s="71" t="n"/>
      <c r="E167" s="71" t="n"/>
      <c r="F167" s="71" t="n"/>
      <c r="G167" s="71" t="n"/>
      <c r="H167" s="71" t="n"/>
      <c r="I167" s="71" t="n"/>
      <c r="J167" s="71" t="n"/>
      <c r="K167" s="71" t="n"/>
      <c r="L167" s="71" t="n"/>
      <c r="M167" s="71" t="n"/>
      <c r="N167" s="71" t="n"/>
      <c r="O167" s="115">
        <f>SUM(B167:N167)</f>
        <v/>
      </c>
    </row>
    <row r="168" outlineLevel="2" ht="15" customHeight="1">
      <c r="A168" s="69" t="inlineStr">
        <is>
          <t xml:space="preserve">      LPP Receipt Date</t>
        </is>
      </c>
      <c r="B168" s="76">
        <f>IF('Final Calculation Sheet'!$AB$38="","",'Final Calculation Sheet'!$AB$38)</f>
        <v/>
      </c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113" t="inlineStr">
        <is>
          <t>–</t>
        </is>
      </c>
    </row>
    <row r="169" outlineLevel="1" ht="16" customHeight="1">
      <c r="A169" s="109" t="inlineStr">
        <is>
          <t xml:space="preserve">  ▸ SUMMARY</t>
        </is>
      </c>
      <c r="B169" s="111" t="n"/>
      <c r="C169" s="111" t="n"/>
      <c r="D169" s="111" t="n"/>
      <c r="E169" s="111" t="n"/>
      <c r="F169" s="111" t="n"/>
      <c r="G169" s="111" t="n"/>
      <c r="H169" s="111" t="n"/>
      <c r="I169" s="111" t="n"/>
      <c r="J169" s="111" t="n"/>
      <c r="K169" s="111" t="n"/>
      <c r="L169" s="111" t="n"/>
      <c r="M169" s="111" t="n"/>
      <c r="N169" s="111" t="n"/>
      <c r="O169" s="111" t="n"/>
    </row>
    <row r="170" outlineLevel="2" ht="15" customHeight="1">
      <c r="A170" s="69" t="inlineStr">
        <is>
          <t xml:space="preserve">      Total Received (₹)</t>
        </is>
      </c>
      <c r="B170" s="70">
        <f>IF('Final Calculation Sheet'!$AC$38="","",'Final Calculation Sheet'!$AC$38)</f>
        <v/>
      </c>
      <c r="C170" s="71" t="n"/>
      <c r="D170" s="71" t="n"/>
      <c r="E170" s="71" t="n"/>
      <c r="F170" s="71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115">
        <f>SUM(B170:N170)</f>
        <v/>
      </c>
    </row>
    <row r="171" outlineLevel="2" ht="15" customHeight="1">
      <c r="A171" s="69" t="inlineStr">
        <is>
          <t xml:space="preserve">      Outstanding (₹)</t>
        </is>
      </c>
      <c r="B171" s="70">
        <f>IF('Final Calculation Sheet'!$AD$38="","",'Final Calculation Sheet'!$AD$38)</f>
        <v/>
      </c>
      <c r="C171" s="71" t="n"/>
      <c r="D171" s="71" t="n"/>
      <c r="E171" s="71" t="n"/>
      <c r="F171" s="71" t="n"/>
      <c r="G171" s="71" t="n"/>
      <c r="H171" s="71" t="n"/>
      <c r="I171" s="71" t="n"/>
      <c r="J171" s="71" t="n"/>
      <c r="K171" s="71" t="n"/>
      <c r="L171" s="71" t="n"/>
      <c r="M171" s="71" t="n"/>
      <c r="N171" s="71" t="n"/>
      <c r="O171" s="115">
        <f>SUM(B171:N171)</f>
        <v/>
      </c>
    </row>
    <row r="172" outlineLevel="2" ht="15" customHeight="1">
      <c r="A172" s="69" t="inlineStr">
        <is>
          <t xml:space="preserve">      Payment Status</t>
        </is>
      </c>
      <c r="B172" s="81">
        <f>IF('Final Calculation Sheet'!$AD$38="","",IF('Final Calculation Sheet'!$AD$38&lt;=0,"SETTLED","OUTSTANDING"))</f>
        <v/>
      </c>
      <c r="C172" s="71" t="n"/>
      <c r="D172" s="71" t="n"/>
      <c r="E172" s="71" t="n"/>
      <c r="F172" s="71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113" t="inlineStr">
        <is>
          <t>–</t>
        </is>
      </c>
    </row>
    <row r="173" outlineLevel="1" ht="16" customHeight="1">
      <c r="A173" s="109" t="inlineStr">
        <is>
          <t xml:space="preserve">  ▸ DOCUMENT</t>
        </is>
      </c>
      <c r="B173" s="111" t="n"/>
      <c r="C173" s="111" t="n"/>
      <c r="D173" s="111" t="n"/>
      <c r="E173" s="111" t="n"/>
      <c r="F173" s="111" t="n"/>
      <c r="G173" s="111" t="n"/>
      <c r="H173" s="111" t="n"/>
      <c r="I173" s="111" t="n"/>
      <c r="J173" s="111" t="n"/>
      <c r="K173" s="111" t="n"/>
      <c r="L173" s="111" t="n"/>
      <c r="M173" s="111" t="n"/>
      <c r="N173" s="111" t="n"/>
      <c r="O173" s="111" t="n"/>
    </row>
    <row r="174" outlineLevel="2" ht="15" customHeight="1">
      <c r="A174" s="69" t="inlineStr">
        <is>
          <t xml:space="preserve">      Invoice No.</t>
        </is>
      </c>
      <c r="B174" s="76">
        <f>IF('Final Calculation Sheet'!$AE$38="","",'Final Calculation Sheet'!$AE$38)</f>
        <v/>
      </c>
      <c r="C174" s="71" t="n"/>
      <c r="D174" s="71" t="n"/>
      <c r="E174" s="71" t="n"/>
      <c r="F174" s="71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113" t="inlineStr">
        <is>
          <t>–</t>
        </is>
      </c>
    </row>
    <row r="175" outlineLevel="2" ht="15" customHeight="1">
      <c r="A175" s="69" t="inlineStr">
        <is>
          <t xml:space="preserve">      SAP Document</t>
        </is>
      </c>
      <c r="B175" s="70">
        <f>IF('Final Calculation Sheet'!$AF$38="","",'Final Calculation Sheet'!$AF$38)</f>
        <v/>
      </c>
      <c r="C175" s="71" t="n"/>
      <c r="D175" s="71" t="n"/>
      <c r="E175" s="71" t="n"/>
      <c r="F175" s="71" t="n"/>
      <c r="G175" s="71" t="n"/>
      <c r="H175" s="71" t="n"/>
      <c r="I175" s="71" t="n"/>
      <c r="J175" s="71" t="n"/>
      <c r="K175" s="71" t="n"/>
      <c r="L175" s="71" t="n"/>
      <c r="M175" s="71" t="n"/>
      <c r="N175" s="71" t="n"/>
      <c r="O175" s="113" t="inlineStr">
        <is>
          <t>–</t>
        </is>
      </c>
    </row>
    <row r="176" outlineLevel="2" ht="15" customHeight="1">
      <c r="A176" s="69" t="inlineStr">
        <is>
          <t xml:space="preserve">      Doc./Invoice Date</t>
        </is>
      </c>
      <c r="B176" s="76">
        <f>IF('Final Calculation Sheet'!$AG$38="","",'Final Calculation Sheet'!$AG$38)</f>
        <v/>
      </c>
      <c r="C176" s="71" t="n"/>
      <c r="D176" s="71" t="n"/>
      <c r="E176" s="71" t="n"/>
      <c r="F176" s="71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113" t="inlineStr">
        <is>
          <t>–</t>
        </is>
      </c>
    </row>
    <row r="177" ht="7" customHeight="1">
      <c r="A177" s="82" t="n"/>
      <c r="B177" s="82" t="n"/>
      <c r="C177" s="82" t="n"/>
      <c r="D177" s="82" t="n"/>
      <c r="E177" s="82" t="n"/>
      <c r="F177" s="82" t="n"/>
      <c r="G177" s="82" t="n"/>
      <c r="H177" s="82" t="n"/>
      <c r="I177" s="82" t="n"/>
      <c r="J177" s="82" t="n"/>
      <c r="K177" s="82" t="n"/>
      <c r="L177" s="82" t="n"/>
      <c r="M177" s="82" t="n"/>
      <c r="N177" s="82" t="n"/>
      <c r="O177" s="82" t="n"/>
    </row>
    <row r="178" ht="24" customHeight="1">
      <c r="A178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</row>
    <row r="179" outlineLevel="1" ht="18" customHeight="1">
      <c r="A179" s="118" t="inlineStr">
        <is>
          <t xml:space="preserve">   Lot No. →</t>
        </is>
      </c>
      <c r="B179" s="119">
        <f>IF('Final Calculation Sheet'!$F$27="","",'Final Calculation Sheet'!$F$27)</f>
        <v/>
      </c>
      <c r="C179" s="120" t="n"/>
      <c r="D179" s="120" t="n"/>
      <c r="E179" s="120" t="n"/>
      <c r="F179" s="120" t="n"/>
      <c r="G179" s="120" t="n"/>
      <c r="H179" s="120" t="n"/>
      <c r="I179" s="120" t="n"/>
      <c r="J179" s="120" t="n"/>
      <c r="K179" s="120" t="n"/>
      <c r="L179" s="120" t="n"/>
      <c r="M179" s="120" t="n"/>
      <c r="N179" s="120" t="n"/>
      <c r="O179" s="121" t="inlineStr">
        <is>
          <t>TOTAL</t>
        </is>
      </c>
    </row>
    <row r="180" outlineLevel="1" ht="16" customHeight="1">
      <c r="A180" s="118" t="inlineStr">
        <is>
          <t xml:space="preserve">  ▸ LOT INFORMATION</t>
        </is>
      </c>
      <c r="B180" s="120" t="n"/>
      <c r="C180" s="120" t="n"/>
      <c r="D180" s="120" t="n"/>
      <c r="E180" s="120" t="n"/>
      <c r="F180" s="120" t="n"/>
      <c r="G180" s="120" t="n"/>
      <c r="H180" s="120" t="n"/>
      <c r="I180" s="120" t="n"/>
      <c r="J180" s="120" t="n"/>
      <c r="K180" s="120" t="n"/>
      <c r="L180" s="120" t="n"/>
      <c r="M180" s="120" t="n"/>
      <c r="N180" s="120" t="n"/>
      <c r="O180" s="120" t="n"/>
    </row>
    <row r="181" outlineLevel="2" ht="15" customHeight="1">
      <c r="A181" s="69" t="inlineStr">
        <is>
          <t xml:space="preserve">      Lot No.</t>
        </is>
      </c>
      <c r="B181" s="70">
        <f>IF('Final Calculation Sheet'!$F$27="","",'Final Calculation Sheet'!$F$27)</f>
        <v/>
      </c>
      <c r="C181" s="71" t="n"/>
      <c r="D181" s="71" t="n"/>
      <c r="E181" s="71" t="n"/>
      <c r="F181" s="71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122" t="inlineStr">
        <is>
          <t>–</t>
        </is>
      </c>
    </row>
    <row r="182" outlineLevel="2" ht="60" customHeight="1">
      <c r="A182" s="69" t="inlineStr">
        <is>
          <t xml:space="preserve">      Lot Name</t>
        </is>
      </c>
      <c r="B182" s="73">
        <f>IF('Final Calculation Sheet'!$B$27="","",'Final Calculation Sheet'!$B$27)</f>
        <v/>
      </c>
      <c r="C182" s="71" t="n"/>
      <c r="D182" s="71" t="n"/>
      <c r="E182" s="71" t="n"/>
      <c r="F182" s="71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122" t="inlineStr">
        <is>
          <t>–</t>
        </is>
      </c>
    </row>
    <row r="183" outlineLevel="2" ht="15" customHeight="1">
      <c r="A183" s="69" t="inlineStr">
        <is>
          <t xml:space="preserve">      Bid Sheet / Auction</t>
        </is>
      </c>
      <c r="B183" s="70">
        <f>IF('Final Calculation Sheet'!$D$27="","",'Final Calculation Sheet'!$D$27)</f>
        <v/>
      </c>
      <c r="C183" s="71" t="n"/>
      <c r="D183" s="71" t="n"/>
      <c r="E183" s="71" t="n"/>
      <c r="F183" s="71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122" t="inlineStr">
        <is>
          <t>–</t>
        </is>
      </c>
    </row>
    <row r="184" outlineLevel="2" ht="15" customHeight="1">
      <c r="A184" s="69" t="inlineStr">
        <is>
          <t xml:space="preserve">      Quantity</t>
        </is>
      </c>
      <c r="B184" s="74">
        <f>IF('Final Calculation Sheet'!$A$27="","",'Final Calculation Sheet'!$A$27)</f>
        <v/>
      </c>
      <c r="C184" s="71" t="n"/>
      <c r="D184" s="71" t="n"/>
      <c r="E184" s="71" t="n"/>
      <c r="F184" s="71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123">
        <f>SUM(B184:N184)</f>
        <v/>
      </c>
    </row>
    <row r="185" outlineLevel="2" ht="15" customHeight="1">
      <c r="A185" s="69" t="inlineStr">
        <is>
          <t xml:space="preserve">      Unit</t>
        </is>
      </c>
      <c r="B185" s="76">
        <f>IF('Final Calculation Sheet'!$E$27="","",'Final Calculation Sheet'!$E$27)</f>
        <v/>
      </c>
      <c r="C185" s="71" t="n"/>
      <c r="D185" s="71" t="n"/>
      <c r="E185" s="71" t="n"/>
      <c r="F185" s="71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122" t="inlineStr">
        <is>
          <t>–</t>
        </is>
      </c>
    </row>
    <row r="186" outlineLevel="2" ht="15" customHeight="1">
      <c r="A186" s="69" t="inlineStr">
        <is>
          <t xml:space="preserve">      Rate (₹)</t>
        </is>
      </c>
      <c r="B186" s="70">
        <f>IF('Final Calculation Sheet'!$C$27="","",'Final Calculation Sheet'!$C$27)</f>
        <v/>
      </c>
      <c r="C186" s="71" t="n"/>
      <c r="D186" s="71" t="n"/>
      <c r="E186" s="71" t="n"/>
      <c r="F186" s="71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122" t="inlineStr">
        <is>
          <t>–</t>
        </is>
      </c>
    </row>
    <row r="187" outlineLevel="1" ht="16" customHeight="1">
      <c r="A187" s="118" t="inlineStr">
        <is>
          <t xml:space="preserve">  ▸ FINANCIALS</t>
        </is>
      </c>
      <c r="B187" s="120" t="n"/>
      <c r="C187" s="120" t="n"/>
      <c r="D187" s="120" t="n"/>
      <c r="E187" s="120" t="n"/>
      <c r="F187" s="120" t="n"/>
      <c r="G187" s="120" t="n"/>
      <c r="H187" s="120" t="n"/>
      <c r="I187" s="120" t="n"/>
      <c r="J187" s="120" t="n"/>
      <c r="K187" s="120" t="n"/>
      <c r="L187" s="120" t="n"/>
      <c r="M187" s="120" t="n"/>
      <c r="N187" s="120" t="n"/>
      <c r="O187" s="120" t="n"/>
    </row>
    <row r="188" outlineLevel="2" ht="15" customHeight="1">
      <c r="A188" s="69" t="inlineStr">
        <is>
          <t xml:space="preserve">      Mat. Value (₹)</t>
        </is>
      </c>
      <c r="B188" s="70">
        <f>IF('Final Calculation Sheet'!$H$27="","",'Final Calculation Sheet'!$H$27)</f>
        <v/>
      </c>
      <c r="C188" s="71" t="n"/>
      <c r="D188" s="71" t="n"/>
      <c r="E188" s="71" t="n"/>
      <c r="F188" s="71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124">
        <f>SUM(B188:N188)</f>
        <v/>
      </c>
    </row>
    <row r="189" outlineLevel="2" ht="15" customHeight="1">
      <c r="A189" s="69" t="inlineStr">
        <is>
          <t xml:space="preserve">      GST @ 18% (₹)</t>
        </is>
      </c>
      <c r="B189" s="70">
        <f>IF('Final Calculation Sheet'!$I$27="","",'Final Calculation Sheet'!$I$27)</f>
        <v/>
      </c>
      <c r="C189" s="71" t="n"/>
      <c r="D189" s="71" t="n"/>
      <c r="E189" s="71" t="n"/>
      <c r="F189" s="71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124">
        <f>SUM(B189:N189)</f>
        <v/>
      </c>
    </row>
    <row r="190" outlineLevel="2" ht="15" customHeight="1">
      <c r="A190" s="69" t="inlineStr">
        <is>
          <t xml:space="preserve">      Mat. Value + GST (₹)</t>
        </is>
      </c>
      <c r="B190" s="70">
        <f>IF('Final Calculation Sheet'!$J$27="","",'Final Calculation Sheet'!$J$27)</f>
        <v/>
      </c>
      <c r="C190" s="71" t="n"/>
      <c r="D190" s="71" t="n"/>
      <c r="E190" s="71" t="n"/>
      <c r="F190" s="71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124">
        <f>SUM(B190:N190)</f>
        <v/>
      </c>
    </row>
    <row r="191" outlineLevel="2" ht="15" customHeight="1">
      <c r="A191" s="69" t="inlineStr">
        <is>
          <t xml:space="preserve">      TCS @ 2% (₹)</t>
        </is>
      </c>
      <c r="B191" s="70">
        <f>IF('Final Calculation Sheet'!$K$27="","",'Final Calculation Sheet'!$K$27)</f>
        <v/>
      </c>
      <c r="C191" s="71" t="n"/>
      <c r="D191" s="71" t="n"/>
      <c r="E191" s="71" t="n"/>
      <c r="F191" s="71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124">
        <f>SUM(B191:N191)</f>
        <v/>
      </c>
    </row>
    <row r="192" outlineLevel="2" ht="15" customHeight="1">
      <c r="A192" s="69" t="inlineStr">
        <is>
          <t xml:space="preserve">      TDS u/s 194(O) (₹)</t>
        </is>
      </c>
      <c r="B192" s="78">
        <f>IF('Final Calculation Sheet'!$L$27="","",'Final Calculation Sheet'!$L$27)</f>
        <v/>
      </c>
      <c r="C192" s="71" t="n"/>
      <c r="D192" s="71" t="n"/>
      <c r="E192" s="71" t="n"/>
      <c r="F192" s="71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125">
        <f>SUM(B192:N192)</f>
        <v/>
      </c>
    </row>
    <row r="193" outlineLevel="2" ht="15" customHeight="1">
      <c r="A193" s="69" t="inlineStr">
        <is>
          <t xml:space="preserve">      Service Charge gross (₹)</t>
        </is>
      </c>
      <c r="B193" s="78">
        <f>IF('Final Calculation Sheet'!$M$27="","",'Final Calculation Sheet'!$M$27)</f>
        <v/>
      </c>
      <c r="C193" s="71" t="n"/>
      <c r="D193" s="71" t="n"/>
      <c r="E193" s="71" t="n"/>
      <c r="F193" s="71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125">
        <f>SUM(B193:N193)</f>
        <v/>
      </c>
    </row>
    <row r="194" outlineLevel="2" ht="15" customHeight="1">
      <c r="A194" s="69" t="inlineStr">
        <is>
          <t xml:space="preserve">      TDS u/s 194(H) (₹)</t>
        </is>
      </c>
      <c r="B194" s="78">
        <f>IF('Final Calculation Sheet'!$N$27="","",'Final Calculation Sheet'!$N$27)</f>
        <v/>
      </c>
      <c r="C194" s="71" t="n"/>
      <c r="D194" s="71" t="n"/>
      <c r="E194" s="71" t="n"/>
      <c r="F194" s="71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125">
        <f>SUM(B194:N194)</f>
        <v/>
      </c>
    </row>
    <row r="195" outlineLevel="2" ht="15" customHeight="1">
      <c r="A195" s="69" t="inlineStr">
        <is>
          <t xml:space="preserve">      Net Service Charge (₹)</t>
        </is>
      </c>
      <c r="B195" s="78">
        <f>IF('Final Calculation Sheet'!$O$27="","",'Final Calculation Sheet'!$O$27)</f>
        <v/>
      </c>
      <c r="C195" s="71" t="n"/>
      <c r="D195" s="71" t="n"/>
      <c r="E195" s="71" t="n"/>
      <c r="F195" s="71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125">
        <f>SUM(B195:N195)</f>
        <v/>
      </c>
    </row>
    <row r="196" outlineLevel="2" ht="15" customHeight="1">
      <c r="A196" s="69" t="inlineStr">
        <is>
          <t xml:space="preserve">      Svc Charge to MSTC (₹)</t>
        </is>
      </c>
      <c r="B196" s="70">
        <f>IF('Final Calculation Sheet'!$P$27="","",'Final Calculation Sheet'!$P$27)</f>
        <v/>
      </c>
      <c r="C196" s="71" t="n"/>
      <c r="D196" s="71" t="n"/>
      <c r="E196" s="71" t="n"/>
      <c r="F196" s="71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124">
        <f>SUM(B196:N196)</f>
        <v/>
      </c>
    </row>
    <row r="197" outlineLevel="2" ht="15" customHeight="1">
      <c r="A197" s="69" t="inlineStr">
        <is>
          <t xml:space="preserve">      GST TDS Rate</t>
        </is>
      </c>
      <c r="B197" s="80">
        <f>IF('Final Calculation Sheet'!$Q$27="","",'Final Calculation Sheet'!$Q$27)</f>
        <v/>
      </c>
      <c r="C197" s="71" t="n"/>
      <c r="D197" s="71" t="n"/>
      <c r="E197" s="71" t="n"/>
      <c r="F197" s="71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122" t="inlineStr">
        <is>
          <t>–</t>
        </is>
      </c>
    </row>
    <row r="198" outlineLevel="2" ht="15" customHeight="1">
      <c r="A198" s="69" t="inlineStr">
        <is>
          <t xml:space="preserve">      GST TDS (₹)</t>
        </is>
      </c>
      <c r="B198" s="70">
        <f>IF('Final Calculation Sheet'!$R$27="","",'Final Calculation Sheet'!$R$27)</f>
        <v/>
      </c>
      <c r="C198" s="71" t="n"/>
      <c r="D198" s="71" t="n"/>
      <c r="E198" s="71" t="n"/>
      <c r="F198" s="71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124">
        <f>SUM(B198:N198)</f>
        <v/>
      </c>
    </row>
    <row r="199" outlineLevel="2" ht="15" customHeight="1">
      <c r="A199" s="69" t="inlineStr">
        <is>
          <t xml:space="preserve">      Total Receivables (₹)</t>
        </is>
      </c>
      <c r="B199" s="70">
        <f>IF('Final Calculation Sheet'!$S$27="","",'Final Calculation Sheet'!$S$27)</f>
        <v/>
      </c>
      <c r="C199" s="71" t="n"/>
      <c r="D199" s="71" t="n"/>
      <c r="E199" s="71" t="n"/>
      <c r="F199" s="71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124">
        <f>SUM(B199:N199)</f>
        <v/>
      </c>
    </row>
    <row r="200" outlineLevel="1" ht="16" customHeight="1">
      <c r="A200" s="118" t="inlineStr">
        <is>
          <t xml:space="preserve">  ▸ SECURITY DEPOSIT</t>
        </is>
      </c>
      <c r="B200" s="120" t="n"/>
      <c r="C200" s="120" t="n"/>
      <c r="D200" s="120" t="n"/>
      <c r="E200" s="120" t="n"/>
      <c r="F200" s="120" t="n"/>
      <c r="G200" s="120" t="n"/>
      <c r="H200" s="120" t="n"/>
      <c r="I200" s="120" t="n"/>
      <c r="J200" s="120" t="n"/>
      <c r="K200" s="120" t="n"/>
      <c r="L200" s="120" t="n"/>
      <c r="M200" s="120" t="n"/>
      <c r="N200" s="120" t="n"/>
      <c r="O200" s="120" t="n"/>
    </row>
    <row r="201" outlineLevel="2" ht="15" customHeight="1">
      <c r="A201" s="69" t="inlineStr">
        <is>
          <t xml:space="preserve">      SD Expected (₹)</t>
        </is>
      </c>
      <c r="B201" s="70">
        <f>IF('Final Calculation Sheet'!$T$27="","",'Final Calculation Sheet'!$T$27)</f>
        <v/>
      </c>
      <c r="C201" s="71" t="n"/>
      <c r="D201" s="71" t="n"/>
      <c r="E201" s="71" t="n"/>
      <c r="F201" s="71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124">
        <f>SUM(B201:N201)</f>
        <v/>
      </c>
    </row>
    <row r="202" outlineLevel="2" ht="15" customHeight="1">
      <c r="A202" s="69" t="inlineStr">
        <is>
          <t xml:space="preserve">      SD Received (₹)</t>
        </is>
      </c>
      <c r="B202" s="70">
        <f>IF('Final Calculation Sheet'!$U$27="","",'Final Calculation Sheet'!$U$27)</f>
        <v/>
      </c>
      <c r="C202" s="71" t="n"/>
      <c r="D202" s="71" t="n"/>
      <c r="E202" s="71" t="n"/>
      <c r="F202" s="71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124">
        <f>SUM(B202:N202)</f>
        <v/>
      </c>
    </row>
    <row r="203" outlineLevel="2" ht="15" customHeight="1">
      <c r="A203" s="69" t="inlineStr">
        <is>
          <t xml:space="preserve">      SD Receipt Date</t>
        </is>
      </c>
      <c r="B203" s="76">
        <f>IF('Final Calculation Sheet'!$V$27="","",'Final Calculation Sheet'!$V$27)</f>
        <v/>
      </c>
      <c r="C203" s="71" t="n"/>
      <c r="D203" s="71" t="n"/>
      <c r="E203" s="71" t="n"/>
      <c r="F203" s="71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122" t="inlineStr">
        <is>
          <t>–</t>
        </is>
      </c>
    </row>
    <row r="204" outlineLevel="1" ht="16" customHeight="1">
      <c r="A204" s="118" t="inlineStr">
        <is>
          <t xml:space="preserve">  ▸ FINAL PAYMENT</t>
        </is>
      </c>
      <c r="B204" s="120" t="n"/>
      <c r="C204" s="120" t="n"/>
      <c r="D204" s="120" t="n"/>
      <c r="E204" s="120" t="n"/>
      <c r="F204" s="120" t="n"/>
      <c r="G204" s="120" t="n"/>
      <c r="H204" s="120" t="n"/>
      <c r="I204" s="120" t="n"/>
      <c r="J204" s="120" t="n"/>
      <c r="K204" s="120" t="n"/>
      <c r="L204" s="120" t="n"/>
      <c r="M204" s="120" t="n"/>
      <c r="N204" s="120" t="n"/>
      <c r="O204" s="120" t="n"/>
    </row>
    <row r="205" outlineLevel="2" ht="15" customHeight="1">
      <c r="A205" s="69" t="inlineStr">
        <is>
          <t xml:space="preserve">      FP Expected (₹)</t>
        </is>
      </c>
      <c r="B205" s="70">
        <f>IF('Final Calculation Sheet'!$W$27="","",'Final Calculation Sheet'!$W$27)</f>
        <v/>
      </c>
      <c r="C205" s="71" t="n"/>
      <c r="D205" s="71" t="n"/>
      <c r="E205" s="71" t="n"/>
      <c r="F205" s="71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124">
        <f>SUM(B205:N205)</f>
        <v/>
      </c>
    </row>
    <row r="206" outlineLevel="2" ht="15" customHeight="1">
      <c r="A206" s="69" t="inlineStr">
        <is>
          <t xml:space="preserve">      FP Received (₹)</t>
        </is>
      </c>
      <c r="B206" s="70">
        <f>IF('Final Calculation Sheet'!$X$27="","",'Final Calculation Sheet'!$X$27)</f>
        <v/>
      </c>
      <c r="C206" s="71" t="n"/>
      <c r="D206" s="71" t="n"/>
      <c r="E206" s="71" t="n"/>
      <c r="F206" s="71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124">
        <f>SUM(B206:N206)</f>
        <v/>
      </c>
    </row>
    <row r="207" outlineLevel="2" ht="15" customHeight="1">
      <c r="A207" s="69" t="inlineStr">
        <is>
          <t xml:space="preserve">      FP Receipt Date</t>
        </is>
      </c>
      <c r="B207" s="76">
        <f>IF('Final Calculation Sheet'!$Y$27="","",'Final Calculation Sheet'!$Y$27)</f>
        <v/>
      </c>
      <c r="C207" s="71" t="n"/>
      <c r="D207" s="71" t="n"/>
      <c r="E207" s="71" t="n"/>
      <c r="F207" s="71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122" t="inlineStr">
        <is>
          <t>–</t>
        </is>
      </c>
    </row>
    <row r="208" outlineLevel="1" ht="16" customHeight="1">
      <c r="A208" s="118" t="inlineStr">
        <is>
          <t xml:space="preserve">  ▸ LPP</t>
        </is>
      </c>
      <c r="B208" s="120" t="n"/>
      <c r="C208" s="120" t="n"/>
      <c r="D208" s="120" t="n"/>
      <c r="E208" s="120" t="n"/>
      <c r="F208" s="120" t="n"/>
      <c r="G208" s="120" t="n"/>
      <c r="H208" s="120" t="n"/>
      <c r="I208" s="120" t="n"/>
      <c r="J208" s="120" t="n"/>
      <c r="K208" s="120" t="n"/>
      <c r="L208" s="120" t="n"/>
      <c r="M208" s="120" t="n"/>
      <c r="N208" s="120" t="n"/>
      <c r="O208" s="120" t="n"/>
    </row>
    <row r="209" outlineLevel="2" ht="15" customHeight="1">
      <c r="A209" s="69" t="inlineStr">
        <is>
          <t xml:space="preserve">      LPP Expected (₹)</t>
        </is>
      </c>
      <c r="B209" s="70">
        <f>IF('Final Calculation Sheet'!$Z$27="","",'Final Calculation Sheet'!$Z$27)</f>
        <v/>
      </c>
      <c r="C209" s="71" t="n"/>
      <c r="D209" s="71" t="n"/>
      <c r="E209" s="71" t="n"/>
      <c r="F209" s="71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124">
        <f>SUM(B209:N209)</f>
        <v/>
      </c>
    </row>
    <row r="210" outlineLevel="2" ht="15" customHeight="1">
      <c r="A210" s="69" t="inlineStr">
        <is>
          <t xml:space="preserve">      LPP Received (₹)</t>
        </is>
      </c>
      <c r="B210" s="70">
        <f>IF('Final Calculation Sheet'!$AA$27="","",'Final Calculation Sheet'!$AA$27)</f>
        <v/>
      </c>
      <c r="C210" s="71" t="n"/>
      <c r="D210" s="71" t="n"/>
      <c r="E210" s="71" t="n"/>
      <c r="F210" s="71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124">
        <f>SUM(B210:N210)</f>
        <v/>
      </c>
    </row>
    <row r="211" outlineLevel="2" ht="15" customHeight="1">
      <c r="A211" s="69" t="inlineStr">
        <is>
          <t xml:space="preserve">      LPP Receipt Date</t>
        </is>
      </c>
      <c r="B211" s="76">
        <f>IF('Final Calculation Sheet'!$AB$27="","",'Final Calculation Sheet'!$AB$27)</f>
        <v/>
      </c>
      <c r="C211" s="71" t="n"/>
      <c r="D211" s="71" t="n"/>
      <c r="E211" s="71" t="n"/>
      <c r="F211" s="71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122" t="inlineStr">
        <is>
          <t>–</t>
        </is>
      </c>
    </row>
    <row r="212" outlineLevel="1" ht="16" customHeight="1">
      <c r="A212" s="118" t="inlineStr">
        <is>
          <t xml:space="preserve">  ▸ SUMMARY</t>
        </is>
      </c>
      <c r="B212" s="120" t="n"/>
      <c r="C212" s="120" t="n"/>
      <c r="D212" s="120" t="n"/>
      <c r="E212" s="120" t="n"/>
      <c r="F212" s="120" t="n"/>
      <c r="G212" s="120" t="n"/>
      <c r="H212" s="120" t="n"/>
      <c r="I212" s="120" t="n"/>
      <c r="J212" s="120" t="n"/>
      <c r="K212" s="120" t="n"/>
      <c r="L212" s="120" t="n"/>
      <c r="M212" s="120" t="n"/>
      <c r="N212" s="120" t="n"/>
      <c r="O212" s="120" t="n"/>
    </row>
    <row r="213" outlineLevel="2" ht="15" customHeight="1">
      <c r="A213" s="69" t="inlineStr">
        <is>
          <t xml:space="preserve">      Total Received (₹)</t>
        </is>
      </c>
      <c r="B213" s="70">
        <f>IF('Final Calculation Sheet'!$AC$27="","",'Final Calculation Sheet'!$AC$27)</f>
        <v/>
      </c>
      <c r="C213" s="71" t="n"/>
      <c r="D213" s="71" t="n"/>
      <c r="E213" s="71" t="n"/>
      <c r="F213" s="71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124">
        <f>SUM(B213:N213)</f>
        <v/>
      </c>
    </row>
    <row r="214" outlineLevel="2" ht="15" customHeight="1">
      <c r="A214" s="69" t="inlineStr">
        <is>
          <t xml:space="preserve">      Outstanding (₹)</t>
        </is>
      </c>
      <c r="B214" s="70">
        <f>IF('Final Calculation Sheet'!$AD$27="","",'Final Calculation Sheet'!$AD$27)</f>
        <v/>
      </c>
      <c r="C214" s="71" t="n"/>
      <c r="D214" s="71" t="n"/>
      <c r="E214" s="71" t="n"/>
      <c r="F214" s="71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124">
        <f>SUM(B214:N214)</f>
        <v/>
      </c>
    </row>
    <row r="215" outlineLevel="2" ht="15" customHeight="1">
      <c r="A215" s="69" t="inlineStr">
        <is>
          <t xml:space="preserve">      Payment Status</t>
        </is>
      </c>
      <c r="B215" s="81">
        <f>IF('Final Calculation Sheet'!$AD$27="","",IF('Final Calculation Sheet'!$AD$27&lt;=0,"SETTLED","OUTSTANDING"))</f>
        <v/>
      </c>
      <c r="C215" s="71" t="n"/>
      <c r="D215" s="71" t="n"/>
      <c r="E215" s="71" t="n"/>
      <c r="F215" s="71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122" t="inlineStr">
        <is>
          <t>–</t>
        </is>
      </c>
    </row>
    <row r="216" outlineLevel="1" ht="16" customHeight="1">
      <c r="A216" s="118" t="inlineStr">
        <is>
          <t xml:space="preserve">  ▸ DOCUMENT</t>
        </is>
      </c>
      <c r="B216" s="120" t="n"/>
      <c r="C216" s="120" t="n"/>
      <c r="D216" s="120" t="n"/>
      <c r="E216" s="120" t="n"/>
      <c r="F216" s="120" t="n"/>
      <c r="G216" s="120" t="n"/>
      <c r="H216" s="120" t="n"/>
      <c r="I216" s="120" t="n"/>
      <c r="J216" s="120" t="n"/>
      <c r="K216" s="120" t="n"/>
      <c r="L216" s="120" t="n"/>
      <c r="M216" s="120" t="n"/>
      <c r="N216" s="120" t="n"/>
      <c r="O216" s="120" t="n"/>
    </row>
    <row r="217" outlineLevel="2" ht="15" customHeight="1">
      <c r="A217" s="69" t="inlineStr">
        <is>
          <t xml:space="preserve">      Invoice No.</t>
        </is>
      </c>
      <c r="B217" s="76">
        <f>IF('Final Calculation Sheet'!$AE$27="","",'Final Calculation Sheet'!$AE$27)</f>
        <v/>
      </c>
      <c r="C217" s="71" t="n"/>
      <c r="D217" s="71" t="n"/>
      <c r="E217" s="71" t="n"/>
      <c r="F217" s="71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122" t="inlineStr">
        <is>
          <t>–</t>
        </is>
      </c>
    </row>
    <row r="218" outlineLevel="2" ht="15" customHeight="1">
      <c r="A218" s="69" t="inlineStr">
        <is>
          <t xml:space="preserve">      SAP Document</t>
        </is>
      </c>
      <c r="B218" s="70">
        <f>IF('Final Calculation Sheet'!$AF$27="","",'Final Calculation Sheet'!$AF$27)</f>
        <v/>
      </c>
      <c r="C218" s="71" t="n"/>
      <c r="D218" s="71" t="n"/>
      <c r="E218" s="71" t="n"/>
      <c r="F218" s="71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122" t="inlineStr">
        <is>
          <t>–</t>
        </is>
      </c>
    </row>
    <row r="219" outlineLevel="2" ht="15" customHeight="1">
      <c r="A219" s="69" t="inlineStr">
        <is>
          <t xml:space="preserve">      Doc./Invoice Date</t>
        </is>
      </c>
      <c r="B219" s="76">
        <f>IF('Final Calculation Sheet'!$AG$27="","",'Final Calculation Sheet'!$AG$27)</f>
        <v/>
      </c>
      <c r="C219" s="71" t="n"/>
      <c r="D219" s="71" t="n"/>
      <c r="E219" s="71" t="n"/>
      <c r="F219" s="71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122" t="inlineStr">
        <is>
          <t>–</t>
        </is>
      </c>
    </row>
    <row r="220" ht="7" customHeight="1">
      <c r="A220" s="82" t="n"/>
      <c r="B220" s="82" t="n"/>
      <c r="C220" s="82" t="n"/>
      <c r="D220" s="82" t="n"/>
      <c r="E220" s="82" t="n"/>
      <c r="F220" s="82" t="n"/>
      <c r="G220" s="82" t="n"/>
      <c r="H220" s="82" t="n"/>
      <c r="I220" s="82" t="n"/>
      <c r="J220" s="82" t="n"/>
      <c r="K220" s="82" t="n"/>
      <c r="L220" s="82" t="n"/>
      <c r="M220" s="82" t="n"/>
      <c r="N220" s="82" t="n"/>
      <c r="O220" s="82" t="n"/>
    </row>
    <row r="221" ht="24" customHeight="1">
      <c r="A221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</row>
    <row r="222" outlineLevel="1" ht="18" customHeight="1">
      <c r="A222" s="127" t="inlineStr">
        <is>
          <t xml:space="preserve">   Lot No. →</t>
        </is>
      </c>
      <c r="B222" s="128">
        <f>IF('Final Calculation Sheet'!$F$5="","",'Final Calculation Sheet'!$F$5)</f>
        <v/>
      </c>
      <c r="C222" s="128">
        <f>IF('Final Calculation Sheet'!$F$10="","",'Final Calculation Sheet'!$F$10)</f>
        <v/>
      </c>
      <c r="D222" s="128">
        <f>IF('Final Calculation Sheet'!$F$11="","",'Final Calculation Sheet'!$F$11)</f>
        <v/>
      </c>
      <c r="E222" s="128">
        <f>IF('Final Calculation Sheet'!$F$12="","",'Final Calculation Sheet'!$F$12)</f>
        <v/>
      </c>
      <c r="F222" s="128">
        <f>IF('Final Calculation Sheet'!$F$18="","",'Final Calculation Sheet'!$F$18)</f>
        <v/>
      </c>
      <c r="G222" s="128">
        <f>IF('Final Calculation Sheet'!$F$19="","",'Final Calculation Sheet'!$F$19)</f>
        <v/>
      </c>
      <c r="H222" s="128">
        <f>IF('Final Calculation Sheet'!$F$22="","",'Final Calculation Sheet'!$F$22)</f>
        <v/>
      </c>
      <c r="I222" s="128">
        <f>IF('Final Calculation Sheet'!$F$24="","",'Final Calculation Sheet'!$F$24)</f>
        <v/>
      </c>
      <c r="J222" s="128">
        <f>IF('Final Calculation Sheet'!$F$26="","",'Final Calculation Sheet'!$F$26)</f>
        <v/>
      </c>
      <c r="K222" s="128">
        <f>IF('Final Calculation Sheet'!$F$30="","",'Final Calculation Sheet'!$F$30)</f>
        <v/>
      </c>
      <c r="L222" s="128">
        <f>IF('Final Calculation Sheet'!$F$32="","",'Final Calculation Sheet'!$F$32)</f>
        <v/>
      </c>
      <c r="M222" s="128">
        <f>IF('Final Calculation Sheet'!$F$33="","",'Final Calculation Sheet'!$F$33)</f>
        <v/>
      </c>
      <c r="N222" s="128">
        <f>IF('Final Calculation Sheet'!$F$37="","",'Final Calculation Sheet'!$F$37)</f>
        <v/>
      </c>
      <c r="O222" s="129" t="inlineStr">
        <is>
          <t>TOTAL</t>
        </is>
      </c>
    </row>
    <row r="223" outlineLevel="1" ht="16" customHeight="1">
      <c r="A223" s="127" t="inlineStr">
        <is>
          <t xml:space="preserve">  ▸ LOT INFORMATION</t>
        </is>
      </c>
      <c r="B223" s="130" t="n"/>
      <c r="C223" s="130" t="n"/>
      <c r="D223" s="130" t="n"/>
      <c r="E223" s="130" t="n"/>
      <c r="F223" s="130" t="n"/>
      <c r="G223" s="130" t="n"/>
      <c r="H223" s="130" t="n"/>
      <c r="I223" s="130" t="n"/>
      <c r="J223" s="130" t="n"/>
      <c r="K223" s="130" t="n"/>
      <c r="L223" s="130" t="n"/>
      <c r="M223" s="130" t="n"/>
      <c r="N223" s="130" t="n"/>
      <c r="O223" s="130" t="n"/>
    </row>
    <row r="224" outlineLevel="2" ht="15" customHeight="1">
      <c r="A224" s="69" t="inlineStr">
        <is>
          <t xml:space="preserve">      Lot No.</t>
        </is>
      </c>
      <c r="B224" s="70">
        <f>IF('Final Calculation Sheet'!$F$5="","",'Final Calculation Sheet'!$F$5)</f>
        <v/>
      </c>
      <c r="C224" s="131">
        <f>IF('Final Calculation Sheet'!$F$10="","",'Final Calculation Sheet'!$F$10)</f>
        <v/>
      </c>
      <c r="D224" s="70">
        <f>IF('Final Calculation Sheet'!$F$11="","",'Final Calculation Sheet'!$F$11)</f>
        <v/>
      </c>
      <c r="E224" s="131">
        <f>IF('Final Calculation Sheet'!$F$12="","",'Final Calculation Sheet'!$F$12)</f>
        <v/>
      </c>
      <c r="F224" s="70">
        <f>IF('Final Calculation Sheet'!$F$18="","",'Final Calculation Sheet'!$F$18)</f>
        <v/>
      </c>
      <c r="G224" s="131">
        <f>IF('Final Calculation Sheet'!$F$19="","",'Final Calculation Sheet'!$F$19)</f>
        <v/>
      </c>
      <c r="H224" s="70">
        <f>IF('Final Calculation Sheet'!$F$22="","",'Final Calculation Sheet'!$F$22)</f>
        <v/>
      </c>
      <c r="I224" s="131">
        <f>IF('Final Calculation Sheet'!$F$24="","",'Final Calculation Sheet'!$F$24)</f>
        <v/>
      </c>
      <c r="J224" s="70">
        <f>IF('Final Calculation Sheet'!$F$26="","",'Final Calculation Sheet'!$F$26)</f>
        <v/>
      </c>
      <c r="K224" s="131">
        <f>IF('Final Calculation Sheet'!$F$30="","",'Final Calculation Sheet'!$F$30)</f>
        <v/>
      </c>
      <c r="L224" s="70">
        <f>IF('Final Calculation Sheet'!$F$32="","",'Final Calculation Sheet'!$F$32)</f>
        <v/>
      </c>
      <c r="M224" s="131">
        <f>IF('Final Calculation Sheet'!$F$33="","",'Final Calculation Sheet'!$F$33)</f>
        <v/>
      </c>
      <c r="N224" s="70">
        <f>IF('Final Calculation Sheet'!$F$37="","",'Final Calculation Sheet'!$F$37)</f>
        <v/>
      </c>
      <c r="O224" s="132" t="inlineStr">
        <is>
          <t>–</t>
        </is>
      </c>
    </row>
    <row r="225" outlineLevel="2" ht="60" customHeight="1">
      <c r="A225" s="69" t="inlineStr">
        <is>
          <t xml:space="preserve">      Lot Name</t>
        </is>
      </c>
      <c r="B225" s="73">
        <f>IF('Final Calculation Sheet'!$B$5="","",'Final Calculation Sheet'!$B$5)</f>
        <v/>
      </c>
      <c r="C225" s="133">
        <f>IF('Final Calculation Sheet'!$B$10="","",'Final Calculation Sheet'!$B$10)</f>
        <v/>
      </c>
      <c r="D225" s="73">
        <f>IF('Final Calculation Sheet'!$B$11="","",'Final Calculation Sheet'!$B$11)</f>
        <v/>
      </c>
      <c r="E225" s="133">
        <f>IF('Final Calculation Sheet'!$B$12="","",'Final Calculation Sheet'!$B$12)</f>
        <v/>
      </c>
      <c r="F225" s="73">
        <f>IF('Final Calculation Sheet'!$B$18="","",'Final Calculation Sheet'!$B$18)</f>
        <v/>
      </c>
      <c r="G225" s="133">
        <f>IF('Final Calculation Sheet'!$B$19="","",'Final Calculation Sheet'!$B$19)</f>
        <v/>
      </c>
      <c r="H225" s="73">
        <f>IF('Final Calculation Sheet'!$B$22="","",'Final Calculation Sheet'!$B$22)</f>
        <v/>
      </c>
      <c r="I225" s="133">
        <f>IF('Final Calculation Sheet'!$B$24="","",'Final Calculation Sheet'!$B$24)</f>
        <v/>
      </c>
      <c r="J225" s="73">
        <f>IF('Final Calculation Sheet'!$B$26="","",'Final Calculation Sheet'!$B$26)</f>
        <v/>
      </c>
      <c r="K225" s="133">
        <f>IF('Final Calculation Sheet'!$B$30="","",'Final Calculation Sheet'!$B$30)</f>
        <v/>
      </c>
      <c r="L225" s="73">
        <f>IF('Final Calculation Sheet'!$B$32="","",'Final Calculation Sheet'!$B$32)</f>
        <v/>
      </c>
      <c r="M225" s="133">
        <f>IF('Final Calculation Sheet'!$B$33="","",'Final Calculation Sheet'!$B$33)</f>
        <v/>
      </c>
      <c r="N225" s="73">
        <f>IF('Final Calculation Sheet'!$B$37="","",'Final Calculation Sheet'!$B$37)</f>
        <v/>
      </c>
      <c r="O225" s="132" t="inlineStr">
        <is>
          <t>–</t>
        </is>
      </c>
    </row>
    <row r="226" outlineLevel="2" ht="15" customHeight="1">
      <c r="A226" s="69" t="inlineStr">
        <is>
          <t xml:space="preserve">      Bid Sheet / Auction</t>
        </is>
      </c>
      <c r="B226" s="70">
        <f>IF('Final Calculation Sheet'!$D$5="","",'Final Calculation Sheet'!$D$5)</f>
        <v/>
      </c>
      <c r="C226" s="131">
        <f>IF('Final Calculation Sheet'!$D$10="","",'Final Calculation Sheet'!$D$10)</f>
        <v/>
      </c>
      <c r="D226" s="70">
        <f>IF('Final Calculation Sheet'!$D$11="","",'Final Calculation Sheet'!$D$11)</f>
        <v/>
      </c>
      <c r="E226" s="131">
        <f>IF('Final Calculation Sheet'!$D$12="","",'Final Calculation Sheet'!$D$12)</f>
        <v/>
      </c>
      <c r="F226" s="70">
        <f>IF('Final Calculation Sheet'!$D$18="","",'Final Calculation Sheet'!$D$18)</f>
        <v/>
      </c>
      <c r="G226" s="131">
        <f>IF('Final Calculation Sheet'!$D$19="","",'Final Calculation Sheet'!$D$19)</f>
        <v/>
      </c>
      <c r="H226" s="70">
        <f>IF('Final Calculation Sheet'!$D$22="","",'Final Calculation Sheet'!$D$22)</f>
        <v/>
      </c>
      <c r="I226" s="131">
        <f>IF('Final Calculation Sheet'!$D$24="","",'Final Calculation Sheet'!$D$24)</f>
        <v/>
      </c>
      <c r="J226" s="70">
        <f>IF('Final Calculation Sheet'!$D$26="","",'Final Calculation Sheet'!$D$26)</f>
        <v/>
      </c>
      <c r="K226" s="131">
        <f>IF('Final Calculation Sheet'!$D$30="","",'Final Calculation Sheet'!$D$30)</f>
        <v/>
      </c>
      <c r="L226" s="70">
        <f>IF('Final Calculation Sheet'!$D$32="","",'Final Calculation Sheet'!$D$32)</f>
        <v/>
      </c>
      <c r="M226" s="131">
        <f>IF('Final Calculation Sheet'!$D$33="","",'Final Calculation Sheet'!$D$33)</f>
        <v/>
      </c>
      <c r="N226" s="70">
        <f>IF('Final Calculation Sheet'!$D$37="","",'Final Calculation Sheet'!$D$37)</f>
        <v/>
      </c>
      <c r="O226" s="132" t="inlineStr">
        <is>
          <t>–</t>
        </is>
      </c>
    </row>
    <row r="227" outlineLevel="2" ht="15" customHeight="1">
      <c r="A227" s="69" t="inlineStr">
        <is>
          <t xml:space="preserve">      Quantity</t>
        </is>
      </c>
      <c r="B227" s="74">
        <f>IF('Final Calculation Sheet'!$A$5="","",'Final Calculation Sheet'!$A$5)</f>
        <v/>
      </c>
      <c r="C227" s="134">
        <f>IF('Final Calculation Sheet'!$A$10="","",'Final Calculation Sheet'!$A$10)</f>
        <v/>
      </c>
      <c r="D227" s="74">
        <f>IF('Final Calculation Sheet'!$A$11="","",'Final Calculation Sheet'!$A$11)</f>
        <v/>
      </c>
      <c r="E227" s="134">
        <f>IF('Final Calculation Sheet'!$A$12="","",'Final Calculation Sheet'!$A$12)</f>
        <v/>
      </c>
      <c r="F227" s="74">
        <f>IF('Final Calculation Sheet'!$A$18="","",'Final Calculation Sheet'!$A$18)</f>
        <v/>
      </c>
      <c r="G227" s="134">
        <f>IF('Final Calculation Sheet'!$A$19="","",'Final Calculation Sheet'!$A$19)</f>
        <v/>
      </c>
      <c r="H227" s="74">
        <f>IF('Final Calculation Sheet'!$A$22="","",'Final Calculation Sheet'!$A$22)</f>
        <v/>
      </c>
      <c r="I227" s="134">
        <f>IF('Final Calculation Sheet'!$A$24="","",'Final Calculation Sheet'!$A$24)</f>
        <v/>
      </c>
      <c r="J227" s="74">
        <f>IF('Final Calculation Sheet'!$A$26="","",'Final Calculation Sheet'!$A$26)</f>
        <v/>
      </c>
      <c r="K227" s="134">
        <f>IF('Final Calculation Sheet'!$A$30="","",'Final Calculation Sheet'!$A$30)</f>
        <v/>
      </c>
      <c r="L227" s="74">
        <f>IF('Final Calculation Sheet'!$A$32="","",'Final Calculation Sheet'!$A$32)</f>
        <v/>
      </c>
      <c r="M227" s="134">
        <f>IF('Final Calculation Sheet'!$A$33="","",'Final Calculation Sheet'!$A$33)</f>
        <v/>
      </c>
      <c r="N227" s="74">
        <f>IF('Final Calculation Sheet'!$A$37="","",'Final Calculation Sheet'!$A$37)</f>
        <v/>
      </c>
      <c r="O227" s="135">
        <f>SUM(B227:N227)</f>
        <v/>
      </c>
    </row>
    <row r="228" outlineLevel="2" ht="15" customHeight="1">
      <c r="A228" s="69" t="inlineStr">
        <is>
          <t xml:space="preserve">      Unit</t>
        </is>
      </c>
      <c r="B228" s="76">
        <f>IF('Final Calculation Sheet'!$E$5="","",'Final Calculation Sheet'!$E$5)</f>
        <v/>
      </c>
      <c r="C228" s="136">
        <f>IF('Final Calculation Sheet'!$E$10="","",'Final Calculation Sheet'!$E$10)</f>
        <v/>
      </c>
      <c r="D228" s="76">
        <f>IF('Final Calculation Sheet'!$E$11="","",'Final Calculation Sheet'!$E$11)</f>
        <v/>
      </c>
      <c r="E228" s="136">
        <f>IF('Final Calculation Sheet'!$E$12="","",'Final Calculation Sheet'!$E$12)</f>
        <v/>
      </c>
      <c r="F228" s="76">
        <f>IF('Final Calculation Sheet'!$E$18="","",'Final Calculation Sheet'!$E$18)</f>
        <v/>
      </c>
      <c r="G228" s="136">
        <f>IF('Final Calculation Sheet'!$E$19="","",'Final Calculation Sheet'!$E$19)</f>
        <v/>
      </c>
      <c r="H228" s="76">
        <f>IF('Final Calculation Sheet'!$E$22="","",'Final Calculation Sheet'!$E$22)</f>
        <v/>
      </c>
      <c r="I228" s="136">
        <f>IF('Final Calculation Sheet'!$E$24="","",'Final Calculation Sheet'!$E$24)</f>
        <v/>
      </c>
      <c r="J228" s="76">
        <f>IF('Final Calculation Sheet'!$E$26="","",'Final Calculation Sheet'!$E$26)</f>
        <v/>
      </c>
      <c r="K228" s="136">
        <f>IF('Final Calculation Sheet'!$E$30="","",'Final Calculation Sheet'!$E$30)</f>
        <v/>
      </c>
      <c r="L228" s="76">
        <f>IF('Final Calculation Sheet'!$E$32="","",'Final Calculation Sheet'!$E$32)</f>
        <v/>
      </c>
      <c r="M228" s="136">
        <f>IF('Final Calculation Sheet'!$E$33="","",'Final Calculation Sheet'!$E$33)</f>
        <v/>
      </c>
      <c r="N228" s="76">
        <f>IF('Final Calculation Sheet'!$E$37="","",'Final Calculation Sheet'!$E$37)</f>
        <v/>
      </c>
      <c r="O228" s="132" t="inlineStr">
        <is>
          <t>–</t>
        </is>
      </c>
    </row>
    <row r="229" outlineLevel="2" ht="15" customHeight="1">
      <c r="A229" s="69" t="inlineStr">
        <is>
          <t xml:space="preserve">      Rate (₹)</t>
        </is>
      </c>
      <c r="B229" s="70">
        <f>IF('Final Calculation Sheet'!$C$5="","",'Final Calculation Sheet'!$C$5)</f>
        <v/>
      </c>
      <c r="C229" s="131">
        <f>IF('Final Calculation Sheet'!$C$10="","",'Final Calculation Sheet'!$C$10)</f>
        <v/>
      </c>
      <c r="D229" s="70">
        <f>IF('Final Calculation Sheet'!$C$11="","",'Final Calculation Sheet'!$C$11)</f>
        <v/>
      </c>
      <c r="E229" s="131">
        <f>IF('Final Calculation Sheet'!$C$12="","",'Final Calculation Sheet'!$C$12)</f>
        <v/>
      </c>
      <c r="F229" s="70">
        <f>IF('Final Calculation Sheet'!$C$18="","",'Final Calculation Sheet'!$C$18)</f>
        <v/>
      </c>
      <c r="G229" s="131">
        <f>IF('Final Calculation Sheet'!$C$19="","",'Final Calculation Sheet'!$C$19)</f>
        <v/>
      </c>
      <c r="H229" s="70">
        <f>IF('Final Calculation Sheet'!$C$22="","",'Final Calculation Sheet'!$C$22)</f>
        <v/>
      </c>
      <c r="I229" s="131">
        <f>IF('Final Calculation Sheet'!$C$24="","",'Final Calculation Sheet'!$C$24)</f>
        <v/>
      </c>
      <c r="J229" s="70">
        <f>IF('Final Calculation Sheet'!$C$26="","",'Final Calculation Sheet'!$C$26)</f>
        <v/>
      </c>
      <c r="K229" s="131">
        <f>IF('Final Calculation Sheet'!$C$30="","",'Final Calculation Sheet'!$C$30)</f>
        <v/>
      </c>
      <c r="L229" s="70">
        <f>IF('Final Calculation Sheet'!$C$32="","",'Final Calculation Sheet'!$C$32)</f>
        <v/>
      </c>
      <c r="M229" s="131">
        <f>IF('Final Calculation Sheet'!$C$33="","",'Final Calculation Sheet'!$C$33)</f>
        <v/>
      </c>
      <c r="N229" s="70">
        <f>IF('Final Calculation Sheet'!$C$37="","",'Final Calculation Sheet'!$C$37)</f>
        <v/>
      </c>
      <c r="O229" s="132" t="inlineStr">
        <is>
          <t>–</t>
        </is>
      </c>
    </row>
    <row r="230" outlineLevel="1" ht="16" customHeight="1">
      <c r="A230" s="127" t="inlineStr">
        <is>
          <t xml:space="preserve">  ▸ FINANCIALS</t>
        </is>
      </c>
      <c r="B230" s="130" t="n"/>
      <c r="C230" s="130" t="n"/>
      <c r="D230" s="130" t="n"/>
      <c r="E230" s="130" t="n"/>
      <c r="F230" s="130" t="n"/>
      <c r="G230" s="130" t="n"/>
      <c r="H230" s="130" t="n"/>
      <c r="I230" s="130" t="n"/>
      <c r="J230" s="130" t="n"/>
      <c r="K230" s="130" t="n"/>
      <c r="L230" s="130" t="n"/>
      <c r="M230" s="130" t="n"/>
      <c r="N230" s="130" t="n"/>
      <c r="O230" s="130" t="n"/>
    </row>
    <row r="231" outlineLevel="2" ht="15" customHeight="1">
      <c r="A231" s="69" t="inlineStr">
        <is>
          <t xml:space="preserve">      Mat. Value (₹)</t>
        </is>
      </c>
      <c r="B231" s="70">
        <f>IF('Final Calculation Sheet'!$H$5="","",'Final Calculation Sheet'!$H$5)</f>
        <v/>
      </c>
      <c r="C231" s="131">
        <f>IF('Final Calculation Sheet'!$H$10="","",'Final Calculation Sheet'!$H$10)</f>
        <v/>
      </c>
      <c r="D231" s="70">
        <f>IF('Final Calculation Sheet'!$H$11="","",'Final Calculation Sheet'!$H$11)</f>
        <v/>
      </c>
      <c r="E231" s="131">
        <f>IF('Final Calculation Sheet'!$H$12="","",'Final Calculation Sheet'!$H$12)</f>
        <v/>
      </c>
      <c r="F231" s="70">
        <f>IF('Final Calculation Sheet'!$H$18="","",'Final Calculation Sheet'!$H$18)</f>
        <v/>
      </c>
      <c r="G231" s="131">
        <f>IF('Final Calculation Sheet'!$H$19="","",'Final Calculation Sheet'!$H$19)</f>
        <v/>
      </c>
      <c r="H231" s="70">
        <f>IF('Final Calculation Sheet'!$H$22="","",'Final Calculation Sheet'!$H$22)</f>
        <v/>
      </c>
      <c r="I231" s="131">
        <f>IF('Final Calculation Sheet'!$H$24="","",'Final Calculation Sheet'!$H$24)</f>
        <v/>
      </c>
      <c r="J231" s="70">
        <f>IF('Final Calculation Sheet'!$H$26="","",'Final Calculation Sheet'!$H$26)</f>
        <v/>
      </c>
      <c r="K231" s="131">
        <f>IF('Final Calculation Sheet'!$H$30="","",'Final Calculation Sheet'!$H$30)</f>
        <v/>
      </c>
      <c r="L231" s="70">
        <f>IF('Final Calculation Sheet'!$H$32="","",'Final Calculation Sheet'!$H$32)</f>
        <v/>
      </c>
      <c r="M231" s="131">
        <f>IF('Final Calculation Sheet'!$H$33="","",'Final Calculation Sheet'!$H$33)</f>
        <v/>
      </c>
      <c r="N231" s="70">
        <f>IF('Final Calculation Sheet'!$H$37="","",'Final Calculation Sheet'!$H$37)</f>
        <v/>
      </c>
      <c r="O231" s="137">
        <f>SUM(B231:N231)</f>
        <v/>
      </c>
    </row>
    <row r="232" outlineLevel="2" ht="15" customHeight="1">
      <c r="A232" s="69" t="inlineStr">
        <is>
          <t xml:space="preserve">      GST @ 18% (₹)</t>
        </is>
      </c>
      <c r="B232" s="70">
        <f>IF('Final Calculation Sheet'!$I$5="","",'Final Calculation Sheet'!$I$5)</f>
        <v/>
      </c>
      <c r="C232" s="131">
        <f>IF('Final Calculation Sheet'!$I$10="","",'Final Calculation Sheet'!$I$10)</f>
        <v/>
      </c>
      <c r="D232" s="70">
        <f>IF('Final Calculation Sheet'!$I$11="","",'Final Calculation Sheet'!$I$11)</f>
        <v/>
      </c>
      <c r="E232" s="131">
        <f>IF('Final Calculation Sheet'!$I$12="","",'Final Calculation Sheet'!$I$12)</f>
        <v/>
      </c>
      <c r="F232" s="70">
        <f>IF('Final Calculation Sheet'!$I$18="","",'Final Calculation Sheet'!$I$18)</f>
        <v/>
      </c>
      <c r="G232" s="131">
        <f>IF('Final Calculation Sheet'!$I$19="","",'Final Calculation Sheet'!$I$19)</f>
        <v/>
      </c>
      <c r="H232" s="70">
        <f>IF('Final Calculation Sheet'!$I$22="","",'Final Calculation Sheet'!$I$22)</f>
        <v/>
      </c>
      <c r="I232" s="131">
        <f>IF('Final Calculation Sheet'!$I$24="","",'Final Calculation Sheet'!$I$24)</f>
        <v/>
      </c>
      <c r="J232" s="70">
        <f>IF('Final Calculation Sheet'!$I$26="","",'Final Calculation Sheet'!$I$26)</f>
        <v/>
      </c>
      <c r="K232" s="131">
        <f>IF('Final Calculation Sheet'!$I$30="","",'Final Calculation Sheet'!$I$30)</f>
        <v/>
      </c>
      <c r="L232" s="70">
        <f>IF('Final Calculation Sheet'!$I$32="","",'Final Calculation Sheet'!$I$32)</f>
        <v/>
      </c>
      <c r="M232" s="131">
        <f>IF('Final Calculation Sheet'!$I$33="","",'Final Calculation Sheet'!$I$33)</f>
        <v/>
      </c>
      <c r="N232" s="70">
        <f>IF('Final Calculation Sheet'!$I$37="","",'Final Calculation Sheet'!$I$37)</f>
        <v/>
      </c>
      <c r="O232" s="137">
        <f>SUM(B232:N232)</f>
        <v/>
      </c>
    </row>
    <row r="233" outlineLevel="2" ht="15" customHeight="1">
      <c r="A233" s="69" t="inlineStr">
        <is>
          <t xml:space="preserve">      Mat. Value + GST (₹)</t>
        </is>
      </c>
      <c r="B233" s="70">
        <f>IF('Final Calculation Sheet'!$J$5="","",'Final Calculation Sheet'!$J$5)</f>
        <v/>
      </c>
      <c r="C233" s="131">
        <f>IF('Final Calculation Sheet'!$J$10="","",'Final Calculation Sheet'!$J$10)</f>
        <v/>
      </c>
      <c r="D233" s="70">
        <f>IF('Final Calculation Sheet'!$J$11="","",'Final Calculation Sheet'!$J$11)</f>
        <v/>
      </c>
      <c r="E233" s="131">
        <f>IF('Final Calculation Sheet'!$J$12="","",'Final Calculation Sheet'!$J$12)</f>
        <v/>
      </c>
      <c r="F233" s="70">
        <f>IF('Final Calculation Sheet'!$J$18="","",'Final Calculation Sheet'!$J$18)</f>
        <v/>
      </c>
      <c r="G233" s="131">
        <f>IF('Final Calculation Sheet'!$J$19="","",'Final Calculation Sheet'!$J$19)</f>
        <v/>
      </c>
      <c r="H233" s="70">
        <f>IF('Final Calculation Sheet'!$J$22="","",'Final Calculation Sheet'!$J$22)</f>
        <v/>
      </c>
      <c r="I233" s="131">
        <f>IF('Final Calculation Sheet'!$J$24="","",'Final Calculation Sheet'!$J$24)</f>
        <v/>
      </c>
      <c r="J233" s="70">
        <f>IF('Final Calculation Sheet'!$J$26="","",'Final Calculation Sheet'!$J$26)</f>
        <v/>
      </c>
      <c r="K233" s="131">
        <f>IF('Final Calculation Sheet'!$J$30="","",'Final Calculation Sheet'!$J$30)</f>
        <v/>
      </c>
      <c r="L233" s="70">
        <f>IF('Final Calculation Sheet'!$J$32="","",'Final Calculation Sheet'!$J$32)</f>
        <v/>
      </c>
      <c r="M233" s="131">
        <f>IF('Final Calculation Sheet'!$J$33="","",'Final Calculation Sheet'!$J$33)</f>
        <v/>
      </c>
      <c r="N233" s="70">
        <f>IF('Final Calculation Sheet'!$J$37="","",'Final Calculation Sheet'!$J$37)</f>
        <v/>
      </c>
      <c r="O233" s="137">
        <f>SUM(B233:N233)</f>
        <v/>
      </c>
    </row>
    <row r="234" outlineLevel="2" ht="15" customHeight="1">
      <c r="A234" s="69" t="inlineStr">
        <is>
          <t xml:space="preserve">      TCS @ 2% (₹)</t>
        </is>
      </c>
      <c r="B234" s="70">
        <f>IF('Final Calculation Sheet'!$K$5="","",'Final Calculation Sheet'!$K$5)</f>
        <v/>
      </c>
      <c r="C234" s="131">
        <f>IF('Final Calculation Sheet'!$K$10="","",'Final Calculation Sheet'!$K$10)</f>
        <v/>
      </c>
      <c r="D234" s="70">
        <f>IF('Final Calculation Sheet'!$K$11="","",'Final Calculation Sheet'!$K$11)</f>
        <v/>
      </c>
      <c r="E234" s="131">
        <f>IF('Final Calculation Sheet'!$K$12="","",'Final Calculation Sheet'!$K$12)</f>
        <v/>
      </c>
      <c r="F234" s="70">
        <f>IF('Final Calculation Sheet'!$K$18="","",'Final Calculation Sheet'!$K$18)</f>
        <v/>
      </c>
      <c r="G234" s="131">
        <f>IF('Final Calculation Sheet'!$K$19="","",'Final Calculation Sheet'!$K$19)</f>
        <v/>
      </c>
      <c r="H234" s="70">
        <f>IF('Final Calculation Sheet'!$K$22="","",'Final Calculation Sheet'!$K$22)</f>
        <v/>
      </c>
      <c r="I234" s="131">
        <f>IF('Final Calculation Sheet'!$K$24="","",'Final Calculation Sheet'!$K$24)</f>
        <v/>
      </c>
      <c r="J234" s="70">
        <f>IF('Final Calculation Sheet'!$K$26="","",'Final Calculation Sheet'!$K$26)</f>
        <v/>
      </c>
      <c r="K234" s="131">
        <f>IF('Final Calculation Sheet'!$K$30="","",'Final Calculation Sheet'!$K$30)</f>
        <v/>
      </c>
      <c r="L234" s="70">
        <f>IF('Final Calculation Sheet'!$K$32="","",'Final Calculation Sheet'!$K$32)</f>
        <v/>
      </c>
      <c r="M234" s="131">
        <f>IF('Final Calculation Sheet'!$K$33="","",'Final Calculation Sheet'!$K$33)</f>
        <v/>
      </c>
      <c r="N234" s="70">
        <f>IF('Final Calculation Sheet'!$K$37="","",'Final Calculation Sheet'!$K$37)</f>
        <v/>
      </c>
      <c r="O234" s="137">
        <f>SUM(B234:N234)</f>
        <v/>
      </c>
    </row>
    <row r="235" outlineLevel="2" ht="15" customHeight="1">
      <c r="A235" s="69" t="inlineStr">
        <is>
          <t xml:space="preserve">      TDS u/s 194(O) (₹)</t>
        </is>
      </c>
      <c r="B235" s="78">
        <f>IF('Final Calculation Sheet'!$L$5="","",'Final Calculation Sheet'!$L$5)</f>
        <v/>
      </c>
      <c r="C235" s="138">
        <f>IF('Final Calculation Sheet'!$L$10="","",'Final Calculation Sheet'!$L$10)</f>
        <v/>
      </c>
      <c r="D235" s="78">
        <f>IF('Final Calculation Sheet'!$L$11="","",'Final Calculation Sheet'!$L$11)</f>
        <v/>
      </c>
      <c r="E235" s="138">
        <f>IF('Final Calculation Sheet'!$L$12="","",'Final Calculation Sheet'!$L$12)</f>
        <v/>
      </c>
      <c r="F235" s="78">
        <f>IF('Final Calculation Sheet'!$L$18="","",'Final Calculation Sheet'!$L$18)</f>
        <v/>
      </c>
      <c r="G235" s="138">
        <f>IF('Final Calculation Sheet'!$L$19="","",'Final Calculation Sheet'!$L$19)</f>
        <v/>
      </c>
      <c r="H235" s="78">
        <f>IF('Final Calculation Sheet'!$L$22="","",'Final Calculation Sheet'!$L$22)</f>
        <v/>
      </c>
      <c r="I235" s="138">
        <f>IF('Final Calculation Sheet'!$L$24="","",'Final Calculation Sheet'!$L$24)</f>
        <v/>
      </c>
      <c r="J235" s="78">
        <f>IF('Final Calculation Sheet'!$L$26="","",'Final Calculation Sheet'!$L$26)</f>
        <v/>
      </c>
      <c r="K235" s="138">
        <f>IF('Final Calculation Sheet'!$L$30="","",'Final Calculation Sheet'!$L$30)</f>
        <v/>
      </c>
      <c r="L235" s="78">
        <f>IF('Final Calculation Sheet'!$L$32="","",'Final Calculation Sheet'!$L$32)</f>
        <v/>
      </c>
      <c r="M235" s="138">
        <f>IF('Final Calculation Sheet'!$L$33="","",'Final Calculation Sheet'!$L$33)</f>
        <v/>
      </c>
      <c r="N235" s="78">
        <f>IF('Final Calculation Sheet'!$L$37="","",'Final Calculation Sheet'!$L$37)</f>
        <v/>
      </c>
      <c r="O235" s="139">
        <f>SUM(B235:N235)</f>
        <v/>
      </c>
    </row>
    <row r="236" outlineLevel="2" ht="15" customHeight="1">
      <c r="A236" s="69" t="inlineStr">
        <is>
          <t xml:space="preserve">      Service Charge gross (₹)</t>
        </is>
      </c>
      <c r="B236" s="78">
        <f>IF('Final Calculation Sheet'!$M$5="","",'Final Calculation Sheet'!$M$5)</f>
        <v/>
      </c>
      <c r="C236" s="138">
        <f>IF('Final Calculation Sheet'!$M$10="","",'Final Calculation Sheet'!$M$10)</f>
        <v/>
      </c>
      <c r="D236" s="78">
        <f>IF('Final Calculation Sheet'!$M$11="","",'Final Calculation Sheet'!$M$11)</f>
        <v/>
      </c>
      <c r="E236" s="138">
        <f>IF('Final Calculation Sheet'!$M$12="","",'Final Calculation Sheet'!$M$12)</f>
        <v/>
      </c>
      <c r="F236" s="78">
        <f>IF('Final Calculation Sheet'!$M$18="","",'Final Calculation Sheet'!$M$18)</f>
        <v/>
      </c>
      <c r="G236" s="138">
        <f>IF('Final Calculation Sheet'!$M$19="","",'Final Calculation Sheet'!$M$19)</f>
        <v/>
      </c>
      <c r="H236" s="78">
        <f>IF('Final Calculation Sheet'!$M$22="","",'Final Calculation Sheet'!$M$22)</f>
        <v/>
      </c>
      <c r="I236" s="138">
        <f>IF('Final Calculation Sheet'!$M$24="","",'Final Calculation Sheet'!$M$24)</f>
        <v/>
      </c>
      <c r="J236" s="78">
        <f>IF('Final Calculation Sheet'!$M$26="","",'Final Calculation Sheet'!$M$26)</f>
        <v/>
      </c>
      <c r="K236" s="138">
        <f>IF('Final Calculation Sheet'!$M$30="","",'Final Calculation Sheet'!$M$30)</f>
        <v/>
      </c>
      <c r="L236" s="78">
        <f>IF('Final Calculation Sheet'!$M$32="","",'Final Calculation Sheet'!$M$32)</f>
        <v/>
      </c>
      <c r="M236" s="138">
        <f>IF('Final Calculation Sheet'!$M$33="","",'Final Calculation Sheet'!$M$33)</f>
        <v/>
      </c>
      <c r="N236" s="78">
        <f>IF('Final Calculation Sheet'!$M$37="","",'Final Calculation Sheet'!$M$37)</f>
        <v/>
      </c>
      <c r="O236" s="139">
        <f>SUM(B236:N236)</f>
        <v/>
      </c>
    </row>
    <row r="237" outlineLevel="2" ht="15" customHeight="1">
      <c r="A237" s="69" t="inlineStr">
        <is>
          <t xml:space="preserve">      TDS u/s 194(H) (₹)</t>
        </is>
      </c>
      <c r="B237" s="78">
        <f>IF('Final Calculation Sheet'!$N$5="","",'Final Calculation Sheet'!$N$5)</f>
        <v/>
      </c>
      <c r="C237" s="138">
        <f>IF('Final Calculation Sheet'!$N$10="","",'Final Calculation Sheet'!$N$10)</f>
        <v/>
      </c>
      <c r="D237" s="78">
        <f>IF('Final Calculation Sheet'!$N$11="","",'Final Calculation Sheet'!$N$11)</f>
        <v/>
      </c>
      <c r="E237" s="138">
        <f>IF('Final Calculation Sheet'!$N$12="","",'Final Calculation Sheet'!$N$12)</f>
        <v/>
      </c>
      <c r="F237" s="78">
        <f>IF('Final Calculation Sheet'!$N$18="","",'Final Calculation Sheet'!$N$18)</f>
        <v/>
      </c>
      <c r="G237" s="138">
        <f>IF('Final Calculation Sheet'!$N$19="","",'Final Calculation Sheet'!$N$19)</f>
        <v/>
      </c>
      <c r="H237" s="78">
        <f>IF('Final Calculation Sheet'!$N$22="","",'Final Calculation Sheet'!$N$22)</f>
        <v/>
      </c>
      <c r="I237" s="138">
        <f>IF('Final Calculation Sheet'!$N$24="","",'Final Calculation Sheet'!$N$24)</f>
        <v/>
      </c>
      <c r="J237" s="78">
        <f>IF('Final Calculation Sheet'!$N$26="","",'Final Calculation Sheet'!$N$26)</f>
        <v/>
      </c>
      <c r="K237" s="138">
        <f>IF('Final Calculation Sheet'!$N$30="","",'Final Calculation Sheet'!$N$30)</f>
        <v/>
      </c>
      <c r="L237" s="78">
        <f>IF('Final Calculation Sheet'!$N$32="","",'Final Calculation Sheet'!$N$32)</f>
        <v/>
      </c>
      <c r="M237" s="138">
        <f>IF('Final Calculation Sheet'!$N$33="","",'Final Calculation Sheet'!$N$33)</f>
        <v/>
      </c>
      <c r="N237" s="78">
        <f>IF('Final Calculation Sheet'!$N$37="","",'Final Calculation Sheet'!$N$37)</f>
        <v/>
      </c>
      <c r="O237" s="139">
        <f>SUM(B237:N237)</f>
        <v/>
      </c>
    </row>
    <row r="238" outlineLevel="2" ht="15" customHeight="1">
      <c r="A238" s="69" t="inlineStr">
        <is>
          <t xml:space="preserve">      Net Service Charge (₹)</t>
        </is>
      </c>
      <c r="B238" s="78">
        <f>IF('Final Calculation Sheet'!$O$5="","",'Final Calculation Sheet'!$O$5)</f>
        <v/>
      </c>
      <c r="C238" s="138">
        <f>IF('Final Calculation Sheet'!$O$10="","",'Final Calculation Sheet'!$O$10)</f>
        <v/>
      </c>
      <c r="D238" s="78">
        <f>IF('Final Calculation Sheet'!$O$11="","",'Final Calculation Sheet'!$O$11)</f>
        <v/>
      </c>
      <c r="E238" s="138">
        <f>IF('Final Calculation Sheet'!$O$12="","",'Final Calculation Sheet'!$O$12)</f>
        <v/>
      </c>
      <c r="F238" s="78">
        <f>IF('Final Calculation Sheet'!$O$18="","",'Final Calculation Sheet'!$O$18)</f>
        <v/>
      </c>
      <c r="G238" s="138">
        <f>IF('Final Calculation Sheet'!$O$19="","",'Final Calculation Sheet'!$O$19)</f>
        <v/>
      </c>
      <c r="H238" s="78">
        <f>IF('Final Calculation Sheet'!$O$22="","",'Final Calculation Sheet'!$O$22)</f>
        <v/>
      </c>
      <c r="I238" s="138">
        <f>IF('Final Calculation Sheet'!$O$24="","",'Final Calculation Sheet'!$O$24)</f>
        <v/>
      </c>
      <c r="J238" s="78">
        <f>IF('Final Calculation Sheet'!$O$26="","",'Final Calculation Sheet'!$O$26)</f>
        <v/>
      </c>
      <c r="K238" s="138">
        <f>IF('Final Calculation Sheet'!$O$30="","",'Final Calculation Sheet'!$O$30)</f>
        <v/>
      </c>
      <c r="L238" s="78">
        <f>IF('Final Calculation Sheet'!$O$32="","",'Final Calculation Sheet'!$O$32)</f>
        <v/>
      </c>
      <c r="M238" s="138">
        <f>IF('Final Calculation Sheet'!$O$33="","",'Final Calculation Sheet'!$O$33)</f>
        <v/>
      </c>
      <c r="N238" s="78">
        <f>IF('Final Calculation Sheet'!$O$37="","",'Final Calculation Sheet'!$O$37)</f>
        <v/>
      </c>
      <c r="O238" s="139">
        <f>SUM(B238:N238)</f>
        <v/>
      </c>
    </row>
    <row r="239" outlineLevel="2" ht="15" customHeight="1">
      <c r="A239" s="69" t="inlineStr">
        <is>
          <t xml:space="preserve">      Svc Charge to MSTC (₹)</t>
        </is>
      </c>
      <c r="B239" s="70">
        <f>IF('Final Calculation Sheet'!$P$5="","",'Final Calculation Sheet'!$P$5)</f>
        <v/>
      </c>
      <c r="C239" s="131">
        <f>IF('Final Calculation Sheet'!$P$10="","",'Final Calculation Sheet'!$P$10)</f>
        <v/>
      </c>
      <c r="D239" s="70">
        <f>IF('Final Calculation Sheet'!$P$11="","",'Final Calculation Sheet'!$P$11)</f>
        <v/>
      </c>
      <c r="E239" s="131">
        <f>IF('Final Calculation Sheet'!$P$12="","",'Final Calculation Sheet'!$P$12)</f>
        <v/>
      </c>
      <c r="F239" s="70">
        <f>IF('Final Calculation Sheet'!$P$18="","",'Final Calculation Sheet'!$P$18)</f>
        <v/>
      </c>
      <c r="G239" s="131">
        <f>IF('Final Calculation Sheet'!$P$19="","",'Final Calculation Sheet'!$P$19)</f>
        <v/>
      </c>
      <c r="H239" s="70">
        <f>IF('Final Calculation Sheet'!$P$22="","",'Final Calculation Sheet'!$P$22)</f>
        <v/>
      </c>
      <c r="I239" s="131">
        <f>IF('Final Calculation Sheet'!$P$24="","",'Final Calculation Sheet'!$P$24)</f>
        <v/>
      </c>
      <c r="J239" s="70">
        <f>IF('Final Calculation Sheet'!$P$26="","",'Final Calculation Sheet'!$P$26)</f>
        <v/>
      </c>
      <c r="K239" s="131">
        <f>IF('Final Calculation Sheet'!$P$30="","",'Final Calculation Sheet'!$P$30)</f>
        <v/>
      </c>
      <c r="L239" s="70">
        <f>IF('Final Calculation Sheet'!$P$32="","",'Final Calculation Sheet'!$P$32)</f>
        <v/>
      </c>
      <c r="M239" s="131">
        <f>IF('Final Calculation Sheet'!$P$33="","",'Final Calculation Sheet'!$P$33)</f>
        <v/>
      </c>
      <c r="N239" s="70">
        <f>IF('Final Calculation Sheet'!$P$37="","",'Final Calculation Sheet'!$P$37)</f>
        <v/>
      </c>
      <c r="O239" s="137">
        <f>SUM(B239:N239)</f>
        <v/>
      </c>
    </row>
    <row r="240" outlineLevel="2" ht="15" customHeight="1">
      <c r="A240" s="69" t="inlineStr">
        <is>
          <t xml:space="preserve">      GST TDS Rate</t>
        </is>
      </c>
      <c r="B240" s="80">
        <f>IF('Final Calculation Sheet'!$Q$5="","",'Final Calculation Sheet'!$Q$5)</f>
        <v/>
      </c>
      <c r="C240" s="140">
        <f>IF('Final Calculation Sheet'!$Q$10="","",'Final Calculation Sheet'!$Q$10)</f>
        <v/>
      </c>
      <c r="D240" s="80">
        <f>IF('Final Calculation Sheet'!$Q$11="","",'Final Calculation Sheet'!$Q$11)</f>
        <v/>
      </c>
      <c r="E240" s="140">
        <f>IF('Final Calculation Sheet'!$Q$12="","",'Final Calculation Sheet'!$Q$12)</f>
        <v/>
      </c>
      <c r="F240" s="80">
        <f>IF('Final Calculation Sheet'!$Q$18="","",'Final Calculation Sheet'!$Q$18)</f>
        <v/>
      </c>
      <c r="G240" s="140">
        <f>IF('Final Calculation Sheet'!$Q$19="","",'Final Calculation Sheet'!$Q$19)</f>
        <v/>
      </c>
      <c r="H240" s="80">
        <f>IF('Final Calculation Sheet'!$Q$22="","",'Final Calculation Sheet'!$Q$22)</f>
        <v/>
      </c>
      <c r="I240" s="140">
        <f>IF('Final Calculation Sheet'!$Q$24="","",'Final Calculation Sheet'!$Q$24)</f>
        <v/>
      </c>
      <c r="J240" s="80">
        <f>IF('Final Calculation Sheet'!$Q$26="","",'Final Calculation Sheet'!$Q$26)</f>
        <v/>
      </c>
      <c r="K240" s="140">
        <f>IF('Final Calculation Sheet'!$Q$30="","",'Final Calculation Sheet'!$Q$30)</f>
        <v/>
      </c>
      <c r="L240" s="80">
        <f>IF('Final Calculation Sheet'!$Q$32="","",'Final Calculation Sheet'!$Q$32)</f>
        <v/>
      </c>
      <c r="M240" s="140">
        <f>IF('Final Calculation Sheet'!$Q$33="","",'Final Calculation Sheet'!$Q$33)</f>
        <v/>
      </c>
      <c r="N240" s="80">
        <f>IF('Final Calculation Sheet'!$Q$37="","",'Final Calculation Sheet'!$Q$37)</f>
        <v/>
      </c>
      <c r="O240" s="132" t="inlineStr">
        <is>
          <t>–</t>
        </is>
      </c>
    </row>
    <row r="241" outlineLevel="2" ht="15" customHeight="1">
      <c r="A241" s="69" t="inlineStr">
        <is>
          <t xml:space="preserve">      GST TDS (₹)</t>
        </is>
      </c>
      <c r="B241" s="70">
        <f>IF('Final Calculation Sheet'!$R$5="","",'Final Calculation Sheet'!$R$5)</f>
        <v/>
      </c>
      <c r="C241" s="131">
        <f>IF('Final Calculation Sheet'!$R$10="","",'Final Calculation Sheet'!$R$10)</f>
        <v/>
      </c>
      <c r="D241" s="70">
        <f>IF('Final Calculation Sheet'!$R$11="","",'Final Calculation Sheet'!$R$11)</f>
        <v/>
      </c>
      <c r="E241" s="131">
        <f>IF('Final Calculation Sheet'!$R$12="","",'Final Calculation Sheet'!$R$12)</f>
        <v/>
      </c>
      <c r="F241" s="70">
        <f>IF('Final Calculation Sheet'!$R$18="","",'Final Calculation Sheet'!$R$18)</f>
        <v/>
      </c>
      <c r="G241" s="131">
        <f>IF('Final Calculation Sheet'!$R$19="","",'Final Calculation Sheet'!$R$19)</f>
        <v/>
      </c>
      <c r="H241" s="70">
        <f>IF('Final Calculation Sheet'!$R$22="","",'Final Calculation Sheet'!$R$22)</f>
        <v/>
      </c>
      <c r="I241" s="131">
        <f>IF('Final Calculation Sheet'!$R$24="","",'Final Calculation Sheet'!$R$24)</f>
        <v/>
      </c>
      <c r="J241" s="70">
        <f>IF('Final Calculation Sheet'!$R$26="","",'Final Calculation Sheet'!$R$26)</f>
        <v/>
      </c>
      <c r="K241" s="131">
        <f>IF('Final Calculation Sheet'!$R$30="","",'Final Calculation Sheet'!$R$30)</f>
        <v/>
      </c>
      <c r="L241" s="70">
        <f>IF('Final Calculation Sheet'!$R$32="","",'Final Calculation Sheet'!$R$32)</f>
        <v/>
      </c>
      <c r="M241" s="131">
        <f>IF('Final Calculation Sheet'!$R$33="","",'Final Calculation Sheet'!$R$33)</f>
        <v/>
      </c>
      <c r="N241" s="70">
        <f>IF('Final Calculation Sheet'!$R$37="","",'Final Calculation Sheet'!$R$37)</f>
        <v/>
      </c>
      <c r="O241" s="137">
        <f>SUM(B241:N241)</f>
        <v/>
      </c>
    </row>
    <row r="242" outlineLevel="2" ht="15" customHeight="1">
      <c r="A242" s="69" t="inlineStr">
        <is>
          <t xml:space="preserve">      Total Receivables (₹)</t>
        </is>
      </c>
      <c r="B242" s="70">
        <f>IF('Final Calculation Sheet'!$S$5="","",'Final Calculation Sheet'!$S$5)</f>
        <v/>
      </c>
      <c r="C242" s="131">
        <f>IF('Final Calculation Sheet'!$S$10="","",'Final Calculation Sheet'!$S$10)</f>
        <v/>
      </c>
      <c r="D242" s="70">
        <f>IF('Final Calculation Sheet'!$S$11="","",'Final Calculation Sheet'!$S$11)</f>
        <v/>
      </c>
      <c r="E242" s="131">
        <f>IF('Final Calculation Sheet'!$S$12="","",'Final Calculation Sheet'!$S$12)</f>
        <v/>
      </c>
      <c r="F242" s="70">
        <f>IF('Final Calculation Sheet'!$S$18="","",'Final Calculation Sheet'!$S$18)</f>
        <v/>
      </c>
      <c r="G242" s="131">
        <f>IF('Final Calculation Sheet'!$S$19="","",'Final Calculation Sheet'!$S$19)</f>
        <v/>
      </c>
      <c r="H242" s="70">
        <f>IF('Final Calculation Sheet'!$S$22="","",'Final Calculation Sheet'!$S$22)</f>
        <v/>
      </c>
      <c r="I242" s="131">
        <f>IF('Final Calculation Sheet'!$S$24="","",'Final Calculation Sheet'!$S$24)</f>
        <v/>
      </c>
      <c r="J242" s="70">
        <f>IF('Final Calculation Sheet'!$S$26="","",'Final Calculation Sheet'!$S$26)</f>
        <v/>
      </c>
      <c r="K242" s="131">
        <f>IF('Final Calculation Sheet'!$S$30="","",'Final Calculation Sheet'!$S$30)</f>
        <v/>
      </c>
      <c r="L242" s="70">
        <f>IF('Final Calculation Sheet'!$S$32="","",'Final Calculation Sheet'!$S$32)</f>
        <v/>
      </c>
      <c r="M242" s="131">
        <f>IF('Final Calculation Sheet'!$S$33="","",'Final Calculation Sheet'!$S$33)</f>
        <v/>
      </c>
      <c r="N242" s="70">
        <f>IF('Final Calculation Sheet'!$S$37="","",'Final Calculation Sheet'!$S$37)</f>
        <v/>
      </c>
      <c r="O242" s="137">
        <f>SUM(B242:N242)</f>
        <v/>
      </c>
    </row>
    <row r="243" outlineLevel="1" ht="16" customHeight="1">
      <c r="A243" s="127" t="inlineStr">
        <is>
          <t xml:space="preserve">  ▸ SECURITY DEPOSIT</t>
        </is>
      </c>
      <c r="B243" s="130" t="n"/>
      <c r="C243" s="130" t="n"/>
      <c r="D243" s="130" t="n"/>
      <c r="E243" s="130" t="n"/>
      <c r="F243" s="130" t="n"/>
      <c r="G243" s="130" t="n"/>
      <c r="H243" s="130" t="n"/>
      <c r="I243" s="130" t="n"/>
      <c r="J243" s="130" t="n"/>
      <c r="K243" s="130" t="n"/>
      <c r="L243" s="130" t="n"/>
      <c r="M243" s="130" t="n"/>
      <c r="N243" s="130" t="n"/>
      <c r="O243" s="130" t="n"/>
    </row>
    <row r="244" outlineLevel="2" ht="15" customHeight="1">
      <c r="A244" s="69" t="inlineStr">
        <is>
          <t xml:space="preserve">      SD Expected (₹)</t>
        </is>
      </c>
      <c r="B244" s="70">
        <f>IF('Final Calculation Sheet'!$T$5="","",'Final Calculation Sheet'!$T$5)</f>
        <v/>
      </c>
      <c r="C244" s="131">
        <f>IF('Final Calculation Sheet'!$T$10="","",'Final Calculation Sheet'!$T$10)</f>
        <v/>
      </c>
      <c r="D244" s="70">
        <f>IF('Final Calculation Sheet'!$T$11="","",'Final Calculation Sheet'!$T$11)</f>
        <v/>
      </c>
      <c r="E244" s="131">
        <f>IF('Final Calculation Sheet'!$T$12="","",'Final Calculation Sheet'!$T$12)</f>
        <v/>
      </c>
      <c r="F244" s="70">
        <f>IF('Final Calculation Sheet'!$T$18="","",'Final Calculation Sheet'!$T$18)</f>
        <v/>
      </c>
      <c r="G244" s="131">
        <f>IF('Final Calculation Sheet'!$T$19="","",'Final Calculation Sheet'!$T$19)</f>
        <v/>
      </c>
      <c r="H244" s="70">
        <f>IF('Final Calculation Sheet'!$T$22="","",'Final Calculation Sheet'!$T$22)</f>
        <v/>
      </c>
      <c r="I244" s="131">
        <f>IF('Final Calculation Sheet'!$T$24="","",'Final Calculation Sheet'!$T$24)</f>
        <v/>
      </c>
      <c r="J244" s="70">
        <f>IF('Final Calculation Sheet'!$T$26="","",'Final Calculation Sheet'!$T$26)</f>
        <v/>
      </c>
      <c r="K244" s="131">
        <f>IF('Final Calculation Sheet'!$T$30="","",'Final Calculation Sheet'!$T$30)</f>
        <v/>
      </c>
      <c r="L244" s="70">
        <f>IF('Final Calculation Sheet'!$T$32="","",'Final Calculation Sheet'!$T$32)</f>
        <v/>
      </c>
      <c r="M244" s="131">
        <f>IF('Final Calculation Sheet'!$T$33="","",'Final Calculation Sheet'!$T$33)</f>
        <v/>
      </c>
      <c r="N244" s="70">
        <f>IF('Final Calculation Sheet'!$T$37="","",'Final Calculation Sheet'!$T$37)</f>
        <v/>
      </c>
      <c r="O244" s="137">
        <f>SUM(B244:N244)</f>
        <v/>
      </c>
    </row>
    <row r="245" outlineLevel="2" ht="15" customHeight="1">
      <c r="A245" s="69" t="inlineStr">
        <is>
          <t xml:space="preserve">      SD Received (₹)</t>
        </is>
      </c>
      <c r="B245" s="70">
        <f>IF('Final Calculation Sheet'!$U$5="","",'Final Calculation Sheet'!$U$5)</f>
        <v/>
      </c>
      <c r="C245" s="131">
        <f>IF('Final Calculation Sheet'!$U$10="","",'Final Calculation Sheet'!$U$10)</f>
        <v/>
      </c>
      <c r="D245" s="70">
        <f>IF('Final Calculation Sheet'!$U$11="","",'Final Calculation Sheet'!$U$11)</f>
        <v/>
      </c>
      <c r="E245" s="131">
        <f>IF('Final Calculation Sheet'!$U$12="","",'Final Calculation Sheet'!$U$12)</f>
        <v/>
      </c>
      <c r="F245" s="70">
        <f>IF('Final Calculation Sheet'!$U$18="","",'Final Calculation Sheet'!$U$18)</f>
        <v/>
      </c>
      <c r="G245" s="131">
        <f>IF('Final Calculation Sheet'!$U$19="","",'Final Calculation Sheet'!$U$19)</f>
        <v/>
      </c>
      <c r="H245" s="70">
        <f>IF('Final Calculation Sheet'!$U$22="","",'Final Calculation Sheet'!$U$22)</f>
        <v/>
      </c>
      <c r="I245" s="131">
        <f>IF('Final Calculation Sheet'!$U$24="","",'Final Calculation Sheet'!$U$24)</f>
        <v/>
      </c>
      <c r="J245" s="70">
        <f>IF('Final Calculation Sheet'!$U$26="","",'Final Calculation Sheet'!$U$26)</f>
        <v/>
      </c>
      <c r="K245" s="131">
        <f>IF('Final Calculation Sheet'!$U$30="","",'Final Calculation Sheet'!$U$30)</f>
        <v/>
      </c>
      <c r="L245" s="70">
        <f>IF('Final Calculation Sheet'!$U$32="","",'Final Calculation Sheet'!$U$32)</f>
        <v/>
      </c>
      <c r="M245" s="131">
        <f>IF('Final Calculation Sheet'!$U$33="","",'Final Calculation Sheet'!$U$33)</f>
        <v/>
      </c>
      <c r="N245" s="70">
        <f>IF('Final Calculation Sheet'!$U$37="","",'Final Calculation Sheet'!$U$37)</f>
        <v/>
      </c>
      <c r="O245" s="137">
        <f>SUM(B245:N245)</f>
        <v/>
      </c>
    </row>
    <row r="246" outlineLevel="2" ht="15" customHeight="1">
      <c r="A246" s="69" t="inlineStr">
        <is>
          <t xml:space="preserve">      SD Receipt Date</t>
        </is>
      </c>
      <c r="B246" s="76">
        <f>IF('Final Calculation Sheet'!$V$5="","",'Final Calculation Sheet'!$V$5)</f>
        <v/>
      </c>
      <c r="C246" s="136">
        <f>IF('Final Calculation Sheet'!$V$10="","",'Final Calculation Sheet'!$V$10)</f>
        <v/>
      </c>
      <c r="D246" s="76">
        <f>IF('Final Calculation Sheet'!$V$11="","",'Final Calculation Sheet'!$V$11)</f>
        <v/>
      </c>
      <c r="E246" s="136">
        <f>IF('Final Calculation Sheet'!$V$12="","",'Final Calculation Sheet'!$V$12)</f>
        <v/>
      </c>
      <c r="F246" s="76">
        <f>IF('Final Calculation Sheet'!$V$18="","",'Final Calculation Sheet'!$V$18)</f>
        <v/>
      </c>
      <c r="G246" s="136">
        <f>IF('Final Calculation Sheet'!$V$19="","",'Final Calculation Sheet'!$V$19)</f>
        <v/>
      </c>
      <c r="H246" s="76">
        <f>IF('Final Calculation Sheet'!$V$22="","",'Final Calculation Sheet'!$V$22)</f>
        <v/>
      </c>
      <c r="I246" s="136">
        <f>IF('Final Calculation Sheet'!$V$24="","",'Final Calculation Sheet'!$V$24)</f>
        <v/>
      </c>
      <c r="J246" s="76">
        <f>IF('Final Calculation Sheet'!$V$26="","",'Final Calculation Sheet'!$V$26)</f>
        <v/>
      </c>
      <c r="K246" s="136">
        <f>IF('Final Calculation Sheet'!$V$30="","",'Final Calculation Sheet'!$V$30)</f>
        <v/>
      </c>
      <c r="L246" s="76">
        <f>IF('Final Calculation Sheet'!$V$32="","",'Final Calculation Sheet'!$V$32)</f>
        <v/>
      </c>
      <c r="M246" s="136">
        <f>IF('Final Calculation Sheet'!$V$33="","",'Final Calculation Sheet'!$V$33)</f>
        <v/>
      </c>
      <c r="N246" s="76">
        <f>IF('Final Calculation Sheet'!$V$37="","",'Final Calculation Sheet'!$V$37)</f>
        <v/>
      </c>
      <c r="O246" s="132" t="inlineStr">
        <is>
          <t>–</t>
        </is>
      </c>
    </row>
    <row r="247" outlineLevel="1" ht="16" customHeight="1">
      <c r="A247" s="127" t="inlineStr">
        <is>
          <t xml:space="preserve">  ▸ FINAL PAYMENT</t>
        </is>
      </c>
      <c r="B247" s="130" t="n"/>
      <c r="C247" s="130" t="n"/>
      <c r="D247" s="130" t="n"/>
      <c r="E247" s="130" t="n"/>
      <c r="F247" s="130" t="n"/>
      <c r="G247" s="130" t="n"/>
      <c r="H247" s="130" t="n"/>
      <c r="I247" s="130" t="n"/>
      <c r="J247" s="130" t="n"/>
      <c r="K247" s="130" t="n"/>
      <c r="L247" s="130" t="n"/>
      <c r="M247" s="130" t="n"/>
      <c r="N247" s="130" t="n"/>
      <c r="O247" s="130" t="n"/>
    </row>
    <row r="248" outlineLevel="2" ht="15" customHeight="1">
      <c r="A248" s="69" t="inlineStr">
        <is>
          <t xml:space="preserve">      FP Expected (₹)</t>
        </is>
      </c>
      <c r="B248" s="70">
        <f>IF('Final Calculation Sheet'!$W$5="","",'Final Calculation Sheet'!$W$5)</f>
        <v/>
      </c>
      <c r="C248" s="131">
        <f>IF('Final Calculation Sheet'!$W$10="","",'Final Calculation Sheet'!$W$10)</f>
        <v/>
      </c>
      <c r="D248" s="70">
        <f>IF('Final Calculation Sheet'!$W$11="","",'Final Calculation Sheet'!$W$11)</f>
        <v/>
      </c>
      <c r="E248" s="131">
        <f>IF('Final Calculation Sheet'!$W$12="","",'Final Calculation Sheet'!$W$12)</f>
        <v/>
      </c>
      <c r="F248" s="70">
        <f>IF('Final Calculation Sheet'!$W$18="","",'Final Calculation Sheet'!$W$18)</f>
        <v/>
      </c>
      <c r="G248" s="131">
        <f>IF('Final Calculation Sheet'!$W$19="","",'Final Calculation Sheet'!$W$19)</f>
        <v/>
      </c>
      <c r="H248" s="70">
        <f>IF('Final Calculation Sheet'!$W$22="","",'Final Calculation Sheet'!$W$22)</f>
        <v/>
      </c>
      <c r="I248" s="131">
        <f>IF('Final Calculation Sheet'!$W$24="","",'Final Calculation Sheet'!$W$24)</f>
        <v/>
      </c>
      <c r="J248" s="70">
        <f>IF('Final Calculation Sheet'!$W$26="","",'Final Calculation Sheet'!$W$26)</f>
        <v/>
      </c>
      <c r="K248" s="131">
        <f>IF('Final Calculation Sheet'!$W$30="","",'Final Calculation Sheet'!$W$30)</f>
        <v/>
      </c>
      <c r="L248" s="70">
        <f>IF('Final Calculation Sheet'!$W$32="","",'Final Calculation Sheet'!$W$32)</f>
        <v/>
      </c>
      <c r="M248" s="131">
        <f>IF('Final Calculation Sheet'!$W$33="","",'Final Calculation Sheet'!$W$33)</f>
        <v/>
      </c>
      <c r="N248" s="70">
        <f>IF('Final Calculation Sheet'!$W$37="","",'Final Calculation Sheet'!$W$37)</f>
        <v/>
      </c>
      <c r="O248" s="137">
        <f>SUM(B248:N248)</f>
        <v/>
      </c>
    </row>
    <row r="249" outlineLevel="2" ht="15" customHeight="1">
      <c r="A249" s="69" t="inlineStr">
        <is>
          <t xml:space="preserve">      FP Received (₹)</t>
        </is>
      </c>
      <c r="B249" s="70">
        <f>IF('Final Calculation Sheet'!$X$5="","",'Final Calculation Sheet'!$X$5)</f>
        <v/>
      </c>
      <c r="C249" s="131">
        <f>IF('Final Calculation Sheet'!$X$10="","",'Final Calculation Sheet'!$X$10)</f>
        <v/>
      </c>
      <c r="D249" s="70">
        <f>IF('Final Calculation Sheet'!$X$11="","",'Final Calculation Sheet'!$X$11)</f>
        <v/>
      </c>
      <c r="E249" s="131">
        <f>IF('Final Calculation Sheet'!$X$12="","",'Final Calculation Sheet'!$X$12)</f>
        <v/>
      </c>
      <c r="F249" s="70">
        <f>IF('Final Calculation Sheet'!$X$18="","",'Final Calculation Sheet'!$X$18)</f>
        <v/>
      </c>
      <c r="G249" s="131">
        <f>IF('Final Calculation Sheet'!$X$19="","",'Final Calculation Sheet'!$X$19)</f>
        <v/>
      </c>
      <c r="H249" s="70">
        <f>IF('Final Calculation Sheet'!$X$22="","",'Final Calculation Sheet'!$X$22)</f>
        <v/>
      </c>
      <c r="I249" s="131">
        <f>IF('Final Calculation Sheet'!$X$24="","",'Final Calculation Sheet'!$X$24)</f>
        <v/>
      </c>
      <c r="J249" s="70">
        <f>IF('Final Calculation Sheet'!$X$26="","",'Final Calculation Sheet'!$X$26)</f>
        <v/>
      </c>
      <c r="K249" s="131">
        <f>IF('Final Calculation Sheet'!$X$30="","",'Final Calculation Sheet'!$X$30)</f>
        <v/>
      </c>
      <c r="L249" s="70">
        <f>IF('Final Calculation Sheet'!$X$32="","",'Final Calculation Sheet'!$X$32)</f>
        <v/>
      </c>
      <c r="M249" s="131">
        <f>IF('Final Calculation Sheet'!$X$33="","",'Final Calculation Sheet'!$X$33)</f>
        <v/>
      </c>
      <c r="N249" s="70">
        <f>IF('Final Calculation Sheet'!$X$37="","",'Final Calculation Sheet'!$X$37)</f>
        <v/>
      </c>
      <c r="O249" s="137">
        <f>SUM(B249:N249)</f>
        <v/>
      </c>
    </row>
    <row r="250" outlineLevel="2" ht="15" customHeight="1">
      <c r="A250" s="69" t="inlineStr">
        <is>
          <t xml:space="preserve">      FP Receipt Date</t>
        </is>
      </c>
      <c r="B250" s="76">
        <f>IF('Final Calculation Sheet'!$Y$5="","",'Final Calculation Sheet'!$Y$5)</f>
        <v/>
      </c>
      <c r="C250" s="136">
        <f>IF('Final Calculation Sheet'!$Y$10="","",'Final Calculation Sheet'!$Y$10)</f>
        <v/>
      </c>
      <c r="D250" s="76">
        <f>IF('Final Calculation Sheet'!$Y$11="","",'Final Calculation Sheet'!$Y$11)</f>
        <v/>
      </c>
      <c r="E250" s="136">
        <f>IF('Final Calculation Sheet'!$Y$12="","",'Final Calculation Sheet'!$Y$12)</f>
        <v/>
      </c>
      <c r="F250" s="76">
        <f>IF('Final Calculation Sheet'!$Y$18="","",'Final Calculation Sheet'!$Y$18)</f>
        <v/>
      </c>
      <c r="G250" s="136">
        <f>IF('Final Calculation Sheet'!$Y$19="","",'Final Calculation Sheet'!$Y$19)</f>
        <v/>
      </c>
      <c r="H250" s="76">
        <f>IF('Final Calculation Sheet'!$Y$22="","",'Final Calculation Sheet'!$Y$22)</f>
        <v/>
      </c>
      <c r="I250" s="136">
        <f>IF('Final Calculation Sheet'!$Y$24="","",'Final Calculation Sheet'!$Y$24)</f>
        <v/>
      </c>
      <c r="J250" s="76">
        <f>IF('Final Calculation Sheet'!$Y$26="","",'Final Calculation Sheet'!$Y$26)</f>
        <v/>
      </c>
      <c r="K250" s="136">
        <f>IF('Final Calculation Sheet'!$Y$30="","",'Final Calculation Sheet'!$Y$30)</f>
        <v/>
      </c>
      <c r="L250" s="76">
        <f>IF('Final Calculation Sheet'!$Y$32="","",'Final Calculation Sheet'!$Y$32)</f>
        <v/>
      </c>
      <c r="M250" s="136">
        <f>IF('Final Calculation Sheet'!$Y$33="","",'Final Calculation Sheet'!$Y$33)</f>
        <v/>
      </c>
      <c r="N250" s="76">
        <f>IF('Final Calculation Sheet'!$Y$37="","",'Final Calculation Sheet'!$Y$37)</f>
        <v/>
      </c>
      <c r="O250" s="132" t="inlineStr">
        <is>
          <t>–</t>
        </is>
      </c>
    </row>
    <row r="251" outlineLevel="1" ht="16" customHeight="1">
      <c r="A251" s="127" t="inlineStr">
        <is>
          <t xml:space="preserve">  ▸ LPP</t>
        </is>
      </c>
      <c r="B251" s="130" t="n"/>
      <c r="C251" s="130" t="n"/>
      <c r="D251" s="130" t="n"/>
      <c r="E251" s="130" t="n"/>
      <c r="F251" s="130" t="n"/>
      <c r="G251" s="130" t="n"/>
      <c r="H251" s="130" t="n"/>
      <c r="I251" s="130" t="n"/>
      <c r="J251" s="130" t="n"/>
      <c r="K251" s="130" t="n"/>
      <c r="L251" s="130" t="n"/>
      <c r="M251" s="130" t="n"/>
      <c r="N251" s="130" t="n"/>
      <c r="O251" s="130" t="n"/>
    </row>
    <row r="252" outlineLevel="2" ht="15" customHeight="1">
      <c r="A252" s="69" t="inlineStr">
        <is>
          <t xml:space="preserve">      LPP Expected (₹)</t>
        </is>
      </c>
      <c r="B252" s="70">
        <f>IF('Final Calculation Sheet'!$Z$5="","",'Final Calculation Sheet'!$Z$5)</f>
        <v/>
      </c>
      <c r="C252" s="131">
        <f>IF('Final Calculation Sheet'!$Z$10="","",'Final Calculation Sheet'!$Z$10)</f>
        <v/>
      </c>
      <c r="D252" s="70">
        <f>IF('Final Calculation Sheet'!$Z$11="","",'Final Calculation Sheet'!$Z$11)</f>
        <v/>
      </c>
      <c r="E252" s="131">
        <f>IF('Final Calculation Sheet'!$Z$12="","",'Final Calculation Sheet'!$Z$12)</f>
        <v/>
      </c>
      <c r="F252" s="70">
        <f>IF('Final Calculation Sheet'!$Z$18="","",'Final Calculation Sheet'!$Z$18)</f>
        <v/>
      </c>
      <c r="G252" s="131">
        <f>IF('Final Calculation Sheet'!$Z$19="","",'Final Calculation Sheet'!$Z$19)</f>
        <v/>
      </c>
      <c r="H252" s="70">
        <f>IF('Final Calculation Sheet'!$Z$22="","",'Final Calculation Sheet'!$Z$22)</f>
        <v/>
      </c>
      <c r="I252" s="131">
        <f>IF('Final Calculation Sheet'!$Z$24="","",'Final Calculation Sheet'!$Z$24)</f>
        <v/>
      </c>
      <c r="J252" s="70">
        <f>IF('Final Calculation Sheet'!$Z$26="","",'Final Calculation Sheet'!$Z$26)</f>
        <v/>
      </c>
      <c r="K252" s="131">
        <f>IF('Final Calculation Sheet'!$Z$30="","",'Final Calculation Sheet'!$Z$30)</f>
        <v/>
      </c>
      <c r="L252" s="70">
        <f>IF('Final Calculation Sheet'!$Z$32="","",'Final Calculation Sheet'!$Z$32)</f>
        <v/>
      </c>
      <c r="M252" s="131">
        <f>IF('Final Calculation Sheet'!$Z$33="","",'Final Calculation Sheet'!$Z$33)</f>
        <v/>
      </c>
      <c r="N252" s="70">
        <f>IF('Final Calculation Sheet'!$Z$37="","",'Final Calculation Sheet'!$Z$37)</f>
        <v/>
      </c>
      <c r="O252" s="137">
        <f>SUM(B252:N252)</f>
        <v/>
      </c>
    </row>
    <row r="253" outlineLevel="2" ht="15" customHeight="1">
      <c r="A253" s="69" t="inlineStr">
        <is>
          <t xml:space="preserve">      LPP Received (₹)</t>
        </is>
      </c>
      <c r="B253" s="70">
        <f>IF('Final Calculation Sheet'!$AA$5="","",'Final Calculation Sheet'!$AA$5)</f>
        <v/>
      </c>
      <c r="C253" s="131">
        <f>IF('Final Calculation Sheet'!$AA$10="","",'Final Calculation Sheet'!$AA$10)</f>
        <v/>
      </c>
      <c r="D253" s="70">
        <f>IF('Final Calculation Sheet'!$AA$11="","",'Final Calculation Sheet'!$AA$11)</f>
        <v/>
      </c>
      <c r="E253" s="131">
        <f>IF('Final Calculation Sheet'!$AA$12="","",'Final Calculation Sheet'!$AA$12)</f>
        <v/>
      </c>
      <c r="F253" s="70">
        <f>IF('Final Calculation Sheet'!$AA$18="","",'Final Calculation Sheet'!$AA$18)</f>
        <v/>
      </c>
      <c r="G253" s="131">
        <f>IF('Final Calculation Sheet'!$AA$19="","",'Final Calculation Sheet'!$AA$19)</f>
        <v/>
      </c>
      <c r="H253" s="70">
        <f>IF('Final Calculation Sheet'!$AA$22="","",'Final Calculation Sheet'!$AA$22)</f>
        <v/>
      </c>
      <c r="I253" s="131">
        <f>IF('Final Calculation Sheet'!$AA$24="","",'Final Calculation Sheet'!$AA$24)</f>
        <v/>
      </c>
      <c r="J253" s="70">
        <f>IF('Final Calculation Sheet'!$AA$26="","",'Final Calculation Sheet'!$AA$26)</f>
        <v/>
      </c>
      <c r="K253" s="131">
        <f>IF('Final Calculation Sheet'!$AA$30="","",'Final Calculation Sheet'!$AA$30)</f>
        <v/>
      </c>
      <c r="L253" s="70">
        <f>IF('Final Calculation Sheet'!$AA$32="","",'Final Calculation Sheet'!$AA$32)</f>
        <v/>
      </c>
      <c r="M253" s="131">
        <f>IF('Final Calculation Sheet'!$AA$33="","",'Final Calculation Sheet'!$AA$33)</f>
        <v/>
      </c>
      <c r="N253" s="70">
        <f>IF('Final Calculation Sheet'!$AA$37="","",'Final Calculation Sheet'!$AA$37)</f>
        <v/>
      </c>
      <c r="O253" s="137">
        <f>SUM(B253:N253)</f>
        <v/>
      </c>
    </row>
    <row r="254" outlineLevel="2" ht="15" customHeight="1">
      <c r="A254" s="69" t="inlineStr">
        <is>
          <t xml:space="preserve">      LPP Receipt Date</t>
        </is>
      </c>
      <c r="B254" s="76">
        <f>IF('Final Calculation Sheet'!$AB$5="","",'Final Calculation Sheet'!$AB$5)</f>
        <v/>
      </c>
      <c r="C254" s="136">
        <f>IF('Final Calculation Sheet'!$AB$10="","",'Final Calculation Sheet'!$AB$10)</f>
        <v/>
      </c>
      <c r="D254" s="76">
        <f>IF('Final Calculation Sheet'!$AB$11="","",'Final Calculation Sheet'!$AB$11)</f>
        <v/>
      </c>
      <c r="E254" s="136">
        <f>IF('Final Calculation Sheet'!$AB$12="","",'Final Calculation Sheet'!$AB$12)</f>
        <v/>
      </c>
      <c r="F254" s="76">
        <f>IF('Final Calculation Sheet'!$AB$18="","",'Final Calculation Sheet'!$AB$18)</f>
        <v/>
      </c>
      <c r="G254" s="136">
        <f>IF('Final Calculation Sheet'!$AB$19="","",'Final Calculation Sheet'!$AB$19)</f>
        <v/>
      </c>
      <c r="H254" s="76">
        <f>IF('Final Calculation Sheet'!$AB$22="","",'Final Calculation Sheet'!$AB$22)</f>
        <v/>
      </c>
      <c r="I254" s="136">
        <f>IF('Final Calculation Sheet'!$AB$24="","",'Final Calculation Sheet'!$AB$24)</f>
        <v/>
      </c>
      <c r="J254" s="76">
        <f>IF('Final Calculation Sheet'!$AB$26="","",'Final Calculation Sheet'!$AB$26)</f>
        <v/>
      </c>
      <c r="K254" s="136">
        <f>IF('Final Calculation Sheet'!$AB$30="","",'Final Calculation Sheet'!$AB$30)</f>
        <v/>
      </c>
      <c r="L254" s="76">
        <f>IF('Final Calculation Sheet'!$AB$32="","",'Final Calculation Sheet'!$AB$32)</f>
        <v/>
      </c>
      <c r="M254" s="136">
        <f>IF('Final Calculation Sheet'!$AB$33="","",'Final Calculation Sheet'!$AB$33)</f>
        <v/>
      </c>
      <c r="N254" s="76">
        <f>IF('Final Calculation Sheet'!$AB$37="","",'Final Calculation Sheet'!$AB$37)</f>
        <v/>
      </c>
      <c r="O254" s="132" t="inlineStr">
        <is>
          <t>–</t>
        </is>
      </c>
    </row>
    <row r="255" outlineLevel="1" ht="16" customHeight="1">
      <c r="A255" s="127" t="inlineStr">
        <is>
          <t xml:space="preserve">  ▸ SUMMARY</t>
        </is>
      </c>
      <c r="B255" s="130" t="n"/>
      <c r="C255" s="130" t="n"/>
      <c r="D255" s="130" t="n"/>
      <c r="E255" s="130" t="n"/>
      <c r="F255" s="130" t="n"/>
      <c r="G255" s="130" t="n"/>
      <c r="H255" s="130" t="n"/>
      <c r="I255" s="130" t="n"/>
      <c r="J255" s="130" t="n"/>
      <c r="K255" s="130" t="n"/>
      <c r="L255" s="130" t="n"/>
      <c r="M255" s="130" t="n"/>
      <c r="N255" s="130" t="n"/>
      <c r="O255" s="130" t="n"/>
    </row>
    <row r="256" outlineLevel="2" ht="15" customHeight="1">
      <c r="A256" s="69" t="inlineStr">
        <is>
          <t xml:space="preserve">      Total Received (₹)</t>
        </is>
      </c>
      <c r="B256" s="70">
        <f>IF('Final Calculation Sheet'!$AC$5="","",'Final Calculation Sheet'!$AC$5)</f>
        <v/>
      </c>
      <c r="C256" s="131">
        <f>IF('Final Calculation Sheet'!$AC$10="","",'Final Calculation Sheet'!$AC$10)</f>
        <v/>
      </c>
      <c r="D256" s="70">
        <f>IF('Final Calculation Sheet'!$AC$11="","",'Final Calculation Sheet'!$AC$11)</f>
        <v/>
      </c>
      <c r="E256" s="131">
        <f>IF('Final Calculation Sheet'!$AC$12="","",'Final Calculation Sheet'!$AC$12)</f>
        <v/>
      </c>
      <c r="F256" s="70">
        <f>IF('Final Calculation Sheet'!$AC$18="","",'Final Calculation Sheet'!$AC$18)</f>
        <v/>
      </c>
      <c r="G256" s="131">
        <f>IF('Final Calculation Sheet'!$AC$19="","",'Final Calculation Sheet'!$AC$19)</f>
        <v/>
      </c>
      <c r="H256" s="70">
        <f>IF('Final Calculation Sheet'!$AC$22="","",'Final Calculation Sheet'!$AC$22)</f>
        <v/>
      </c>
      <c r="I256" s="131">
        <f>IF('Final Calculation Sheet'!$AC$24="","",'Final Calculation Sheet'!$AC$24)</f>
        <v/>
      </c>
      <c r="J256" s="70">
        <f>IF('Final Calculation Sheet'!$AC$26="","",'Final Calculation Sheet'!$AC$26)</f>
        <v/>
      </c>
      <c r="K256" s="131">
        <f>IF('Final Calculation Sheet'!$AC$30="","",'Final Calculation Sheet'!$AC$30)</f>
        <v/>
      </c>
      <c r="L256" s="70">
        <f>IF('Final Calculation Sheet'!$AC$32="","",'Final Calculation Sheet'!$AC$32)</f>
        <v/>
      </c>
      <c r="M256" s="131">
        <f>IF('Final Calculation Sheet'!$AC$33="","",'Final Calculation Sheet'!$AC$33)</f>
        <v/>
      </c>
      <c r="N256" s="70">
        <f>IF('Final Calculation Sheet'!$AC$37="","",'Final Calculation Sheet'!$AC$37)</f>
        <v/>
      </c>
      <c r="O256" s="137">
        <f>SUM(B256:N256)</f>
        <v/>
      </c>
    </row>
    <row r="257" outlineLevel="2" ht="15" customHeight="1">
      <c r="A257" s="69" t="inlineStr">
        <is>
          <t xml:space="preserve">      Outstanding (₹)</t>
        </is>
      </c>
      <c r="B257" s="70">
        <f>IF('Final Calculation Sheet'!$AD$5="","",'Final Calculation Sheet'!$AD$5)</f>
        <v/>
      </c>
      <c r="C257" s="131">
        <f>IF('Final Calculation Sheet'!$AD$10="","",'Final Calculation Sheet'!$AD$10)</f>
        <v/>
      </c>
      <c r="D257" s="70">
        <f>IF('Final Calculation Sheet'!$AD$11="","",'Final Calculation Sheet'!$AD$11)</f>
        <v/>
      </c>
      <c r="E257" s="131">
        <f>IF('Final Calculation Sheet'!$AD$12="","",'Final Calculation Sheet'!$AD$12)</f>
        <v/>
      </c>
      <c r="F257" s="70">
        <f>IF('Final Calculation Sheet'!$AD$18="","",'Final Calculation Sheet'!$AD$18)</f>
        <v/>
      </c>
      <c r="G257" s="131">
        <f>IF('Final Calculation Sheet'!$AD$19="","",'Final Calculation Sheet'!$AD$19)</f>
        <v/>
      </c>
      <c r="H257" s="70">
        <f>IF('Final Calculation Sheet'!$AD$22="","",'Final Calculation Sheet'!$AD$22)</f>
        <v/>
      </c>
      <c r="I257" s="131">
        <f>IF('Final Calculation Sheet'!$AD$24="","",'Final Calculation Sheet'!$AD$24)</f>
        <v/>
      </c>
      <c r="J257" s="70">
        <f>IF('Final Calculation Sheet'!$AD$26="","",'Final Calculation Sheet'!$AD$26)</f>
        <v/>
      </c>
      <c r="K257" s="131">
        <f>IF('Final Calculation Sheet'!$AD$30="","",'Final Calculation Sheet'!$AD$30)</f>
        <v/>
      </c>
      <c r="L257" s="70">
        <f>IF('Final Calculation Sheet'!$AD$32="","",'Final Calculation Sheet'!$AD$32)</f>
        <v/>
      </c>
      <c r="M257" s="131">
        <f>IF('Final Calculation Sheet'!$AD$33="","",'Final Calculation Sheet'!$AD$33)</f>
        <v/>
      </c>
      <c r="N257" s="70">
        <f>IF('Final Calculation Sheet'!$AD$37="","",'Final Calculation Sheet'!$AD$37)</f>
        <v/>
      </c>
      <c r="O257" s="137">
        <f>SUM(B257:N257)</f>
        <v/>
      </c>
    </row>
    <row r="258" outlineLevel="2" ht="15" customHeight="1">
      <c r="A258" s="69" t="inlineStr">
        <is>
          <t xml:space="preserve">      Payment Status</t>
        </is>
      </c>
      <c r="B258" s="81">
        <f>IF('Final Calculation Sheet'!$AD$5="","",IF('Final Calculation Sheet'!$AD$5&lt;=0,"SETTLED","OUTSTANDING"))</f>
        <v/>
      </c>
      <c r="C258" s="141">
        <f>IF('Final Calculation Sheet'!$AD$10="","",IF('Final Calculation Sheet'!$AD$10&lt;=0,"SETTLED","OUTSTANDING"))</f>
        <v/>
      </c>
      <c r="D258" s="81">
        <f>IF('Final Calculation Sheet'!$AD$11="","",IF('Final Calculation Sheet'!$AD$11&lt;=0,"SETTLED","OUTSTANDING"))</f>
        <v/>
      </c>
      <c r="E258" s="141">
        <f>IF('Final Calculation Sheet'!$AD$12="","",IF('Final Calculation Sheet'!$AD$12&lt;=0,"SETTLED","OUTSTANDING"))</f>
        <v/>
      </c>
      <c r="F258" s="81">
        <f>IF('Final Calculation Sheet'!$AD$18="","",IF('Final Calculation Sheet'!$AD$18&lt;=0,"SETTLED","OUTSTANDING"))</f>
        <v/>
      </c>
      <c r="G258" s="141">
        <f>IF('Final Calculation Sheet'!$AD$19="","",IF('Final Calculation Sheet'!$AD$19&lt;=0,"SETTLED","OUTSTANDING"))</f>
        <v/>
      </c>
      <c r="H258" s="81">
        <f>IF('Final Calculation Sheet'!$AD$22="","",IF('Final Calculation Sheet'!$AD$22&lt;=0,"SETTLED","OUTSTANDING"))</f>
        <v/>
      </c>
      <c r="I258" s="141">
        <f>IF('Final Calculation Sheet'!$AD$24="","",IF('Final Calculation Sheet'!$AD$24&lt;=0,"SETTLED","OUTSTANDING"))</f>
        <v/>
      </c>
      <c r="J258" s="81">
        <f>IF('Final Calculation Sheet'!$AD$26="","",IF('Final Calculation Sheet'!$AD$26&lt;=0,"SETTLED","OUTSTANDING"))</f>
        <v/>
      </c>
      <c r="K258" s="141">
        <f>IF('Final Calculation Sheet'!$AD$30="","",IF('Final Calculation Sheet'!$AD$30&lt;=0,"SETTLED","OUTSTANDING"))</f>
        <v/>
      </c>
      <c r="L258" s="81">
        <f>IF('Final Calculation Sheet'!$AD$32="","",IF('Final Calculation Sheet'!$AD$32&lt;=0,"SETTLED","OUTSTANDING"))</f>
        <v/>
      </c>
      <c r="M258" s="141">
        <f>IF('Final Calculation Sheet'!$AD$33="","",IF('Final Calculation Sheet'!$AD$33&lt;=0,"SETTLED","OUTSTANDING"))</f>
        <v/>
      </c>
      <c r="N258" s="81">
        <f>IF('Final Calculation Sheet'!$AD$37="","",IF('Final Calculation Sheet'!$AD$37&lt;=0,"SETTLED","OUTSTANDING"))</f>
        <v/>
      </c>
      <c r="O258" s="132" t="inlineStr">
        <is>
          <t>–</t>
        </is>
      </c>
    </row>
    <row r="259" outlineLevel="1" ht="16" customHeight="1">
      <c r="A259" s="127" t="inlineStr">
        <is>
          <t xml:space="preserve">  ▸ DOCUMENT</t>
        </is>
      </c>
      <c r="B259" s="130" t="n"/>
      <c r="C259" s="130" t="n"/>
      <c r="D259" s="130" t="n"/>
      <c r="E259" s="130" t="n"/>
      <c r="F259" s="130" t="n"/>
      <c r="G259" s="130" t="n"/>
      <c r="H259" s="130" t="n"/>
      <c r="I259" s="130" t="n"/>
      <c r="J259" s="130" t="n"/>
      <c r="K259" s="130" t="n"/>
      <c r="L259" s="130" t="n"/>
      <c r="M259" s="130" t="n"/>
      <c r="N259" s="130" t="n"/>
      <c r="O259" s="130" t="n"/>
    </row>
    <row r="260" outlineLevel="2" ht="15" customHeight="1">
      <c r="A260" s="69" t="inlineStr">
        <is>
          <t xml:space="preserve">      Invoice No.</t>
        </is>
      </c>
      <c r="B260" s="76">
        <f>IF('Final Calculation Sheet'!$AE$5="","",'Final Calculation Sheet'!$AE$5)</f>
        <v/>
      </c>
      <c r="C260" s="136">
        <f>IF('Final Calculation Sheet'!$AE$10="","",'Final Calculation Sheet'!$AE$10)</f>
        <v/>
      </c>
      <c r="D260" s="76">
        <f>IF('Final Calculation Sheet'!$AE$11="","",'Final Calculation Sheet'!$AE$11)</f>
        <v/>
      </c>
      <c r="E260" s="136">
        <f>IF('Final Calculation Sheet'!$AE$12="","",'Final Calculation Sheet'!$AE$12)</f>
        <v/>
      </c>
      <c r="F260" s="76">
        <f>IF('Final Calculation Sheet'!$AE$18="","",'Final Calculation Sheet'!$AE$18)</f>
        <v/>
      </c>
      <c r="G260" s="136">
        <f>IF('Final Calculation Sheet'!$AE$19="","",'Final Calculation Sheet'!$AE$19)</f>
        <v/>
      </c>
      <c r="H260" s="76">
        <f>IF('Final Calculation Sheet'!$AE$22="","",'Final Calculation Sheet'!$AE$22)</f>
        <v/>
      </c>
      <c r="I260" s="136">
        <f>IF('Final Calculation Sheet'!$AE$24="","",'Final Calculation Sheet'!$AE$24)</f>
        <v/>
      </c>
      <c r="J260" s="76">
        <f>IF('Final Calculation Sheet'!$AE$26="","",'Final Calculation Sheet'!$AE$26)</f>
        <v/>
      </c>
      <c r="K260" s="136">
        <f>IF('Final Calculation Sheet'!$AE$30="","",'Final Calculation Sheet'!$AE$30)</f>
        <v/>
      </c>
      <c r="L260" s="76">
        <f>IF('Final Calculation Sheet'!$AE$32="","",'Final Calculation Sheet'!$AE$32)</f>
        <v/>
      </c>
      <c r="M260" s="136">
        <f>IF('Final Calculation Sheet'!$AE$33="","",'Final Calculation Sheet'!$AE$33)</f>
        <v/>
      </c>
      <c r="N260" s="76">
        <f>IF('Final Calculation Sheet'!$AE$37="","",'Final Calculation Sheet'!$AE$37)</f>
        <v/>
      </c>
      <c r="O260" s="132" t="inlineStr">
        <is>
          <t>–</t>
        </is>
      </c>
    </row>
    <row r="261" outlineLevel="2" ht="15" customHeight="1">
      <c r="A261" s="69" t="inlineStr">
        <is>
          <t xml:space="preserve">      SAP Document</t>
        </is>
      </c>
      <c r="B261" s="70">
        <f>IF('Final Calculation Sheet'!$AF$5="","",'Final Calculation Sheet'!$AF$5)</f>
        <v/>
      </c>
      <c r="C261" s="131">
        <f>IF('Final Calculation Sheet'!$AF$10="","",'Final Calculation Sheet'!$AF$10)</f>
        <v/>
      </c>
      <c r="D261" s="70">
        <f>IF('Final Calculation Sheet'!$AF$11="","",'Final Calculation Sheet'!$AF$11)</f>
        <v/>
      </c>
      <c r="E261" s="131">
        <f>IF('Final Calculation Sheet'!$AF$12="","",'Final Calculation Sheet'!$AF$12)</f>
        <v/>
      </c>
      <c r="F261" s="70">
        <f>IF('Final Calculation Sheet'!$AF$18="","",'Final Calculation Sheet'!$AF$18)</f>
        <v/>
      </c>
      <c r="G261" s="131">
        <f>IF('Final Calculation Sheet'!$AF$19="","",'Final Calculation Sheet'!$AF$19)</f>
        <v/>
      </c>
      <c r="H261" s="70">
        <f>IF('Final Calculation Sheet'!$AF$22="","",'Final Calculation Sheet'!$AF$22)</f>
        <v/>
      </c>
      <c r="I261" s="131">
        <f>IF('Final Calculation Sheet'!$AF$24="","",'Final Calculation Sheet'!$AF$24)</f>
        <v/>
      </c>
      <c r="J261" s="70">
        <f>IF('Final Calculation Sheet'!$AF$26="","",'Final Calculation Sheet'!$AF$26)</f>
        <v/>
      </c>
      <c r="K261" s="131">
        <f>IF('Final Calculation Sheet'!$AF$30="","",'Final Calculation Sheet'!$AF$30)</f>
        <v/>
      </c>
      <c r="L261" s="70">
        <f>IF('Final Calculation Sheet'!$AF$32="","",'Final Calculation Sheet'!$AF$32)</f>
        <v/>
      </c>
      <c r="M261" s="131">
        <f>IF('Final Calculation Sheet'!$AF$33="","",'Final Calculation Sheet'!$AF$33)</f>
        <v/>
      </c>
      <c r="N261" s="70">
        <f>IF('Final Calculation Sheet'!$AF$37="","",'Final Calculation Sheet'!$AF$37)</f>
        <v/>
      </c>
      <c r="O261" s="132" t="inlineStr">
        <is>
          <t>–</t>
        </is>
      </c>
    </row>
    <row r="262" outlineLevel="2" ht="15" customHeight="1">
      <c r="A262" s="69" t="inlineStr">
        <is>
          <t xml:space="preserve">      Doc./Invoice Date</t>
        </is>
      </c>
      <c r="B262" s="76">
        <f>IF('Final Calculation Sheet'!$AG$5="","",'Final Calculation Sheet'!$AG$5)</f>
        <v/>
      </c>
      <c r="C262" s="136">
        <f>IF('Final Calculation Sheet'!$AG$10="","",'Final Calculation Sheet'!$AG$10)</f>
        <v/>
      </c>
      <c r="D262" s="76">
        <f>IF('Final Calculation Sheet'!$AG$11="","",'Final Calculation Sheet'!$AG$11)</f>
        <v/>
      </c>
      <c r="E262" s="136">
        <f>IF('Final Calculation Sheet'!$AG$12="","",'Final Calculation Sheet'!$AG$12)</f>
        <v/>
      </c>
      <c r="F262" s="76">
        <f>IF('Final Calculation Sheet'!$AG$18="","",'Final Calculation Sheet'!$AG$18)</f>
        <v/>
      </c>
      <c r="G262" s="136">
        <f>IF('Final Calculation Sheet'!$AG$19="","",'Final Calculation Sheet'!$AG$19)</f>
        <v/>
      </c>
      <c r="H262" s="76">
        <f>IF('Final Calculation Sheet'!$AG$22="","",'Final Calculation Sheet'!$AG$22)</f>
        <v/>
      </c>
      <c r="I262" s="136">
        <f>IF('Final Calculation Sheet'!$AG$24="","",'Final Calculation Sheet'!$AG$24)</f>
        <v/>
      </c>
      <c r="J262" s="76">
        <f>IF('Final Calculation Sheet'!$AG$26="","",'Final Calculation Sheet'!$AG$26)</f>
        <v/>
      </c>
      <c r="K262" s="136">
        <f>IF('Final Calculation Sheet'!$AG$30="","",'Final Calculation Sheet'!$AG$30)</f>
        <v/>
      </c>
      <c r="L262" s="76">
        <f>IF('Final Calculation Sheet'!$AG$32="","",'Final Calculation Sheet'!$AG$32)</f>
        <v/>
      </c>
      <c r="M262" s="136">
        <f>IF('Final Calculation Sheet'!$AG$33="","",'Final Calculation Sheet'!$AG$33)</f>
        <v/>
      </c>
      <c r="N262" s="76">
        <f>IF('Final Calculation Sheet'!$AG$37="","",'Final Calculation Sheet'!$AG$37)</f>
        <v/>
      </c>
      <c r="O262" s="132" t="inlineStr">
        <is>
          <t>–</t>
        </is>
      </c>
    </row>
    <row r="263" ht="7" customHeight="1">
      <c r="A263" s="82" t="n"/>
      <c r="B263" s="82" t="n"/>
      <c r="C263" s="82" t="n"/>
      <c r="D263" s="82" t="n"/>
      <c r="E263" s="82" t="n"/>
      <c r="F263" s="82" t="n"/>
      <c r="G263" s="82" t="n"/>
      <c r="H263" s="82" t="n"/>
      <c r="I263" s="82" t="n"/>
      <c r="J263" s="82" t="n"/>
      <c r="K263" s="82" t="n"/>
      <c r="L263" s="82" t="n"/>
      <c r="M263" s="82" t="n"/>
      <c r="N263" s="82" t="n"/>
      <c r="O263" s="82" t="n"/>
    </row>
    <row r="264" ht="24" customHeight="1">
      <c r="A264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</row>
    <row r="265" outlineLevel="1" ht="18" customHeight="1">
      <c r="A265" s="143" t="inlineStr">
        <is>
          <t xml:space="preserve">   Lot No. →</t>
        </is>
      </c>
      <c r="B265" s="144">
        <f>IF('Final Calculation Sheet'!$F$21="","",'Final Calculation Sheet'!$F$21)</f>
        <v/>
      </c>
      <c r="C265" s="145" t="n"/>
      <c r="D265" s="145" t="n"/>
      <c r="E265" s="145" t="n"/>
      <c r="F265" s="145" t="n"/>
      <c r="G265" s="145" t="n"/>
      <c r="H265" s="145" t="n"/>
      <c r="I265" s="145" t="n"/>
      <c r="J265" s="145" t="n"/>
      <c r="K265" s="145" t="n"/>
      <c r="L265" s="145" t="n"/>
      <c r="M265" s="145" t="n"/>
      <c r="N265" s="145" t="n"/>
      <c r="O265" s="146" t="inlineStr">
        <is>
          <t>TOTAL</t>
        </is>
      </c>
    </row>
    <row r="266" outlineLevel="1" ht="16" customHeight="1">
      <c r="A266" s="143" t="inlineStr">
        <is>
          <t xml:space="preserve">  ▸ LOT INFORMATION</t>
        </is>
      </c>
      <c r="B266" s="145" t="n"/>
      <c r="C266" s="145" t="n"/>
      <c r="D266" s="145" t="n"/>
      <c r="E266" s="145" t="n"/>
      <c r="F266" s="145" t="n"/>
      <c r="G266" s="145" t="n"/>
      <c r="H266" s="145" t="n"/>
      <c r="I266" s="145" t="n"/>
      <c r="J266" s="145" t="n"/>
      <c r="K266" s="145" t="n"/>
      <c r="L266" s="145" t="n"/>
      <c r="M266" s="145" t="n"/>
      <c r="N266" s="145" t="n"/>
      <c r="O266" s="145" t="n"/>
    </row>
    <row r="267" outlineLevel="2" ht="15" customHeight="1">
      <c r="A267" s="69" t="inlineStr">
        <is>
          <t xml:space="preserve">      Lot No.</t>
        </is>
      </c>
      <c r="B267" s="70">
        <f>IF('Final Calculation Sheet'!$F$21="","",'Final Calculation Sheet'!$F$21)</f>
        <v/>
      </c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147" t="inlineStr">
        <is>
          <t>–</t>
        </is>
      </c>
    </row>
    <row r="268" outlineLevel="2" ht="60" customHeight="1">
      <c r="A268" s="69" t="inlineStr">
        <is>
          <t xml:space="preserve">      Lot Name</t>
        </is>
      </c>
      <c r="B268" s="73">
        <f>IF('Final Calculation Sheet'!$B$21="","",'Final Calculation Sheet'!$B$21)</f>
        <v/>
      </c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147" t="inlineStr">
        <is>
          <t>–</t>
        </is>
      </c>
    </row>
    <row r="269" outlineLevel="2" ht="15" customHeight="1">
      <c r="A269" s="69" t="inlineStr">
        <is>
          <t xml:space="preserve">      Bid Sheet / Auction</t>
        </is>
      </c>
      <c r="B269" s="70">
        <f>IF('Final Calculation Sheet'!$D$21="","",'Final Calculation Sheet'!$D$21)</f>
        <v/>
      </c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147" t="inlineStr">
        <is>
          <t>–</t>
        </is>
      </c>
    </row>
    <row r="270" outlineLevel="2" ht="15" customHeight="1">
      <c r="A270" s="69" t="inlineStr">
        <is>
          <t xml:space="preserve">      Quantity</t>
        </is>
      </c>
      <c r="B270" s="74">
        <f>IF('Final Calculation Sheet'!$A$21="","",'Final Calculation Sheet'!$A$21)</f>
        <v/>
      </c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148">
        <f>SUM(B270:N270)</f>
        <v/>
      </c>
    </row>
    <row r="271" outlineLevel="2" ht="15" customHeight="1">
      <c r="A271" s="69" t="inlineStr">
        <is>
          <t xml:space="preserve">      Unit</t>
        </is>
      </c>
      <c r="B271" s="76">
        <f>IF('Final Calculation Sheet'!$E$21="","",'Final Calculation Sheet'!$E$21)</f>
        <v/>
      </c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147" t="inlineStr">
        <is>
          <t>–</t>
        </is>
      </c>
    </row>
    <row r="272" outlineLevel="2" ht="15" customHeight="1">
      <c r="A272" s="69" t="inlineStr">
        <is>
          <t xml:space="preserve">      Rate (₹)</t>
        </is>
      </c>
      <c r="B272" s="70">
        <f>IF('Final Calculation Sheet'!$C$21="","",'Final Calculation Sheet'!$C$21)</f>
        <v/>
      </c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147" t="inlineStr">
        <is>
          <t>–</t>
        </is>
      </c>
    </row>
    <row r="273" outlineLevel="1" ht="16" customHeight="1">
      <c r="A273" s="143" t="inlineStr">
        <is>
          <t xml:space="preserve">  ▸ FINANCIALS</t>
        </is>
      </c>
      <c r="B273" s="145" t="n"/>
      <c r="C273" s="145" t="n"/>
      <c r="D273" s="145" t="n"/>
      <c r="E273" s="145" t="n"/>
      <c r="F273" s="145" t="n"/>
      <c r="G273" s="145" t="n"/>
      <c r="H273" s="145" t="n"/>
      <c r="I273" s="145" t="n"/>
      <c r="J273" s="145" t="n"/>
      <c r="K273" s="145" t="n"/>
      <c r="L273" s="145" t="n"/>
      <c r="M273" s="145" t="n"/>
      <c r="N273" s="145" t="n"/>
      <c r="O273" s="145" t="n"/>
    </row>
    <row r="274" outlineLevel="2" ht="15" customHeight="1">
      <c r="A274" s="69" t="inlineStr">
        <is>
          <t xml:space="preserve">      Mat. Value (₹)</t>
        </is>
      </c>
      <c r="B274" s="70">
        <f>IF('Final Calculation Sheet'!$H$21="","",'Final Calculation Sheet'!$H$21)</f>
        <v/>
      </c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149">
        <f>SUM(B274:N274)</f>
        <v/>
      </c>
    </row>
    <row r="275" outlineLevel="2" ht="15" customHeight="1">
      <c r="A275" s="69" t="inlineStr">
        <is>
          <t xml:space="preserve">      GST @ 18% (₹)</t>
        </is>
      </c>
      <c r="B275" s="70">
        <f>IF('Final Calculation Sheet'!$I$21="","",'Final Calculation Sheet'!$I$21)</f>
        <v/>
      </c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149">
        <f>SUM(B275:N275)</f>
        <v/>
      </c>
    </row>
    <row r="276" outlineLevel="2" ht="15" customHeight="1">
      <c r="A276" s="69" t="inlineStr">
        <is>
          <t xml:space="preserve">      Mat. Value + GST (₹)</t>
        </is>
      </c>
      <c r="B276" s="70">
        <f>IF('Final Calculation Sheet'!$J$21="","",'Final Calculation Sheet'!$J$21)</f>
        <v/>
      </c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149">
        <f>SUM(B276:N276)</f>
        <v/>
      </c>
    </row>
    <row r="277" outlineLevel="2" ht="15" customHeight="1">
      <c r="A277" s="69" t="inlineStr">
        <is>
          <t xml:space="preserve">      TCS @ 2% (₹)</t>
        </is>
      </c>
      <c r="B277" s="70">
        <f>IF('Final Calculation Sheet'!$K$21="","",'Final Calculation Sheet'!$K$21)</f>
        <v/>
      </c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149">
        <f>SUM(B277:N277)</f>
        <v/>
      </c>
    </row>
    <row r="278" outlineLevel="2" ht="15" customHeight="1">
      <c r="A278" s="69" t="inlineStr">
        <is>
          <t xml:space="preserve">      TDS u/s 194(O) (₹)</t>
        </is>
      </c>
      <c r="B278" s="78">
        <f>IF('Final Calculation Sheet'!$L$21="","",'Final Calculation Sheet'!$L$21)</f>
        <v/>
      </c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150">
        <f>SUM(B278:N278)</f>
        <v/>
      </c>
    </row>
    <row r="279" outlineLevel="2" ht="15" customHeight="1">
      <c r="A279" s="69" t="inlineStr">
        <is>
          <t xml:space="preserve">      Service Charge gross (₹)</t>
        </is>
      </c>
      <c r="B279" s="78">
        <f>IF('Final Calculation Sheet'!$M$21="","",'Final Calculation Sheet'!$M$21)</f>
        <v/>
      </c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150">
        <f>SUM(B279:N279)</f>
        <v/>
      </c>
    </row>
    <row r="280" outlineLevel="2" ht="15" customHeight="1">
      <c r="A280" s="69" t="inlineStr">
        <is>
          <t xml:space="preserve">      TDS u/s 194(H) (₹)</t>
        </is>
      </c>
      <c r="B280" s="78">
        <f>IF('Final Calculation Sheet'!$N$21="","",'Final Calculation Sheet'!$N$21)</f>
        <v/>
      </c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150">
        <f>SUM(B280:N280)</f>
        <v/>
      </c>
    </row>
    <row r="281" outlineLevel="2" ht="15" customHeight="1">
      <c r="A281" s="69" t="inlineStr">
        <is>
          <t xml:space="preserve">      Net Service Charge (₹)</t>
        </is>
      </c>
      <c r="B281" s="78">
        <f>IF('Final Calculation Sheet'!$O$21="","",'Final Calculation Sheet'!$O$21)</f>
        <v/>
      </c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150">
        <f>SUM(B281:N281)</f>
        <v/>
      </c>
    </row>
    <row r="282" outlineLevel="2" ht="15" customHeight="1">
      <c r="A282" s="69" t="inlineStr">
        <is>
          <t xml:space="preserve">      Svc Charge to MSTC (₹)</t>
        </is>
      </c>
      <c r="B282" s="70">
        <f>IF('Final Calculation Sheet'!$P$21="","",'Final Calculation Sheet'!$P$21)</f>
        <v/>
      </c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149">
        <f>SUM(B282:N282)</f>
        <v/>
      </c>
    </row>
    <row r="283" outlineLevel="2" ht="15" customHeight="1">
      <c r="A283" s="69" t="inlineStr">
        <is>
          <t xml:space="preserve">      GST TDS Rate</t>
        </is>
      </c>
      <c r="B283" s="80">
        <f>IF('Final Calculation Sheet'!$Q$21="","",'Final Calculation Sheet'!$Q$21)</f>
        <v/>
      </c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147" t="inlineStr">
        <is>
          <t>–</t>
        </is>
      </c>
    </row>
    <row r="284" outlineLevel="2" ht="15" customHeight="1">
      <c r="A284" s="69" t="inlineStr">
        <is>
          <t xml:space="preserve">      GST TDS (₹)</t>
        </is>
      </c>
      <c r="B284" s="70">
        <f>IF('Final Calculation Sheet'!$R$21="","",'Final Calculation Sheet'!$R$21)</f>
        <v/>
      </c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149">
        <f>SUM(B284:N284)</f>
        <v/>
      </c>
    </row>
    <row r="285" outlineLevel="2" ht="15" customHeight="1">
      <c r="A285" s="69" t="inlineStr">
        <is>
          <t xml:space="preserve">      Total Receivables (₹)</t>
        </is>
      </c>
      <c r="B285" s="70">
        <f>IF('Final Calculation Sheet'!$S$21="","",'Final Calculation Sheet'!$S$21)</f>
        <v/>
      </c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149">
        <f>SUM(B285:N285)</f>
        <v/>
      </c>
    </row>
    <row r="286" outlineLevel="1" ht="16" customHeight="1">
      <c r="A286" s="143" t="inlineStr">
        <is>
          <t xml:space="preserve">  ▸ SECURITY DEPOSIT</t>
        </is>
      </c>
      <c r="B286" s="145" t="n"/>
      <c r="C286" s="145" t="n"/>
      <c r="D286" s="145" t="n"/>
      <c r="E286" s="145" t="n"/>
      <c r="F286" s="145" t="n"/>
      <c r="G286" s="145" t="n"/>
      <c r="H286" s="145" t="n"/>
      <c r="I286" s="145" t="n"/>
      <c r="J286" s="145" t="n"/>
      <c r="K286" s="145" t="n"/>
      <c r="L286" s="145" t="n"/>
      <c r="M286" s="145" t="n"/>
      <c r="N286" s="145" t="n"/>
      <c r="O286" s="145" t="n"/>
    </row>
    <row r="287" outlineLevel="2" ht="15" customHeight="1">
      <c r="A287" s="69" t="inlineStr">
        <is>
          <t xml:space="preserve">      SD Expected (₹)</t>
        </is>
      </c>
      <c r="B287" s="70">
        <f>IF('Final Calculation Sheet'!$T$21="","",'Final Calculation Sheet'!$T$21)</f>
        <v/>
      </c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149">
        <f>SUM(B287:N287)</f>
        <v/>
      </c>
    </row>
    <row r="288" outlineLevel="2" ht="15" customHeight="1">
      <c r="A288" s="69" t="inlineStr">
        <is>
          <t xml:space="preserve">      SD Received (₹)</t>
        </is>
      </c>
      <c r="B288" s="70">
        <f>IF('Final Calculation Sheet'!$U$21="","",'Final Calculation Sheet'!$U$21)</f>
        <v/>
      </c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149">
        <f>SUM(B288:N288)</f>
        <v/>
      </c>
    </row>
    <row r="289" outlineLevel="2" ht="15" customHeight="1">
      <c r="A289" s="69" t="inlineStr">
        <is>
          <t xml:space="preserve">      SD Receipt Date</t>
        </is>
      </c>
      <c r="B289" s="76">
        <f>IF('Final Calculation Sheet'!$V$21="","",'Final Calculation Sheet'!$V$21)</f>
        <v/>
      </c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147" t="inlineStr">
        <is>
          <t>–</t>
        </is>
      </c>
    </row>
    <row r="290" outlineLevel="1" ht="16" customHeight="1">
      <c r="A290" s="143" t="inlineStr">
        <is>
          <t xml:space="preserve">  ▸ FINAL PAYMENT</t>
        </is>
      </c>
      <c r="B290" s="145" t="n"/>
      <c r="C290" s="145" t="n"/>
      <c r="D290" s="145" t="n"/>
      <c r="E290" s="145" t="n"/>
      <c r="F290" s="145" t="n"/>
      <c r="G290" s="145" t="n"/>
      <c r="H290" s="145" t="n"/>
      <c r="I290" s="145" t="n"/>
      <c r="J290" s="145" t="n"/>
      <c r="K290" s="145" t="n"/>
      <c r="L290" s="145" t="n"/>
      <c r="M290" s="145" t="n"/>
      <c r="N290" s="145" t="n"/>
      <c r="O290" s="145" t="n"/>
    </row>
    <row r="291" outlineLevel="2" ht="15" customHeight="1">
      <c r="A291" s="69" t="inlineStr">
        <is>
          <t xml:space="preserve">      FP Expected (₹)</t>
        </is>
      </c>
      <c r="B291" s="70">
        <f>IF('Final Calculation Sheet'!$W$21="","",'Final Calculation Sheet'!$W$21)</f>
        <v/>
      </c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149">
        <f>SUM(B291:N291)</f>
        <v/>
      </c>
    </row>
    <row r="292" outlineLevel="2" ht="15" customHeight="1">
      <c r="A292" s="69" t="inlineStr">
        <is>
          <t xml:space="preserve">      FP Received (₹)</t>
        </is>
      </c>
      <c r="B292" s="70">
        <f>IF('Final Calculation Sheet'!$X$21="","",'Final Calculation Sheet'!$X$21)</f>
        <v/>
      </c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149">
        <f>SUM(B292:N292)</f>
        <v/>
      </c>
    </row>
    <row r="293" outlineLevel="2" ht="15" customHeight="1">
      <c r="A293" s="69" t="inlineStr">
        <is>
          <t xml:space="preserve">      FP Receipt Date</t>
        </is>
      </c>
      <c r="B293" s="76">
        <f>IF('Final Calculation Sheet'!$Y$21="","",'Final Calculation Sheet'!$Y$21)</f>
        <v/>
      </c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147" t="inlineStr">
        <is>
          <t>–</t>
        </is>
      </c>
    </row>
    <row r="294" outlineLevel="1" ht="16" customHeight="1">
      <c r="A294" s="143" t="inlineStr">
        <is>
          <t xml:space="preserve">  ▸ LPP</t>
        </is>
      </c>
      <c r="B294" s="145" t="n"/>
      <c r="C294" s="145" t="n"/>
      <c r="D294" s="145" t="n"/>
      <c r="E294" s="145" t="n"/>
      <c r="F294" s="145" t="n"/>
      <c r="G294" s="145" t="n"/>
      <c r="H294" s="145" t="n"/>
      <c r="I294" s="145" t="n"/>
      <c r="J294" s="145" t="n"/>
      <c r="K294" s="145" t="n"/>
      <c r="L294" s="145" t="n"/>
      <c r="M294" s="145" t="n"/>
      <c r="N294" s="145" t="n"/>
      <c r="O294" s="145" t="n"/>
    </row>
    <row r="295" outlineLevel="2" ht="15" customHeight="1">
      <c r="A295" s="69" t="inlineStr">
        <is>
          <t xml:space="preserve">      LPP Expected (₹)</t>
        </is>
      </c>
      <c r="B295" s="70">
        <f>IF('Final Calculation Sheet'!$Z$21="","",'Final Calculation Sheet'!$Z$21)</f>
        <v/>
      </c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149">
        <f>SUM(B295:N295)</f>
        <v/>
      </c>
    </row>
    <row r="296" outlineLevel="2" ht="15" customHeight="1">
      <c r="A296" s="69" t="inlineStr">
        <is>
          <t xml:space="preserve">      LPP Received (₹)</t>
        </is>
      </c>
      <c r="B296" s="70">
        <f>IF('Final Calculation Sheet'!$AA$21="","",'Final Calculation Sheet'!$AA$21)</f>
        <v/>
      </c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149">
        <f>SUM(B296:N296)</f>
        <v/>
      </c>
    </row>
    <row r="297" outlineLevel="2" ht="15" customHeight="1">
      <c r="A297" s="69" t="inlineStr">
        <is>
          <t xml:space="preserve">      LPP Receipt Date</t>
        </is>
      </c>
      <c r="B297" s="76">
        <f>IF('Final Calculation Sheet'!$AB$21="","",'Final Calculation Sheet'!$AB$21)</f>
        <v/>
      </c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147" t="inlineStr">
        <is>
          <t>–</t>
        </is>
      </c>
    </row>
    <row r="298" outlineLevel="1" ht="16" customHeight="1">
      <c r="A298" s="143" t="inlineStr">
        <is>
          <t xml:space="preserve">  ▸ SUMMARY</t>
        </is>
      </c>
      <c r="B298" s="145" t="n"/>
      <c r="C298" s="145" t="n"/>
      <c r="D298" s="145" t="n"/>
      <c r="E298" s="145" t="n"/>
      <c r="F298" s="145" t="n"/>
      <c r="G298" s="145" t="n"/>
      <c r="H298" s="145" t="n"/>
      <c r="I298" s="145" t="n"/>
      <c r="J298" s="145" t="n"/>
      <c r="K298" s="145" t="n"/>
      <c r="L298" s="145" t="n"/>
      <c r="M298" s="145" t="n"/>
      <c r="N298" s="145" t="n"/>
      <c r="O298" s="145" t="n"/>
    </row>
    <row r="299" outlineLevel="2" ht="15" customHeight="1">
      <c r="A299" s="69" t="inlineStr">
        <is>
          <t xml:space="preserve">      Total Received (₹)</t>
        </is>
      </c>
      <c r="B299" s="70">
        <f>IF('Final Calculation Sheet'!$AC$21="","",'Final Calculation Sheet'!$AC$21)</f>
        <v/>
      </c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149">
        <f>SUM(B299:N299)</f>
        <v/>
      </c>
    </row>
    <row r="300" outlineLevel="2" ht="15" customHeight="1">
      <c r="A300" s="69" t="inlineStr">
        <is>
          <t xml:space="preserve">      Outstanding (₹)</t>
        </is>
      </c>
      <c r="B300" s="70">
        <f>IF('Final Calculation Sheet'!$AD$21="","",'Final Calculation Sheet'!$AD$21)</f>
        <v/>
      </c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149">
        <f>SUM(B300:N300)</f>
        <v/>
      </c>
    </row>
    <row r="301" outlineLevel="2" ht="15" customHeight="1">
      <c r="A301" s="69" t="inlineStr">
        <is>
          <t xml:space="preserve">      Payment Status</t>
        </is>
      </c>
      <c r="B301" s="81">
        <f>IF('Final Calculation Sheet'!$AD$21="","",IF('Final Calculation Sheet'!$AD$21&lt;=0,"SETTLED","OUTSTANDING"))</f>
        <v/>
      </c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147" t="inlineStr">
        <is>
          <t>–</t>
        </is>
      </c>
    </row>
    <row r="302" outlineLevel="1" ht="16" customHeight="1">
      <c r="A302" s="143" t="inlineStr">
        <is>
          <t xml:space="preserve">  ▸ DOCUMENT</t>
        </is>
      </c>
      <c r="B302" s="145" t="n"/>
      <c r="C302" s="145" t="n"/>
      <c r="D302" s="145" t="n"/>
      <c r="E302" s="145" t="n"/>
      <c r="F302" s="145" t="n"/>
      <c r="G302" s="145" t="n"/>
      <c r="H302" s="145" t="n"/>
      <c r="I302" s="145" t="n"/>
      <c r="J302" s="145" t="n"/>
      <c r="K302" s="145" t="n"/>
      <c r="L302" s="145" t="n"/>
      <c r="M302" s="145" t="n"/>
      <c r="N302" s="145" t="n"/>
      <c r="O302" s="145" t="n"/>
    </row>
    <row r="303" outlineLevel="2" ht="15" customHeight="1">
      <c r="A303" s="69" t="inlineStr">
        <is>
          <t xml:space="preserve">      Invoice No.</t>
        </is>
      </c>
      <c r="B303" s="76">
        <f>IF('Final Calculation Sheet'!$AE$21="","",'Final Calculation Sheet'!$AE$21)</f>
        <v/>
      </c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147" t="inlineStr">
        <is>
          <t>–</t>
        </is>
      </c>
    </row>
    <row r="304" outlineLevel="2" ht="15" customHeight="1">
      <c r="A304" s="69" t="inlineStr">
        <is>
          <t xml:space="preserve">      SAP Document</t>
        </is>
      </c>
      <c r="B304" s="70">
        <f>IF('Final Calculation Sheet'!$AF$21="","",'Final Calculation Sheet'!$AF$21)</f>
        <v/>
      </c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147" t="inlineStr">
        <is>
          <t>–</t>
        </is>
      </c>
    </row>
    <row r="305" outlineLevel="2" ht="15" customHeight="1">
      <c r="A305" s="69" t="inlineStr">
        <is>
          <t xml:space="preserve">      Doc./Invoice Date</t>
        </is>
      </c>
      <c r="B305" s="76">
        <f>IF('Final Calculation Sheet'!$AG$21="","",'Final Calculation Sheet'!$AG$21)</f>
        <v/>
      </c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147" t="inlineStr">
        <is>
          <t>–</t>
        </is>
      </c>
    </row>
    <row r="306" ht="7" customHeight="1">
      <c r="A306" s="82" t="n"/>
      <c r="B306" s="82" t="n"/>
      <c r="C306" s="82" t="n"/>
      <c r="D306" s="82" t="n"/>
      <c r="E306" s="82" t="n"/>
      <c r="F306" s="82" t="n"/>
      <c r="G306" s="82" t="n"/>
      <c r="H306" s="82" t="n"/>
      <c r="I306" s="82" t="n"/>
      <c r="J306" s="82" t="n"/>
      <c r="K306" s="82" t="n"/>
      <c r="L306" s="82" t="n"/>
      <c r="M306" s="82" t="n"/>
      <c r="N306" s="82" t="n"/>
      <c r="O306" s="82" t="n"/>
    </row>
    <row r="307" ht="24" customHeight="1">
      <c r="A307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</row>
    <row r="308" outlineLevel="1" ht="18" customHeight="1">
      <c r="A308" s="152" t="inlineStr">
        <is>
          <t xml:space="preserve">   Lot No. →</t>
        </is>
      </c>
      <c r="B308" s="153">
        <f>IF('Final Calculation Sheet'!$F$8="","",'Final Calculation Sheet'!$F$8)</f>
        <v/>
      </c>
      <c r="C308" s="153">
        <f>IF('Final Calculation Sheet'!$F$20="","",'Final Calculation Sheet'!$F$20)</f>
        <v/>
      </c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5" t="inlineStr">
        <is>
          <t>TOTAL</t>
        </is>
      </c>
    </row>
    <row r="309" outlineLevel="1" ht="16" customHeight="1">
      <c r="A309" s="152" t="inlineStr">
        <is>
          <t xml:space="preserve">  ▸ LOT INFORMATION</t>
        </is>
      </c>
      <c r="B309" s="154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</row>
    <row r="310" outlineLevel="2" ht="15" customHeight="1">
      <c r="A310" s="69" t="inlineStr">
        <is>
          <t xml:space="preserve">      Lot No.</t>
        </is>
      </c>
      <c r="B310" s="70">
        <f>IF('Final Calculation Sheet'!$F$8="","",'Final Calculation Sheet'!$F$8)</f>
        <v/>
      </c>
      <c r="C310" s="156">
        <f>IF('Final Calculation Sheet'!$F$20="","",'Final Calculation Sheet'!$F$20)</f>
        <v/>
      </c>
      <c r="D310" s="71" t="n"/>
      <c r="E310" s="71" t="n"/>
      <c r="F310" s="71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157" t="inlineStr">
        <is>
          <t>–</t>
        </is>
      </c>
    </row>
    <row r="311" outlineLevel="2" ht="60" customHeight="1">
      <c r="A311" s="69" t="inlineStr">
        <is>
          <t xml:space="preserve">      Lot Name</t>
        </is>
      </c>
      <c r="B311" s="73">
        <f>IF('Final Calculation Sheet'!$B$8="","",'Final Calculation Sheet'!$B$8)</f>
        <v/>
      </c>
      <c r="C311" s="158">
        <f>IF('Final Calculation Sheet'!$B$20="","",'Final Calculation Sheet'!$B$20)</f>
        <v/>
      </c>
      <c r="D311" s="71" t="n"/>
      <c r="E311" s="71" t="n"/>
      <c r="F311" s="71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157" t="inlineStr">
        <is>
          <t>–</t>
        </is>
      </c>
    </row>
    <row r="312" outlineLevel="2" ht="15" customHeight="1">
      <c r="A312" s="69" t="inlineStr">
        <is>
          <t xml:space="preserve">      Bid Sheet / Auction</t>
        </is>
      </c>
      <c r="B312" s="70">
        <f>IF('Final Calculation Sheet'!$D$8="","",'Final Calculation Sheet'!$D$8)</f>
        <v/>
      </c>
      <c r="C312" s="156">
        <f>IF('Final Calculation Sheet'!$D$20="","",'Final Calculation Sheet'!$D$20)</f>
        <v/>
      </c>
      <c r="D312" s="71" t="n"/>
      <c r="E312" s="71" t="n"/>
      <c r="F312" s="71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157" t="inlineStr">
        <is>
          <t>–</t>
        </is>
      </c>
    </row>
    <row r="313" outlineLevel="2" ht="15" customHeight="1">
      <c r="A313" s="69" t="inlineStr">
        <is>
          <t xml:space="preserve">      Quantity</t>
        </is>
      </c>
      <c r="B313" s="74">
        <f>IF('Final Calculation Sheet'!$A$8="","",'Final Calculation Sheet'!$A$8)</f>
        <v/>
      </c>
      <c r="C313" s="159">
        <f>IF('Final Calculation Sheet'!$A$20="","",'Final Calculation Sheet'!$A$20)</f>
        <v/>
      </c>
      <c r="D313" s="71" t="n"/>
      <c r="E313" s="71" t="n"/>
      <c r="F313" s="71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160">
        <f>SUM(B313:N313)</f>
        <v/>
      </c>
    </row>
    <row r="314" outlineLevel="2" ht="15" customHeight="1">
      <c r="A314" s="69" t="inlineStr">
        <is>
          <t xml:space="preserve">      Unit</t>
        </is>
      </c>
      <c r="B314" s="76">
        <f>IF('Final Calculation Sheet'!$E$8="","",'Final Calculation Sheet'!$E$8)</f>
        <v/>
      </c>
      <c r="C314" s="161">
        <f>IF('Final Calculation Sheet'!$E$20="","",'Final Calculation Sheet'!$E$20)</f>
        <v/>
      </c>
      <c r="D314" s="71" t="n"/>
      <c r="E314" s="71" t="n"/>
      <c r="F314" s="71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157" t="inlineStr">
        <is>
          <t>–</t>
        </is>
      </c>
    </row>
    <row r="315" outlineLevel="2" ht="15" customHeight="1">
      <c r="A315" s="69" t="inlineStr">
        <is>
          <t xml:space="preserve">      Rate (₹)</t>
        </is>
      </c>
      <c r="B315" s="70">
        <f>IF('Final Calculation Sheet'!$C$8="","",'Final Calculation Sheet'!$C$8)</f>
        <v/>
      </c>
      <c r="C315" s="156">
        <f>IF('Final Calculation Sheet'!$C$20="","",'Final Calculation Sheet'!$C$20)</f>
        <v/>
      </c>
      <c r="D315" s="71" t="n"/>
      <c r="E315" s="71" t="n"/>
      <c r="F315" s="71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157" t="inlineStr">
        <is>
          <t>–</t>
        </is>
      </c>
    </row>
    <row r="316" outlineLevel="1" ht="16" customHeight="1">
      <c r="A316" s="152" t="inlineStr">
        <is>
          <t xml:space="preserve">  ▸ FINANCIALS</t>
        </is>
      </c>
      <c r="B316" s="154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</row>
    <row r="317" outlineLevel="2" ht="15" customHeight="1">
      <c r="A317" s="69" t="inlineStr">
        <is>
          <t xml:space="preserve">      Mat. Value (₹)</t>
        </is>
      </c>
      <c r="B317" s="70">
        <f>IF('Final Calculation Sheet'!$H$8="","",'Final Calculation Sheet'!$H$8)</f>
        <v/>
      </c>
      <c r="C317" s="156">
        <f>IF('Final Calculation Sheet'!$H$20="","",'Final Calculation Sheet'!$H$20)</f>
        <v/>
      </c>
      <c r="D317" s="71" t="n"/>
      <c r="E317" s="71" t="n"/>
      <c r="F317" s="71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162">
        <f>SUM(B317:N317)</f>
        <v/>
      </c>
    </row>
    <row r="318" outlineLevel="2" ht="15" customHeight="1">
      <c r="A318" s="69" t="inlineStr">
        <is>
          <t xml:space="preserve">      GST @ 18% (₹)</t>
        </is>
      </c>
      <c r="B318" s="70">
        <f>IF('Final Calculation Sheet'!$I$8="","",'Final Calculation Sheet'!$I$8)</f>
        <v/>
      </c>
      <c r="C318" s="156">
        <f>IF('Final Calculation Sheet'!$I$20="","",'Final Calculation Sheet'!$I$20)</f>
        <v/>
      </c>
      <c r="D318" s="71" t="n"/>
      <c r="E318" s="71" t="n"/>
      <c r="F318" s="71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162">
        <f>SUM(B318:N318)</f>
        <v/>
      </c>
    </row>
    <row r="319" outlineLevel="2" ht="15" customHeight="1">
      <c r="A319" s="69" t="inlineStr">
        <is>
          <t xml:space="preserve">      Mat. Value + GST (₹)</t>
        </is>
      </c>
      <c r="B319" s="70">
        <f>IF('Final Calculation Sheet'!$J$8="","",'Final Calculation Sheet'!$J$8)</f>
        <v/>
      </c>
      <c r="C319" s="156">
        <f>IF('Final Calculation Sheet'!$J$20="","",'Final Calculation Sheet'!$J$20)</f>
        <v/>
      </c>
      <c r="D319" s="71" t="n"/>
      <c r="E319" s="71" t="n"/>
      <c r="F319" s="71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162">
        <f>SUM(B319:N319)</f>
        <v/>
      </c>
    </row>
    <row r="320" outlineLevel="2" ht="15" customHeight="1">
      <c r="A320" s="69" t="inlineStr">
        <is>
          <t xml:space="preserve">      TCS @ 2% (₹)</t>
        </is>
      </c>
      <c r="B320" s="70">
        <f>IF('Final Calculation Sheet'!$K$8="","",'Final Calculation Sheet'!$K$8)</f>
        <v/>
      </c>
      <c r="C320" s="156">
        <f>IF('Final Calculation Sheet'!$K$20="","",'Final Calculation Sheet'!$K$20)</f>
        <v/>
      </c>
      <c r="D320" s="71" t="n"/>
      <c r="E320" s="71" t="n"/>
      <c r="F320" s="71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162">
        <f>SUM(B320:N320)</f>
        <v/>
      </c>
    </row>
    <row r="321" outlineLevel="2" ht="15" customHeight="1">
      <c r="A321" s="69" t="inlineStr">
        <is>
          <t xml:space="preserve">      TDS u/s 194(O) (₹)</t>
        </is>
      </c>
      <c r="B321" s="78">
        <f>IF('Final Calculation Sheet'!$L$8="","",'Final Calculation Sheet'!$L$8)</f>
        <v/>
      </c>
      <c r="C321" s="163">
        <f>IF('Final Calculation Sheet'!$L$20="","",'Final Calculation Sheet'!$L$20)</f>
        <v/>
      </c>
      <c r="D321" s="71" t="n"/>
      <c r="E321" s="71" t="n"/>
      <c r="F321" s="71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164">
        <f>SUM(B321:N321)</f>
        <v/>
      </c>
    </row>
    <row r="322" outlineLevel="2" ht="15" customHeight="1">
      <c r="A322" s="69" t="inlineStr">
        <is>
          <t xml:space="preserve">      Service Charge gross (₹)</t>
        </is>
      </c>
      <c r="B322" s="78">
        <f>IF('Final Calculation Sheet'!$M$8="","",'Final Calculation Sheet'!$M$8)</f>
        <v/>
      </c>
      <c r="C322" s="163">
        <f>IF('Final Calculation Sheet'!$M$20="","",'Final Calculation Sheet'!$M$20)</f>
        <v/>
      </c>
      <c r="D322" s="71" t="n"/>
      <c r="E322" s="71" t="n"/>
      <c r="F322" s="71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164">
        <f>SUM(B322:N322)</f>
        <v/>
      </c>
    </row>
    <row r="323" outlineLevel="2" ht="15" customHeight="1">
      <c r="A323" s="69" t="inlineStr">
        <is>
          <t xml:space="preserve">      TDS u/s 194(H) (₹)</t>
        </is>
      </c>
      <c r="B323" s="78">
        <f>IF('Final Calculation Sheet'!$N$8="","",'Final Calculation Sheet'!$N$8)</f>
        <v/>
      </c>
      <c r="C323" s="163">
        <f>IF('Final Calculation Sheet'!$N$20="","",'Final Calculation Sheet'!$N$20)</f>
        <v/>
      </c>
      <c r="D323" s="71" t="n"/>
      <c r="E323" s="71" t="n"/>
      <c r="F323" s="71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164">
        <f>SUM(B323:N323)</f>
        <v/>
      </c>
    </row>
    <row r="324" outlineLevel="2" ht="15" customHeight="1">
      <c r="A324" s="69" t="inlineStr">
        <is>
          <t xml:space="preserve">      Net Service Charge (₹)</t>
        </is>
      </c>
      <c r="B324" s="78">
        <f>IF('Final Calculation Sheet'!$O$8="","",'Final Calculation Sheet'!$O$8)</f>
        <v/>
      </c>
      <c r="C324" s="163">
        <f>IF('Final Calculation Sheet'!$O$20="","",'Final Calculation Sheet'!$O$20)</f>
        <v/>
      </c>
      <c r="D324" s="71" t="n"/>
      <c r="E324" s="71" t="n"/>
      <c r="F324" s="71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164">
        <f>SUM(B324:N324)</f>
        <v/>
      </c>
    </row>
    <row r="325" outlineLevel="2" ht="15" customHeight="1">
      <c r="A325" s="69" t="inlineStr">
        <is>
          <t xml:space="preserve">      Svc Charge to MSTC (₹)</t>
        </is>
      </c>
      <c r="B325" s="70">
        <f>IF('Final Calculation Sheet'!$P$8="","",'Final Calculation Sheet'!$P$8)</f>
        <v/>
      </c>
      <c r="C325" s="156">
        <f>IF('Final Calculation Sheet'!$P$20="","",'Final Calculation Sheet'!$P$20)</f>
        <v/>
      </c>
      <c r="D325" s="71" t="n"/>
      <c r="E325" s="71" t="n"/>
      <c r="F325" s="71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162">
        <f>SUM(B325:N325)</f>
        <v/>
      </c>
    </row>
    <row r="326" outlineLevel="2" ht="15" customHeight="1">
      <c r="A326" s="69" t="inlineStr">
        <is>
          <t xml:space="preserve">      GST TDS Rate</t>
        </is>
      </c>
      <c r="B326" s="80">
        <f>IF('Final Calculation Sheet'!$Q$8="","",'Final Calculation Sheet'!$Q$8)</f>
        <v/>
      </c>
      <c r="C326" s="165">
        <f>IF('Final Calculation Sheet'!$Q$20="","",'Final Calculation Sheet'!$Q$20)</f>
        <v/>
      </c>
      <c r="D326" s="71" t="n"/>
      <c r="E326" s="71" t="n"/>
      <c r="F326" s="71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157" t="inlineStr">
        <is>
          <t>–</t>
        </is>
      </c>
    </row>
    <row r="327" outlineLevel="2" ht="15" customHeight="1">
      <c r="A327" s="69" t="inlineStr">
        <is>
          <t xml:space="preserve">      GST TDS (₹)</t>
        </is>
      </c>
      <c r="B327" s="70">
        <f>IF('Final Calculation Sheet'!$R$8="","",'Final Calculation Sheet'!$R$8)</f>
        <v/>
      </c>
      <c r="C327" s="156">
        <f>IF('Final Calculation Sheet'!$R$20="","",'Final Calculation Sheet'!$R$20)</f>
        <v/>
      </c>
      <c r="D327" s="71" t="n"/>
      <c r="E327" s="71" t="n"/>
      <c r="F327" s="71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162">
        <f>SUM(B327:N327)</f>
        <v/>
      </c>
    </row>
    <row r="328" outlineLevel="2" ht="15" customHeight="1">
      <c r="A328" s="69" t="inlineStr">
        <is>
          <t xml:space="preserve">      Total Receivables (₹)</t>
        </is>
      </c>
      <c r="B328" s="70">
        <f>IF('Final Calculation Sheet'!$S$8="","",'Final Calculation Sheet'!$S$8)</f>
        <v/>
      </c>
      <c r="C328" s="156">
        <f>IF('Final Calculation Sheet'!$S$20="","",'Final Calculation Sheet'!$S$20)</f>
        <v/>
      </c>
      <c r="D328" s="71" t="n"/>
      <c r="E328" s="71" t="n"/>
      <c r="F328" s="71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162">
        <f>SUM(B328:N328)</f>
        <v/>
      </c>
    </row>
    <row r="329" outlineLevel="1" ht="16" customHeight="1">
      <c r="A329" s="152" t="inlineStr">
        <is>
          <t xml:space="preserve">  ▸ SECURITY DEPOSIT</t>
        </is>
      </c>
      <c r="B329" s="154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</row>
    <row r="330" outlineLevel="2" ht="15" customHeight="1">
      <c r="A330" s="69" t="inlineStr">
        <is>
          <t xml:space="preserve">      SD Expected (₹)</t>
        </is>
      </c>
      <c r="B330" s="70">
        <f>IF('Final Calculation Sheet'!$T$8="","",'Final Calculation Sheet'!$T$8)</f>
        <v/>
      </c>
      <c r="C330" s="156">
        <f>IF('Final Calculation Sheet'!$T$20="","",'Final Calculation Sheet'!$T$20)</f>
        <v/>
      </c>
      <c r="D330" s="71" t="n"/>
      <c r="E330" s="71" t="n"/>
      <c r="F330" s="71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162">
        <f>SUM(B330:N330)</f>
        <v/>
      </c>
    </row>
    <row r="331" outlineLevel="2" ht="15" customHeight="1">
      <c r="A331" s="69" t="inlineStr">
        <is>
          <t xml:space="preserve">      SD Received (₹)</t>
        </is>
      </c>
      <c r="B331" s="70">
        <f>IF('Final Calculation Sheet'!$U$8="","",'Final Calculation Sheet'!$U$8)</f>
        <v/>
      </c>
      <c r="C331" s="156">
        <f>IF('Final Calculation Sheet'!$U$20="","",'Final Calculation Sheet'!$U$20)</f>
        <v/>
      </c>
      <c r="D331" s="71" t="n"/>
      <c r="E331" s="71" t="n"/>
      <c r="F331" s="71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162">
        <f>SUM(B331:N331)</f>
        <v/>
      </c>
    </row>
    <row r="332" outlineLevel="2" ht="15" customHeight="1">
      <c r="A332" s="69" t="inlineStr">
        <is>
          <t xml:space="preserve">      SD Receipt Date</t>
        </is>
      </c>
      <c r="B332" s="76">
        <f>IF('Final Calculation Sheet'!$V$8="","",'Final Calculation Sheet'!$V$8)</f>
        <v/>
      </c>
      <c r="C332" s="161">
        <f>IF('Final Calculation Sheet'!$V$20="","",'Final Calculation Sheet'!$V$20)</f>
        <v/>
      </c>
      <c r="D332" s="71" t="n"/>
      <c r="E332" s="71" t="n"/>
      <c r="F332" s="71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157" t="inlineStr">
        <is>
          <t>–</t>
        </is>
      </c>
    </row>
    <row r="333" outlineLevel="1" ht="16" customHeight="1">
      <c r="A333" s="152" t="inlineStr">
        <is>
          <t xml:space="preserve">  ▸ FINAL PAYMENT</t>
        </is>
      </c>
      <c r="B333" s="154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</row>
    <row r="334" outlineLevel="2" ht="15" customHeight="1">
      <c r="A334" s="69" t="inlineStr">
        <is>
          <t xml:space="preserve">      FP Expected (₹)</t>
        </is>
      </c>
      <c r="B334" s="70">
        <f>IF('Final Calculation Sheet'!$W$8="","",'Final Calculation Sheet'!$W$8)</f>
        <v/>
      </c>
      <c r="C334" s="156">
        <f>IF('Final Calculation Sheet'!$W$20="","",'Final Calculation Sheet'!$W$20)</f>
        <v/>
      </c>
      <c r="D334" s="71" t="n"/>
      <c r="E334" s="71" t="n"/>
      <c r="F334" s="71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162">
        <f>SUM(B334:N334)</f>
        <v/>
      </c>
    </row>
    <row r="335" outlineLevel="2" ht="15" customHeight="1">
      <c r="A335" s="69" t="inlineStr">
        <is>
          <t xml:space="preserve">      FP Received (₹)</t>
        </is>
      </c>
      <c r="B335" s="70">
        <f>IF('Final Calculation Sheet'!$X$8="","",'Final Calculation Sheet'!$X$8)</f>
        <v/>
      </c>
      <c r="C335" s="156">
        <f>IF('Final Calculation Sheet'!$X$20="","",'Final Calculation Sheet'!$X$20)</f>
        <v/>
      </c>
      <c r="D335" s="71" t="n"/>
      <c r="E335" s="71" t="n"/>
      <c r="F335" s="71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162">
        <f>SUM(B335:N335)</f>
        <v/>
      </c>
    </row>
    <row r="336" outlineLevel="2" ht="15" customHeight="1">
      <c r="A336" s="69" t="inlineStr">
        <is>
          <t xml:space="preserve">      FP Receipt Date</t>
        </is>
      </c>
      <c r="B336" s="76">
        <f>IF('Final Calculation Sheet'!$Y$8="","",'Final Calculation Sheet'!$Y$8)</f>
        <v/>
      </c>
      <c r="C336" s="161">
        <f>IF('Final Calculation Sheet'!$Y$20="","",'Final Calculation Sheet'!$Y$20)</f>
        <v/>
      </c>
      <c r="D336" s="71" t="n"/>
      <c r="E336" s="71" t="n"/>
      <c r="F336" s="71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157" t="inlineStr">
        <is>
          <t>–</t>
        </is>
      </c>
    </row>
    <row r="337" outlineLevel="1" ht="16" customHeight="1">
      <c r="A337" s="152" t="inlineStr">
        <is>
          <t xml:space="preserve">  ▸ LPP</t>
        </is>
      </c>
      <c r="B337" s="154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</row>
    <row r="338" outlineLevel="2" ht="15" customHeight="1">
      <c r="A338" s="69" t="inlineStr">
        <is>
          <t xml:space="preserve">      LPP Expected (₹)</t>
        </is>
      </c>
      <c r="B338" s="70">
        <f>IF('Final Calculation Sheet'!$Z$8="","",'Final Calculation Sheet'!$Z$8)</f>
        <v/>
      </c>
      <c r="C338" s="156">
        <f>IF('Final Calculation Sheet'!$Z$20="","",'Final Calculation Sheet'!$Z$20)</f>
        <v/>
      </c>
      <c r="D338" s="71" t="n"/>
      <c r="E338" s="71" t="n"/>
      <c r="F338" s="71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162">
        <f>SUM(B338:N338)</f>
        <v/>
      </c>
    </row>
    <row r="339" outlineLevel="2" ht="15" customHeight="1">
      <c r="A339" s="69" t="inlineStr">
        <is>
          <t xml:space="preserve">      LPP Received (₹)</t>
        </is>
      </c>
      <c r="B339" s="70">
        <f>IF('Final Calculation Sheet'!$AA$8="","",'Final Calculation Sheet'!$AA$8)</f>
        <v/>
      </c>
      <c r="C339" s="156">
        <f>IF('Final Calculation Sheet'!$AA$20="","",'Final Calculation Sheet'!$AA$20)</f>
        <v/>
      </c>
      <c r="D339" s="71" t="n"/>
      <c r="E339" s="71" t="n"/>
      <c r="F339" s="71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162">
        <f>SUM(B339:N339)</f>
        <v/>
      </c>
    </row>
    <row r="340" outlineLevel="2" ht="15" customHeight="1">
      <c r="A340" s="69" t="inlineStr">
        <is>
          <t xml:space="preserve">      LPP Receipt Date</t>
        </is>
      </c>
      <c r="B340" s="76">
        <f>IF('Final Calculation Sheet'!$AB$8="","",'Final Calculation Sheet'!$AB$8)</f>
        <v/>
      </c>
      <c r="C340" s="161">
        <f>IF('Final Calculation Sheet'!$AB$20="","",'Final Calculation Sheet'!$AB$20)</f>
        <v/>
      </c>
      <c r="D340" s="71" t="n"/>
      <c r="E340" s="71" t="n"/>
      <c r="F340" s="71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157" t="inlineStr">
        <is>
          <t>–</t>
        </is>
      </c>
    </row>
    <row r="341" outlineLevel="1" ht="16" customHeight="1">
      <c r="A341" s="152" t="inlineStr">
        <is>
          <t xml:space="preserve">  ▸ SUMMARY</t>
        </is>
      </c>
      <c r="B341" s="154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</row>
    <row r="342" outlineLevel="2" ht="15" customHeight="1">
      <c r="A342" s="69" t="inlineStr">
        <is>
          <t xml:space="preserve">      Total Received (₹)</t>
        </is>
      </c>
      <c r="B342" s="70">
        <f>IF('Final Calculation Sheet'!$AC$8="","",'Final Calculation Sheet'!$AC$8)</f>
        <v/>
      </c>
      <c r="C342" s="156">
        <f>IF('Final Calculation Sheet'!$AC$20="","",'Final Calculation Sheet'!$AC$20)</f>
        <v/>
      </c>
      <c r="D342" s="71" t="n"/>
      <c r="E342" s="71" t="n"/>
      <c r="F342" s="71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162">
        <f>SUM(B342:N342)</f>
        <v/>
      </c>
    </row>
    <row r="343" outlineLevel="2" ht="15" customHeight="1">
      <c r="A343" s="69" t="inlineStr">
        <is>
          <t xml:space="preserve">      Outstanding (₹)</t>
        </is>
      </c>
      <c r="B343" s="70">
        <f>IF('Final Calculation Sheet'!$AD$8="","",'Final Calculation Sheet'!$AD$8)</f>
        <v/>
      </c>
      <c r="C343" s="156">
        <f>IF('Final Calculation Sheet'!$AD$20="","",'Final Calculation Sheet'!$AD$20)</f>
        <v/>
      </c>
      <c r="D343" s="71" t="n"/>
      <c r="E343" s="71" t="n"/>
      <c r="F343" s="71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162">
        <f>SUM(B343:N343)</f>
        <v/>
      </c>
    </row>
    <row r="344" outlineLevel="2" ht="15" customHeight="1">
      <c r="A344" s="69" t="inlineStr">
        <is>
          <t xml:space="preserve">      Payment Status</t>
        </is>
      </c>
      <c r="B344" s="81">
        <f>IF('Final Calculation Sheet'!$AD$8="","",IF('Final Calculation Sheet'!$AD$8&lt;=0,"SETTLED","OUTSTANDING"))</f>
        <v/>
      </c>
      <c r="C344" s="166">
        <f>IF('Final Calculation Sheet'!$AD$20="","",IF('Final Calculation Sheet'!$AD$20&lt;=0,"SETTLED","OUTSTANDING"))</f>
        <v/>
      </c>
      <c r="D344" s="71" t="n"/>
      <c r="E344" s="71" t="n"/>
      <c r="F344" s="71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157" t="inlineStr">
        <is>
          <t>–</t>
        </is>
      </c>
    </row>
    <row r="345" outlineLevel="1" ht="16" customHeight="1">
      <c r="A345" s="152" t="inlineStr">
        <is>
          <t xml:space="preserve">  ▸ DOCUMENT</t>
        </is>
      </c>
      <c r="B345" s="154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</row>
    <row r="346" outlineLevel="2" ht="15" customHeight="1">
      <c r="A346" s="69" t="inlineStr">
        <is>
          <t xml:space="preserve">      Invoice No.</t>
        </is>
      </c>
      <c r="B346" s="76">
        <f>IF('Final Calculation Sheet'!$AE$8="","",'Final Calculation Sheet'!$AE$8)</f>
        <v/>
      </c>
      <c r="C346" s="161">
        <f>IF('Final Calculation Sheet'!$AE$20="","",'Final Calculation Sheet'!$AE$20)</f>
        <v/>
      </c>
      <c r="D346" s="71" t="n"/>
      <c r="E346" s="71" t="n"/>
      <c r="F346" s="71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157" t="inlineStr">
        <is>
          <t>–</t>
        </is>
      </c>
    </row>
    <row r="347" outlineLevel="2" ht="15" customHeight="1">
      <c r="A347" s="69" t="inlineStr">
        <is>
          <t xml:space="preserve">      SAP Document</t>
        </is>
      </c>
      <c r="B347" s="70">
        <f>IF('Final Calculation Sheet'!$AF$8="","",'Final Calculation Sheet'!$AF$8)</f>
        <v/>
      </c>
      <c r="C347" s="156">
        <f>IF('Final Calculation Sheet'!$AF$20="","",'Final Calculation Sheet'!$AF$20)</f>
        <v/>
      </c>
      <c r="D347" s="71" t="n"/>
      <c r="E347" s="71" t="n"/>
      <c r="F347" s="71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157" t="inlineStr">
        <is>
          <t>–</t>
        </is>
      </c>
    </row>
    <row r="348" outlineLevel="2" ht="15" customHeight="1">
      <c r="A348" s="69" t="inlineStr">
        <is>
          <t xml:space="preserve">      Doc./Invoice Date</t>
        </is>
      </c>
      <c r="B348" s="76">
        <f>IF('Final Calculation Sheet'!$AG$8="","",'Final Calculation Sheet'!$AG$8)</f>
        <v/>
      </c>
      <c r="C348" s="161">
        <f>IF('Final Calculation Sheet'!$AG$20="","",'Final Calculation Sheet'!$AG$20)</f>
        <v/>
      </c>
      <c r="D348" s="71" t="n"/>
      <c r="E348" s="71" t="n"/>
      <c r="F348" s="71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157" t="inlineStr">
        <is>
          <t>–</t>
        </is>
      </c>
    </row>
    <row r="349" ht="7" customHeight="1">
      <c r="A349" s="82" t="n"/>
      <c r="B349" s="82" t="n"/>
      <c r="C349" s="82" t="n"/>
      <c r="D349" s="82" t="n"/>
      <c r="E349" s="82" t="n"/>
      <c r="F349" s="82" t="n"/>
      <c r="G349" s="82" t="n"/>
      <c r="H349" s="82" t="n"/>
      <c r="I349" s="82" t="n"/>
      <c r="J349" s="82" t="n"/>
      <c r="K349" s="82" t="n"/>
      <c r="L349" s="82" t="n"/>
      <c r="M349" s="82" t="n"/>
      <c r="N349" s="82" t="n"/>
      <c r="O349" s="82" t="n"/>
    </row>
    <row r="350" ht="24" customHeight="1">
      <c r="A350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</row>
    <row r="351" outlineLevel="1" ht="18" customHeight="1">
      <c r="A351" s="65" t="inlineStr">
        <is>
          <t xml:space="preserve">   Lot No. →</t>
        </is>
      </c>
      <c r="B351" s="66">
        <f>IF('Final Calculation Sheet'!$F$39="","",'Final Calculation Sheet'!$F$39)</f>
        <v/>
      </c>
      <c r="C351" s="66">
        <f>IF('Final Calculation Sheet'!$F$40="","",'Final Calculation Sheet'!$F$40)</f>
        <v/>
      </c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8" t="inlineStr">
        <is>
          <t>TOTAL</t>
        </is>
      </c>
    </row>
    <row r="352" outlineLevel="1" ht="16" customHeight="1">
      <c r="A352" s="65" t="inlineStr">
        <is>
          <t xml:space="preserve">  ▸ LOT INFORMATION</t>
        </is>
      </c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</row>
    <row r="353" outlineLevel="2" ht="15" customHeight="1">
      <c r="A353" s="69" t="inlineStr">
        <is>
          <t xml:space="preserve">      Lot No.</t>
        </is>
      </c>
      <c r="B353" s="70">
        <f>IF('Final Calculation Sheet'!$F$39="","",'Final Calculation Sheet'!$F$39)</f>
        <v/>
      </c>
      <c r="C353" s="167">
        <f>IF('Final Calculation Sheet'!$F$40="","",'Final Calculation Sheet'!$F$40)</f>
        <v/>
      </c>
      <c r="D353" s="71" t="n"/>
      <c r="E353" s="71" t="n"/>
      <c r="F353" s="71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2" t="inlineStr">
        <is>
          <t>–</t>
        </is>
      </c>
    </row>
    <row r="354" outlineLevel="2" ht="60" customHeight="1">
      <c r="A354" s="69" t="inlineStr">
        <is>
          <t xml:space="preserve">      Lot Name</t>
        </is>
      </c>
      <c r="B354" s="73">
        <f>IF('Final Calculation Sheet'!$B$39="","",'Final Calculation Sheet'!$B$39)</f>
        <v/>
      </c>
      <c r="C354" s="168">
        <f>IF('Final Calculation Sheet'!$B$40="","",'Final Calculation Sheet'!$B$40)</f>
        <v/>
      </c>
      <c r="D354" s="71" t="n"/>
      <c r="E354" s="71" t="n"/>
      <c r="F354" s="71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2" t="inlineStr">
        <is>
          <t>–</t>
        </is>
      </c>
    </row>
    <row r="355" outlineLevel="2" ht="15" customHeight="1">
      <c r="A355" s="69" t="inlineStr">
        <is>
          <t xml:space="preserve">      Bid Sheet / Auction</t>
        </is>
      </c>
      <c r="B355" s="70">
        <f>IF('Final Calculation Sheet'!$D$39="","",'Final Calculation Sheet'!$D$39)</f>
        <v/>
      </c>
      <c r="C355" s="167">
        <f>IF('Final Calculation Sheet'!$D$40="","",'Final Calculation Sheet'!$D$40)</f>
        <v/>
      </c>
      <c r="D355" s="71" t="n"/>
      <c r="E355" s="71" t="n"/>
      <c r="F355" s="71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2" t="inlineStr">
        <is>
          <t>–</t>
        </is>
      </c>
    </row>
    <row r="356" outlineLevel="2" ht="15" customHeight="1">
      <c r="A356" s="69" t="inlineStr">
        <is>
          <t xml:space="preserve">      Quantity</t>
        </is>
      </c>
      <c r="B356" s="74">
        <f>IF('Final Calculation Sheet'!$A$39="","",'Final Calculation Sheet'!$A$39)</f>
        <v/>
      </c>
      <c r="C356" s="169">
        <f>IF('Final Calculation Sheet'!$A$40="","",'Final Calculation Sheet'!$A$40)</f>
        <v/>
      </c>
      <c r="D356" s="71" t="n"/>
      <c r="E356" s="71" t="n"/>
      <c r="F356" s="71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5">
        <f>SUM(B356:N356)</f>
        <v/>
      </c>
    </row>
    <row r="357" outlineLevel="2" ht="15" customHeight="1">
      <c r="A357" s="69" t="inlineStr">
        <is>
          <t xml:space="preserve">      Unit</t>
        </is>
      </c>
      <c r="B357" s="76">
        <f>IF('Final Calculation Sheet'!$E$39="","",'Final Calculation Sheet'!$E$39)</f>
        <v/>
      </c>
      <c r="C357" s="170">
        <f>IF('Final Calculation Sheet'!$E$40="","",'Final Calculation Sheet'!$E$40)</f>
        <v/>
      </c>
      <c r="D357" s="71" t="n"/>
      <c r="E357" s="71" t="n"/>
      <c r="F357" s="71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2" t="inlineStr">
        <is>
          <t>–</t>
        </is>
      </c>
    </row>
    <row r="358" outlineLevel="2" ht="15" customHeight="1">
      <c r="A358" s="69" t="inlineStr">
        <is>
          <t xml:space="preserve">      Rate (₹)</t>
        </is>
      </c>
      <c r="B358" s="70">
        <f>IF('Final Calculation Sheet'!$C$39="","",'Final Calculation Sheet'!$C$39)</f>
        <v/>
      </c>
      <c r="C358" s="167">
        <f>IF('Final Calculation Sheet'!$C$40="","",'Final Calculation Sheet'!$C$40)</f>
        <v/>
      </c>
      <c r="D358" s="71" t="n"/>
      <c r="E358" s="71" t="n"/>
      <c r="F358" s="71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2" t="inlineStr">
        <is>
          <t>–</t>
        </is>
      </c>
    </row>
    <row r="359" outlineLevel="1" ht="16" customHeight="1">
      <c r="A359" s="65" t="inlineStr">
        <is>
          <t xml:space="preserve">  ▸ FINANCIALS</t>
        </is>
      </c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</row>
    <row r="360" outlineLevel="2" ht="15" customHeight="1">
      <c r="A360" s="69" t="inlineStr">
        <is>
          <t xml:space="preserve">      Mat. Value (₹)</t>
        </is>
      </c>
      <c r="B360" s="70">
        <f>IF('Final Calculation Sheet'!$H$39="","",'Final Calculation Sheet'!$H$39)</f>
        <v/>
      </c>
      <c r="C360" s="167">
        <f>IF('Final Calculation Sheet'!$H$40="","",'Final Calculation Sheet'!$H$40)</f>
        <v/>
      </c>
      <c r="D360" s="71" t="n"/>
      <c r="E360" s="71" t="n"/>
      <c r="F360" s="71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7">
        <f>SUM(B360:N360)</f>
        <v/>
      </c>
    </row>
    <row r="361" outlineLevel="2" ht="15" customHeight="1">
      <c r="A361" s="69" t="inlineStr">
        <is>
          <t xml:space="preserve">      GST @ 18% (₹)</t>
        </is>
      </c>
      <c r="B361" s="70">
        <f>IF('Final Calculation Sheet'!$I$39="","",'Final Calculation Sheet'!$I$39)</f>
        <v/>
      </c>
      <c r="C361" s="167">
        <f>IF('Final Calculation Sheet'!$I$40="","",'Final Calculation Sheet'!$I$40)</f>
        <v/>
      </c>
      <c r="D361" s="71" t="n"/>
      <c r="E361" s="71" t="n"/>
      <c r="F361" s="71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7">
        <f>SUM(B361:N361)</f>
        <v/>
      </c>
    </row>
    <row r="362" outlineLevel="2" ht="15" customHeight="1">
      <c r="A362" s="69" t="inlineStr">
        <is>
          <t xml:space="preserve">      Mat. Value + GST (₹)</t>
        </is>
      </c>
      <c r="B362" s="70">
        <f>IF('Final Calculation Sheet'!$J$39="","",'Final Calculation Sheet'!$J$39)</f>
        <v/>
      </c>
      <c r="C362" s="167">
        <f>IF('Final Calculation Sheet'!$J$40="","",'Final Calculation Sheet'!$J$40)</f>
        <v/>
      </c>
      <c r="D362" s="71" t="n"/>
      <c r="E362" s="71" t="n"/>
      <c r="F362" s="71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7">
        <f>SUM(B362:N362)</f>
        <v/>
      </c>
    </row>
    <row r="363" outlineLevel="2" ht="15" customHeight="1">
      <c r="A363" s="69" t="inlineStr">
        <is>
          <t xml:space="preserve">      TCS @ 2% (₹)</t>
        </is>
      </c>
      <c r="B363" s="70">
        <f>IF('Final Calculation Sheet'!$K$39="","",'Final Calculation Sheet'!$K$39)</f>
        <v/>
      </c>
      <c r="C363" s="167">
        <f>IF('Final Calculation Sheet'!$K$40="","",'Final Calculation Sheet'!$K$40)</f>
        <v/>
      </c>
      <c r="D363" s="71" t="n"/>
      <c r="E363" s="71" t="n"/>
      <c r="F363" s="71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7">
        <f>SUM(B363:N363)</f>
        <v/>
      </c>
    </row>
    <row r="364" outlineLevel="2" ht="15" customHeight="1">
      <c r="A364" s="69" t="inlineStr">
        <is>
          <t xml:space="preserve">      TDS u/s 194(O) (₹)</t>
        </is>
      </c>
      <c r="B364" s="78">
        <f>IF('Final Calculation Sheet'!$L$39="","",'Final Calculation Sheet'!$L$39)</f>
        <v/>
      </c>
      <c r="C364" s="171">
        <f>IF('Final Calculation Sheet'!$L$40="","",'Final Calculation Sheet'!$L$40)</f>
        <v/>
      </c>
      <c r="D364" s="71" t="n"/>
      <c r="E364" s="71" t="n"/>
      <c r="F364" s="71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9">
        <f>SUM(B364:N364)</f>
        <v/>
      </c>
    </row>
    <row r="365" outlineLevel="2" ht="15" customHeight="1">
      <c r="A365" s="69" t="inlineStr">
        <is>
          <t xml:space="preserve">      Service Charge gross (₹)</t>
        </is>
      </c>
      <c r="B365" s="78">
        <f>IF('Final Calculation Sheet'!$M$39="","",'Final Calculation Sheet'!$M$39)</f>
        <v/>
      </c>
      <c r="C365" s="171">
        <f>IF('Final Calculation Sheet'!$M$40="","",'Final Calculation Sheet'!$M$40)</f>
        <v/>
      </c>
      <c r="D365" s="71" t="n"/>
      <c r="E365" s="71" t="n"/>
      <c r="F365" s="71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9">
        <f>SUM(B365:N365)</f>
        <v/>
      </c>
    </row>
    <row r="366" outlineLevel="2" ht="15" customHeight="1">
      <c r="A366" s="69" t="inlineStr">
        <is>
          <t xml:space="preserve">      TDS u/s 194(H) (₹)</t>
        </is>
      </c>
      <c r="B366" s="78">
        <f>IF('Final Calculation Sheet'!$N$39="","",'Final Calculation Sheet'!$N$39)</f>
        <v/>
      </c>
      <c r="C366" s="171">
        <f>IF('Final Calculation Sheet'!$N$40="","",'Final Calculation Sheet'!$N$40)</f>
        <v/>
      </c>
      <c r="D366" s="71" t="n"/>
      <c r="E366" s="71" t="n"/>
      <c r="F366" s="71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9">
        <f>SUM(B366:N366)</f>
        <v/>
      </c>
    </row>
    <row r="367" outlineLevel="2" ht="15" customHeight="1">
      <c r="A367" s="69" t="inlineStr">
        <is>
          <t xml:space="preserve">      Net Service Charge (₹)</t>
        </is>
      </c>
      <c r="B367" s="78">
        <f>IF('Final Calculation Sheet'!$O$39="","",'Final Calculation Sheet'!$O$39)</f>
        <v/>
      </c>
      <c r="C367" s="171">
        <f>IF('Final Calculation Sheet'!$O$40="","",'Final Calculation Sheet'!$O$40)</f>
        <v/>
      </c>
      <c r="D367" s="71" t="n"/>
      <c r="E367" s="71" t="n"/>
      <c r="F367" s="71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9">
        <f>SUM(B367:N367)</f>
        <v/>
      </c>
    </row>
    <row r="368" outlineLevel="2" ht="15" customHeight="1">
      <c r="A368" s="69" t="inlineStr">
        <is>
          <t xml:space="preserve">      Svc Charge to MSTC (₹)</t>
        </is>
      </c>
      <c r="B368" s="70">
        <f>IF('Final Calculation Sheet'!$P$39="","",'Final Calculation Sheet'!$P$39)</f>
        <v/>
      </c>
      <c r="C368" s="167">
        <f>IF('Final Calculation Sheet'!$P$40="","",'Final Calculation Sheet'!$P$40)</f>
        <v/>
      </c>
      <c r="D368" s="71" t="n"/>
      <c r="E368" s="71" t="n"/>
      <c r="F368" s="71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7">
        <f>SUM(B368:N368)</f>
        <v/>
      </c>
    </row>
    <row r="369" outlineLevel="2" ht="15" customHeight="1">
      <c r="A369" s="69" t="inlineStr">
        <is>
          <t xml:space="preserve">      GST TDS Rate</t>
        </is>
      </c>
      <c r="B369" s="80">
        <f>IF('Final Calculation Sheet'!$Q$39="","",'Final Calculation Sheet'!$Q$39)</f>
        <v/>
      </c>
      <c r="C369" s="172">
        <f>IF('Final Calculation Sheet'!$Q$40="","",'Final Calculation Sheet'!$Q$40)</f>
        <v/>
      </c>
      <c r="D369" s="71" t="n"/>
      <c r="E369" s="71" t="n"/>
      <c r="F369" s="71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2" t="inlineStr">
        <is>
          <t>–</t>
        </is>
      </c>
    </row>
    <row r="370" outlineLevel="2" ht="15" customHeight="1">
      <c r="A370" s="69" t="inlineStr">
        <is>
          <t xml:space="preserve">      GST TDS (₹)</t>
        </is>
      </c>
      <c r="B370" s="70">
        <f>IF('Final Calculation Sheet'!$R$39="","",'Final Calculation Sheet'!$R$39)</f>
        <v/>
      </c>
      <c r="C370" s="167">
        <f>IF('Final Calculation Sheet'!$R$40="","",'Final Calculation Sheet'!$R$40)</f>
        <v/>
      </c>
      <c r="D370" s="71" t="n"/>
      <c r="E370" s="71" t="n"/>
      <c r="F370" s="71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7">
        <f>SUM(B370:N370)</f>
        <v/>
      </c>
    </row>
    <row r="371" outlineLevel="2" ht="15" customHeight="1">
      <c r="A371" s="69" t="inlineStr">
        <is>
          <t xml:space="preserve">      Total Receivables (₹)</t>
        </is>
      </c>
      <c r="B371" s="70">
        <f>IF('Final Calculation Sheet'!$S$39="","",'Final Calculation Sheet'!$S$39)</f>
        <v/>
      </c>
      <c r="C371" s="167">
        <f>IF('Final Calculation Sheet'!$S$40="","",'Final Calculation Sheet'!$S$40)</f>
        <v/>
      </c>
      <c r="D371" s="71" t="n"/>
      <c r="E371" s="71" t="n"/>
      <c r="F371" s="71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7">
        <f>SUM(B371:N371)</f>
        <v/>
      </c>
    </row>
    <row r="372" outlineLevel="1" ht="16" customHeight="1">
      <c r="A372" s="65" t="inlineStr">
        <is>
          <t xml:space="preserve">  ▸ SECURITY DEPOSIT</t>
        </is>
      </c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</row>
    <row r="373" outlineLevel="2" ht="15" customHeight="1">
      <c r="A373" s="69" t="inlineStr">
        <is>
          <t xml:space="preserve">      SD Expected (₹)</t>
        </is>
      </c>
      <c r="B373" s="70">
        <f>IF('Final Calculation Sheet'!$T$39="","",'Final Calculation Sheet'!$T$39)</f>
        <v/>
      </c>
      <c r="C373" s="167">
        <f>IF('Final Calculation Sheet'!$T$40="","",'Final Calculation Sheet'!$T$40)</f>
        <v/>
      </c>
      <c r="D373" s="71" t="n"/>
      <c r="E373" s="71" t="n"/>
      <c r="F373" s="71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7">
        <f>SUM(B373:N373)</f>
        <v/>
      </c>
    </row>
    <row r="374" outlineLevel="2" ht="15" customHeight="1">
      <c r="A374" s="69" t="inlineStr">
        <is>
          <t xml:space="preserve">      SD Received (₹)</t>
        </is>
      </c>
      <c r="B374" s="70">
        <f>IF('Final Calculation Sheet'!$U$39="","",'Final Calculation Sheet'!$U$39)</f>
        <v/>
      </c>
      <c r="C374" s="167">
        <f>IF('Final Calculation Sheet'!$U$40="","",'Final Calculation Sheet'!$U$40)</f>
        <v/>
      </c>
      <c r="D374" s="71" t="n"/>
      <c r="E374" s="71" t="n"/>
      <c r="F374" s="71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7">
        <f>SUM(B374:N374)</f>
        <v/>
      </c>
    </row>
    <row r="375" outlineLevel="2" ht="15" customHeight="1">
      <c r="A375" s="69" t="inlineStr">
        <is>
          <t xml:space="preserve">      SD Receipt Date</t>
        </is>
      </c>
      <c r="B375" s="76">
        <f>IF('Final Calculation Sheet'!$V$39="","",'Final Calculation Sheet'!$V$39)</f>
        <v/>
      </c>
      <c r="C375" s="170">
        <f>IF('Final Calculation Sheet'!$V$40="","",'Final Calculation Sheet'!$V$40)</f>
        <v/>
      </c>
      <c r="D375" s="71" t="n"/>
      <c r="E375" s="71" t="n"/>
      <c r="F375" s="71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2" t="inlineStr">
        <is>
          <t>–</t>
        </is>
      </c>
    </row>
    <row r="376" outlineLevel="1" ht="16" customHeight="1">
      <c r="A376" s="65" t="inlineStr">
        <is>
          <t xml:space="preserve">  ▸ FINAL PAYMENT</t>
        </is>
      </c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</row>
    <row r="377" outlineLevel="2" ht="15" customHeight="1">
      <c r="A377" s="69" t="inlineStr">
        <is>
          <t xml:space="preserve">      FP Expected (₹)</t>
        </is>
      </c>
      <c r="B377" s="70">
        <f>IF('Final Calculation Sheet'!$W$39="","",'Final Calculation Sheet'!$W$39)</f>
        <v/>
      </c>
      <c r="C377" s="167">
        <f>IF('Final Calculation Sheet'!$W$40="","",'Final Calculation Sheet'!$W$40)</f>
        <v/>
      </c>
      <c r="D377" s="71" t="n"/>
      <c r="E377" s="71" t="n"/>
      <c r="F377" s="71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7">
        <f>SUM(B377:N377)</f>
        <v/>
      </c>
    </row>
    <row r="378" outlineLevel="2" ht="15" customHeight="1">
      <c r="A378" s="69" t="inlineStr">
        <is>
          <t xml:space="preserve">      FP Received (₹)</t>
        </is>
      </c>
      <c r="B378" s="70">
        <f>IF('Final Calculation Sheet'!$X$39="","",'Final Calculation Sheet'!$X$39)</f>
        <v/>
      </c>
      <c r="C378" s="167">
        <f>IF('Final Calculation Sheet'!$X$40="","",'Final Calculation Sheet'!$X$40)</f>
        <v/>
      </c>
      <c r="D378" s="71" t="n"/>
      <c r="E378" s="71" t="n"/>
      <c r="F378" s="71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7">
        <f>SUM(B378:N378)</f>
        <v/>
      </c>
    </row>
    <row r="379" outlineLevel="2" ht="15" customHeight="1">
      <c r="A379" s="69" t="inlineStr">
        <is>
          <t xml:space="preserve">      FP Receipt Date</t>
        </is>
      </c>
      <c r="B379" s="76">
        <f>IF('Final Calculation Sheet'!$Y$39="","",'Final Calculation Sheet'!$Y$39)</f>
        <v/>
      </c>
      <c r="C379" s="170">
        <f>IF('Final Calculation Sheet'!$Y$40="","",'Final Calculation Sheet'!$Y$40)</f>
        <v/>
      </c>
      <c r="D379" s="71" t="n"/>
      <c r="E379" s="71" t="n"/>
      <c r="F379" s="71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2" t="inlineStr">
        <is>
          <t>–</t>
        </is>
      </c>
    </row>
    <row r="380" outlineLevel="1" ht="16" customHeight="1">
      <c r="A380" s="65" t="inlineStr">
        <is>
          <t xml:space="preserve">  ▸ LPP</t>
        </is>
      </c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</row>
    <row r="381" outlineLevel="2" ht="15" customHeight="1">
      <c r="A381" s="69" t="inlineStr">
        <is>
          <t xml:space="preserve">      LPP Expected (₹)</t>
        </is>
      </c>
      <c r="B381" s="70">
        <f>IF('Final Calculation Sheet'!$Z$39="","",'Final Calculation Sheet'!$Z$39)</f>
        <v/>
      </c>
      <c r="C381" s="167">
        <f>IF('Final Calculation Sheet'!$Z$40="","",'Final Calculation Sheet'!$Z$40)</f>
        <v/>
      </c>
      <c r="D381" s="71" t="n"/>
      <c r="E381" s="71" t="n"/>
      <c r="F381" s="71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7">
        <f>SUM(B381:N381)</f>
        <v/>
      </c>
    </row>
    <row r="382" outlineLevel="2" ht="15" customHeight="1">
      <c r="A382" s="69" t="inlineStr">
        <is>
          <t xml:space="preserve">      LPP Received (₹)</t>
        </is>
      </c>
      <c r="B382" s="70">
        <f>IF('Final Calculation Sheet'!$AA$39="","",'Final Calculation Sheet'!$AA$39)</f>
        <v/>
      </c>
      <c r="C382" s="167">
        <f>IF('Final Calculation Sheet'!$AA$40="","",'Final Calculation Sheet'!$AA$40)</f>
        <v/>
      </c>
      <c r="D382" s="71" t="n"/>
      <c r="E382" s="71" t="n"/>
      <c r="F382" s="71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7">
        <f>SUM(B382:N382)</f>
        <v/>
      </c>
    </row>
    <row r="383" outlineLevel="2" ht="15" customHeight="1">
      <c r="A383" s="69" t="inlineStr">
        <is>
          <t xml:space="preserve">      LPP Receipt Date</t>
        </is>
      </c>
      <c r="B383" s="76">
        <f>IF('Final Calculation Sheet'!$AB$39="","",'Final Calculation Sheet'!$AB$39)</f>
        <v/>
      </c>
      <c r="C383" s="170">
        <f>IF('Final Calculation Sheet'!$AB$40="","",'Final Calculation Sheet'!$AB$40)</f>
        <v/>
      </c>
      <c r="D383" s="71" t="n"/>
      <c r="E383" s="71" t="n"/>
      <c r="F383" s="71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2" t="inlineStr">
        <is>
          <t>–</t>
        </is>
      </c>
    </row>
    <row r="384" outlineLevel="1" ht="16" customHeight="1">
      <c r="A384" s="65" t="inlineStr">
        <is>
          <t xml:space="preserve">  ▸ SUMMARY</t>
        </is>
      </c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</row>
    <row r="385" outlineLevel="2" ht="15" customHeight="1">
      <c r="A385" s="69" t="inlineStr">
        <is>
          <t xml:space="preserve">      Total Received (₹)</t>
        </is>
      </c>
      <c r="B385" s="70">
        <f>IF('Final Calculation Sheet'!$AC$39="","",'Final Calculation Sheet'!$AC$39)</f>
        <v/>
      </c>
      <c r="C385" s="167">
        <f>IF('Final Calculation Sheet'!$AC$40="","",'Final Calculation Sheet'!$AC$40)</f>
        <v/>
      </c>
      <c r="D385" s="71" t="n"/>
      <c r="E385" s="71" t="n"/>
      <c r="F385" s="71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7">
        <f>SUM(B385:N385)</f>
        <v/>
      </c>
    </row>
    <row r="386" outlineLevel="2" ht="15" customHeight="1">
      <c r="A386" s="69" t="inlineStr">
        <is>
          <t xml:space="preserve">      Outstanding (₹)</t>
        </is>
      </c>
      <c r="B386" s="70">
        <f>IF('Final Calculation Sheet'!$AD$39="","",'Final Calculation Sheet'!$AD$39)</f>
        <v/>
      </c>
      <c r="C386" s="167">
        <f>IF('Final Calculation Sheet'!$AD$40="","",'Final Calculation Sheet'!$AD$40)</f>
        <v/>
      </c>
      <c r="D386" s="71" t="n"/>
      <c r="E386" s="71" t="n"/>
      <c r="F386" s="71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7">
        <f>SUM(B386:N386)</f>
        <v/>
      </c>
    </row>
    <row r="387" outlineLevel="2" ht="15" customHeight="1">
      <c r="A387" s="69" t="inlineStr">
        <is>
          <t xml:space="preserve">      Payment Status</t>
        </is>
      </c>
      <c r="B387" s="81">
        <f>IF('Final Calculation Sheet'!$AD$39="","",IF('Final Calculation Sheet'!$AD$39&lt;=0,"SETTLED","OUTSTANDING"))</f>
        <v/>
      </c>
      <c r="C387" s="173">
        <f>IF('Final Calculation Sheet'!$AD$40="","",IF('Final Calculation Sheet'!$AD$40&lt;=0,"SETTLED","OUTSTANDING"))</f>
        <v/>
      </c>
      <c r="D387" s="71" t="n"/>
      <c r="E387" s="71" t="n"/>
      <c r="F387" s="71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2" t="inlineStr">
        <is>
          <t>–</t>
        </is>
      </c>
    </row>
    <row r="388" outlineLevel="1" ht="16" customHeight="1">
      <c r="A388" s="65" t="inlineStr">
        <is>
          <t xml:space="preserve">  ▸ DOCUMENT</t>
        </is>
      </c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</row>
    <row r="389" outlineLevel="2" ht="15" customHeight="1">
      <c r="A389" s="69" t="inlineStr">
        <is>
          <t xml:space="preserve">      Invoice No.</t>
        </is>
      </c>
      <c r="B389" s="76">
        <f>IF('Final Calculation Sheet'!$AE$39="","",'Final Calculation Sheet'!$AE$39)</f>
        <v/>
      </c>
      <c r="C389" s="170">
        <f>IF('Final Calculation Sheet'!$AE$40="","",'Final Calculation Sheet'!$AE$40)</f>
        <v/>
      </c>
      <c r="D389" s="71" t="n"/>
      <c r="E389" s="71" t="n"/>
      <c r="F389" s="71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2" t="inlineStr">
        <is>
          <t>–</t>
        </is>
      </c>
    </row>
    <row r="390" outlineLevel="2" ht="15" customHeight="1">
      <c r="A390" s="69" t="inlineStr">
        <is>
          <t xml:space="preserve">      SAP Document</t>
        </is>
      </c>
      <c r="B390" s="70">
        <f>IF('Final Calculation Sheet'!$AF$39="","",'Final Calculation Sheet'!$AF$39)</f>
        <v/>
      </c>
      <c r="C390" s="167">
        <f>IF('Final Calculation Sheet'!$AF$40="","",'Final Calculation Sheet'!$AF$40)</f>
        <v/>
      </c>
      <c r="D390" s="71" t="n"/>
      <c r="E390" s="71" t="n"/>
      <c r="F390" s="71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2" t="inlineStr">
        <is>
          <t>–</t>
        </is>
      </c>
    </row>
    <row r="391" outlineLevel="2" ht="15" customHeight="1">
      <c r="A391" s="69" t="inlineStr">
        <is>
          <t xml:space="preserve">      Doc./Invoice Date</t>
        </is>
      </c>
      <c r="B391" s="76">
        <f>IF('Final Calculation Sheet'!$AG$39="","",'Final Calculation Sheet'!$AG$39)</f>
        <v/>
      </c>
      <c r="C391" s="170">
        <f>IF('Final Calculation Sheet'!$AG$40="","",'Final Calculation Sheet'!$AG$40)</f>
        <v/>
      </c>
      <c r="D391" s="71" t="n"/>
      <c r="E391" s="71" t="n"/>
      <c r="F391" s="71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2" t="inlineStr">
        <is>
          <t>–</t>
        </is>
      </c>
    </row>
    <row r="392" ht="7" customHeight="1">
      <c r="A392" s="82" t="n"/>
      <c r="B392" s="82" t="n"/>
      <c r="C392" s="82" t="n"/>
      <c r="D392" s="82" t="n"/>
      <c r="E392" s="82" t="n"/>
      <c r="F392" s="82" t="n"/>
      <c r="G392" s="82" t="n"/>
      <c r="H392" s="82" t="n"/>
      <c r="I392" s="82" t="n"/>
      <c r="J392" s="82" t="n"/>
      <c r="K392" s="82" t="n"/>
      <c r="L392" s="82" t="n"/>
      <c r="M392" s="82" t="n"/>
      <c r="N392" s="82" t="n"/>
      <c r="O392" s="82" t="n"/>
    </row>
    <row r="393" ht="24" customHeight="1">
      <c r="A393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</row>
    <row r="394" outlineLevel="1" ht="18" customHeight="1">
      <c r="A394" s="84" t="inlineStr">
        <is>
          <t xml:space="preserve">   Lot No. →</t>
        </is>
      </c>
      <c r="B394" s="85">
        <f>IF('Final Calculation Sheet'!$F$31="","",'Final Calculation Sheet'!$F$31)</f>
        <v/>
      </c>
      <c r="C394" s="86" t="n"/>
      <c r="D394" s="86" t="n"/>
      <c r="E394" s="86" t="n"/>
      <c r="F394" s="86" t="n"/>
      <c r="G394" s="86" t="n"/>
      <c r="H394" s="86" t="n"/>
      <c r="I394" s="86" t="n"/>
      <c r="J394" s="86" t="n"/>
      <c r="K394" s="86" t="n"/>
      <c r="L394" s="86" t="n"/>
      <c r="M394" s="86" t="n"/>
      <c r="N394" s="86" t="n"/>
      <c r="O394" s="87" t="inlineStr">
        <is>
          <t>TOTAL</t>
        </is>
      </c>
    </row>
    <row r="395" outlineLevel="1" ht="16" customHeight="1">
      <c r="A395" s="84" t="inlineStr">
        <is>
          <t xml:space="preserve">  ▸ LOT INFORMATION</t>
        </is>
      </c>
      <c r="B395" s="86" t="n"/>
      <c r="C395" s="86" t="n"/>
      <c r="D395" s="86" t="n"/>
      <c r="E395" s="86" t="n"/>
      <c r="F395" s="86" t="n"/>
      <c r="G395" s="86" t="n"/>
      <c r="H395" s="86" t="n"/>
      <c r="I395" s="86" t="n"/>
      <c r="J395" s="86" t="n"/>
      <c r="K395" s="86" t="n"/>
      <c r="L395" s="86" t="n"/>
      <c r="M395" s="86" t="n"/>
      <c r="N395" s="86" t="n"/>
      <c r="O395" s="86" t="n"/>
    </row>
    <row r="396" outlineLevel="2" ht="15" customHeight="1">
      <c r="A396" s="69" t="inlineStr">
        <is>
          <t xml:space="preserve">      Lot No.</t>
        </is>
      </c>
      <c r="B396" s="70">
        <f>IF('Final Calculation Sheet'!$F$31="","",'Final Calculation Sheet'!$F$31)</f>
        <v/>
      </c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89" t="inlineStr">
        <is>
          <t>–</t>
        </is>
      </c>
    </row>
    <row r="397" outlineLevel="2" ht="60" customHeight="1">
      <c r="A397" s="69" t="inlineStr">
        <is>
          <t xml:space="preserve">      Lot Name</t>
        </is>
      </c>
      <c r="B397" s="73">
        <f>IF('Final Calculation Sheet'!$B$31="","",'Final Calculation Sheet'!$B$31)</f>
        <v/>
      </c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89" t="inlineStr">
        <is>
          <t>–</t>
        </is>
      </c>
    </row>
    <row r="398" outlineLevel="2" ht="15" customHeight="1">
      <c r="A398" s="69" t="inlineStr">
        <is>
          <t xml:space="preserve">      Bid Sheet / Auction</t>
        </is>
      </c>
      <c r="B398" s="70">
        <f>IF('Final Calculation Sheet'!$D$31="","",'Final Calculation Sheet'!$D$31)</f>
        <v/>
      </c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89" t="inlineStr">
        <is>
          <t>–</t>
        </is>
      </c>
    </row>
    <row r="399" outlineLevel="2" ht="15" customHeight="1">
      <c r="A399" s="69" t="inlineStr">
        <is>
          <t xml:space="preserve">      Quantity</t>
        </is>
      </c>
      <c r="B399" s="74">
        <f>IF('Final Calculation Sheet'!$A$31="","",'Final Calculation Sheet'!$A$31)</f>
        <v/>
      </c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92">
        <f>SUM(B399:N399)</f>
        <v/>
      </c>
    </row>
    <row r="400" outlineLevel="2" ht="15" customHeight="1">
      <c r="A400" s="69" t="inlineStr">
        <is>
          <t xml:space="preserve">      Unit</t>
        </is>
      </c>
      <c r="B400" s="76">
        <f>IF('Final Calculation Sheet'!$E$31="","",'Final Calculation Sheet'!$E$31)</f>
        <v/>
      </c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89" t="inlineStr">
        <is>
          <t>–</t>
        </is>
      </c>
    </row>
    <row r="401" outlineLevel="2" ht="15" customHeight="1">
      <c r="A401" s="69" t="inlineStr">
        <is>
          <t xml:space="preserve">      Rate (₹)</t>
        </is>
      </c>
      <c r="B401" s="70">
        <f>IF('Final Calculation Sheet'!$C$31="","",'Final Calculation Sheet'!$C$31)</f>
        <v/>
      </c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89" t="inlineStr">
        <is>
          <t>–</t>
        </is>
      </c>
    </row>
    <row r="402" outlineLevel="1" ht="16" customHeight="1">
      <c r="A402" s="84" t="inlineStr">
        <is>
          <t xml:space="preserve">  ▸ FINANCIALS</t>
        </is>
      </c>
      <c r="B402" s="86" t="n"/>
      <c r="C402" s="86" t="n"/>
      <c r="D402" s="86" t="n"/>
      <c r="E402" s="86" t="n"/>
      <c r="F402" s="86" t="n"/>
      <c r="G402" s="86" t="n"/>
      <c r="H402" s="86" t="n"/>
      <c r="I402" s="86" t="n"/>
      <c r="J402" s="86" t="n"/>
      <c r="K402" s="86" t="n"/>
      <c r="L402" s="86" t="n"/>
      <c r="M402" s="86" t="n"/>
      <c r="N402" s="86" t="n"/>
      <c r="O402" s="86" t="n"/>
    </row>
    <row r="403" outlineLevel="2" ht="15" customHeight="1">
      <c r="A403" s="69" t="inlineStr">
        <is>
          <t xml:space="preserve">      Mat. Value (₹)</t>
        </is>
      </c>
      <c r="B403" s="70">
        <f>IF('Final Calculation Sheet'!$H$31="","",'Final Calculation Sheet'!$H$31)</f>
        <v/>
      </c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94">
        <f>SUM(B403:N403)</f>
        <v/>
      </c>
    </row>
    <row r="404" outlineLevel="2" ht="15" customHeight="1">
      <c r="A404" s="69" t="inlineStr">
        <is>
          <t xml:space="preserve">      GST @ 18% (₹)</t>
        </is>
      </c>
      <c r="B404" s="70">
        <f>IF('Final Calculation Sheet'!$I$31="","",'Final Calculation Sheet'!$I$31)</f>
        <v/>
      </c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94">
        <f>SUM(B404:N404)</f>
        <v/>
      </c>
    </row>
    <row r="405" outlineLevel="2" ht="15" customHeight="1">
      <c r="A405" s="69" t="inlineStr">
        <is>
          <t xml:space="preserve">      Mat. Value + GST (₹)</t>
        </is>
      </c>
      <c r="B405" s="70">
        <f>IF('Final Calculation Sheet'!$J$31="","",'Final Calculation Sheet'!$J$31)</f>
        <v/>
      </c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94">
        <f>SUM(B405:N405)</f>
        <v/>
      </c>
    </row>
    <row r="406" outlineLevel="2" ht="15" customHeight="1">
      <c r="A406" s="69" t="inlineStr">
        <is>
          <t xml:space="preserve">      TCS @ 2% (₹)</t>
        </is>
      </c>
      <c r="B406" s="70">
        <f>IF('Final Calculation Sheet'!$K$31="","",'Final Calculation Sheet'!$K$31)</f>
        <v/>
      </c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94">
        <f>SUM(B406:N406)</f>
        <v/>
      </c>
    </row>
    <row r="407" outlineLevel="2" ht="15" customHeight="1">
      <c r="A407" s="69" t="inlineStr">
        <is>
          <t xml:space="preserve">      TDS u/s 194(O) (₹)</t>
        </is>
      </c>
      <c r="B407" s="78">
        <f>IF('Final Calculation Sheet'!$L$31="","",'Final Calculation Sheet'!$L$31)</f>
        <v/>
      </c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96">
        <f>SUM(B407:N407)</f>
        <v/>
      </c>
    </row>
    <row r="408" outlineLevel="2" ht="15" customHeight="1">
      <c r="A408" s="69" t="inlineStr">
        <is>
          <t xml:space="preserve">      Service Charge gross (₹)</t>
        </is>
      </c>
      <c r="B408" s="78">
        <f>IF('Final Calculation Sheet'!$M$31="","",'Final Calculation Sheet'!$M$31)</f>
        <v/>
      </c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96">
        <f>SUM(B408:N408)</f>
        <v/>
      </c>
    </row>
    <row r="409" outlineLevel="2" ht="15" customHeight="1">
      <c r="A409" s="69" t="inlineStr">
        <is>
          <t xml:space="preserve">      TDS u/s 194(H) (₹)</t>
        </is>
      </c>
      <c r="B409" s="78">
        <f>IF('Final Calculation Sheet'!$N$31="","",'Final Calculation Sheet'!$N$31)</f>
        <v/>
      </c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96">
        <f>SUM(B409:N409)</f>
        <v/>
      </c>
    </row>
    <row r="410" outlineLevel="2" ht="15" customHeight="1">
      <c r="A410" s="69" t="inlineStr">
        <is>
          <t xml:space="preserve">      Net Service Charge (₹)</t>
        </is>
      </c>
      <c r="B410" s="78">
        <f>IF('Final Calculation Sheet'!$O$31="","",'Final Calculation Sheet'!$O$31)</f>
        <v/>
      </c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96">
        <f>SUM(B410:N410)</f>
        <v/>
      </c>
    </row>
    <row r="411" outlineLevel="2" ht="15" customHeight="1">
      <c r="A411" s="69" t="inlineStr">
        <is>
          <t xml:space="preserve">      Svc Charge to MSTC (₹)</t>
        </is>
      </c>
      <c r="B411" s="70">
        <f>IF('Final Calculation Sheet'!$P$31="","",'Final Calculation Sheet'!$P$31)</f>
        <v/>
      </c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94">
        <f>SUM(B411:N411)</f>
        <v/>
      </c>
    </row>
    <row r="412" outlineLevel="2" ht="15" customHeight="1">
      <c r="A412" s="69" t="inlineStr">
        <is>
          <t xml:space="preserve">      GST TDS Rate</t>
        </is>
      </c>
      <c r="B412" s="80">
        <f>IF('Final Calculation Sheet'!$Q$31="","",'Final Calculation Sheet'!$Q$31)</f>
        <v/>
      </c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89" t="inlineStr">
        <is>
          <t>–</t>
        </is>
      </c>
    </row>
    <row r="413" outlineLevel="2" ht="15" customHeight="1">
      <c r="A413" s="69" t="inlineStr">
        <is>
          <t xml:space="preserve">      GST TDS (₹)</t>
        </is>
      </c>
      <c r="B413" s="70">
        <f>IF('Final Calculation Sheet'!$R$31="","",'Final Calculation Sheet'!$R$31)</f>
        <v/>
      </c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94">
        <f>SUM(B413:N413)</f>
        <v/>
      </c>
    </row>
    <row r="414" outlineLevel="2" ht="15" customHeight="1">
      <c r="A414" s="69" t="inlineStr">
        <is>
          <t xml:space="preserve">      Total Receivables (₹)</t>
        </is>
      </c>
      <c r="B414" s="70">
        <f>IF('Final Calculation Sheet'!$S$31="","",'Final Calculation Sheet'!$S$31)</f>
        <v/>
      </c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94">
        <f>SUM(B414:N414)</f>
        <v/>
      </c>
    </row>
    <row r="415" outlineLevel="1" ht="16" customHeight="1">
      <c r="A415" s="84" t="inlineStr">
        <is>
          <t xml:space="preserve">  ▸ SECURITY DEPOSIT</t>
        </is>
      </c>
      <c r="B415" s="86" t="n"/>
      <c r="C415" s="86" t="n"/>
      <c r="D415" s="86" t="n"/>
      <c r="E415" s="86" t="n"/>
      <c r="F415" s="86" t="n"/>
      <c r="G415" s="86" t="n"/>
      <c r="H415" s="86" t="n"/>
      <c r="I415" s="86" t="n"/>
      <c r="J415" s="86" t="n"/>
      <c r="K415" s="86" t="n"/>
      <c r="L415" s="86" t="n"/>
      <c r="M415" s="86" t="n"/>
      <c r="N415" s="86" t="n"/>
      <c r="O415" s="86" t="n"/>
    </row>
    <row r="416" outlineLevel="2" ht="15" customHeight="1">
      <c r="A416" s="69" t="inlineStr">
        <is>
          <t xml:space="preserve">      SD Expected (₹)</t>
        </is>
      </c>
      <c r="B416" s="70">
        <f>IF('Final Calculation Sheet'!$T$31="","",'Final Calculation Sheet'!$T$31)</f>
        <v/>
      </c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94">
        <f>SUM(B416:N416)</f>
        <v/>
      </c>
    </row>
    <row r="417" outlineLevel="2" ht="15" customHeight="1">
      <c r="A417" s="69" t="inlineStr">
        <is>
          <t xml:space="preserve">      SD Received (₹)</t>
        </is>
      </c>
      <c r="B417" s="70">
        <f>IF('Final Calculation Sheet'!$U$31="","",'Final Calculation Sheet'!$U$31)</f>
        <v/>
      </c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94">
        <f>SUM(B417:N417)</f>
        <v/>
      </c>
    </row>
    <row r="418" outlineLevel="2" ht="15" customHeight="1">
      <c r="A418" s="69" t="inlineStr">
        <is>
          <t xml:space="preserve">      SD Receipt Date</t>
        </is>
      </c>
      <c r="B418" s="76">
        <f>IF('Final Calculation Sheet'!$V$31="","",'Final Calculation Sheet'!$V$31)</f>
        <v/>
      </c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89" t="inlineStr">
        <is>
          <t>–</t>
        </is>
      </c>
    </row>
    <row r="419" outlineLevel="1" ht="16" customHeight="1">
      <c r="A419" s="84" t="inlineStr">
        <is>
          <t xml:space="preserve">  ▸ FINAL PAYMENT</t>
        </is>
      </c>
      <c r="B419" s="86" t="n"/>
      <c r="C419" s="86" t="n"/>
      <c r="D419" s="86" t="n"/>
      <c r="E419" s="86" t="n"/>
      <c r="F419" s="86" t="n"/>
      <c r="G419" s="86" t="n"/>
      <c r="H419" s="86" t="n"/>
      <c r="I419" s="86" t="n"/>
      <c r="J419" s="86" t="n"/>
      <c r="K419" s="86" t="n"/>
      <c r="L419" s="86" t="n"/>
      <c r="M419" s="86" t="n"/>
      <c r="N419" s="86" t="n"/>
      <c r="O419" s="86" t="n"/>
    </row>
    <row r="420" outlineLevel="2" ht="15" customHeight="1">
      <c r="A420" s="69" t="inlineStr">
        <is>
          <t xml:space="preserve">      FP Expected (₹)</t>
        </is>
      </c>
      <c r="B420" s="70">
        <f>IF('Final Calculation Sheet'!$W$31="","",'Final Calculation Sheet'!$W$31)</f>
        <v/>
      </c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94">
        <f>SUM(B420:N420)</f>
        <v/>
      </c>
    </row>
    <row r="421" outlineLevel="2" ht="15" customHeight="1">
      <c r="A421" s="69" t="inlineStr">
        <is>
          <t xml:space="preserve">      FP Received (₹)</t>
        </is>
      </c>
      <c r="B421" s="70">
        <f>IF('Final Calculation Sheet'!$X$31="","",'Final Calculation Sheet'!$X$31)</f>
        <v/>
      </c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94">
        <f>SUM(B421:N421)</f>
        <v/>
      </c>
    </row>
    <row r="422" outlineLevel="2" ht="15" customHeight="1">
      <c r="A422" s="69" t="inlineStr">
        <is>
          <t xml:space="preserve">      FP Receipt Date</t>
        </is>
      </c>
      <c r="B422" s="76">
        <f>IF('Final Calculation Sheet'!$Y$31="","",'Final Calculation Sheet'!$Y$31)</f>
        <v/>
      </c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89" t="inlineStr">
        <is>
          <t>–</t>
        </is>
      </c>
    </row>
    <row r="423" outlineLevel="1" ht="16" customHeight="1">
      <c r="A423" s="84" t="inlineStr">
        <is>
          <t xml:space="preserve">  ▸ LPP</t>
        </is>
      </c>
      <c r="B423" s="86" t="n"/>
      <c r="C423" s="86" t="n"/>
      <c r="D423" s="86" t="n"/>
      <c r="E423" s="86" t="n"/>
      <c r="F423" s="86" t="n"/>
      <c r="G423" s="86" t="n"/>
      <c r="H423" s="86" t="n"/>
      <c r="I423" s="86" t="n"/>
      <c r="J423" s="86" t="n"/>
      <c r="K423" s="86" t="n"/>
      <c r="L423" s="86" t="n"/>
      <c r="M423" s="86" t="n"/>
      <c r="N423" s="86" t="n"/>
      <c r="O423" s="86" t="n"/>
    </row>
    <row r="424" outlineLevel="2" ht="15" customHeight="1">
      <c r="A424" s="69" t="inlineStr">
        <is>
          <t xml:space="preserve">      LPP Expected (₹)</t>
        </is>
      </c>
      <c r="B424" s="70">
        <f>IF('Final Calculation Sheet'!$Z$31="","",'Final Calculation Sheet'!$Z$31)</f>
        <v/>
      </c>
      <c r="C424" s="71" t="n"/>
      <c r="D424" s="71" t="n"/>
      <c r="E424" s="71" t="n"/>
      <c r="F424" s="71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94">
        <f>SUM(B424:N424)</f>
        <v/>
      </c>
    </row>
    <row r="425" outlineLevel="2" ht="15" customHeight="1">
      <c r="A425" s="69" t="inlineStr">
        <is>
          <t xml:space="preserve">      LPP Received (₹)</t>
        </is>
      </c>
      <c r="B425" s="70">
        <f>IF('Final Calculation Sheet'!$AA$31="","",'Final Calculation Sheet'!$AA$31)</f>
        <v/>
      </c>
      <c r="C425" s="71" t="n"/>
      <c r="D425" s="71" t="n"/>
      <c r="E425" s="71" t="n"/>
      <c r="F425" s="71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94">
        <f>SUM(B425:N425)</f>
        <v/>
      </c>
    </row>
    <row r="426" outlineLevel="2" ht="15" customHeight="1">
      <c r="A426" s="69" t="inlineStr">
        <is>
          <t xml:space="preserve">      LPP Receipt Date</t>
        </is>
      </c>
      <c r="B426" s="76">
        <f>IF('Final Calculation Sheet'!$AB$31="","",'Final Calculation Sheet'!$AB$31)</f>
        <v/>
      </c>
      <c r="C426" s="71" t="n"/>
      <c r="D426" s="71" t="n"/>
      <c r="E426" s="71" t="n"/>
      <c r="F426" s="71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89" t="inlineStr">
        <is>
          <t>–</t>
        </is>
      </c>
    </row>
    <row r="427" outlineLevel="1" ht="16" customHeight="1">
      <c r="A427" s="84" t="inlineStr">
        <is>
          <t xml:space="preserve">  ▸ SUMMARY</t>
        </is>
      </c>
      <c r="B427" s="86" t="n"/>
      <c r="C427" s="86" t="n"/>
      <c r="D427" s="86" t="n"/>
      <c r="E427" s="86" t="n"/>
      <c r="F427" s="86" t="n"/>
      <c r="G427" s="86" t="n"/>
      <c r="H427" s="86" t="n"/>
      <c r="I427" s="86" t="n"/>
      <c r="J427" s="86" t="n"/>
      <c r="K427" s="86" t="n"/>
      <c r="L427" s="86" t="n"/>
      <c r="M427" s="86" t="n"/>
      <c r="N427" s="86" t="n"/>
      <c r="O427" s="86" t="n"/>
    </row>
    <row r="428" outlineLevel="2" ht="15" customHeight="1">
      <c r="A428" s="69" t="inlineStr">
        <is>
          <t xml:space="preserve">      Total Received (₹)</t>
        </is>
      </c>
      <c r="B428" s="70">
        <f>IF('Final Calculation Sheet'!$AC$31="","",'Final Calculation Sheet'!$AC$31)</f>
        <v/>
      </c>
      <c r="C428" s="71" t="n"/>
      <c r="D428" s="71" t="n"/>
      <c r="E428" s="71" t="n"/>
      <c r="F428" s="71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94">
        <f>SUM(B428:N428)</f>
        <v/>
      </c>
    </row>
    <row r="429" outlineLevel="2" ht="15" customHeight="1">
      <c r="A429" s="69" t="inlineStr">
        <is>
          <t xml:space="preserve">      Outstanding (₹)</t>
        </is>
      </c>
      <c r="B429" s="70">
        <f>IF('Final Calculation Sheet'!$AD$31="","",'Final Calculation Sheet'!$AD$31)</f>
        <v/>
      </c>
      <c r="C429" s="71" t="n"/>
      <c r="D429" s="71" t="n"/>
      <c r="E429" s="71" t="n"/>
      <c r="F429" s="71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94">
        <f>SUM(B429:N429)</f>
        <v/>
      </c>
    </row>
    <row r="430" outlineLevel="2" ht="15" customHeight="1">
      <c r="A430" s="69" t="inlineStr">
        <is>
          <t xml:space="preserve">      Payment Status</t>
        </is>
      </c>
      <c r="B430" s="81">
        <f>IF('Final Calculation Sheet'!$AD$31="","",IF('Final Calculation Sheet'!$AD$31&lt;=0,"SETTLED","OUTSTANDING"))</f>
        <v/>
      </c>
      <c r="C430" s="71" t="n"/>
      <c r="D430" s="71" t="n"/>
      <c r="E430" s="71" t="n"/>
      <c r="F430" s="71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89" t="inlineStr">
        <is>
          <t>–</t>
        </is>
      </c>
    </row>
    <row r="431" outlineLevel="1" ht="16" customHeight="1">
      <c r="A431" s="84" t="inlineStr">
        <is>
          <t xml:space="preserve">  ▸ DOCUMENT</t>
        </is>
      </c>
      <c r="B431" s="86" t="n"/>
      <c r="C431" s="86" t="n"/>
      <c r="D431" s="86" t="n"/>
      <c r="E431" s="86" t="n"/>
      <c r="F431" s="86" t="n"/>
      <c r="G431" s="86" t="n"/>
      <c r="H431" s="86" t="n"/>
      <c r="I431" s="86" t="n"/>
      <c r="J431" s="86" t="n"/>
      <c r="K431" s="86" t="n"/>
      <c r="L431" s="86" t="n"/>
      <c r="M431" s="86" t="n"/>
      <c r="N431" s="86" t="n"/>
      <c r="O431" s="86" t="n"/>
    </row>
    <row r="432" outlineLevel="2" ht="15" customHeight="1">
      <c r="A432" s="69" t="inlineStr">
        <is>
          <t xml:space="preserve">      Invoice No.</t>
        </is>
      </c>
      <c r="B432" s="76">
        <f>IF('Final Calculation Sheet'!$AE$31="","",'Final Calculation Sheet'!$AE$31)</f>
        <v/>
      </c>
      <c r="C432" s="71" t="n"/>
      <c r="D432" s="71" t="n"/>
      <c r="E432" s="71" t="n"/>
      <c r="F432" s="71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89" t="inlineStr">
        <is>
          <t>–</t>
        </is>
      </c>
    </row>
    <row r="433" outlineLevel="2" ht="15" customHeight="1">
      <c r="A433" s="69" t="inlineStr">
        <is>
          <t xml:space="preserve">      SAP Document</t>
        </is>
      </c>
      <c r="B433" s="70">
        <f>IF('Final Calculation Sheet'!$AF$31="","",'Final Calculation Sheet'!$AF$31)</f>
        <v/>
      </c>
      <c r="C433" s="71" t="n"/>
      <c r="D433" s="71" t="n"/>
      <c r="E433" s="71" t="n"/>
      <c r="F433" s="71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89" t="inlineStr">
        <is>
          <t>–</t>
        </is>
      </c>
    </row>
    <row r="434" outlineLevel="2" ht="15" customHeight="1">
      <c r="A434" s="69" t="inlineStr">
        <is>
          <t xml:space="preserve">      Doc./Invoice Date</t>
        </is>
      </c>
      <c r="B434" s="76">
        <f>IF('Final Calculation Sheet'!$AG$31="","",'Final Calculation Sheet'!$AG$31)</f>
        <v/>
      </c>
      <c r="C434" s="71" t="n"/>
      <c r="D434" s="71" t="n"/>
      <c r="E434" s="71" t="n"/>
      <c r="F434" s="71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89" t="inlineStr">
        <is>
          <t>–</t>
        </is>
      </c>
    </row>
    <row r="435" ht="7" customHeight="1">
      <c r="A435" s="82" t="n"/>
      <c r="B435" s="82" t="n"/>
      <c r="C435" s="82" t="n"/>
      <c r="D435" s="82" t="n"/>
      <c r="E435" s="82" t="n"/>
      <c r="F435" s="82" t="n"/>
      <c r="G435" s="82" t="n"/>
      <c r="H435" s="82" t="n"/>
      <c r="I435" s="82" t="n"/>
      <c r="J435" s="82" t="n"/>
      <c r="K435" s="82" t="n"/>
      <c r="L435" s="82" t="n"/>
      <c r="M435" s="82" t="n"/>
      <c r="N435" s="82" t="n"/>
      <c r="O435" s="82" t="n"/>
    </row>
    <row r="436" ht="24" customHeight="1">
      <c r="A436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</row>
    <row r="437" outlineLevel="1" ht="18" customHeight="1">
      <c r="A437" s="100" t="inlineStr">
        <is>
          <t xml:space="preserve">   Lot No. →</t>
        </is>
      </c>
      <c r="B437" s="101">
        <f>IF('Final Calculation Sheet'!$F$9="","",'Final Calculation Sheet'!$F$9)</f>
        <v/>
      </c>
      <c r="C437" s="101">
        <f>IF('Final Calculation Sheet'!$F$14="","",'Final Calculation Sheet'!$F$14)</f>
        <v/>
      </c>
      <c r="D437" s="102" t="n"/>
      <c r="E437" s="102" t="n"/>
      <c r="F437" s="102" t="n"/>
      <c r="G437" s="102" t="n"/>
      <c r="H437" s="102" t="n"/>
      <c r="I437" s="102" t="n"/>
      <c r="J437" s="102" t="n"/>
      <c r="K437" s="102" t="n"/>
      <c r="L437" s="102" t="n"/>
      <c r="M437" s="102" t="n"/>
      <c r="N437" s="102" t="n"/>
      <c r="O437" s="103" t="inlineStr">
        <is>
          <t>TOTAL</t>
        </is>
      </c>
    </row>
    <row r="438" outlineLevel="1" ht="16" customHeight="1">
      <c r="A438" s="100" t="inlineStr">
        <is>
          <t xml:space="preserve">  ▸ LOT INFORMATION</t>
        </is>
      </c>
      <c r="B438" s="102" t="n"/>
      <c r="C438" s="102" t="n"/>
      <c r="D438" s="102" t="n"/>
      <c r="E438" s="102" t="n"/>
      <c r="F438" s="102" t="n"/>
      <c r="G438" s="102" t="n"/>
      <c r="H438" s="102" t="n"/>
      <c r="I438" s="102" t="n"/>
      <c r="J438" s="102" t="n"/>
      <c r="K438" s="102" t="n"/>
      <c r="L438" s="102" t="n"/>
      <c r="M438" s="102" t="n"/>
      <c r="N438" s="102" t="n"/>
      <c r="O438" s="102" t="n"/>
    </row>
    <row r="439" outlineLevel="2" ht="15" customHeight="1">
      <c r="A439" s="69" t="inlineStr">
        <is>
          <t xml:space="preserve">      Lot No.</t>
        </is>
      </c>
      <c r="B439" s="70">
        <f>IF('Final Calculation Sheet'!$F$9="","",'Final Calculation Sheet'!$F$9)</f>
        <v/>
      </c>
      <c r="C439" s="174">
        <f>IF('Final Calculation Sheet'!$F$14="","",'Final Calculation Sheet'!$F$14)</f>
        <v/>
      </c>
      <c r="D439" s="71" t="n"/>
      <c r="E439" s="71" t="n"/>
      <c r="F439" s="71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104" t="inlineStr">
        <is>
          <t>–</t>
        </is>
      </c>
    </row>
    <row r="440" outlineLevel="2" ht="60" customHeight="1">
      <c r="A440" s="69" t="inlineStr">
        <is>
          <t xml:space="preserve">      Lot Name</t>
        </is>
      </c>
      <c r="B440" s="73">
        <f>IF('Final Calculation Sheet'!$B$9="","",'Final Calculation Sheet'!$B$9)</f>
        <v/>
      </c>
      <c r="C440" s="175">
        <f>IF('Final Calculation Sheet'!$B$14="","",'Final Calculation Sheet'!$B$14)</f>
        <v/>
      </c>
      <c r="D440" s="71" t="n"/>
      <c r="E440" s="71" t="n"/>
      <c r="F440" s="71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104" t="inlineStr">
        <is>
          <t>–</t>
        </is>
      </c>
    </row>
    <row r="441" outlineLevel="2" ht="15" customHeight="1">
      <c r="A441" s="69" t="inlineStr">
        <is>
          <t xml:space="preserve">      Bid Sheet / Auction</t>
        </is>
      </c>
      <c r="B441" s="70">
        <f>IF('Final Calculation Sheet'!$D$9="","",'Final Calculation Sheet'!$D$9)</f>
        <v/>
      </c>
      <c r="C441" s="174">
        <f>IF('Final Calculation Sheet'!$D$14="","",'Final Calculation Sheet'!$D$14)</f>
        <v/>
      </c>
      <c r="D441" s="71" t="n"/>
      <c r="E441" s="71" t="n"/>
      <c r="F441" s="71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104" t="inlineStr">
        <is>
          <t>–</t>
        </is>
      </c>
    </row>
    <row r="442" outlineLevel="2" ht="15" customHeight="1">
      <c r="A442" s="69" t="inlineStr">
        <is>
          <t xml:space="preserve">      Quantity</t>
        </is>
      </c>
      <c r="B442" s="74">
        <f>IF('Final Calculation Sheet'!$A$9="","",'Final Calculation Sheet'!$A$9)</f>
        <v/>
      </c>
      <c r="C442" s="176">
        <f>IF('Final Calculation Sheet'!$A$14="","",'Final Calculation Sheet'!$A$14)</f>
        <v/>
      </c>
      <c r="D442" s="71" t="n"/>
      <c r="E442" s="71" t="n"/>
      <c r="F442" s="71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105">
        <f>SUM(B442:N442)</f>
        <v/>
      </c>
    </row>
    <row r="443" outlineLevel="2" ht="15" customHeight="1">
      <c r="A443" s="69" t="inlineStr">
        <is>
          <t xml:space="preserve">      Unit</t>
        </is>
      </c>
      <c r="B443" s="76">
        <f>IF('Final Calculation Sheet'!$E$9="","",'Final Calculation Sheet'!$E$9)</f>
        <v/>
      </c>
      <c r="C443" s="177">
        <f>IF('Final Calculation Sheet'!$E$14="","",'Final Calculation Sheet'!$E$14)</f>
        <v/>
      </c>
      <c r="D443" s="71" t="n"/>
      <c r="E443" s="71" t="n"/>
      <c r="F443" s="71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104" t="inlineStr">
        <is>
          <t>–</t>
        </is>
      </c>
    </row>
    <row r="444" outlineLevel="2" ht="15" customHeight="1">
      <c r="A444" s="69" t="inlineStr">
        <is>
          <t xml:space="preserve">      Rate (₹)</t>
        </is>
      </c>
      <c r="B444" s="70">
        <f>IF('Final Calculation Sheet'!$C$9="","",'Final Calculation Sheet'!$C$9)</f>
        <v/>
      </c>
      <c r="C444" s="174">
        <f>IF('Final Calculation Sheet'!$C$14="","",'Final Calculation Sheet'!$C$14)</f>
        <v/>
      </c>
      <c r="D444" s="71" t="n"/>
      <c r="E444" s="71" t="n"/>
      <c r="F444" s="71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104" t="inlineStr">
        <is>
          <t>–</t>
        </is>
      </c>
    </row>
    <row r="445" outlineLevel="1" ht="16" customHeight="1">
      <c r="A445" s="100" t="inlineStr">
        <is>
          <t xml:space="preserve">  ▸ FINANCIALS</t>
        </is>
      </c>
      <c r="B445" s="102" t="n"/>
      <c r="C445" s="102" t="n"/>
      <c r="D445" s="102" t="n"/>
      <c r="E445" s="102" t="n"/>
      <c r="F445" s="102" t="n"/>
      <c r="G445" s="102" t="n"/>
      <c r="H445" s="102" t="n"/>
      <c r="I445" s="102" t="n"/>
      <c r="J445" s="102" t="n"/>
      <c r="K445" s="102" t="n"/>
      <c r="L445" s="102" t="n"/>
      <c r="M445" s="102" t="n"/>
      <c r="N445" s="102" t="n"/>
      <c r="O445" s="102" t="n"/>
    </row>
    <row r="446" outlineLevel="2" ht="15" customHeight="1">
      <c r="A446" s="69" t="inlineStr">
        <is>
          <t xml:space="preserve">      Mat. Value (₹)</t>
        </is>
      </c>
      <c r="B446" s="70">
        <f>IF('Final Calculation Sheet'!$H$9="","",'Final Calculation Sheet'!$H$9)</f>
        <v/>
      </c>
      <c r="C446" s="174">
        <f>IF('Final Calculation Sheet'!$H$14="","",'Final Calculation Sheet'!$H$14)</f>
        <v/>
      </c>
      <c r="D446" s="71" t="n"/>
      <c r="E446" s="71" t="n"/>
      <c r="F446" s="71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106">
        <f>SUM(B446:N446)</f>
        <v/>
      </c>
    </row>
    <row r="447" outlineLevel="2" ht="15" customHeight="1">
      <c r="A447" s="69" t="inlineStr">
        <is>
          <t xml:space="preserve">      GST @ 18% (₹)</t>
        </is>
      </c>
      <c r="B447" s="70">
        <f>IF('Final Calculation Sheet'!$I$9="","",'Final Calculation Sheet'!$I$9)</f>
        <v/>
      </c>
      <c r="C447" s="174">
        <f>IF('Final Calculation Sheet'!$I$14="","",'Final Calculation Sheet'!$I$14)</f>
        <v/>
      </c>
      <c r="D447" s="71" t="n"/>
      <c r="E447" s="71" t="n"/>
      <c r="F447" s="71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106">
        <f>SUM(B447:N447)</f>
        <v/>
      </c>
    </row>
    <row r="448" outlineLevel="2" ht="15" customHeight="1">
      <c r="A448" s="69" t="inlineStr">
        <is>
          <t xml:space="preserve">      Mat. Value + GST (₹)</t>
        </is>
      </c>
      <c r="B448" s="70">
        <f>IF('Final Calculation Sheet'!$J$9="","",'Final Calculation Sheet'!$J$9)</f>
        <v/>
      </c>
      <c r="C448" s="174">
        <f>IF('Final Calculation Sheet'!$J$14="","",'Final Calculation Sheet'!$J$14)</f>
        <v/>
      </c>
      <c r="D448" s="71" t="n"/>
      <c r="E448" s="71" t="n"/>
      <c r="F448" s="71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106">
        <f>SUM(B448:N448)</f>
        <v/>
      </c>
    </row>
    <row r="449" outlineLevel="2" ht="15" customHeight="1">
      <c r="A449" s="69" t="inlineStr">
        <is>
          <t xml:space="preserve">      TCS @ 2% (₹)</t>
        </is>
      </c>
      <c r="B449" s="70">
        <f>IF('Final Calculation Sheet'!$K$9="","",'Final Calculation Sheet'!$K$9)</f>
        <v/>
      </c>
      <c r="C449" s="174">
        <f>IF('Final Calculation Sheet'!$K$14="","",'Final Calculation Sheet'!$K$14)</f>
        <v/>
      </c>
      <c r="D449" s="71" t="n"/>
      <c r="E449" s="71" t="n"/>
      <c r="F449" s="71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106">
        <f>SUM(B449:N449)</f>
        <v/>
      </c>
    </row>
    <row r="450" outlineLevel="2" ht="15" customHeight="1">
      <c r="A450" s="69" t="inlineStr">
        <is>
          <t xml:space="preserve">      TDS u/s 194(O) (₹)</t>
        </is>
      </c>
      <c r="B450" s="78">
        <f>IF('Final Calculation Sheet'!$L$9="","",'Final Calculation Sheet'!$L$9)</f>
        <v/>
      </c>
      <c r="C450" s="178">
        <f>IF('Final Calculation Sheet'!$L$14="","",'Final Calculation Sheet'!$L$14)</f>
        <v/>
      </c>
      <c r="D450" s="71" t="n"/>
      <c r="E450" s="71" t="n"/>
      <c r="F450" s="71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107">
        <f>SUM(B450:N450)</f>
        <v/>
      </c>
    </row>
    <row r="451" outlineLevel="2" ht="15" customHeight="1">
      <c r="A451" s="69" t="inlineStr">
        <is>
          <t xml:space="preserve">      Service Charge gross (₹)</t>
        </is>
      </c>
      <c r="B451" s="78">
        <f>IF('Final Calculation Sheet'!$M$9="","",'Final Calculation Sheet'!$M$9)</f>
        <v/>
      </c>
      <c r="C451" s="178">
        <f>IF('Final Calculation Sheet'!$M$14="","",'Final Calculation Sheet'!$M$14)</f>
        <v/>
      </c>
      <c r="D451" s="71" t="n"/>
      <c r="E451" s="71" t="n"/>
      <c r="F451" s="71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107">
        <f>SUM(B451:N451)</f>
        <v/>
      </c>
    </row>
    <row r="452" outlineLevel="2" ht="15" customHeight="1">
      <c r="A452" s="69" t="inlineStr">
        <is>
          <t xml:space="preserve">      TDS u/s 194(H) (₹)</t>
        </is>
      </c>
      <c r="B452" s="78">
        <f>IF('Final Calculation Sheet'!$N$9="","",'Final Calculation Sheet'!$N$9)</f>
        <v/>
      </c>
      <c r="C452" s="178">
        <f>IF('Final Calculation Sheet'!$N$14="","",'Final Calculation Sheet'!$N$14)</f>
        <v/>
      </c>
      <c r="D452" s="71" t="n"/>
      <c r="E452" s="71" t="n"/>
      <c r="F452" s="71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107">
        <f>SUM(B452:N452)</f>
        <v/>
      </c>
    </row>
    <row r="453" outlineLevel="2" ht="15" customHeight="1">
      <c r="A453" s="69" t="inlineStr">
        <is>
          <t xml:space="preserve">      Net Service Charge (₹)</t>
        </is>
      </c>
      <c r="B453" s="78">
        <f>IF('Final Calculation Sheet'!$O$9="","",'Final Calculation Sheet'!$O$9)</f>
        <v/>
      </c>
      <c r="C453" s="178">
        <f>IF('Final Calculation Sheet'!$O$14="","",'Final Calculation Sheet'!$O$14)</f>
        <v/>
      </c>
      <c r="D453" s="71" t="n"/>
      <c r="E453" s="71" t="n"/>
      <c r="F453" s="71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107">
        <f>SUM(B453:N453)</f>
        <v/>
      </c>
    </row>
    <row r="454" outlineLevel="2" ht="15" customHeight="1">
      <c r="A454" s="69" t="inlineStr">
        <is>
          <t xml:space="preserve">      Svc Charge to MSTC (₹)</t>
        </is>
      </c>
      <c r="B454" s="70">
        <f>IF('Final Calculation Sheet'!$P$9="","",'Final Calculation Sheet'!$P$9)</f>
        <v/>
      </c>
      <c r="C454" s="174">
        <f>IF('Final Calculation Sheet'!$P$14="","",'Final Calculation Sheet'!$P$14)</f>
        <v/>
      </c>
      <c r="D454" s="71" t="n"/>
      <c r="E454" s="71" t="n"/>
      <c r="F454" s="71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106">
        <f>SUM(B454:N454)</f>
        <v/>
      </c>
    </row>
    <row r="455" outlineLevel="2" ht="15" customHeight="1">
      <c r="A455" s="69" t="inlineStr">
        <is>
          <t xml:space="preserve">      GST TDS Rate</t>
        </is>
      </c>
      <c r="B455" s="80">
        <f>IF('Final Calculation Sheet'!$Q$9="","",'Final Calculation Sheet'!$Q$9)</f>
        <v/>
      </c>
      <c r="C455" s="179">
        <f>IF('Final Calculation Sheet'!$Q$14="","",'Final Calculation Sheet'!$Q$14)</f>
        <v/>
      </c>
      <c r="D455" s="71" t="n"/>
      <c r="E455" s="71" t="n"/>
      <c r="F455" s="71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104" t="inlineStr">
        <is>
          <t>–</t>
        </is>
      </c>
    </row>
    <row r="456" outlineLevel="2" ht="15" customHeight="1">
      <c r="A456" s="69" t="inlineStr">
        <is>
          <t xml:space="preserve">      GST TDS (₹)</t>
        </is>
      </c>
      <c r="B456" s="70">
        <f>IF('Final Calculation Sheet'!$R$9="","",'Final Calculation Sheet'!$R$9)</f>
        <v/>
      </c>
      <c r="C456" s="174">
        <f>IF('Final Calculation Sheet'!$R$14="","",'Final Calculation Sheet'!$R$14)</f>
        <v/>
      </c>
      <c r="D456" s="71" t="n"/>
      <c r="E456" s="71" t="n"/>
      <c r="F456" s="71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106">
        <f>SUM(B456:N456)</f>
        <v/>
      </c>
    </row>
    <row r="457" outlineLevel="2" ht="15" customHeight="1">
      <c r="A457" s="69" t="inlineStr">
        <is>
          <t xml:space="preserve">      Total Receivables (₹)</t>
        </is>
      </c>
      <c r="B457" s="70">
        <f>IF('Final Calculation Sheet'!$S$9="","",'Final Calculation Sheet'!$S$9)</f>
        <v/>
      </c>
      <c r="C457" s="174">
        <f>IF('Final Calculation Sheet'!$S$14="","",'Final Calculation Sheet'!$S$14)</f>
        <v/>
      </c>
      <c r="D457" s="71" t="n"/>
      <c r="E457" s="71" t="n"/>
      <c r="F457" s="71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106">
        <f>SUM(B457:N457)</f>
        <v/>
      </c>
    </row>
    <row r="458" outlineLevel="1" ht="16" customHeight="1">
      <c r="A458" s="100" t="inlineStr">
        <is>
          <t xml:space="preserve">  ▸ SECURITY DEPOSIT</t>
        </is>
      </c>
      <c r="B458" s="102" t="n"/>
      <c r="C458" s="102" t="n"/>
      <c r="D458" s="102" t="n"/>
      <c r="E458" s="102" t="n"/>
      <c r="F458" s="102" t="n"/>
      <c r="G458" s="102" t="n"/>
      <c r="H458" s="102" t="n"/>
      <c r="I458" s="102" t="n"/>
      <c r="J458" s="102" t="n"/>
      <c r="K458" s="102" t="n"/>
      <c r="L458" s="102" t="n"/>
      <c r="M458" s="102" t="n"/>
      <c r="N458" s="102" t="n"/>
      <c r="O458" s="102" t="n"/>
    </row>
    <row r="459" outlineLevel="2" ht="15" customHeight="1">
      <c r="A459" s="69" t="inlineStr">
        <is>
          <t xml:space="preserve">      SD Expected (₹)</t>
        </is>
      </c>
      <c r="B459" s="70">
        <f>IF('Final Calculation Sheet'!$T$9="","",'Final Calculation Sheet'!$T$9)</f>
        <v/>
      </c>
      <c r="C459" s="174">
        <f>IF('Final Calculation Sheet'!$T$14="","",'Final Calculation Sheet'!$T$14)</f>
        <v/>
      </c>
      <c r="D459" s="71" t="n"/>
      <c r="E459" s="71" t="n"/>
      <c r="F459" s="71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106">
        <f>SUM(B459:N459)</f>
        <v/>
      </c>
    </row>
    <row r="460" outlineLevel="2" ht="15" customHeight="1">
      <c r="A460" s="69" t="inlineStr">
        <is>
          <t xml:space="preserve">      SD Received (₹)</t>
        </is>
      </c>
      <c r="B460" s="70">
        <f>IF('Final Calculation Sheet'!$U$9="","",'Final Calculation Sheet'!$U$9)</f>
        <v/>
      </c>
      <c r="C460" s="174">
        <f>IF('Final Calculation Sheet'!$U$14="","",'Final Calculation Sheet'!$U$14)</f>
        <v/>
      </c>
      <c r="D460" s="71" t="n"/>
      <c r="E460" s="71" t="n"/>
      <c r="F460" s="71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106">
        <f>SUM(B460:N460)</f>
        <v/>
      </c>
    </row>
    <row r="461" outlineLevel="2" ht="15" customHeight="1">
      <c r="A461" s="69" t="inlineStr">
        <is>
          <t xml:space="preserve">      SD Receipt Date</t>
        </is>
      </c>
      <c r="B461" s="76">
        <f>IF('Final Calculation Sheet'!$V$9="","",'Final Calculation Sheet'!$V$9)</f>
        <v/>
      </c>
      <c r="C461" s="177">
        <f>IF('Final Calculation Sheet'!$V$14="","",'Final Calculation Sheet'!$V$14)</f>
        <v/>
      </c>
      <c r="D461" s="71" t="n"/>
      <c r="E461" s="71" t="n"/>
      <c r="F461" s="71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104" t="inlineStr">
        <is>
          <t>–</t>
        </is>
      </c>
    </row>
    <row r="462" outlineLevel="1" ht="16" customHeight="1">
      <c r="A462" s="100" t="inlineStr">
        <is>
          <t xml:space="preserve">  ▸ FINAL PAYMENT</t>
        </is>
      </c>
      <c r="B462" s="102" t="n"/>
      <c r="C462" s="102" t="n"/>
      <c r="D462" s="102" t="n"/>
      <c r="E462" s="102" t="n"/>
      <c r="F462" s="102" t="n"/>
      <c r="G462" s="102" t="n"/>
      <c r="H462" s="102" t="n"/>
      <c r="I462" s="102" t="n"/>
      <c r="J462" s="102" t="n"/>
      <c r="K462" s="102" t="n"/>
      <c r="L462" s="102" t="n"/>
      <c r="M462" s="102" t="n"/>
      <c r="N462" s="102" t="n"/>
      <c r="O462" s="102" t="n"/>
    </row>
    <row r="463" outlineLevel="2" ht="15" customHeight="1">
      <c r="A463" s="69" t="inlineStr">
        <is>
          <t xml:space="preserve">      FP Expected (₹)</t>
        </is>
      </c>
      <c r="B463" s="70">
        <f>IF('Final Calculation Sheet'!$W$9="","",'Final Calculation Sheet'!$W$9)</f>
        <v/>
      </c>
      <c r="C463" s="174">
        <f>IF('Final Calculation Sheet'!$W$14="","",'Final Calculation Sheet'!$W$14)</f>
        <v/>
      </c>
      <c r="D463" s="71" t="n"/>
      <c r="E463" s="71" t="n"/>
      <c r="F463" s="71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106">
        <f>SUM(B463:N463)</f>
        <v/>
      </c>
    </row>
    <row r="464" outlineLevel="2" ht="15" customHeight="1">
      <c r="A464" s="69" t="inlineStr">
        <is>
          <t xml:space="preserve">      FP Received (₹)</t>
        </is>
      </c>
      <c r="B464" s="70">
        <f>IF('Final Calculation Sheet'!$X$9="","",'Final Calculation Sheet'!$X$9)</f>
        <v/>
      </c>
      <c r="C464" s="174">
        <f>IF('Final Calculation Sheet'!$X$14="","",'Final Calculation Sheet'!$X$14)</f>
        <v/>
      </c>
      <c r="D464" s="71" t="n"/>
      <c r="E464" s="71" t="n"/>
      <c r="F464" s="71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106">
        <f>SUM(B464:N464)</f>
        <v/>
      </c>
    </row>
    <row r="465" outlineLevel="2" ht="15" customHeight="1">
      <c r="A465" s="69" t="inlineStr">
        <is>
          <t xml:space="preserve">      FP Receipt Date</t>
        </is>
      </c>
      <c r="B465" s="76">
        <f>IF('Final Calculation Sheet'!$Y$9="","",'Final Calculation Sheet'!$Y$9)</f>
        <v/>
      </c>
      <c r="C465" s="177">
        <f>IF('Final Calculation Sheet'!$Y$14="","",'Final Calculation Sheet'!$Y$14)</f>
        <v/>
      </c>
      <c r="D465" s="71" t="n"/>
      <c r="E465" s="71" t="n"/>
      <c r="F465" s="71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104" t="inlineStr">
        <is>
          <t>–</t>
        </is>
      </c>
    </row>
    <row r="466" outlineLevel="1" ht="16" customHeight="1">
      <c r="A466" s="100" t="inlineStr">
        <is>
          <t xml:space="preserve">  ▸ LPP</t>
        </is>
      </c>
      <c r="B466" s="102" t="n"/>
      <c r="C466" s="102" t="n"/>
      <c r="D466" s="102" t="n"/>
      <c r="E466" s="102" t="n"/>
      <c r="F466" s="102" t="n"/>
      <c r="G466" s="102" t="n"/>
      <c r="H466" s="102" t="n"/>
      <c r="I466" s="102" t="n"/>
      <c r="J466" s="102" t="n"/>
      <c r="K466" s="102" t="n"/>
      <c r="L466" s="102" t="n"/>
      <c r="M466" s="102" t="n"/>
      <c r="N466" s="102" t="n"/>
      <c r="O466" s="102" t="n"/>
    </row>
    <row r="467" outlineLevel="2" ht="15" customHeight="1">
      <c r="A467" s="69" t="inlineStr">
        <is>
          <t xml:space="preserve">      LPP Expected (₹)</t>
        </is>
      </c>
      <c r="B467" s="70">
        <f>IF('Final Calculation Sheet'!$Z$9="","",'Final Calculation Sheet'!$Z$9)</f>
        <v/>
      </c>
      <c r="C467" s="174">
        <f>IF('Final Calculation Sheet'!$Z$14="","",'Final Calculation Sheet'!$Z$14)</f>
        <v/>
      </c>
      <c r="D467" s="71" t="n"/>
      <c r="E467" s="71" t="n"/>
      <c r="F467" s="71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106">
        <f>SUM(B467:N467)</f>
        <v/>
      </c>
    </row>
    <row r="468" outlineLevel="2" ht="15" customHeight="1">
      <c r="A468" s="69" t="inlineStr">
        <is>
          <t xml:space="preserve">      LPP Received (₹)</t>
        </is>
      </c>
      <c r="B468" s="70">
        <f>IF('Final Calculation Sheet'!$AA$9="","",'Final Calculation Sheet'!$AA$9)</f>
        <v/>
      </c>
      <c r="C468" s="174">
        <f>IF('Final Calculation Sheet'!$AA$14="","",'Final Calculation Sheet'!$AA$14)</f>
        <v/>
      </c>
      <c r="D468" s="71" t="n"/>
      <c r="E468" s="71" t="n"/>
      <c r="F468" s="71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106">
        <f>SUM(B468:N468)</f>
        <v/>
      </c>
    </row>
    <row r="469" outlineLevel="2" ht="15" customHeight="1">
      <c r="A469" s="69" t="inlineStr">
        <is>
          <t xml:space="preserve">      LPP Receipt Date</t>
        </is>
      </c>
      <c r="B469" s="76">
        <f>IF('Final Calculation Sheet'!$AB$9="","",'Final Calculation Sheet'!$AB$9)</f>
        <v/>
      </c>
      <c r="C469" s="177">
        <f>IF('Final Calculation Sheet'!$AB$14="","",'Final Calculation Sheet'!$AB$14)</f>
        <v/>
      </c>
      <c r="D469" s="71" t="n"/>
      <c r="E469" s="71" t="n"/>
      <c r="F469" s="71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104" t="inlineStr">
        <is>
          <t>–</t>
        </is>
      </c>
    </row>
    <row r="470" outlineLevel="1" ht="16" customHeight="1">
      <c r="A470" s="100" t="inlineStr">
        <is>
          <t xml:space="preserve">  ▸ SUMMARY</t>
        </is>
      </c>
      <c r="B470" s="102" t="n"/>
      <c r="C470" s="102" t="n"/>
      <c r="D470" s="102" t="n"/>
      <c r="E470" s="102" t="n"/>
      <c r="F470" s="102" t="n"/>
      <c r="G470" s="102" t="n"/>
      <c r="H470" s="102" t="n"/>
      <c r="I470" s="102" t="n"/>
      <c r="J470" s="102" t="n"/>
      <c r="K470" s="102" t="n"/>
      <c r="L470" s="102" t="n"/>
      <c r="M470" s="102" t="n"/>
      <c r="N470" s="102" t="n"/>
      <c r="O470" s="102" t="n"/>
    </row>
    <row r="471" outlineLevel="2" ht="15" customHeight="1">
      <c r="A471" s="69" t="inlineStr">
        <is>
          <t xml:space="preserve">      Total Received (₹)</t>
        </is>
      </c>
      <c r="B471" s="70">
        <f>IF('Final Calculation Sheet'!$AC$9="","",'Final Calculation Sheet'!$AC$9)</f>
        <v/>
      </c>
      <c r="C471" s="174">
        <f>IF('Final Calculation Sheet'!$AC$14="","",'Final Calculation Sheet'!$AC$14)</f>
        <v/>
      </c>
      <c r="D471" s="71" t="n"/>
      <c r="E471" s="71" t="n"/>
      <c r="F471" s="71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106">
        <f>SUM(B471:N471)</f>
        <v/>
      </c>
    </row>
    <row r="472" outlineLevel="2" ht="15" customHeight="1">
      <c r="A472" s="69" t="inlineStr">
        <is>
          <t xml:space="preserve">      Outstanding (₹)</t>
        </is>
      </c>
      <c r="B472" s="70">
        <f>IF('Final Calculation Sheet'!$AD$9="","",'Final Calculation Sheet'!$AD$9)</f>
        <v/>
      </c>
      <c r="C472" s="174">
        <f>IF('Final Calculation Sheet'!$AD$14="","",'Final Calculation Sheet'!$AD$14)</f>
        <v/>
      </c>
      <c r="D472" s="71" t="n"/>
      <c r="E472" s="71" t="n"/>
      <c r="F472" s="71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106">
        <f>SUM(B472:N472)</f>
        <v/>
      </c>
    </row>
    <row r="473" outlineLevel="2" ht="15" customHeight="1">
      <c r="A473" s="69" t="inlineStr">
        <is>
          <t xml:space="preserve">      Payment Status</t>
        </is>
      </c>
      <c r="B473" s="81">
        <f>IF('Final Calculation Sheet'!$AD$9="","",IF('Final Calculation Sheet'!$AD$9&lt;=0,"SETTLED","OUTSTANDING"))</f>
        <v/>
      </c>
      <c r="C473" s="180">
        <f>IF('Final Calculation Sheet'!$AD$14="","",IF('Final Calculation Sheet'!$AD$14&lt;=0,"SETTLED","OUTSTANDING"))</f>
        <v/>
      </c>
      <c r="D473" s="71" t="n"/>
      <c r="E473" s="71" t="n"/>
      <c r="F473" s="71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104" t="inlineStr">
        <is>
          <t>–</t>
        </is>
      </c>
    </row>
    <row r="474" outlineLevel="1" ht="16" customHeight="1">
      <c r="A474" s="100" t="inlineStr">
        <is>
          <t xml:space="preserve">  ▸ DOCUMENT</t>
        </is>
      </c>
      <c r="B474" s="102" t="n"/>
      <c r="C474" s="102" t="n"/>
      <c r="D474" s="102" t="n"/>
      <c r="E474" s="102" t="n"/>
      <c r="F474" s="102" t="n"/>
      <c r="G474" s="102" t="n"/>
      <c r="H474" s="102" t="n"/>
      <c r="I474" s="102" t="n"/>
      <c r="J474" s="102" t="n"/>
      <c r="K474" s="102" t="n"/>
      <c r="L474" s="102" t="n"/>
      <c r="M474" s="102" t="n"/>
      <c r="N474" s="102" t="n"/>
      <c r="O474" s="102" t="n"/>
    </row>
    <row r="475" outlineLevel="2" ht="15" customHeight="1">
      <c r="A475" s="69" t="inlineStr">
        <is>
          <t xml:space="preserve">      Invoice No.</t>
        </is>
      </c>
      <c r="B475" s="76">
        <f>IF('Final Calculation Sheet'!$AE$9="","",'Final Calculation Sheet'!$AE$9)</f>
        <v/>
      </c>
      <c r="C475" s="177">
        <f>IF('Final Calculation Sheet'!$AE$14="","",'Final Calculation Sheet'!$AE$14)</f>
        <v/>
      </c>
      <c r="D475" s="71" t="n"/>
      <c r="E475" s="71" t="n"/>
      <c r="F475" s="71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104" t="inlineStr">
        <is>
          <t>–</t>
        </is>
      </c>
    </row>
    <row r="476" outlineLevel="2" ht="15" customHeight="1">
      <c r="A476" s="69" t="inlineStr">
        <is>
          <t xml:space="preserve">      SAP Document</t>
        </is>
      </c>
      <c r="B476" s="70">
        <f>IF('Final Calculation Sheet'!$AF$9="","",'Final Calculation Sheet'!$AF$9)</f>
        <v/>
      </c>
      <c r="C476" s="174">
        <f>IF('Final Calculation Sheet'!$AF$14="","",'Final Calculation Sheet'!$AF$14)</f>
        <v/>
      </c>
      <c r="D476" s="71" t="n"/>
      <c r="E476" s="71" t="n"/>
      <c r="F476" s="71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104" t="inlineStr">
        <is>
          <t>–</t>
        </is>
      </c>
    </row>
    <row r="477" outlineLevel="2" ht="15" customHeight="1">
      <c r="A477" s="69" t="inlineStr">
        <is>
          <t xml:space="preserve">      Doc./Invoice Date</t>
        </is>
      </c>
      <c r="B477" s="76">
        <f>IF('Final Calculation Sheet'!$AG$9="","",'Final Calculation Sheet'!$AG$9)</f>
        <v/>
      </c>
      <c r="C477" s="177">
        <f>IF('Final Calculation Sheet'!$AG$14="","",'Final Calculation Sheet'!$AG$14)</f>
        <v/>
      </c>
      <c r="D477" s="71" t="n"/>
      <c r="E477" s="71" t="n"/>
      <c r="F477" s="71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104" t="inlineStr">
        <is>
          <t>–</t>
        </is>
      </c>
    </row>
    <row r="478" ht="7" customHeight="1">
      <c r="A478" s="82" t="n"/>
      <c r="B478" s="82" t="n"/>
      <c r="C478" s="82" t="n"/>
      <c r="D478" s="82" t="n"/>
      <c r="E478" s="82" t="n"/>
      <c r="F478" s="82" t="n"/>
      <c r="G478" s="82" t="n"/>
      <c r="H478" s="82" t="n"/>
      <c r="I478" s="82" t="n"/>
      <c r="J478" s="82" t="n"/>
      <c r="K478" s="82" t="n"/>
      <c r="L478" s="82" t="n"/>
      <c r="M478" s="82" t="n"/>
      <c r="N478" s="82" t="n"/>
      <c r="O478" s="82" t="n"/>
    </row>
    <row r="479" ht="24" customHeight="1">
      <c r="A479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</row>
    <row r="480" outlineLevel="1" ht="18" customHeight="1">
      <c r="A480" s="109" t="inlineStr">
        <is>
          <t xml:space="preserve">   Lot No. →</t>
        </is>
      </c>
      <c r="B480" s="110">
        <f>IF('Final Calculation Sheet'!$F$13="","",'Final Calculation Sheet'!$F$13)</f>
        <v/>
      </c>
      <c r="C480" s="110">
        <f>IF('Final Calculation Sheet'!$F$16="","",'Final Calculation Sheet'!$F$16)</f>
        <v/>
      </c>
      <c r="D480" s="110">
        <f>IF('Final Calculation Sheet'!$F$17="","",'Final Calculation Sheet'!$F$17)</f>
        <v/>
      </c>
      <c r="E480" s="110">
        <f>IF('Final Calculation Sheet'!$F$23="","",'Final Calculation Sheet'!$F$23)</f>
        <v/>
      </c>
      <c r="F480" s="110">
        <f>IF('Final Calculation Sheet'!$F$29="","",'Final Calculation Sheet'!$F$29)</f>
        <v/>
      </c>
      <c r="G480" s="110">
        <f>IF('Final Calculation Sheet'!$F$34="","",'Final Calculation Sheet'!$F$34)</f>
        <v/>
      </c>
      <c r="H480" s="110">
        <f>IF('Final Calculation Sheet'!$F$36="","",'Final Calculation Sheet'!$F$36)</f>
        <v/>
      </c>
      <c r="I480" s="111" t="n"/>
      <c r="J480" s="111" t="n"/>
      <c r="K480" s="111" t="n"/>
      <c r="L480" s="111" t="n"/>
      <c r="M480" s="111" t="n"/>
      <c r="N480" s="111" t="n"/>
      <c r="O480" s="112" t="inlineStr">
        <is>
          <t>TOTAL</t>
        </is>
      </c>
    </row>
    <row r="481" outlineLevel="1" ht="16" customHeight="1">
      <c r="A481" s="109" t="inlineStr">
        <is>
          <t xml:space="preserve">  ▸ LOT INFORMATION</t>
        </is>
      </c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</row>
    <row r="482" outlineLevel="2" ht="15" customHeight="1">
      <c r="A482" s="69" t="inlineStr">
        <is>
          <t xml:space="preserve">      Lot No.</t>
        </is>
      </c>
      <c r="B482" s="70">
        <f>IF('Final Calculation Sheet'!$F$13="","",'Final Calculation Sheet'!$F$13)</f>
        <v/>
      </c>
      <c r="C482" s="181">
        <f>IF('Final Calculation Sheet'!$F$16="","",'Final Calculation Sheet'!$F$16)</f>
        <v/>
      </c>
      <c r="D482" s="70">
        <f>IF('Final Calculation Sheet'!$F$17="","",'Final Calculation Sheet'!$F$17)</f>
        <v/>
      </c>
      <c r="E482" s="181">
        <f>IF('Final Calculation Sheet'!$F$23="","",'Final Calculation Sheet'!$F$23)</f>
        <v/>
      </c>
      <c r="F482" s="70">
        <f>IF('Final Calculation Sheet'!$F$29="","",'Final Calculation Sheet'!$F$29)</f>
        <v/>
      </c>
      <c r="G482" s="181">
        <f>IF('Final Calculation Sheet'!$F$34="","",'Final Calculation Sheet'!$F$34)</f>
        <v/>
      </c>
      <c r="H482" s="70">
        <f>IF('Final Calculation Sheet'!$F$36="","",'Final Calculation Sheet'!$F$36)</f>
        <v/>
      </c>
      <c r="I482" s="71" t="n"/>
      <c r="J482" s="71" t="n"/>
      <c r="K482" s="71" t="n"/>
      <c r="L482" s="71" t="n"/>
      <c r="M482" s="71" t="n"/>
      <c r="N482" s="71" t="n"/>
      <c r="O482" s="113" t="inlineStr">
        <is>
          <t>–</t>
        </is>
      </c>
    </row>
    <row r="483" outlineLevel="2" ht="60" customHeight="1">
      <c r="A483" s="69" t="inlineStr">
        <is>
          <t xml:space="preserve">      Lot Name</t>
        </is>
      </c>
      <c r="B483" s="73">
        <f>IF('Final Calculation Sheet'!$B$13="","",'Final Calculation Sheet'!$B$13)</f>
        <v/>
      </c>
      <c r="C483" s="182">
        <f>IF('Final Calculation Sheet'!$B$16="","",'Final Calculation Sheet'!$B$16)</f>
        <v/>
      </c>
      <c r="D483" s="73">
        <f>IF('Final Calculation Sheet'!$B$17="","",'Final Calculation Sheet'!$B$17)</f>
        <v/>
      </c>
      <c r="E483" s="182">
        <f>IF('Final Calculation Sheet'!$B$23="","",'Final Calculation Sheet'!$B$23)</f>
        <v/>
      </c>
      <c r="F483" s="73">
        <f>IF('Final Calculation Sheet'!$B$29="","",'Final Calculation Sheet'!$B$29)</f>
        <v/>
      </c>
      <c r="G483" s="182">
        <f>IF('Final Calculation Sheet'!$B$34="","",'Final Calculation Sheet'!$B$34)</f>
        <v/>
      </c>
      <c r="H483" s="73">
        <f>IF('Final Calculation Sheet'!$B$36="","",'Final Calculation Sheet'!$B$36)</f>
        <v/>
      </c>
      <c r="I483" s="71" t="n"/>
      <c r="J483" s="71" t="n"/>
      <c r="K483" s="71" t="n"/>
      <c r="L483" s="71" t="n"/>
      <c r="M483" s="71" t="n"/>
      <c r="N483" s="71" t="n"/>
      <c r="O483" s="113" t="inlineStr">
        <is>
          <t>–</t>
        </is>
      </c>
    </row>
    <row r="484" outlineLevel="2" ht="15" customHeight="1">
      <c r="A484" s="69" t="inlineStr">
        <is>
          <t xml:space="preserve">      Bid Sheet / Auction</t>
        </is>
      </c>
      <c r="B484" s="70">
        <f>IF('Final Calculation Sheet'!$D$13="","",'Final Calculation Sheet'!$D$13)</f>
        <v/>
      </c>
      <c r="C484" s="181">
        <f>IF('Final Calculation Sheet'!$D$16="","",'Final Calculation Sheet'!$D$16)</f>
        <v/>
      </c>
      <c r="D484" s="70">
        <f>IF('Final Calculation Sheet'!$D$17="","",'Final Calculation Sheet'!$D$17)</f>
        <v/>
      </c>
      <c r="E484" s="181">
        <f>IF('Final Calculation Sheet'!$D$23="","",'Final Calculation Sheet'!$D$23)</f>
        <v/>
      </c>
      <c r="F484" s="70">
        <f>IF('Final Calculation Sheet'!$D$29="","",'Final Calculation Sheet'!$D$29)</f>
        <v/>
      </c>
      <c r="G484" s="181">
        <f>IF('Final Calculation Sheet'!$D$34="","",'Final Calculation Sheet'!$D$34)</f>
        <v/>
      </c>
      <c r="H484" s="70">
        <f>IF('Final Calculation Sheet'!$D$36="","",'Final Calculation Sheet'!$D$36)</f>
        <v/>
      </c>
      <c r="I484" s="71" t="n"/>
      <c r="J484" s="71" t="n"/>
      <c r="K484" s="71" t="n"/>
      <c r="L484" s="71" t="n"/>
      <c r="M484" s="71" t="n"/>
      <c r="N484" s="71" t="n"/>
      <c r="O484" s="113" t="inlineStr">
        <is>
          <t>–</t>
        </is>
      </c>
    </row>
    <row r="485" outlineLevel="2" ht="15" customHeight="1">
      <c r="A485" s="69" t="inlineStr">
        <is>
          <t xml:space="preserve">      Quantity</t>
        </is>
      </c>
      <c r="B485" s="74">
        <f>IF('Final Calculation Sheet'!$A$13="","",'Final Calculation Sheet'!$A$13)</f>
        <v/>
      </c>
      <c r="C485" s="183">
        <f>IF('Final Calculation Sheet'!$A$16="","",'Final Calculation Sheet'!$A$16)</f>
        <v/>
      </c>
      <c r="D485" s="74">
        <f>IF('Final Calculation Sheet'!$A$17="","",'Final Calculation Sheet'!$A$17)</f>
        <v/>
      </c>
      <c r="E485" s="183">
        <f>IF('Final Calculation Sheet'!$A$23="","",'Final Calculation Sheet'!$A$23)</f>
        <v/>
      </c>
      <c r="F485" s="74">
        <f>IF('Final Calculation Sheet'!$A$29="","",'Final Calculation Sheet'!$A$29)</f>
        <v/>
      </c>
      <c r="G485" s="183">
        <f>IF('Final Calculation Sheet'!$A$34="","",'Final Calculation Sheet'!$A$34)</f>
        <v/>
      </c>
      <c r="H485" s="74">
        <f>IF('Final Calculation Sheet'!$A$36="","",'Final Calculation Sheet'!$A$36)</f>
        <v/>
      </c>
      <c r="I485" s="71" t="n"/>
      <c r="J485" s="71" t="n"/>
      <c r="K485" s="71" t="n"/>
      <c r="L485" s="71" t="n"/>
      <c r="M485" s="71" t="n"/>
      <c r="N485" s="71" t="n"/>
      <c r="O485" s="114">
        <f>SUM(B485:N485)</f>
        <v/>
      </c>
    </row>
    <row r="486" outlineLevel="2" ht="15" customHeight="1">
      <c r="A486" s="69" t="inlineStr">
        <is>
          <t xml:space="preserve">      Unit</t>
        </is>
      </c>
      <c r="B486" s="76">
        <f>IF('Final Calculation Sheet'!$E$13="","",'Final Calculation Sheet'!$E$13)</f>
        <v/>
      </c>
      <c r="C486" s="184">
        <f>IF('Final Calculation Sheet'!$E$16="","",'Final Calculation Sheet'!$E$16)</f>
        <v/>
      </c>
      <c r="D486" s="76">
        <f>IF('Final Calculation Sheet'!$E$17="","",'Final Calculation Sheet'!$E$17)</f>
        <v/>
      </c>
      <c r="E486" s="184">
        <f>IF('Final Calculation Sheet'!$E$23="","",'Final Calculation Sheet'!$E$23)</f>
        <v/>
      </c>
      <c r="F486" s="76">
        <f>IF('Final Calculation Sheet'!$E$29="","",'Final Calculation Sheet'!$E$29)</f>
        <v/>
      </c>
      <c r="G486" s="184">
        <f>IF('Final Calculation Sheet'!$E$34="","",'Final Calculation Sheet'!$E$34)</f>
        <v/>
      </c>
      <c r="H486" s="76">
        <f>IF('Final Calculation Sheet'!$E$36="","",'Final Calculation Sheet'!$E$36)</f>
        <v/>
      </c>
      <c r="I486" s="71" t="n"/>
      <c r="J486" s="71" t="n"/>
      <c r="K486" s="71" t="n"/>
      <c r="L486" s="71" t="n"/>
      <c r="M486" s="71" t="n"/>
      <c r="N486" s="71" t="n"/>
      <c r="O486" s="113" t="inlineStr">
        <is>
          <t>–</t>
        </is>
      </c>
    </row>
    <row r="487" outlineLevel="2" ht="15" customHeight="1">
      <c r="A487" s="69" t="inlineStr">
        <is>
          <t xml:space="preserve">      Rate (₹)</t>
        </is>
      </c>
      <c r="B487" s="70">
        <f>IF('Final Calculation Sheet'!$C$13="","",'Final Calculation Sheet'!$C$13)</f>
        <v/>
      </c>
      <c r="C487" s="181">
        <f>IF('Final Calculation Sheet'!$C$16="","",'Final Calculation Sheet'!$C$16)</f>
        <v/>
      </c>
      <c r="D487" s="70">
        <f>IF('Final Calculation Sheet'!$C$17="","",'Final Calculation Sheet'!$C$17)</f>
        <v/>
      </c>
      <c r="E487" s="181">
        <f>IF('Final Calculation Sheet'!$C$23="","",'Final Calculation Sheet'!$C$23)</f>
        <v/>
      </c>
      <c r="F487" s="70">
        <f>IF('Final Calculation Sheet'!$C$29="","",'Final Calculation Sheet'!$C$29)</f>
        <v/>
      </c>
      <c r="G487" s="181">
        <f>IF('Final Calculation Sheet'!$C$34="","",'Final Calculation Sheet'!$C$34)</f>
        <v/>
      </c>
      <c r="H487" s="70">
        <f>IF('Final Calculation Sheet'!$C$36="","",'Final Calculation Sheet'!$C$36)</f>
        <v/>
      </c>
      <c r="I487" s="71" t="n"/>
      <c r="J487" s="71" t="n"/>
      <c r="K487" s="71" t="n"/>
      <c r="L487" s="71" t="n"/>
      <c r="M487" s="71" t="n"/>
      <c r="N487" s="71" t="n"/>
      <c r="O487" s="113" t="inlineStr">
        <is>
          <t>–</t>
        </is>
      </c>
    </row>
    <row r="488" outlineLevel="1" ht="16" customHeight="1">
      <c r="A488" s="109" t="inlineStr">
        <is>
          <t xml:space="preserve">  ▸ FINANCIALS</t>
        </is>
      </c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</row>
    <row r="489" outlineLevel="2" ht="15" customHeight="1">
      <c r="A489" s="69" t="inlineStr">
        <is>
          <t xml:space="preserve">      Mat. Value (₹)</t>
        </is>
      </c>
      <c r="B489" s="70">
        <f>IF('Final Calculation Sheet'!$H$13="","",'Final Calculation Sheet'!$H$13)</f>
        <v/>
      </c>
      <c r="C489" s="181">
        <f>IF('Final Calculation Sheet'!$H$16="","",'Final Calculation Sheet'!$H$16)</f>
        <v/>
      </c>
      <c r="D489" s="70">
        <f>IF('Final Calculation Sheet'!$H$17="","",'Final Calculation Sheet'!$H$17)</f>
        <v/>
      </c>
      <c r="E489" s="181">
        <f>IF('Final Calculation Sheet'!$H$23="","",'Final Calculation Sheet'!$H$23)</f>
        <v/>
      </c>
      <c r="F489" s="70">
        <f>IF('Final Calculation Sheet'!$H$29="","",'Final Calculation Sheet'!$H$29)</f>
        <v/>
      </c>
      <c r="G489" s="181">
        <f>IF('Final Calculation Sheet'!$H$34="","",'Final Calculation Sheet'!$H$34)</f>
        <v/>
      </c>
      <c r="H489" s="70">
        <f>IF('Final Calculation Sheet'!$H$36="","",'Final Calculation Sheet'!$H$36)</f>
        <v/>
      </c>
      <c r="I489" s="71" t="n"/>
      <c r="J489" s="71" t="n"/>
      <c r="K489" s="71" t="n"/>
      <c r="L489" s="71" t="n"/>
      <c r="M489" s="71" t="n"/>
      <c r="N489" s="71" t="n"/>
      <c r="O489" s="115">
        <f>SUM(B489:N489)</f>
        <v/>
      </c>
    </row>
    <row r="490" outlineLevel="2" ht="15" customHeight="1">
      <c r="A490" s="69" t="inlineStr">
        <is>
          <t xml:space="preserve">      GST @ 18% (₹)</t>
        </is>
      </c>
      <c r="B490" s="70">
        <f>IF('Final Calculation Sheet'!$I$13="","",'Final Calculation Sheet'!$I$13)</f>
        <v/>
      </c>
      <c r="C490" s="181">
        <f>IF('Final Calculation Sheet'!$I$16="","",'Final Calculation Sheet'!$I$16)</f>
        <v/>
      </c>
      <c r="D490" s="70">
        <f>IF('Final Calculation Sheet'!$I$17="","",'Final Calculation Sheet'!$I$17)</f>
        <v/>
      </c>
      <c r="E490" s="181">
        <f>IF('Final Calculation Sheet'!$I$23="","",'Final Calculation Sheet'!$I$23)</f>
        <v/>
      </c>
      <c r="F490" s="70">
        <f>IF('Final Calculation Sheet'!$I$29="","",'Final Calculation Sheet'!$I$29)</f>
        <v/>
      </c>
      <c r="G490" s="181">
        <f>IF('Final Calculation Sheet'!$I$34="","",'Final Calculation Sheet'!$I$34)</f>
        <v/>
      </c>
      <c r="H490" s="70">
        <f>IF('Final Calculation Sheet'!$I$36="","",'Final Calculation Sheet'!$I$36)</f>
        <v/>
      </c>
      <c r="I490" s="71" t="n"/>
      <c r="J490" s="71" t="n"/>
      <c r="K490" s="71" t="n"/>
      <c r="L490" s="71" t="n"/>
      <c r="M490" s="71" t="n"/>
      <c r="N490" s="71" t="n"/>
      <c r="O490" s="115">
        <f>SUM(B490:N490)</f>
        <v/>
      </c>
    </row>
    <row r="491" outlineLevel="2" ht="15" customHeight="1">
      <c r="A491" s="69" t="inlineStr">
        <is>
          <t xml:space="preserve">      Mat. Value + GST (₹)</t>
        </is>
      </c>
      <c r="B491" s="70">
        <f>IF('Final Calculation Sheet'!$J$13="","",'Final Calculation Sheet'!$J$13)</f>
        <v/>
      </c>
      <c r="C491" s="181">
        <f>IF('Final Calculation Sheet'!$J$16="","",'Final Calculation Sheet'!$J$16)</f>
        <v/>
      </c>
      <c r="D491" s="70">
        <f>IF('Final Calculation Sheet'!$J$17="","",'Final Calculation Sheet'!$J$17)</f>
        <v/>
      </c>
      <c r="E491" s="181">
        <f>IF('Final Calculation Sheet'!$J$23="","",'Final Calculation Sheet'!$J$23)</f>
        <v/>
      </c>
      <c r="F491" s="70">
        <f>IF('Final Calculation Sheet'!$J$29="","",'Final Calculation Sheet'!$J$29)</f>
        <v/>
      </c>
      <c r="G491" s="181">
        <f>IF('Final Calculation Sheet'!$J$34="","",'Final Calculation Sheet'!$J$34)</f>
        <v/>
      </c>
      <c r="H491" s="70">
        <f>IF('Final Calculation Sheet'!$J$36="","",'Final Calculation Sheet'!$J$36)</f>
        <v/>
      </c>
      <c r="I491" s="71" t="n"/>
      <c r="J491" s="71" t="n"/>
      <c r="K491" s="71" t="n"/>
      <c r="L491" s="71" t="n"/>
      <c r="M491" s="71" t="n"/>
      <c r="N491" s="71" t="n"/>
      <c r="O491" s="115">
        <f>SUM(B491:N491)</f>
        <v/>
      </c>
    </row>
    <row r="492" outlineLevel="2" ht="15" customHeight="1">
      <c r="A492" s="69" t="inlineStr">
        <is>
          <t xml:space="preserve">      TCS @ 2% (₹)</t>
        </is>
      </c>
      <c r="B492" s="70">
        <f>IF('Final Calculation Sheet'!$K$13="","",'Final Calculation Sheet'!$K$13)</f>
        <v/>
      </c>
      <c r="C492" s="181">
        <f>IF('Final Calculation Sheet'!$K$16="","",'Final Calculation Sheet'!$K$16)</f>
        <v/>
      </c>
      <c r="D492" s="70">
        <f>IF('Final Calculation Sheet'!$K$17="","",'Final Calculation Sheet'!$K$17)</f>
        <v/>
      </c>
      <c r="E492" s="181">
        <f>IF('Final Calculation Sheet'!$K$23="","",'Final Calculation Sheet'!$K$23)</f>
        <v/>
      </c>
      <c r="F492" s="70">
        <f>IF('Final Calculation Sheet'!$K$29="","",'Final Calculation Sheet'!$K$29)</f>
        <v/>
      </c>
      <c r="G492" s="181">
        <f>IF('Final Calculation Sheet'!$K$34="","",'Final Calculation Sheet'!$K$34)</f>
        <v/>
      </c>
      <c r="H492" s="70">
        <f>IF('Final Calculation Sheet'!$K$36="","",'Final Calculation Sheet'!$K$36)</f>
        <v/>
      </c>
      <c r="I492" s="71" t="n"/>
      <c r="J492" s="71" t="n"/>
      <c r="K492" s="71" t="n"/>
      <c r="L492" s="71" t="n"/>
      <c r="M492" s="71" t="n"/>
      <c r="N492" s="71" t="n"/>
      <c r="O492" s="115">
        <f>SUM(B492:N492)</f>
        <v/>
      </c>
    </row>
    <row r="493" outlineLevel="2" ht="15" customHeight="1">
      <c r="A493" s="69" t="inlineStr">
        <is>
          <t xml:space="preserve">      TDS u/s 194(O) (₹)</t>
        </is>
      </c>
      <c r="B493" s="78">
        <f>IF('Final Calculation Sheet'!$L$13="","",'Final Calculation Sheet'!$L$13)</f>
        <v/>
      </c>
      <c r="C493" s="185">
        <f>IF('Final Calculation Sheet'!$L$16="","",'Final Calculation Sheet'!$L$16)</f>
        <v/>
      </c>
      <c r="D493" s="78">
        <f>IF('Final Calculation Sheet'!$L$17="","",'Final Calculation Sheet'!$L$17)</f>
        <v/>
      </c>
      <c r="E493" s="185">
        <f>IF('Final Calculation Sheet'!$L$23="","",'Final Calculation Sheet'!$L$23)</f>
        <v/>
      </c>
      <c r="F493" s="78">
        <f>IF('Final Calculation Sheet'!$L$29="","",'Final Calculation Sheet'!$L$29)</f>
        <v/>
      </c>
      <c r="G493" s="185">
        <f>IF('Final Calculation Sheet'!$L$34="","",'Final Calculation Sheet'!$L$34)</f>
        <v/>
      </c>
      <c r="H493" s="78">
        <f>IF('Final Calculation Sheet'!$L$36="","",'Final Calculation Sheet'!$L$36)</f>
        <v/>
      </c>
      <c r="I493" s="71" t="n"/>
      <c r="J493" s="71" t="n"/>
      <c r="K493" s="71" t="n"/>
      <c r="L493" s="71" t="n"/>
      <c r="M493" s="71" t="n"/>
      <c r="N493" s="71" t="n"/>
      <c r="O493" s="116">
        <f>SUM(B493:N493)</f>
        <v/>
      </c>
    </row>
    <row r="494" outlineLevel="2" ht="15" customHeight="1">
      <c r="A494" s="69" t="inlineStr">
        <is>
          <t xml:space="preserve">      Service Charge gross (₹)</t>
        </is>
      </c>
      <c r="B494" s="78">
        <f>IF('Final Calculation Sheet'!$M$13="","",'Final Calculation Sheet'!$M$13)</f>
        <v/>
      </c>
      <c r="C494" s="185">
        <f>IF('Final Calculation Sheet'!$M$16="","",'Final Calculation Sheet'!$M$16)</f>
        <v/>
      </c>
      <c r="D494" s="78">
        <f>IF('Final Calculation Sheet'!$M$17="","",'Final Calculation Sheet'!$M$17)</f>
        <v/>
      </c>
      <c r="E494" s="185">
        <f>IF('Final Calculation Sheet'!$M$23="","",'Final Calculation Sheet'!$M$23)</f>
        <v/>
      </c>
      <c r="F494" s="78">
        <f>IF('Final Calculation Sheet'!$M$29="","",'Final Calculation Sheet'!$M$29)</f>
        <v/>
      </c>
      <c r="G494" s="185">
        <f>IF('Final Calculation Sheet'!$M$34="","",'Final Calculation Sheet'!$M$34)</f>
        <v/>
      </c>
      <c r="H494" s="78">
        <f>IF('Final Calculation Sheet'!$M$36="","",'Final Calculation Sheet'!$M$36)</f>
        <v/>
      </c>
      <c r="I494" s="71" t="n"/>
      <c r="J494" s="71" t="n"/>
      <c r="K494" s="71" t="n"/>
      <c r="L494" s="71" t="n"/>
      <c r="M494" s="71" t="n"/>
      <c r="N494" s="71" t="n"/>
      <c r="O494" s="116">
        <f>SUM(B494:N494)</f>
        <v/>
      </c>
    </row>
    <row r="495" outlineLevel="2" ht="15" customHeight="1">
      <c r="A495" s="69" t="inlineStr">
        <is>
          <t xml:space="preserve">      TDS u/s 194(H) (₹)</t>
        </is>
      </c>
      <c r="B495" s="78">
        <f>IF('Final Calculation Sheet'!$N$13="","",'Final Calculation Sheet'!$N$13)</f>
        <v/>
      </c>
      <c r="C495" s="185">
        <f>IF('Final Calculation Sheet'!$N$16="","",'Final Calculation Sheet'!$N$16)</f>
        <v/>
      </c>
      <c r="D495" s="78">
        <f>IF('Final Calculation Sheet'!$N$17="","",'Final Calculation Sheet'!$N$17)</f>
        <v/>
      </c>
      <c r="E495" s="185">
        <f>IF('Final Calculation Sheet'!$N$23="","",'Final Calculation Sheet'!$N$23)</f>
        <v/>
      </c>
      <c r="F495" s="78">
        <f>IF('Final Calculation Sheet'!$N$29="","",'Final Calculation Sheet'!$N$29)</f>
        <v/>
      </c>
      <c r="G495" s="185">
        <f>IF('Final Calculation Sheet'!$N$34="","",'Final Calculation Sheet'!$N$34)</f>
        <v/>
      </c>
      <c r="H495" s="78">
        <f>IF('Final Calculation Sheet'!$N$36="","",'Final Calculation Sheet'!$N$36)</f>
        <v/>
      </c>
      <c r="I495" s="71" t="n"/>
      <c r="J495" s="71" t="n"/>
      <c r="K495" s="71" t="n"/>
      <c r="L495" s="71" t="n"/>
      <c r="M495" s="71" t="n"/>
      <c r="N495" s="71" t="n"/>
      <c r="O495" s="116">
        <f>SUM(B495:N495)</f>
        <v/>
      </c>
    </row>
    <row r="496" outlineLevel="2" ht="15" customHeight="1">
      <c r="A496" s="69" t="inlineStr">
        <is>
          <t xml:space="preserve">      Net Service Charge (₹)</t>
        </is>
      </c>
      <c r="B496" s="78">
        <f>IF('Final Calculation Sheet'!$O$13="","",'Final Calculation Sheet'!$O$13)</f>
        <v/>
      </c>
      <c r="C496" s="185">
        <f>IF('Final Calculation Sheet'!$O$16="","",'Final Calculation Sheet'!$O$16)</f>
        <v/>
      </c>
      <c r="D496" s="78">
        <f>IF('Final Calculation Sheet'!$O$17="","",'Final Calculation Sheet'!$O$17)</f>
        <v/>
      </c>
      <c r="E496" s="185">
        <f>IF('Final Calculation Sheet'!$O$23="","",'Final Calculation Sheet'!$O$23)</f>
        <v/>
      </c>
      <c r="F496" s="78">
        <f>IF('Final Calculation Sheet'!$O$29="","",'Final Calculation Sheet'!$O$29)</f>
        <v/>
      </c>
      <c r="G496" s="185">
        <f>IF('Final Calculation Sheet'!$O$34="","",'Final Calculation Sheet'!$O$34)</f>
        <v/>
      </c>
      <c r="H496" s="78">
        <f>IF('Final Calculation Sheet'!$O$36="","",'Final Calculation Sheet'!$O$36)</f>
        <v/>
      </c>
      <c r="I496" s="71" t="n"/>
      <c r="J496" s="71" t="n"/>
      <c r="K496" s="71" t="n"/>
      <c r="L496" s="71" t="n"/>
      <c r="M496" s="71" t="n"/>
      <c r="N496" s="71" t="n"/>
      <c r="O496" s="116">
        <f>SUM(B496:N496)</f>
        <v/>
      </c>
    </row>
    <row r="497" outlineLevel="2" ht="15" customHeight="1">
      <c r="A497" s="69" t="inlineStr">
        <is>
          <t xml:space="preserve">      Svc Charge to MSTC (₹)</t>
        </is>
      </c>
      <c r="B497" s="70">
        <f>IF('Final Calculation Sheet'!$P$13="","",'Final Calculation Sheet'!$P$13)</f>
        <v/>
      </c>
      <c r="C497" s="181">
        <f>IF('Final Calculation Sheet'!$P$16="","",'Final Calculation Sheet'!$P$16)</f>
        <v/>
      </c>
      <c r="D497" s="70">
        <f>IF('Final Calculation Sheet'!$P$17="","",'Final Calculation Sheet'!$P$17)</f>
        <v/>
      </c>
      <c r="E497" s="181">
        <f>IF('Final Calculation Sheet'!$P$23="","",'Final Calculation Sheet'!$P$23)</f>
        <v/>
      </c>
      <c r="F497" s="70">
        <f>IF('Final Calculation Sheet'!$P$29="","",'Final Calculation Sheet'!$P$29)</f>
        <v/>
      </c>
      <c r="G497" s="181">
        <f>IF('Final Calculation Sheet'!$P$34="","",'Final Calculation Sheet'!$P$34)</f>
        <v/>
      </c>
      <c r="H497" s="70">
        <f>IF('Final Calculation Sheet'!$P$36="","",'Final Calculation Sheet'!$P$36)</f>
        <v/>
      </c>
      <c r="I497" s="71" t="n"/>
      <c r="J497" s="71" t="n"/>
      <c r="K497" s="71" t="n"/>
      <c r="L497" s="71" t="n"/>
      <c r="M497" s="71" t="n"/>
      <c r="N497" s="71" t="n"/>
      <c r="O497" s="115">
        <f>SUM(B497:N497)</f>
        <v/>
      </c>
    </row>
    <row r="498" outlineLevel="2" ht="15" customHeight="1">
      <c r="A498" s="69" t="inlineStr">
        <is>
          <t xml:space="preserve">      GST TDS Rate</t>
        </is>
      </c>
      <c r="B498" s="80">
        <f>IF('Final Calculation Sheet'!$Q$13="","",'Final Calculation Sheet'!$Q$13)</f>
        <v/>
      </c>
      <c r="C498" s="186">
        <f>IF('Final Calculation Sheet'!$Q$16="","",'Final Calculation Sheet'!$Q$16)</f>
        <v/>
      </c>
      <c r="D498" s="80">
        <f>IF('Final Calculation Sheet'!$Q$17="","",'Final Calculation Sheet'!$Q$17)</f>
        <v/>
      </c>
      <c r="E498" s="186">
        <f>IF('Final Calculation Sheet'!$Q$23="","",'Final Calculation Sheet'!$Q$23)</f>
        <v/>
      </c>
      <c r="F498" s="80">
        <f>IF('Final Calculation Sheet'!$Q$29="","",'Final Calculation Sheet'!$Q$29)</f>
        <v/>
      </c>
      <c r="G498" s="186">
        <f>IF('Final Calculation Sheet'!$Q$34="","",'Final Calculation Sheet'!$Q$34)</f>
        <v/>
      </c>
      <c r="H498" s="80">
        <f>IF('Final Calculation Sheet'!$Q$36="","",'Final Calculation Sheet'!$Q$36)</f>
        <v/>
      </c>
      <c r="I498" s="71" t="n"/>
      <c r="J498" s="71" t="n"/>
      <c r="K498" s="71" t="n"/>
      <c r="L498" s="71" t="n"/>
      <c r="M498" s="71" t="n"/>
      <c r="N498" s="71" t="n"/>
      <c r="O498" s="113" t="inlineStr">
        <is>
          <t>–</t>
        </is>
      </c>
    </row>
    <row r="499" outlineLevel="2" ht="15" customHeight="1">
      <c r="A499" s="69" t="inlineStr">
        <is>
          <t xml:space="preserve">      GST TDS (₹)</t>
        </is>
      </c>
      <c r="B499" s="70">
        <f>IF('Final Calculation Sheet'!$R$13="","",'Final Calculation Sheet'!$R$13)</f>
        <v/>
      </c>
      <c r="C499" s="181">
        <f>IF('Final Calculation Sheet'!$R$16="","",'Final Calculation Sheet'!$R$16)</f>
        <v/>
      </c>
      <c r="D499" s="70">
        <f>IF('Final Calculation Sheet'!$R$17="","",'Final Calculation Sheet'!$R$17)</f>
        <v/>
      </c>
      <c r="E499" s="181">
        <f>IF('Final Calculation Sheet'!$R$23="","",'Final Calculation Sheet'!$R$23)</f>
        <v/>
      </c>
      <c r="F499" s="70">
        <f>IF('Final Calculation Sheet'!$R$29="","",'Final Calculation Sheet'!$R$29)</f>
        <v/>
      </c>
      <c r="G499" s="181">
        <f>IF('Final Calculation Sheet'!$R$34="","",'Final Calculation Sheet'!$R$34)</f>
        <v/>
      </c>
      <c r="H499" s="70">
        <f>IF('Final Calculation Sheet'!$R$36="","",'Final Calculation Sheet'!$R$36)</f>
        <v/>
      </c>
      <c r="I499" s="71" t="n"/>
      <c r="J499" s="71" t="n"/>
      <c r="K499" s="71" t="n"/>
      <c r="L499" s="71" t="n"/>
      <c r="M499" s="71" t="n"/>
      <c r="N499" s="71" t="n"/>
      <c r="O499" s="115">
        <f>SUM(B499:N499)</f>
        <v/>
      </c>
    </row>
    <row r="500" outlineLevel="2" ht="15" customHeight="1">
      <c r="A500" s="69" t="inlineStr">
        <is>
          <t xml:space="preserve">      Total Receivables (₹)</t>
        </is>
      </c>
      <c r="B500" s="70">
        <f>IF('Final Calculation Sheet'!$S$13="","",'Final Calculation Sheet'!$S$13)</f>
        <v/>
      </c>
      <c r="C500" s="181">
        <f>IF('Final Calculation Sheet'!$S$16="","",'Final Calculation Sheet'!$S$16)</f>
        <v/>
      </c>
      <c r="D500" s="70">
        <f>IF('Final Calculation Sheet'!$S$17="","",'Final Calculation Sheet'!$S$17)</f>
        <v/>
      </c>
      <c r="E500" s="181">
        <f>IF('Final Calculation Sheet'!$S$23="","",'Final Calculation Sheet'!$S$23)</f>
        <v/>
      </c>
      <c r="F500" s="70">
        <f>IF('Final Calculation Sheet'!$S$29="","",'Final Calculation Sheet'!$S$29)</f>
        <v/>
      </c>
      <c r="G500" s="181">
        <f>IF('Final Calculation Sheet'!$S$34="","",'Final Calculation Sheet'!$S$34)</f>
        <v/>
      </c>
      <c r="H500" s="70">
        <f>IF('Final Calculation Sheet'!$S$36="","",'Final Calculation Sheet'!$S$36)</f>
        <v/>
      </c>
      <c r="I500" s="71" t="n"/>
      <c r="J500" s="71" t="n"/>
      <c r="K500" s="71" t="n"/>
      <c r="L500" s="71" t="n"/>
      <c r="M500" s="71" t="n"/>
      <c r="N500" s="71" t="n"/>
      <c r="O500" s="115">
        <f>SUM(B500:N500)</f>
        <v/>
      </c>
    </row>
    <row r="501" outlineLevel="1" ht="16" customHeight="1">
      <c r="A501" s="109" t="inlineStr">
        <is>
          <t xml:space="preserve">  ▸ SECURITY DEPOSIT</t>
        </is>
      </c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</row>
    <row r="502" outlineLevel="2" ht="15" customHeight="1">
      <c r="A502" s="69" t="inlineStr">
        <is>
          <t xml:space="preserve">      SD Expected (₹)</t>
        </is>
      </c>
      <c r="B502" s="70">
        <f>IF('Final Calculation Sheet'!$T$13="","",'Final Calculation Sheet'!$T$13)</f>
        <v/>
      </c>
      <c r="C502" s="181">
        <f>IF('Final Calculation Sheet'!$T$16="","",'Final Calculation Sheet'!$T$16)</f>
        <v/>
      </c>
      <c r="D502" s="70">
        <f>IF('Final Calculation Sheet'!$T$17="","",'Final Calculation Sheet'!$T$17)</f>
        <v/>
      </c>
      <c r="E502" s="181">
        <f>IF('Final Calculation Sheet'!$T$23="","",'Final Calculation Sheet'!$T$23)</f>
        <v/>
      </c>
      <c r="F502" s="70">
        <f>IF('Final Calculation Sheet'!$T$29="","",'Final Calculation Sheet'!$T$29)</f>
        <v/>
      </c>
      <c r="G502" s="181">
        <f>IF('Final Calculation Sheet'!$T$34="","",'Final Calculation Sheet'!$T$34)</f>
        <v/>
      </c>
      <c r="H502" s="70">
        <f>IF('Final Calculation Sheet'!$T$36="","",'Final Calculation Sheet'!$T$36)</f>
        <v/>
      </c>
      <c r="I502" s="71" t="n"/>
      <c r="J502" s="71" t="n"/>
      <c r="K502" s="71" t="n"/>
      <c r="L502" s="71" t="n"/>
      <c r="M502" s="71" t="n"/>
      <c r="N502" s="71" t="n"/>
      <c r="O502" s="115">
        <f>SUM(B502:N502)</f>
        <v/>
      </c>
    </row>
    <row r="503" outlineLevel="2" ht="15" customHeight="1">
      <c r="A503" s="69" t="inlineStr">
        <is>
          <t xml:space="preserve">      SD Received (₹)</t>
        </is>
      </c>
      <c r="B503" s="70">
        <f>IF('Final Calculation Sheet'!$U$13="","",'Final Calculation Sheet'!$U$13)</f>
        <v/>
      </c>
      <c r="C503" s="181">
        <f>IF('Final Calculation Sheet'!$U$16="","",'Final Calculation Sheet'!$U$16)</f>
        <v/>
      </c>
      <c r="D503" s="70">
        <f>IF('Final Calculation Sheet'!$U$17="","",'Final Calculation Sheet'!$U$17)</f>
        <v/>
      </c>
      <c r="E503" s="181">
        <f>IF('Final Calculation Sheet'!$U$23="","",'Final Calculation Sheet'!$U$23)</f>
        <v/>
      </c>
      <c r="F503" s="70">
        <f>IF('Final Calculation Sheet'!$U$29="","",'Final Calculation Sheet'!$U$29)</f>
        <v/>
      </c>
      <c r="G503" s="181">
        <f>IF('Final Calculation Sheet'!$U$34="","",'Final Calculation Sheet'!$U$34)</f>
        <v/>
      </c>
      <c r="H503" s="70">
        <f>IF('Final Calculation Sheet'!$U$36="","",'Final Calculation Sheet'!$U$36)</f>
        <v/>
      </c>
      <c r="I503" s="71" t="n"/>
      <c r="J503" s="71" t="n"/>
      <c r="K503" s="71" t="n"/>
      <c r="L503" s="71" t="n"/>
      <c r="M503" s="71" t="n"/>
      <c r="N503" s="71" t="n"/>
      <c r="O503" s="115">
        <f>SUM(B503:N503)</f>
        <v/>
      </c>
    </row>
    <row r="504" outlineLevel="2" ht="15" customHeight="1">
      <c r="A504" s="69" t="inlineStr">
        <is>
          <t xml:space="preserve">      SD Receipt Date</t>
        </is>
      </c>
      <c r="B504" s="76">
        <f>IF('Final Calculation Sheet'!$V$13="","",'Final Calculation Sheet'!$V$13)</f>
        <v/>
      </c>
      <c r="C504" s="184">
        <f>IF('Final Calculation Sheet'!$V$16="","",'Final Calculation Sheet'!$V$16)</f>
        <v/>
      </c>
      <c r="D504" s="76">
        <f>IF('Final Calculation Sheet'!$V$17="","",'Final Calculation Sheet'!$V$17)</f>
        <v/>
      </c>
      <c r="E504" s="184">
        <f>IF('Final Calculation Sheet'!$V$23="","",'Final Calculation Sheet'!$V$23)</f>
        <v/>
      </c>
      <c r="F504" s="76">
        <f>IF('Final Calculation Sheet'!$V$29="","",'Final Calculation Sheet'!$V$29)</f>
        <v/>
      </c>
      <c r="G504" s="184">
        <f>IF('Final Calculation Sheet'!$V$34="","",'Final Calculation Sheet'!$V$34)</f>
        <v/>
      </c>
      <c r="H504" s="76">
        <f>IF('Final Calculation Sheet'!$V$36="","",'Final Calculation Sheet'!$V$36)</f>
        <v/>
      </c>
      <c r="I504" s="71" t="n"/>
      <c r="J504" s="71" t="n"/>
      <c r="K504" s="71" t="n"/>
      <c r="L504" s="71" t="n"/>
      <c r="M504" s="71" t="n"/>
      <c r="N504" s="71" t="n"/>
      <c r="O504" s="113" t="inlineStr">
        <is>
          <t>–</t>
        </is>
      </c>
    </row>
    <row r="505" outlineLevel="1" ht="16" customHeight="1">
      <c r="A505" s="109" t="inlineStr">
        <is>
          <t xml:space="preserve">  ▸ FINAL PAYMENT</t>
        </is>
      </c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</row>
    <row r="506" outlineLevel="2" ht="15" customHeight="1">
      <c r="A506" s="69" t="inlineStr">
        <is>
          <t xml:space="preserve">      FP Expected (₹)</t>
        </is>
      </c>
      <c r="B506" s="70">
        <f>IF('Final Calculation Sheet'!$W$13="","",'Final Calculation Sheet'!$W$13)</f>
        <v/>
      </c>
      <c r="C506" s="181">
        <f>IF('Final Calculation Sheet'!$W$16="","",'Final Calculation Sheet'!$W$16)</f>
        <v/>
      </c>
      <c r="D506" s="70">
        <f>IF('Final Calculation Sheet'!$W$17="","",'Final Calculation Sheet'!$W$17)</f>
        <v/>
      </c>
      <c r="E506" s="181">
        <f>IF('Final Calculation Sheet'!$W$23="","",'Final Calculation Sheet'!$W$23)</f>
        <v/>
      </c>
      <c r="F506" s="70">
        <f>IF('Final Calculation Sheet'!$W$29="","",'Final Calculation Sheet'!$W$29)</f>
        <v/>
      </c>
      <c r="G506" s="181">
        <f>IF('Final Calculation Sheet'!$W$34="","",'Final Calculation Sheet'!$W$34)</f>
        <v/>
      </c>
      <c r="H506" s="70">
        <f>IF('Final Calculation Sheet'!$W$36="","",'Final Calculation Sheet'!$W$36)</f>
        <v/>
      </c>
      <c r="I506" s="71" t="n"/>
      <c r="J506" s="71" t="n"/>
      <c r="K506" s="71" t="n"/>
      <c r="L506" s="71" t="n"/>
      <c r="M506" s="71" t="n"/>
      <c r="N506" s="71" t="n"/>
      <c r="O506" s="115">
        <f>SUM(B506:N506)</f>
        <v/>
      </c>
    </row>
    <row r="507" outlineLevel="2" ht="15" customHeight="1">
      <c r="A507" s="69" t="inlineStr">
        <is>
          <t xml:space="preserve">      FP Received (₹)</t>
        </is>
      </c>
      <c r="B507" s="70">
        <f>IF('Final Calculation Sheet'!$X$13="","",'Final Calculation Sheet'!$X$13)</f>
        <v/>
      </c>
      <c r="C507" s="181">
        <f>IF('Final Calculation Sheet'!$X$16="","",'Final Calculation Sheet'!$X$16)</f>
        <v/>
      </c>
      <c r="D507" s="70">
        <f>IF('Final Calculation Sheet'!$X$17="","",'Final Calculation Sheet'!$X$17)</f>
        <v/>
      </c>
      <c r="E507" s="181">
        <f>IF('Final Calculation Sheet'!$X$23="","",'Final Calculation Sheet'!$X$23)</f>
        <v/>
      </c>
      <c r="F507" s="70">
        <f>IF('Final Calculation Sheet'!$X$29="","",'Final Calculation Sheet'!$X$29)</f>
        <v/>
      </c>
      <c r="G507" s="181">
        <f>IF('Final Calculation Sheet'!$X$34="","",'Final Calculation Sheet'!$X$34)</f>
        <v/>
      </c>
      <c r="H507" s="70">
        <f>IF('Final Calculation Sheet'!$X$36="","",'Final Calculation Sheet'!$X$36)</f>
        <v/>
      </c>
      <c r="I507" s="71" t="n"/>
      <c r="J507" s="71" t="n"/>
      <c r="K507" s="71" t="n"/>
      <c r="L507" s="71" t="n"/>
      <c r="M507" s="71" t="n"/>
      <c r="N507" s="71" t="n"/>
      <c r="O507" s="115">
        <f>SUM(B507:N507)</f>
        <v/>
      </c>
    </row>
    <row r="508" outlineLevel="2" ht="15" customHeight="1">
      <c r="A508" s="69" t="inlineStr">
        <is>
          <t xml:space="preserve">      FP Receipt Date</t>
        </is>
      </c>
      <c r="B508" s="76">
        <f>IF('Final Calculation Sheet'!$Y$13="","",'Final Calculation Sheet'!$Y$13)</f>
        <v/>
      </c>
      <c r="C508" s="184">
        <f>IF('Final Calculation Sheet'!$Y$16="","",'Final Calculation Sheet'!$Y$16)</f>
        <v/>
      </c>
      <c r="D508" s="76">
        <f>IF('Final Calculation Sheet'!$Y$17="","",'Final Calculation Sheet'!$Y$17)</f>
        <v/>
      </c>
      <c r="E508" s="184">
        <f>IF('Final Calculation Sheet'!$Y$23="","",'Final Calculation Sheet'!$Y$23)</f>
        <v/>
      </c>
      <c r="F508" s="76">
        <f>IF('Final Calculation Sheet'!$Y$29="","",'Final Calculation Sheet'!$Y$29)</f>
        <v/>
      </c>
      <c r="G508" s="184">
        <f>IF('Final Calculation Sheet'!$Y$34="","",'Final Calculation Sheet'!$Y$34)</f>
        <v/>
      </c>
      <c r="H508" s="76">
        <f>IF('Final Calculation Sheet'!$Y$36="","",'Final Calculation Sheet'!$Y$36)</f>
        <v/>
      </c>
      <c r="I508" s="71" t="n"/>
      <c r="J508" s="71" t="n"/>
      <c r="K508" s="71" t="n"/>
      <c r="L508" s="71" t="n"/>
      <c r="M508" s="71" t="n"/>
      <c r="N508" s="71" t="n"/>
      <c r="O508" s="113" t="inlineStr">
        <is>
          <t>–</t>
        </is>
      </c>
    </row>
    <row r="509" outlineLevel="1" ht="16" customHeight="1">
      <c r="A509" s="109" t="inlineStr">
        <is>
          <t xml:space="preserve">  ▸ LPP</t>
        </is>
      </c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</row>
    <row r="510" outlineLevel="2" ht="15" customHeight="1">
      <c r="A510" s="69" t="inlineStr">
        <is>
          <t xml:space="preserve">      LPP Expected (₹)</t>
        </is>
      </c>
      <c r="B510" s="70">
        <f>IF('Final Calculation Sheet'!$Z$13="","",'Final Calculation Sheet'!$Z$13)</f>
        <v/>
      </c>
      <c r="C510" s="181">
        <f>IF('Final Calculation Sheet'!$Z$16="","",'Final Calculation Sheet'!$Z$16)</f>
        <v/>
      </c>
      <c r="D510" s="70">
        <f>IF('Final Calculation Sheet'!$Z$17="","",'Final Calculation Sheet'!$Z$17)</f>
        <v/>
      </c>
      <c r="E510" s="181">
        <f>IF('Final Calculation Sheet'!$Z$23="","",'Final Calculation Sheet'!$Z$23)</f>
        <v/>
      </c>
      <c r="F510" s="70">
        <f>IF('Final Calculation Sheet'!$Z$29="","",'Final Calculation Sheet'!$Z$29)</f>
        <v/>
      </c>
      <c r="G510" s="181">
        <f>IF('Final Calculation Sheet'!$Z$34="","",'Final Calculation Sheet'!$Z$34)</f>
        <v/>
      </c>
      <c r="H510" s="70">
        <f>IF('Final Calculation Sheet'!$Z$36="","",'Final Calculation Sheet'!$Z$36)</f>
        <v/>
      </c>
      <c r="I510" s="71" t="n"/>
      <c r="J510" s="71" t="n"/>
      <c r="K510" s="71" t="n"/>
      <c r="L510" s="71" t="n"/>
      <c r="M510" s="71" t="n"/>
      <c r="N510" s="71" t="n"/>
      <c r="O510" s="115">
        <f>SUM(B510:N510)</f>
        <v/>
      </c>
    </row>
    <row r="511" outlineLevel="2" ht="15" customHeight="1">
      <c r="A511" s="69" t="inlineStr">
        <is>
          <t xml:space="preserve">      LPP Received (₹)</t>
        </is>
      </c>
      <c r="B511" s="70">
        <f>IF('Final Calculation Sheet'!$AA$13="","",'Final Calculation Sheet'!$AA$13)</f>
        <v/>
      </c>
      <c r="C511" s="181">
        <f>IF('Final Calculation Sheet'!$AA$16="","",'Final Calculation Sheet'!$AA$16)</f>
        <v/>
      </c>
      <c r="D511" s="70">
        <f>IF('Final Calculation Sheet'!$AA$17="","",'Final Calculation Sheet'!$AA$17)</f>
        <v/>
      </c>
      <c r="E511" s="181">
        <f>IF('Final Calculation Sheet'!$AA$23="","",'Final Calculation Sheet'!$AA$23)</f>
        <v/>
      </c>
      <c r="F511" s="70">
        <f>IF('Final Calculation Sheet'!$AA$29="","",'Final Calculation Sheet'!$AA$29)</f>
        <v/>
      </c>
      <c r="G511" s="181">
        <f>IF('Final Calculation Sheet'!$AA$34="","",'Final Calculation Sheet'!$AA$34)</f>
        <v/>
      </c>
      <c r="H511" s="70">
        <f>IF('Final Calculation Sheet'!$AA$36="","",'Final Calculation Sheet'!$AA$36)</f>
        <v/>
      </c>
      <c r="I511" s="71" t="n"/>
      <c r="J511" s="71" t="n"/>
      <c r="K511" s="71" t="n"/>
      <c r="L511" s="71" t="n"/>
      <c r="M511" s="71" t="n"/>
      <c r="N511" s="71" t="n"/>
      <c r="O511" s="115">
        <f>SUM(B511:N511)</f>
        <v/>
      </c>
    </row>
    <row r="512" outlineLevel="2" ht="15" customHeight="1">
      <c r="A512" s="69" t="inlineStr">
        <is>
          <t xml:space="preserve">      LPP Receipt Date</t>
        </is>
      </c>
      <c r="B512" s="76">
        <f>IF('Final Calculation Sheet'!$AB$13="","",'Final Calculation Sheet'!$AB$13)</f>
        <v/>
      </c>
      <c r="C512" s="184">
        <f>IF('Final Calculation Sheet'!$AB$16="","",'Final Calculation Sheet'!$AB$16)</f>
        <v/>
      </c>
      <c r="D512" s="76">
        <f>IF('Final Calculation Sheet'!$AB$17="","",'Final Calculation Sheet'!$AB$17)</f>
        <v/>
      </c>
      <c r="E512" s="184">
        <f>IF('Final Calculation Sheet'!$AB$23="","",'Final Calculation Sheet'!$AB$23)</f>
        <v/>
      </c>
      <c r="F512" s="76">
        <f>IF('Final Calculation Sheet'!$AB$29="","",'Final Calculation Sheet'!$AB$29)</f>
        <v/>
      </c>
      <c r="G512" s="184">
        <f>IF('Final Calculation Sheet'!$AB$34="","",'Final Calculation Sheet'!$AB$34)</f>
        <v/>
      </c>
      <c r="H512" s="76">
        <f>IF('Final Calculation Sheet'!$AB$36="","",'Final Calculation Sheet'!$AB$36)</f>
        <v/>
      </c>
      <c r="I512" s="71" t="n"/>
      <c r="J512" s="71" t="n"/>
      <c r="K512" s="71" t="n"/>
      <c r="L512" s="71" t="n"/>
      <c r="M512" s="71" t="n"/>
      <c r="N512" s="71" t="n"/>
      <c r="O512" s="113" t="inlineStr">
        <is>
          <t>–</t>
        </is>
      </c>
    </row>
    <row r="513" outlineLevel="1" ht="16" customHeight="1">
      <c r="A513" s="109" t="inlineStr">
        <is>
          <t xml:space="preserve">  ▸ SUMMARY</t>
        </is>
      </c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</row>
    <row r="514" outlineLevel="2" ht="15" customHeight="1">
      <c r="A514" s="69" t="inlineStr">
        <is>
          <t xml:space="preserve">      Total Received (₹)</t>
        </is>
      </c>
      <c r="B514" s="70">
        <f>IF('Final Calculation Sheet'!$AC$13="","",'Final Calculation Sheet'!$AC$13)</f>
        <v/>
      </c>
      <c r="C514" s="181">
        <f>IF('Final Calculation Sheet'!$AC$16="","",'Final Calculation Sheet'!$AC$16)</f>
        <v/>
      </c>
      <c r="D514" s="70">
        <f>IF('Final Calculation Sheet'!$AC$17="","",'Final Calculation Sheet'!$AC$17)</f>
        <v/>
      </c>
      <c r="E514" s="181">
        <f>IF('Final Calculation Sheet'!$AC$23="","",'Final Calculation Sheet'!$AC$23)</f>
        <v/>
      </c>
      <c r="F514" s="70">
        <f>IF('Final Calculation Sheet'!$AC$29="","",'Final Calculation Sheet'!$AC$29)</f>
        <v/>
      </c>
      <c r="G514" s="181">
        <f>IF('Final Calculation Sheet'!$AC$34="","",'Final Calculation Sheet'!$AC$34)</f>
        <v/>
      </c>
      <c r="H514" s="70">
        <f>IF('Final Calculation Sheet'!$AC$36="","",'Final Calculation Sheet'!$AC$36)</f>
        <v/>
      </c>
      <c r="I514" s="71" t="n"/>
      <c r="J514" s="71" t="n"/>
      <c r="K514" s="71" t="n"/>
      <c r="L514" s="71" t="n"/>
      <c r="M514" s="71" t="n"/>
      <c r="N514" s="71" t="n"/>
      <c r="O514" s="115">
        <f>SUM(B514:N514)</f>
        <v/>
      </c>
    </row>
    <row r="515" outlineLevel="2" ht="15" customHeight="1">
      <c r="A515" s="69" t="inlineStr">
        <is>
          <t xml:space="preserve">      Outstanding (₹)</t>
        </is>
      </c>
      <c r="B515" s="70">
        <f>IF('Final Calculation Sheet'!$AD$13="","",'Final Calculation Sheet'!$AD$13)</f>
        <v/>
      </c>
      <c r="C515" s="181">
        <f>IF('Final Calculation Sheet'!$AD$16="","",'Final Calculation Sheet'!$AD$16)</f>
        <v/>
      </c>
      <c r="D515" s="70">
        <f>IF('Final Calculation Sheet'!$AD$17="","",'Final Calculation Sheet'!$AD$17)</f>
        <v/>
      </c>
      <c r="E515" s="181">
        <f>IF('Final Calculation Sheet'!$AD$23="","",'Final Calculation Sheet'!$AD$23)</f>
        <v/>
      </c>
      <c r="F515" s="70">
        <f>IF('Final Calculation Sheet'!$AD$29="","",'Final Calculation Sheet'!$AD$29)</f>
        <v/>
      </c>
      <c r="G515" s="181">
        <f>IF('Final Calculation Sheet'!$AD$34="","",'Final Calculation Sheet'!$AD$34)</f>
        <v/>
      </c>
      <c r="H515" s="70">
        <f>IF('Final Calculation Sheet'!$AD$36="","",'Final Calculation Sheet'!$AD$36)</f>
        <v/>
      </c>
      <c r="I515" s="71" t="n"/>
      <c r="J515" s="71" t="n"/>
      <c r="K515" s="71" t="n"/>
      <c r="L515" s="71" t="n"/>
      <c r="M515" s="71" t="n"/>
      <c r="N515" s="71" t="n"/>
      <c r="O515" s="115">
        <f>SUM(B515:N515)</f>
        <v/>
      </c>
    </row>
    <row r="516" outlineLevel="2" ht="15" customHeight="1">
      <c r="A516" s="69" t="inlineStr">
        <is>
          <t xml:space="preserve">      Payment Status</t>
        </is>
      </c>
      <c r="B516" s="81">
        <f>IF('Final Calculation Sheet'!$AD$13="","",IF('Final Calculation Sheet'!$AD$13&lt;=0,"SETTLED","OUTSTANDING"))</f>
        <v/>
      </c>
      <c r="C516" s="187">
        <f>IF('Final Calculation Sheet'!$AD$16="","",IF('Final Calculation Sheet'!$AD$16&lt;=0,"SETTLED","OUTSTANDING"))</f>
        <v/>
      </c>
      <c r="D516" s="81">
        <f>IF('Final Calculation Sheet'!$AD$17="","",IF('Final Calculation Sheet'!$AD$17&lt;=0,"SETTLED","OUTSTANDING"))</f>
        <v/>
      </c>
      <c r="E516" s="187">
        <f>IF('Final Calculation Sheet'!$AD$23="","",IF('Final Calculation Sheet'!$AD$23&lt;=0,"SETTLED","OUTSTANDING"))</f>
        <v/>
      </c>
      <c r="F516" s="81">
        <f>IF('Final Calculation Sheet'!$AD$29="","",IF('Final Calculation Sheet'!$AD$29&lt;=0,"SETTLED","OUTSTANDING"))</f>
        <v/>
      </c>
      <c r="G516" s="187">
        <f>IF('Final Calculation Sheet'!$AD$34="","",IF('Final Calculation Sheet'!$AD$34&lt;=0,"SETTLED","OUTSTANDING"))</f>
        <v/>
      </c>
      <c r="H516" s="81">
        <f>IF('Final Calculation Sheet'!$AD$36="","",IF('Final Calculation Sheet'!$AD$36&lt;=0,"SETTLED","OUTSTANDING"))</f>
        <v/>
      </c>
      <c r="I516" s="71" t="n"/>
      <c r="J516" s="71" t="n"/>
      <c r="K516" s="71" t="n"/>
      <c r="L516" s="71" t="n"/>
      <c r="M516" s="71" t="n"/>
      <c r="N516" s="71" t="n"/>
      <c r="O516" s="113" t="inlineStr">
        <is>
          <t>–</t>
        </is>
      </c>
    </row>
    <row r="517" outlineLevel="1" ht="16" customHeight="1">
      <c r="A517" s="109" t="inlineStr">
        <is>
          <t xml:space="preserve">  ▸ DOCUMENT</t>
        </is>
      </c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</row>
    <row r="518" outlineLevel="2" ht="15" customHeight="1">
      <c r="A518" s="69" t="inlineStr">
        <is>
          <t xml:space="preserve">      Invoice No.</t>
        </is>
      </c>
      <c r="B518" s="76">
        <f>IF('Final Calculation Sheet'!$AE$13="","",'Final Calculation Sheet'!$AE$13)</f>
        <v/>
      </c>
      <c r="C518" s="184">
        <f>IF('Final Calculation Sheet'!$AE$16="","",'Final Calculation Sheet'!$AE$16)</f>
        <v/>
      </c>
      <c r="D518" s="76">
        <f>IF('Final Calculation Sheet'!$AE$17="","",'Final Calculation Sheet'!$AE$17)</f>
        <v/>
      </c>
      <c r="E518" s="184">
        <f>IF('Final Calculation Sheet'!$AE$23="","",'Final Calculation Sheet'!$AE$23)</f>
        <v/>
      </c>
      <c r="F518" s="76">
        <f>IF('Final Calculation Sheet'!$AE$29="","",'Final Calculation Sheet'!$AE$29)</f>
        <v/>
      </c>
      <c r="G518" s="184">
        <f>IF('Final Calculation Sheet'!$AE$34="","",'Final Calculation Sheet'!$AE$34)</f>
        <v/>
      </c>
      <c r="H518" s="76">
        <f>IF('Final Calculation Sheet'!$AE$36="","",'Final Calculation Sheet'!$AE$36)</f>
        <v/>
      </c>
      <c r="I518" s="71" t="n"/>
      <c r="J518" s="71" t="n"/>
      <c r="K518" s="71" t="n"/>
      <c r="L518" s="71" t="n"/>
      <c r="M518" s="71" t="n"/>
      <c r="N518" s="71" t="n"/>
      <c r="O518" s="113" t="inlineStr">
        <is>
          <t>–</t>
        </is>
      </c>
    </row>
    <row r="519" outlineLevel="2" ht="15" customHeight="1">
      <c r="A519" s="69" t="inlineStr">
        <is>
          <t xml:space="preserve">      SAP Document</t>
        </is>
      </c>
      <c r="B519" s="70">
        <f>IF('Final Calculation Sheet'!$AF$13="","",'Final Calculation Sheet'!$AF$13)</f>
        <v/>
      </c>
      <c r="C519" s="181">
        <f>IF('Final Calculation Sheet'!$AF$16="","",'Final Calculation Sheet'!$AF$16)</f>
        <v/>
      </c>
      <c r="D519" s="70">
        <f>IF('Final Calculation Sheet'!$AF$17="","",'Final Calculation Sheet'!$AF$17)</f>
        <v/>
      </c>
      <c r="E519" s="181">
        <f>IF('Final Calculation Sheet'!$AF$23="","",'Final Calculation Sheet'!$AF$23)</f>
        <v/>
      </c>
      <c r="F519" s="70">
        <f>IF('Final Calculation Sheet'!$AF$29="","",'Final Calculation Sheet'!$AF$29)</f>
        <v/>
      </c>
      <c r="G519" s="181">
        <f>IF('Final Calculation Sheet'!$AF$34="","",'Final Calculation Sheet'!$AF$34)</f>
        <v/>
      </c>
      <c r="H519" s="70">
        <f>IF('Final Calculation Sheet'!$AF$36="","",'Final Calculation Sheet'!$AF$36)</f>
        <v/>
      </c>
      <c r="I519" s="71" t="n"/>
      <c r="J519" s="71" t="n"/>
      <c r="K519" s="71" t="n"/>
      <c r="L519" s="71" t="n"/>
      <c r="M519" s="71" t="n"/>
      <c r="N519" s="71" t="n"/>
      <c r="O519" s="113" t="inlineStr">
        <is>
          <t>–</t>
        </is>
      </c>
    </row>
    <row r="520" outlineLevel="2" ht="15" customHeight="1">
      <c r="A520" s="69" t="inlineStr">
        <is>
          <t xml:space="preserve">      Doc./Invoice Date</t>
        </is>
      </c>
      <c r="B520" s="76">
        <f>IF('Final Calculation Sheet'!$AG$13="","",'Final Calculation Sheet'!$AG$13)</f>
        <v/>
      </c>
      <c r="C520" s="184">
        <f>IF('Final Calculation Sheet'!$AG$16="","",'Final Calculation Sheet'!$AG$16)</f>
        <v/>
      </c>
      <c r="D520" s="76">
        <f>IF('Final Calculation Sheet'!$AG$17="","",'Final Calculation Sheet'!$AG$17)</f>
        <v/>
      </c>
      <c r="E520" s="184">
        <f>IF('Final Calculation Sheet'!$AG$23="","",'Final Calculation Sheet'!$AG$23)</f>
        <v/>
      </c>
      <c r="F520" s="76">
        <f>IF('Final Calculation Sheet'!$AG$29="","",'Final Calculation Sheet'!$AG$29)</f>
        <v/>
      </c>
      <c r="G520" s="184">
        <f>IF('Final Calculation Sheet'!$AG$34="","",'Final Calculation Sheet'!$AG$34)</f>
        <v/>
      </c>
      <c r="H520" s="76">
        <f>IF('Final Calculation Sheet'!$AG$36="","",'Final Calculation Sheet'!$AG$36)</f>
        <v/>
      </c>
      <c r="I520" s="71" t="n"/>
      <c r="J520" s="71" t="n"/>
      <c r="K520" s="71" t="n"/>
      <c r="L520" s="71" t="n"/>
      <c r="M520" s="71" t="n"/>
      <c r="N520" s="71" t="n"/>
      <c r="O520" s="113" t="inlineStr">
        <is>
          <t>–</t>
        </is>
      </c>
    </row>
    <row r="521" ht="7" customHeight="1">
      <c r="A521" s="82" t="n"/>
      <c r="B521" s="82" t="n"/>
      <c r="C521" s="82" t="n"/>
      <c r="D521" s="82" t="n"/>
      <c r="E521" s="82" t="n"/>
      <c r="F521" s="82" t="n"/>
      <c r="G521" s="82" t="n"/>
      <c r="H521" s="82" t="n"/>
      <c r="I521" s="82" t="n"/>
      <c r="J521" s="82" t="n"/>
      <c r="K521" s="82" t="n"/>
      <c r="L521" s="82" t="n"/>
      <c r="M521" s="82" t="n"/>
      <c r="N521" s="82" t="n"/>
      <c r="O521" s="82" t="n"/>
    </row>
    <row r="522" ht="24" customHeight="1">
      <c r="A522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</row>
    <row r="523" outlineLevel="1" ht="18" customHeight="1">
      <c r="A523" s="118" t="inlineStr">
        <is>
          <t xml:space="preserve">   Lot No. →</t>
        </is>
      </c>
      <c r="B523" s="119">
        <f>IF('Final Calculation Sheet'!$F$25="","",'Final Calculation Sheet'!$F$25)</f>
        <v/>
      </c>
      <c r="C523" s="119">
        <f>IF('Final Calculation Sheet'!$F$28="","",'Final Calculation Sheet'!$F$28)</f>
        <v/>
      </c>
      <c r="D523" s="119">
        <f>IF('Final Calculation Sheet'!$F$35="","",'Final Calculation Sheet'!$F$35)</f>
        <v/>
      </c>
      <c r="E523" s="120" t="n"/>
      <c r="F523" s="120" t="n"/>
      <c r="G523" s="120" t="n"/>
      <c r="H523" s="120" t="n"/>
      <c r="I523" s="120" t="n"/>
      <c r="J523" s="120" t="n"/>
      <c r="K523" s="120" t="n"/>
      <c r="L523" s="120" t="n"/>
      <c r="M523" s="120" t="n"/>
      <c r="N523" s="120" t="n"/>
      <c r="O523" s="121" t="inlineStr">
        <is>
          <t>TOTAL</t>
        </is>
      </c>
    </row>
    <row r="524" outlineLevel="1" ht="16" customHeight="1">
      <c r="A524" s="118" t="inlineStr">
        <is>
          <t xml:space="preserve">  ▸ LOT INFORMATION</t>
        </is>
      </c>
      <c r="B524" s="120" t="n"/>
      <c r="C524" s="120" t="n"/>
      <c r="D524" s="120" t="n"/>
      <c r="E524" s="120" t="n"/>
      <c r="F524" s="120" t="n"/>
      <c r="G524" s="120" t="n"/>
      <c r="H524" s="120" t="n"/>
      <c r="I524" s="120" t="n"/>
      <c r="J524" s="120" t="n"/>
      <c r="K524" s="120" t="n"/>
      <c r="L524" s="120" t="n"/>
      <c r="M524" s="120" t="n"/>
      <c r="N524" s="120" t="n"/>
      <c r="O524" s="120" t="n"/>
    </row>
    <row r="525" outlineLevel="2" ht="15" customHeight="1">
      <c r="A525" s="69" t="inlineStr">
        <is>
          <t xml:space="preserve">      Lot No.</t>
        </is>
      </c>
      <c r="B525" s="70">
        <f>IF('Final Calculation Sheet'!$F$25="","",'Final Calculation Sheet'!$F$25)</f>
        <v/>
      </c>
      <c r="C525" s="188">
        <f>IF('Final Calculation Sheet'!$F$28="","",'Final Calculation Sheet'!$F$28)</f>
        <v/>
      </c>
      <c r="D525" s="70">
        <f>IF('Final Calculation Sheet'!$F$35="","",'Final Calculation Sheet'!$F$35)</f>
        <v/>
      </c>
      <c r="E525" s="71" t="n"/>
      <c r="F525" s="71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122" t="inlineStr">
        <is>
          <t>–</t>
        </is>
      </c>
    </row>
    <row r="526" outlineLevel="2" ht="60" customHeight="1">
      <c r="A526" s="69" t="inlineStr">
        <is>
          <t xml:space="preserve">      Lot Name</t>
        </is>
      </c>
      <c r="B526" s="73">
        <f>IF('Final Calculation Sheet'!$B$25="","",'Final Calculation Sheet'!$B$25)</f>
        <v/>
      </c>
      <c r="C526" s="189">
        <f>IF('Final Calculation Sheet'!$B$28="","",'Final Calculation Sheet'!$B$28)</f>
        <v/>
      </c>
      <c r="D526" s="73">
        <f>IF('Final Calculation Sheet'!$B$35="","",'Final Calculation Sheet'!$B$35)</f>
        <v/>
      </c>
      <c r="E526" s="71" t="n"/>
      <c r="F526" s="71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122" t="inlineStr">
        <is>
          <t>–</t>
        </is>
      </c>
    </row>
    <row r="527" outlineLevel="2" ht="15" customHeight="1">
      <c r="A527" s="69" t="inlineStr">
        <is>
          <t xml:space="preserve">      Bid Sheet / Auction</t>
        </is>
      </c>
      <c r="B527" s="70">
        <f>IF('Final Calculation Sheet'!$D$25="","",'Final Calculation Sheet'!$D$25)</f>
        <v/>
      </c>
      <c r="C527" s="188">
        <f>IF('Final Calculation Sheet'!$D$28="","",'Final Calculation Sheet'!$D$28)</f>
        <v/>
      </c>
      <c r="D527" s="70">
        <f>IF('Final Calculation Sheet'!$D$35="","",'Final Calculation Sheet'!$D$35)</f>
        <v/>
      </c>
      <c r="E527" s="71" t="n"/>
      <c r="F527" s="71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122" t="inlineStr">
        <is>
          <t>–</t>
        </is>
      </c>
    </row>
    <row r="528" outlineLevel="2" ht="15" customHeight="1">
      <c r="A528" s="69" t="inlineStr">
        <is>
          <t xml:space="preserve">      Quantity</t>
        </is>
      </c>
      <c r="B528" s="74">
        <f>IF('Final Calculation Sheet'!$A$25="","",'Final Calculation Sheet'!$A$25)</f>
        <v/>
      </c>
      <c r="C528" s="190">
        <f>IF('Final Calculation Sheet'!$A$28="","",'Final Calculation Sheet'!$A$28)</f>
        <v/>
      </c>
      <c r="D528" s="74">
        <f>IF('Final Calculation Sheet'!$A$35="","",'Final Calculation Sheet'!$A$35)</f>
        <v/>
      </c>
      <c r="E528" s="71" t="n"/>
      <c r="F528" s="71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123">
        <f>SUM(B528:N528)</f>
        <v/>
      </c>
    </row>
    <row r="529" outlineLevel="2" ht="15" customHeight="1">
      <c r="A529" s="69" t="inlineStr">
        <is>
          <t xml:space="preserve">      Unit</t>
        </is>
      </c>
      <c r="B529" s="76">
        <f>IF('Final Calculation Sheet'!$E$25="","",'Final Calculation Sheet'!$E$25)</f>
        <v/>
      </c>
      <c r="C529" s="191">
        <f>IF('Final Calculation Sheet'!$E$28="","",'Final Calculation Sheet'!$E$28)</f>
        <v/>
      </c>
      <c r="D529" s="76">
        <f>IF('Final Calculation Sheet'!$E$35="","",'Final Calculation Sheet'!$E$35)</f>
        <v/>
      </c>
      <c r="E529" s="71" t="n"/>
      <c r="F529" s="71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122" t="inlineStr">
        <is>
          <t>–</t>
        </is>
      </c>
    </row>
    <row r="530" outlineLevel="2" ht="15" customHeight="1">
      <c r="A530" s="69" t="inlineStr">
        <is>
          <t xml:space="preserve">      Rate (₹)</t>
        </is>
      </c>
      <c r="B530" s="70">
        <f>IF('Final Calculation Sheet'!$C$25="","",'Final Calculation Sheet'!$C$25)</f>
        <v/>
      </c>
      <c r="C530" s="188">
        <f>IF('Final Calculation Sheet'!$C$28="","",'Final Calculation Sheet'!$C$28)</f>
        <v/>
      </c>
      <c r="D530" s="70">
        <f>IF('Final Calculation Sheet'!$C$35="","",'Final Calculation Sheet'!$C$35)</f>
        <v/>
      </c>
      <c r="E530" s="71" t="n"/>
      <c r="F530" s="71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122" t="inlineStr">
        <is>
          <t>–</t>
        </is>
      </c>
    </row>
    <row r="531" outlineLevel="1" ht="16" customHeight="1">
      <c r="A531" s="118" t="inlineStr">
        <is>
          <t xml:space="preserve">  ▸ FINANCIALS</t>
        </is>
      </c>
      <c r="B531" s="120" t="n"/>
      <c r="C531" s="120" t="n"/>
      <c r="D531" s="120" t="n"/>
      <c r="E531" s="120" t="n"/>
      <c r="F531" s="120" t="n"/>
      <c r="G531" s="120" t="n"/>
      <c r="H531" s="120" t="n"/>
      <c r="I531" s="120" t="n"/>
      <c r="J531" s="120" t="n"/>
      <c r="K531" s="120" t="n"/>
      <c r="L531" s="120" t="n"/>
      <c r="M531" s="120" t="n"/>
      <c r="N531" s="120" t="n"/>
      <c r="O531" s="120" t="n"/>
    </row>
    <row r="532" outlineLevel="2" ht="15" customHeight="1">
      <c r="A532" s="69" t="inlineStr">
        <is>
          <t xml:space="preserve">      Mat. Value (₹)</t>
        </is>
      </c>
      <c r="B532" s="70">
        <f>IF('Final Calculation Sheet'!$H$25="","",'Final Calculation Sheet'!$H$25)</f>
        <v/>
      </c>
      <c r="C532" s="188">
        <f>IF('Final Calculation Sheet'!$H$28="","",'Final Calculation Sheet'!$H$28)</f>
        <v/>
      </c>
      <c r="D532" s="70">
        <f>IF('Final Calculation Sheet'!$H$35="","",'Final Calculation Sheet'!$H$35)</f>
        <v/>
      </c>
      <c r="E532" s="71" t="n"/>
      <c r="F532" s="71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124">
        <f>SUM(B532:N532)</f>
        <v/>
      </c>
    </row>
    <row r="533" outlineLevel="2" ht="15" customHeight="1">
      <c r="A533" s="69" t="inlineStr">
        <is>
          <t xml:space="preserve">      GST @ 18% (₹)</t>
        </is>
      </c>
      <c r="B533" s="70">
        <f>IF('Final Calculation Sheet'!$I$25="","",'Final Calculation Sheet'!$I$25)</f>
        <v/>
      </c>
      <c r="C533" s="188">
        <f>IF('Final Calculation Sheet'!$I$28="","",'Final Calculation Sheet'!$I$28)</f>
        <v/>
      </c>
      <c r="D533" s="70">
        <f>IF('Final Calculation Sheet'!$I$35="","",'Final Calculation Sheet'!$I$35)</f>
        <v/>
      </c>
      <c r="E533" s="71" t="n"/>
      <c r="F533" s="71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124">
        <f>SUM(B533:N533)</f>
        <v/>
      </c>
    </row>
    <row r="534" outlineLevel="2" ht="15" customHeight="1">
      <c r="A534" s="69" t="inlineStr">
        <is>
          <t xml:space="preserve">      Mat. Value + GST (₹)</t>
        </is>
      </c>
      <c r="B534" s="70">
        <f>IF('Final Calculation Sheet'!$J$25="","",'Final Calculation Sheet'!$J$25)</f>
        <v/>
      </c>
      <c r="C534" s="188">
        <f>IF('Final Calculation Sheet'!$J$28="","",'Final Calculation Sheet'!$J$28)</f>
        <v/>
      </c>
      <c r="D534" s="70">
        <f>IF('Final Calculation Sheet'!$J$35="","",'Final Calculation Sheet'!$J$35)</f>
        <v/>
      </c>
      <c r="E534" s="71" t="n"/>
      <c r="F534" s="71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124">
        <f>SUM(B534:N534)</f>
        <v/>
      </c>
    </row>
    <row r="535" outlineLevel="2" ht="15" customHeight="1">
      <c r="A535" s="69" t="inlineStr">
        <is>
          <t xml:space="preserve">      TCS @ 2% (₹)</t>
        </is>
      </c>
      <c r="B535" s="70">
        <f>IF('Final Calculation Sheet'!$K$25="","",'Final Calculation Sheet'!$K$25)</f>
        <v/>
      </c>
      <c r="C535" s="188">
        <f>IF('Final Calculation Sheet'!$K$28="","",'Final Calculation Sheet'!$K$28)</f>
        <v/>
      </c>
      <c r="D535" s="70">
        <f>IF('Final Calculation Sheet'!$K$35="","",'Final Calculation Sheet'!$K$35)</f>
        <v/>
      </c>
      <c r="E535" s="71" t="n"/>
      <c r="F535" s="71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124">
        <f>SUM(B535:N535)</f>
        <v/>
      </c>
    </row>
    <row r="536" outlineLevel="2" ht="15" customHeight="1">
      <c r="A536" s="69" t="inlineStr">
        <is>
          <t xml:space="preserve">      TDS u/s 194(O) (₹)</t>
        </is>
      </c>
      <c r="B536" s="78">
        <f>IF('Final Calculation Sheet'!$L$25="","",'Final Calculation Sheet'!$L$25)</f>
        <v/>
      </c>
      <c r="C536" s="192">
        <f>IF('Final Calculation Sheet'!$L$28="","",'Final Calculation Sheet'!$L$28)</f>
        <v/>
      </c>
      <c r="D536" s="78">
        <f>IF('Final Calculation Sheet'!$L$35="","",'Final Calculation Sheet'!$L$35)</f>
        <v/>
      </c>
      <c r="E536" s="71" t="n"/>
      <c r="F536" s="71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125">
        <f>SUM(B536:N536)</f>
        <v/>
      </c>
    </row>
    <row r="537" outlineLevel="2" ht="15" customHeight="1">
      <c r="A537" s="69" t="inlineStr">
        <is>
          <t xml:space="preserve">      Service Charge gross (₹)</t>
        </is>
      </c>
      <c r="B537" s="78">
        <f>IF('Final Calculation Sheet'!$M$25="","",'Final Calculation Sheet'!$M$25)</f>
        <v/>
      </c>
      <c r="C537" s="192">
        <f>IF('Final Calculation Sheet'!$M$28="","",'Final Calculation Sheet'!$M$28)</f>
        <v/>
      </c>
      <c r="D537" s="78">
        <f>IF('Final Calculation Sheet'!$M$35="","",'Final Calculation Sheet'!$M$35)</f>
        <v/>
      </c>
      <c r="E537" s="71" t="n"/>
      <c r="F537" s="71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125">
        <f>SUM(B537:N537)</f>
        <v/>
      </c>
    </row>
    <row r="538" outlineLevel="2" ht="15" customHeight="1">
      <c r="A538" s="69" t="inlineStr">
        <is>
          <t xml:space="preserve">      TDS u/s 194(H) (₹)</t>
        </is>
      </c>
      <c r="B538" s="78">
        <f>IF('Final Calculation Sheet'!$N$25="","",'Final Calculation Sheet'!$N$25)</f>
        <v/>
      </c>
      <c r="C538" s="192">
        <f>IF('Final Calculation Sheet'!$N$28="","",'Final Calculation Sheet'!$N$28)</f>
        <v/>
      </c>
      <c r="D538" s="78">
        <f>IF('Final Calculation Sheet'!$N$35="","",'Final Calculation Sheet'!$N$35)</f>
        <v/>
      </c>
      <c r="E538" s="71" t="n"/>
      <c r="F538" s="71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125">
        <f>SUM(B538:N538)</f>
        <v/>
      </c>
    </row>
    <row r="539" outlineLevel="2" ht="15" customHeight="1">
      <c r="A539" s="69" t="inlineStr">
        <is>
          <t xml:space="preserve">      Net Service Charge (₹)</t>
        </is>
      </c>
      <c r="B539" s="78">
        <f>IF('Final Calculation Sheet'!$O$25="","",'Final Calculation Sheet'!$O$25)</f>
        <v/>
      </c>
      <c r="C539" s="192">
        <f>IF('Final Calculation Sheet'!$O$28="","",'Final Calculation Sheet'!$O$28)</f>
        <v/>
      </c>
      <c r="D539" s="78">
        <f>IF('Final Calculation Sheet'!$O$35="","",'Final Calculation Sheet'!$O$35)</f>
        <v/>
      </c>
      <c r="E539" s="71" t="n"/>
      <c r="F539" s="71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125">
        <f>SUM(B539:N539)</f>
        <v/>
      </c>
    </row>
    <row r="540" outlineLevel="2" ht="15" customHeight="1">
      <c r="A540" s="69" t="inlineStr">
        <is>
          <t xml:space="preserve">      Svc Charge to MSTC (₹)</t>
        </is>
      </c>
      <c r="B540" s="70">
        <f>IF('Final Calculation Sheet'!$P$25="","",'Final Calculation Sheet'!$P$25)</f>
        <v/>
      </c>
      <c r="C540" s="188">
        <f>IF('Final Calculation Sheet'!$P$28="","",'Final Calculation Sheet'!$P$28)</f>
        <v/>
      </c>
      <c r="D540" s="70">
        <f>IF('Final Calculation Sheet'!$P$35="","",'Final Calculation Sheet'!$P$35)</f>
        <v/>
      </c>
      <c r="E540" s="71" t="n"/>
      <c r="F540" s="71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124">
        <f>SUM(B540:N540)</f>
        <v/>
      </c>
    </row>
    <row r="541" outlineLevel="2" ht="15" customHeight="1">
      <c r="A541" s="69" t="inlineStr">
        <is>
          <t xml:space="preserve">      GST TDS Rate</t>
        </is>
      </c>
      <c r="B541" s="80">
        <f>IF('Final Calculation Sheet'!$Q$25="","",'Final Calculation Sheet'!$Q$25)</f>
        <v/>
      </c>
      <c r="C541" s="193">
        <f>IF('Final Calculation Sheet'!$Q$28="","",'Final Calculation Sheet'!$Q$28)</f>
        <v/>
      </c>
      <c r="D541" s="80">
        <f>IF('Final Calculation Sheet'!$Q$35="","",'Final Calculation Sheet'!$Q$35)</f>
        <v/>
      </c>
      <c r="E541" s="71" t="n"/>
      <c r="F541" s="71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122" t="inlineStr">
        <is>
          <t>–</t>
        </is>
      </c>
    </row>
    <row r="542" outlineLevel="2" ht="15" customHeight="1">
      <c r="A542" s="69" t="inlineStr">
        <is>
          <t xml:space="preserve">      GST TDS (₹)</t>
        </is>
      </c>
      <c r="B542" s="70">
        <f>IF('Final Calculation Sheet'!$R$25="","",'Final Calculation Sheet'!$R$25)</f>
        <v/>
      </c>
      <c r="C542" s="188">
        <f>IF('Final Calculation Sheet'!$R$28="","",'Final Calculation Sheet'!$R$28)</f>
        <v/>
      </c>
      <c r="D542" s="70">
        <f>IF('Final Calculation Sheet'!$R$35="","",'Final Calculation Sheet'!$R$35)</f>
        <v/>
      </c>
      <c r="E542" s="71" t="n"/>
      <c r="F542" s="71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124">
        <f>SUM(B542:N542)</f>
        <v/>
      </c>
    </row>
    <row r="543" outlineLevel="2" ht="15" customHeight="1">
      <c r="A543" s="69" t="inlineStr">
        <is>
          <t xml:space="preserve">      Total Receivables (₹)</t>
        </is>
      </c>
      <c r="B543" s="70">
        <f>IF('Final Calculation Sheet'!$S$25="","",'Final Calculation Sheet'!$S$25)</f>
        <v/>
      </c>
      <c r="C543" s="188">
        <f>IF('Final Calculation Sheet'!$S$28="","",'Final Calculation Sheet'!$S$28)</f>
        <v/>
      </c>
      <c r="D543" s="70">
        <f>IF('Final Calculation Sheet'!$S$35="","",'Final Calculation Sheet'!$S$35)</f>
        <v/>
      </c>
      <c r="E543" s="71" t="n"/>
      <c r="F543" s="71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124">
        <f>SUM(B543:N543)</f>
        <v/>
      </c>
    </row>
    <row r="544" outlineLevel="1" ht="16" customHeight="1">
      <c r="A544" s="118" t="inlineStr">
        <is>
          <t xml:space="preserve">  ▸ SECURITY DEPOSIT</t>
        </is>
      </c>
      <c r="B544" s="120" t="n"/>
      <c r="C544" s="120" t="n"/>
      <c r="D544" s="120" t="n"/>
      <c r="E544" s="120" t="n"/>
      <c r="F544" s="120" t="n"/>
      <c r="G544" s="120" t="n"/>
      <c r="H544" s="120" t="n"/>
      <c r="I544" s="120" t="n"/>
      <c r="J544" s="120" t="n"/>
      <c r="K544" s="120" t="n"/>
      <c r="L544" s="120" t="n"/>
      <c r="M544" s="120" t="n"/>
      <c r="N544" s="120" t="n"/>
      <c r="O544" s="120" t="n"/>
    </row>
    <row r="545" outlineLevel="2" ht="15" customHeight="1">
      <c r="A545" s="69" t="inlineStr">
        <is>
          <t xml:space="preserve">      SD Expected (₹)</t>
        </is>
      </c>
      <c r="B545" s="70">
        <f>IF('Final Calculation Sheet'!$T$25="","",'Final Calculation Sheet'!$T$25)</f>
        <v/>
      </c>
      <c r="C545" s="188">
        <f>IF('Final Calculation Sheet'!$T$28="","",'Final Calculation Sheet'!$T$28)</f>
        <v/>
      </c>
      <c r="D545" s="70">
        <f>IF('Final Calculation Sheet'!$T$35="","",'Final Calculation Sheet'!$T$35)</f>
        <v/>
      </c>
      <c r="E545" s="71" t="n"/>
      <c r="F545" s="71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124">
        <f>SUM(B545:N545)</f>
        <v/>
      </c>
    </row>
    <row r="546" outlineLevel="2" ht="15" customHeight="1">
      <c r="A546" s="69" t="inlineStr">
        <is>
          <t xml:space="preserve">      SD Received (₹)</t>
        </is>
      </c>
      <c r="B546" s="70">
        <f>IF('Final Calculation Sheet'!$U$25="","",'Final Calculation Sheet'!$U$25)</f>
        <v/>
      </c>
      <c r="C546" s="188">
        <f>IF('Final Calculation Sheet'!$U$28="","",'Final Calculation Sheet'!$U$28)</f>
        <v/>
      </c>
      <c r="D546" s="70">
        <f>IF('Final Calculation Sheet'!$U$35="","",'Final Calculation Sheet'!$U$35)</f>
        <v/>
      </c>
      <c r="E546" s="71" t="n"/>
      <c r="F546" s="71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124">
        <f>SUM(B546:N546)</f>
        <v/>
      </c>
    </row>
    <row r="547" outlineLevel="2" ht="15" customHeight="1">
      <c r="A547" s="69" t="inlineStr">
        <is>
          <t xml:space="preserve">      SD Receipt Date</t>
        </is>
      </c>
      <c r="B547" s="76">
        <f>IF('Final Calculation Sheet'!$V$25="","",'Final Calculation Sheet'!$V$25)</f>
        <v/>
      </c>
      <c r="C547" s="191">
        <f>IF('Final Calculation Sheet'!$V$28="","",'Final Calculation Sheet'!$V$28)</f>
        <v/>
      </c>
      <c r="D547" s="76">
        <f>IF('Final Calculation Sheet'!$V$35="","",'Final Calculation Sheet'!$V$35)</f>
        <v/>
      </c>
      <c r="E547" s="71" t="n"/>
      <c r="F547" s="71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122" t="inlineStr">
        <is>
          <t>–</t>
        </is>
      </c>
    </row>
    <row r="548" outlineLevel="1" ht="16" customHeight="1">
      <c r="A548" s="118" t="inlineStr">
        <is>
          <t xml:space="preserve">  ▸ FINAL PAYMENT</t>
        </is>
      </c>
      <c r="B548" s="120" t="n"/>
      <c r="C548" s="120" t="n"/>
      <c r="D548" s="120" t="n"/>
      <c r="E548" s="120" t="n"/>
      <c r="F548" s="120" t="n"/>
      <c r="G548" s="120" t="n"/>
      <c r="H548" s="120" t="n"/>
      <c r="I548" s="120" t="n"/>
      <c r="J548" s="120" t="n"/>
      <c r="K548" s="120" t="n"/>
      <c r="L548" s="120" t="n"/>
      <c r="M548" s="120" t="n"/>
      <c r="N548" s="120" t="n"/>
      <c r="O548" s="120" t="n"/>
    </row>
    <row r="549" outlineLevel="2" ht="15" customHeight="1">
      <c r="A549" s="69" t="inlineStr">
        <is>
          <t xml:space="preserve">      FP Expected (₹)</t>
        </is>
      </c>
      <c r="B549" s="70">
        <f>IF('Final Calculation Sheet'!$W$25="","",'Final Calculation Sheet'!$W$25)</f>
        <v/>
      </c>
      <c r="C549" s="188">
        <f>IF('Final Calculation Sheet'!$W$28="","",'Final Calculation Sheet'!$W$28)</f>
        <v/>
      </c>
      <c r="D549" s="70">
        <f>IF('Final Calculation Sheet'!$W$35="","",'Final Calculation Sheet'!$W$35)</f>
        <v/>
      </c>
      <c r="E549" s="71" t="n"/>
      <c r="F549" s="71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124">
        <f>SUM(B549:N549)</f>
        <v/>
      </c>
    </row>
    <row r="550" outlineLevel="2" ht="15" customHeight="1">
      <c r="A550" s="69" t="inlineStr">
        <is>
          <t xml:space="preserve">      FP Received (₹)</t>
        </is>
      </c>
      <c r="B550" s="70">
        <f>IF('Final Calculation Sheet'!$X$25="","",'Final Calculation Sheet'!$X$25)</f>
        <v/>
      </c>
      <c r="C550" s="188">
        <f>IF('Final Calculation Sheet'!$X$28="","",'Final Calculation Sheet'!$X$28)</f>
        <v/>
      </c>
      <c r="D550" s="70">
        <f>IF('Final Calculation Sheet'!$X$35="","",'Final Calculation Sheet'!$X$35)</f>
        <v/>
      </c>
      <c r="E550" s="71" t="n"/>
      <c r="F550" s="71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124">
        <f>SUM(B550:N550)</f>
        <v/>
      </c>
    </row>
    <row r="551" outlineLevel="2" ht="15" customHeight="1">
      <c r="A551" s="69" t="inlineStr">
        <is>
          <t xml:space="preserve">      FP Receipt Date</t>
        </is>
      </c>
      <c r="B551" s="76">
        <f>IF('Final Calculation Sheet'!$Y$25="","",'Final Calculation Sheet'!$Y$25)</f>
        <v/>
      </c>
      <c r="C551" s="191">
        <f>IF('Final Calculation Sheet'!$Y$28="","",'Final Calculation Sheet'!$Y$28)</f>
        <v/>
      </c>
      <c r="D551" s="76">
        <f>IF('Final Calculation Sheet'!$Y$35="","",'Final Calculation Sheet'!$Y$35)</f>
        <v/>
      </c>
      <c r="E551" s="71" t="n"/>
      <c r="F551" s="71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122" t="inlineStr">
        <is>
          <t>–</t>
        </is>
      </c>
    </row>
    <row r="552" outlineLevel="1" ht="16" customHeight="1">
      <c r="A552" s="118" t="inlineStr">
        <is>
          <t xml:space="preserve">  ▸ LPP</t>
        </is>
      </c>
      <c r="B552" s="120" t="n"/>
      <c r="C552" s="120" t="n"/>
      <c r="D552" s="120" t="n"/>
      <c r="E552" s="120" t="n"/>
      <c r="F552" s="120" t="n"/>
      <c r="G552" s="120" t="n"/>
      <c r="H552" s="120" t="n"/>
      <c r="I552" s="120" t="n"/>
      <c r="J552" s="120" t="n"/>
      <c r="K552" s="120" t="n"/>
      <c r="L552" s="120" t="n"/>
      <c r="M552" s="120" t="n"/>
      <c r="N552" s="120" t="n"/>
      <c r="O552" s="120" t="n"/>
    </row>
    <row r="553" outlineLevel="2" ht="15" customHeight="1">
      <c r="A553" s="69" t="inlineStr">
        <is>
          <t xml:space="preserve">      LPP Expected (₹)</t>
        </is>
      </c>
      <c r="B553" s="70">
        <f>IF('Final Calculation Sheet'!$Z$25="","",'Final Calculation Sheet'!$Z$25)</f>
        <v/>
      </c>
      <c r="C553" s="188">
        <f>IF('Final Calculation Sheet'!$Z$28="","",'Final Calculation Sheet'!$Z$28)</f>
        <v/>
      </c>
      <c r="D553" s="70">
        <f>IF('Final Calculation Sheet'!$Z$35="","",'Final Calculation Sheet'!$Z$35)</f>
        <v/>
      </c>
      <c r="E553" s="71" t="n"/>
      <c r="F553" s="71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124">
        <f>SUM(B553:N553)</f>
        <v/>
      </c>
    </row>
    <row r="554" outlineLevel="2" ht="15" customHeight="1">
      <c r="A554" s="69" t="inlineStr">
        <is>
          <t xml:space="preserve">      LPP Received (₹)</t>
        </is>
      </c>
      <c r="B554" s="70">
        <f>IF('Final Calculation Sheet'!$AA$25="","",'Final Calculation Sheet'!$AA$25)</f>
        <v/>
      </c>
      <c r="C554" s="188">
        <f>IF('Final Calculation Sheet'!$AA$28="","",'Final Calculation Sheet'!$AA$28)</f>
        <v/>
      </c>
      <c r="D554" s="70">
        <f>IF('Final Calculation Sheet'!$AA$35="","",'Final Calculation Sheet'!$AA$35)</f>
        <v/>
      </c>
      <c r="E554" s="71" t="n"/>
      <c r="F554" s="71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124">
        <f>SUM(B554:N554)</f>
        <v/>
      </c>
    </row>
    <row r="555" outlineLevel="2" ht="15" customHeight="1">
      <c r="A555" s="69" t="inlineStr">
        <is>
          <t xml:space="preserve">      LPP Receipt Date</t>
        </is>
      </c>
      <c r="B555" s="76">
        <f>IF('Final Calculation Sheet'!$AB$25="","",'Final Calculation Sheet'!$AB$25)</f>
        <v/>
      </c>
      <c r="C555" s="191">
        <f>IF('Final Calculation Sheet'!$AB$28="","",'Final Calculation Sheet'!$AB$28)</f>
        <v/>
      </c>
      <c r="D555" s="76">
        <f>IF('Final Calculation Sheet'!$AB$35="","",'Final Calculation Sheet'!$AB$35)</f>
        <v/>
      </c>
      <c r="E555" s="71" t="n"/>
      <c r="F555" s="71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122" t="inlineStr">
        <is>
          <t>–</t>
        </is>
      </c>
    </row>
    <row r="556" outlineLevel="1" ht="16" customHeight="1">
      <c r="A556" s="118" t="inlineStr">
        <is>
          <t xml:space="preserve">  ▸ SUMMARY</t>
        </is>
      </c>
      <c r="B556" s="120" t="n"/>
      <c r="C556" s="120" t="n"/>
      <c r="D556" s="120" t="n"/>
      <c r="E556" s="120" t="n"/>
      <c r="F556" s="120" t="n"/>
      <c r="G556" s="120" t="n"/>
      <c r="H556" s="120" t="n"/>
      <c r="I556" s="120" t="n"/>
      <c r="J556" s="120" t="n"/>
      <c r="K556" s="120" t="n"/>
      <c r="L556" s="120" t="n"/>
      <c r="M556" s="120" t="n"/>
      <c r="N556" s="120" t="n"/>
      <c r="O556" s="120" t="n"/>
    </row>
    <row r="557" outlineLevel="2" ht="15" customHeight="1">
      <c r="A557" s="69" t="inlineStr">
        <is>
          <t xml:space="preserve">      Total Received (₹)</t>
        </is>
      </c>
      <c r="B557" s="70">
        <f>IF('Final Calculation Sheet'!$AC$25="","",'Final Calculation Sheet'!$AC$25)</f>
        <v/>
      </c>
      <c r="C557" s="188">
        <f>IF('Final Calculation Sheet'!$AC$28="","",'Final Calculation Sheet'!$AC$28)</f>
        <v/>
      </c>
      <c r="D557" s="70">
        <f>IF('Final Calculation Sheet'!$AC$35="","",'Final Calculation Sheet'!$AC$35)</f>
        <v/>
      </c>
      <c r="E557" s="71" t="n"/>
      <c r="F557" s="71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124">
        <f>SUM(B557:N557)</f>
        <v/>
      </c>
    </row>
    <row r="558" outlineLevel="2" ht="15" customHeight="1">
      <c r="A558" s="69" t="inlineStr">
        <is>
          <t xml:space="preserve">      Outstanding (₹)</t>
        </is>
      </c>
      <c r="B558" s="70">
        <f>IF('Final Calculation Sheet'!$AD$25="","",'Final Calculation Sheet'!$AD$25)</f>
        <v/>
      </c>
      <c r="C558" s="188">
        <f>IF('Final Calculation Sheet'!$AD$28="","",'Final Calculation Sheet'!$AD$28)</f>
        <v/>
      </c>
      <c r="D558" s="70">
        <f>IF('Final Calculation Sheet'!$AD$35="","",'Final Calculation Sheet'!$AD$35)</f>
        <v/>
      </c>
      <c r="E558" s="71" t="n"/>
      <c r="F558" s="71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124">
        <f>SUM(B558:N558)</f>
        <v/>
      </c>
    </row>
    <row r="559" outlineLevel="2" ht="15" customHeight="1">
      <c r="A559" s="69" t="inlineStr">
        <is>
          <t xml:space="preserve">      Payment Status</t>
        </is>
      </c>
      <c r="B559" s="81">
        <f>IF('Final Calculation Sheet'!$AD$25="","",IF('Final Calculation Sheet'!$AD$25&lt;=0,"SETTLED","OUTSTANDING"))</f>
        <v/>
      </c>
      <c r="C559" s="194">
        <f>IF('Final Calculation Sheet'!$AD$28="","",IF('Final Calculation Sheet'!$AD$28&lt;=0,"SETTLED","OUTSTANDING"))</f>
        <v/>
      </c>
      <c r="D559" s="81">
        <f>IF('Final Calculation Sheet'!$AD$35="","",IF('Final Calculation Sheet'!$AD$35&lt;=0,"SETTLED","OUTSTANDING"))</f>
        <v/>
      </c>
      <c r="E559" s="71" t="n"/>
      <c r="F559" s="71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122" t="inlineStr">
        <is>
          <t>–</t>
        </is>
      </c>
    </row>
    <row r="560" outlineLevel="1" ht="16" customHeight="1">
      <c r="A560" s="118" t="inlineStr">
        <is>
          <t xml:space="preserve">  ▸ DOCUMENT</t>
        </is>
      </c>
      <c r="B560" s="120" t="n"/>
      <c r="C560" s="120" t="n"/>
      <c r="D560" s="120" t="n"/>
      <c r="E560" s="120" t="n"/>
      <c r="F560" s="120" t="n"/>
      <c r="G560" s="120" t="n"/>
      <c r="H560" s="120" t="n"/>
      <c r="I560" s="120" t="n"/>
      <c r="J560" s="120" t="n"/>
      <c r="K560" s="120" t="n"/>
      <c r="L560" s="120" t="n"/>
      <c r="M560" s="120" t="n"/>
      <c r="N560" s="120" t="n"/>
      <c r="O560" s="120" t="n"/>
    </row>
    <row r="561" outlineLevel="2" ht="15" customHeight="1">
      <c r="A561" s="69" t="inlineStr">
        <is>
          <t xml:space="preserve">      Invoice No.</t>
        </is>
      </c>
      <c r="B561" s="76">
        <f>IF('Final Calculation Sheet'!$AE$25="","",'Final Calculation Sheet'!$AE$25)</f>
        <v/>
      </c>
      <c r="C561" s="191">
        <f>IF('Final Calculation Sheet'!$AE$28="","",'Final Calculation Sheet'!$AE$28)</f>
        <v/>
      </c>
      <c r="D561" s="76">
        <f>IF('Final Calculation Sheet'!$AE$35="","",'Final Calculation Sheet'!$AE$35)</f>
        <v/>
      </c>
      <c r="E561" s="71" t="n"/>
      <c r="F561" s="71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122" t="inlineStr">
        <is>
          <t>–</t>
        </is>
      </c>
    </row>
    <row r="562" outlineLevel="2" ht="15" customHeight="1">
      <c r="A562" s="69" t="inlineStr">
        <is>
          <t xml:space="preserve">      SAP Document</t>
        </is>
      </c>
      <c r="B562" s="70">
        <f>IF('Final Calculation Sheet'!$AF$25="","",'Final Calculation Sheet'!$AF$25)</f>
        <v/>
      </c>
      <c r="C562" s="188">
        <f>IF('Final Calculation Sheet'!$AF$28="","",'Final Calculation Sheet'!$AF$28)</f>
        <v/>
      </c>
      <c r="D562" s="70">
        <f>IF('Final Calculation Sheet'!$AF$35="","",'Final Calculation Sheet'!$AF$35)</f>
        <v/>
      </c>
      <c r="E562" s="71" t="n"/>
      <c r="F562" s="71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122" t="inlineStr">
        <is>
          <t>–</t>
        </is>
      </c>
    </row>
    <row r="563" outlineLevel="2" ht="15" customHeight="1">
      <c r="A563" s="69" t="inlineStr">
        <is>
          <t xml:space="preserve">      Doc./Invoice Date</t>
        </is>
      </c>
      <c r="B563" s="76">
        <f>IF('Final Calculation Sheet'!$AG$25="","",'Final Calculation Sheet'!$AG$25)</f>
        <v/>
      </c>
      <c r="C563" s="191">
        <f>IF('Final Calculation Sheet'!$AG$28="","",'Final Calculation Sheet'!$AG$28)</f>
        <v/>
      </c>
      <c r="D563" s="76">
        <f>IF('Final Calculation Sheet'!$AG$35="","",'Final Calculation Sheet'!$AG$35)</f>
        <v/>
      </c>
      <c r="E563" s="71" t="n"/>
      <c r="F563" s="71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122" t="inlineStr">
        <is>
          <t>–</t>
        </is>
      </c>
    </row>
    <row r="564" ht="7" customHeight="1">
      <c r="A564" s="82" t="n"/>
      <c r="B564" s="82" t="n"/>
      <c r="C564" s="82" t="n"/>
      <c r="D564" s="82" t="n"/>
      <c r="E564" s="82" t="n"/>
      <c r="F564" s="82" t="n"/>
      <c r="G564" s="82" t="n"/>
      <c r="H564" s="82" t="n"/>
      <c r="I564" s="82" t="n"/>
      <c r="J564" s="82" t="n"/>
      <c r="K564" s="82" t="n"/>
      <c r="L564" s="82" t="n"/>
      <c r="M564" s="82" t="n"/>
      <c r="N564" s="82" t="n"/>
      <c r="O564" s="82" t="n"/>
    </row>
    <row r="566" ht="22" customHeight="1">
      <c r="A566" s="195" t="inlineStr">
        <is>
          <t>◈  BUYER INDEX  —  click a buyer name to jump to its block</t>
        </is>
      </c>
    </row>
    <row r="567" ht="26" customHeight="1">
      <c r="A567" s="196" t="inlineStr">
        <is>
          <t>BUYER (click to jump)</t>
        </is>
      </c>
      <c r="B567" s="196" t="inlineStr">
        <is>
          <t>LOTS</t>
        </is>
      </c>
      <c r="C567" s="196" t="inlineStr">
        <is>
          <t>MAT. VALUE ₹</t>
        </is>
      </c>
      <c r="D567" s="196" t="inlineStr">
        <is>
          <t>TOTAL RECEIVABLES ₹</t>
        </is>
      </c>
      <c r="E567" s="196" t="inlineStr">
        <is>
          <t>TOTAL RECEIVED ₹</t>
        </is>
      </c>
      <c r="F567" s="196" t="inlineStr">
        <is>
          <t>OUTSTANDING ₹</t>
        </is>
      </c>
      <c r="G567" s="196" t="inlineStr">
        <is>
          <t>STATUS</t>
        </is>
      </c>
    </row>
    <row r="568" ht="16" customHeight="1">
      <c r="A568" s="197" t="inlineStr">
        <is>
          <t>AL HAMD TRADE CORPORATION</t>
        </is>
      </c>
      <c r="B568" s="198">
        <f>COUNTIF('Final Calculation Sheet'!$G$4:$G$1000,"AL HAMD TRADE CORPORATION")</f>
        <v/>
      </c>
      <c r="C568" s="199">
        <f>SUMIF('Final Calculation Sheet'!$G$4:$G$1000,"AL HAMD TRADE CORPORATION",'Final Calculation Sheet'!$H$4:$H$1000)</f>
        <v/>
      </c>
      <c r="D568" s="199">
        <f>SUMIF('Final Calculation Sheet'!$G$4:$G$1000,"AL HAMD TRADE CORPORATION",'Final Calculation Sheet'!$S$4:$S$1000)</f>
        <v/>
      </c>
      <c r="E568" s="199">
        <f>SUMIF('Final Calculation Sheet'!$G$4:$G$1000,"AL HAMD TRADE CORPORATION",'Final Calculation Sheet'!$AC$4:$AC$1000)</f>
        <v/>
      </c>
      <c r="F568" s="199">
        <f>SUMIF('Final Calculation Sheet'!$G$4:$G$1000,"AL HAMD TRADE CORPORATION",'Final Calculation Sheet'!$AD$4:$AD$1000)</f>
        <v/>
      </c>
      <c r="G568" s="68">
        <f>IF(F568&lt;=0,"SETTLED","OUTSTANDING")</f>
        <v/>
      </c>
    </row>
    <row r="569" ht="16" customHeight="1">
      <c r="A569" s="200" t="inlineStr">
        <is>
          <t>F R KHANS ENTERPRISES</t>
        </is>
      </c>
      <c r="B569" s="201">
        <f>COUNTIF('Final Calculation Sheet'!$G$4:$G$1000,"F R KHANS ENTERPRISES")</f>
        <v/>
      </c>
      <c r="C569" s="202">
        <f>SUMIF('Final Calculation Sheet'!$G$4:$G$1000,"F R KHANS ENTERPRISES",'Final Calculation Sheet'!$H$4:$H$1000)</f>
        <v/>
      </c>
      <c r="D569" s="202">
        <f>SUMIF('Final Calculation Sheet'!$G$4:$G$1000,"F R KHANS ENTERPRISES",'Final Calculation Sheet'!$S$4:$S$1000)</f>
        <v/>
      </c>
      <c r="E569" s="202">
        <f>SUMIF('Final Calculation Sheet'!$G$4:$G$1000,"F R KHANS ENTERPRISES",'Final Calculation Sheet'!$AC$4:$AC$1000)</f>
        <v/>
      </c>
      <c r="F569" s="202">
        <f>SUMIF('Final Calculation Sheet'!$G$4:$G$1000,"F R KHANS ENTERPRISES",'Final Calculation Sheet'!$AD$4:$AD$1000)</f>
        <v/>
      </c>
      <c r="G569" s="203">
        <f>IF(F569&lt;=0,"SETTLED","OUTSTANDING")</f>
        <v/>
      </c>
    </row>
    <row r="570" ht="16" customHeight="1">
      <c r="A570" s="204" t="inlineStr">
        <is>
          <t>HIND TRADERS</t>
        </is>
      </c>
      <c r="B570" s="205">
        <f>COUNTIF('Final Calculation Sheet'!$G$4:$G$1000,"HIND TRADERS")</f>
        <v/>
      </c>
      <c r="C570" s="206">
        <f>SUMIF('Final Calculation Sheet'!$G$4:$G$1000,"HIND TRADERS",'Final Calculation Sheet'!$H$4:$H$1000)</f>
        <v/>
      </c>
      <c r="D570" s="206">
        <f>SUMIF('Final Calculation Sheet'!$G$4:$G$1000,"HIND TRADERS",'Final Calculation Sheet'!$S$4:$S$1000)</f>
        <v/>
      </c>
      <c r="E570" s="206">
        <f>SUMIF('Final Calculation Sheet'!$G$4:$G$1000,"HIND TRADERS",'Final Calculation Sheet'!$AC$4:$AC$1000)</f>
        <v/>
      </c>
      <c r="F570" s="206">
        <f>SUMIF('Final Calculation Sheet'!$G$4:$G$1000,"HIND TRADERS",'Final Calculation Sheet'!$AD$4:$AD$1000)</f>
        <v/>
      </c>
      <c r="G570" s="103">
        <f>IF(F570&lt;=0,"SETTLED","OUTSTANDING")</f>
        <v/>
      </c>
    </row>
    <row r="571" ht="16" customHeight="1">
      <c r="A571" s="207" t="inlineStr">
        <is>
          <t>KASHYAP TRADING CO</t>
        </is>
      </c>
      <c r="B571" s="208">
        <f>COUNTIF('Final Calculation Sheet'!$G$4:$G$1000,"KASHYAP TRADING CO")</f>
        <v/>
      </c>
      <c r="C571" s="209">
        <f>SUMIF('Final Calculation Sheet'!$G$4:$G$1000,"KASHYAP TRADING CO",'Final Calculation Sheet'!$H$4:$H$1000)</f>
        <v/>
      </c>
      <c r="D571" s="209">
        <f>SUMIF('Final Calculation Sheet'!$G$4:$G$1000,"KASHYAP TRADING CO",'Final Calculation Sheet'!$S$4:$S$1000)</f>
        <v/>
      </c>
      <c r="E571" s="209">
        <f>SUMIF('Final Calculation Sheet'!$G$4:$G$1000,"KASHYAP TRADING CO",'Final Calculation Sheet'!$AC$4:$AC$1000)</f>
        <v/>
      </c>
      <c r="F571" s="209">
        <f>SUMIF('Final Calculation Sheet'!$G$4:$G$1000,"KASHYAP TRADING CO",'Final Calculation Sheet'!$AD$4:$AD$1000)</f>
        <v/>
      </c>
      <c r="G571" s="210">
        <f>IF(F571&lt;=0,"SETTLED","OUTSTANDING")</f>
        <v/>
      </c>
    </row>
    <row r="572" ht="16" customHeight="1">
      <c r="A572" s="211" t="inlineStr">
        <is>
          <t>M I SCRAP TRADERS</t>
        </is>
      </c>
      <c r="B572" s="212">
        <f>COUNTIF('Final Calculation Sheet'!$G$4:$G$1000,"M I SCRAP TRADERS")</f>
        <v/>
      </c>
      <c r="C572" s="213">
        <f>SUMIF('Final Calculation Sheet'!$G$4:$G$1000,"M I SCRAP TRADERS",'Final Calculation Sheet'!$H$4:$H$1000)</f>
        <v/>
      </c>
      <c r="D572" s="213">
        <f>SUMIF('Final Calculation Sheet'!$G$4:$G$1000,"M I SCRAP TRADERS",'Final Calculation Sheet'!$S$4:$S$1000)</f>
        <v/>
      </c>
      <c r="E572" s="213">
        <f>SUMIF('Final Calculation Sheet'!$G$4:$G$1000,"M I SCRAP TRADERS",'Final Calculation Sheet'!$AC$4:$AC$1000)</f>
        <v/>
      </c>
      <c r="F572" s="213">
        <f>SUMIF('Final Calculation Sheet'!$G$4:$G$1000,"M I SCRAP TRADERS",'Final Calculation Sheet'!$AD$4:$AD$1000)</f>
        <v/>
      </c>
      <c r="G572" s="121">
        <f>IF(F572&lt;=0,"SETTLED","OUTSTANDING")</f>
        <v/>
      </c>
    </row>
    <row r="573" ht="16" customHeight="1">
      <c r="A573" s="214" t="inlineStr">
        <is>
          <t>NATIONAL ENTERPRISES</t>
        </is>
      </c>
      <c r="B573" s="215">
        <f>COUNTIF('Final Calculation Sheet'!$G$4:$G$1000,"NATIONAL ENTERPRISES")</f>
        <v/>
      </c>
      <c r="C573" s="216">
        <f>SUMIF('Final Calculation Sheet'!$G$4:$G$1000,"NATIONAL ENTERPRISES",'Final Calculation Sheet'!$H$4:$H$1000)</f>
        <v/>
      </c>
      <c r="D573" s="216">
        <f>SUMIF('Final Calculation Sheet'!$G$4:$G$1000,"NATIONAL ENTERPRISES",'Final Calculation Sheet'!$S$4:$S$1000)</f>
        <v/>
      </c>
      <c r="E573" s="216">
        <f>SUMIF('Final Calculation Sheet'!$G$4:$G$1000,"NATIONAL ENTERPRISES",'Final Calculation Sheet'!$AC$4:$AC$1000)</f>
        <v/>
      </c>
      <c r="F573" s="216">
        <f>SUMIF('Final Calculation Sheet'!$G$4:$G$1000,"NATIONAL ENTERPRISES",'Final Calculation Sheet'!$AD$4:$AD$1000)</f>
        <v/>
      </c>
      <c r="G573" s="217">
        <f>IF(F573&lt;=0,"SETTLED","OUTSTANDING")</f>
        <v/>
      </c>
    </row>
    <row r="574" ht="16" customHeight="1">
      <c r="A574" s="218" t="inlineStr">
        <is>
          <t>NATIONAL SCRAP AND BUILDING MATERIAL SUPPLIER</t>
        </is>
      </c>
      <c r="B574" s="219">
        <f>COUNTIF('Final Calculation Sheet'!$G$4:$G$1000,"NATIONAL SCRAP AND BUILDING MATERIAL SUPPLIER")</f>
        <v/>
      </c>
      <c r="C574" s="220">
        <f>SUMIF('Final Calculation Sheet'!$G$4:$G$1000,"NATIONAL SCRAP AND BUILDING MATERIAL SUPPLIER",'Final Calculation Sheet'!$H$4:$H$1000)</f>
        <v/>
      </c>
      <c r="D574" s="220">
        <f>SUMIF('Final Calculation Sheet'!$G$4:$G$1000,"NATIONAL SCRAP AND BUILDING MATERIAL SUPPLIER",'Final Calculation Sheet'!$S$4:$S$1000)</f>
        <v/>
      </c>
      <c r="E574" s="220">
        <f>SUMIF('Final Calculation Sheet'!$G$4:$G$1000,"NATIONAL SCRAP AND BUILDING MATERIAL SUPPLIER",'Final Calculation Sheet'!$AC$4:$AC$1000)</f>
        <v/>
      </c>
      <c r="F574" s="220">
        <f>SUMIF('Final Calculation Sheet'!$G$4:$G$1000,"NATIONAL SCRAP AND BUILDING MATERIAL SUPPLIER",'Final Calculation Sheet'!$AD$4:$AD$1000)</f>
        <v/>
      </c>
      <c r="G574" s="146">
        <f>IF(F574&lt;=0,"SETTLED","OUTSTANDING")</f>
        <v/>
      </c>
    </row>
    <row r="575" ht="16" customHeight="1">
      <c r="A575" s="221" t="inlineStr">
        <is>
          <t>OMKAR STEELS</t>
        </is>
      </c>
      <c r="B575" s="222">
        <f>COUNTIF('Final Calculation Sheet'!$G$4:$G$1000,"OMKAR STEELS")</f>
        <v/>
      </c>
      <c r="C575" s="223">
        <f>SUMIF('Final Calculation Sheet'!$G$4:$G$1000,"OMKAR STEELS",'Final Calculation Sheet'!$H$4:$H$1000)</f>
        <v/>
      </c>
      <c r="D575" s="223">
        <f>SUMIF('Final Calculation Sheet'!$G$4:$G$1000,"OMKAR STEELS",'Final Calculation Sheet'!$S$4:$S$1000)</f>
        <v/>
      </c>
      <c r="E575" s="223">
        <f>SUMIF('Final Calculation Sheet'!$G$4:$G$1000,"OMKAR STEELS",'Final Calculation Sheet'!$AC$4:$AC$1000)</f>
        <v/>
      </c>
      <c r="F575" s="223">
        <f>SUMIF('Final Calculation Sheet'!$G$4:$G$1000,"OMKAR STEELS",'Final Calculation Sheet'!$AD$4:$AD$1000)</f>
        <v/>
      </c>
      <c r="G575" s="224">
        <f>IF(F575&lt;=0,"SETTLED","OUTSTANDING")</f>
        <v/>
      </c>
    </row>
    <row r="576" ht="16" customHeight="1">
      <c r="A576" s="197" t="inlineStr">
        <is>
          <t>S M ENTERPRISES</t>
        </is>
      </c>
      <c r="B576" s="198">
        <f>COUNTIF('Final Calculation Sheet'!$G$4:$G$1000,"S M ENTERPRISES")</f>
        <v/>
      </c>
      <c r="C576" s="199">
        <f>SUMIF('Final Calculation Sheet'!$G$4:$G$1000,"S M ENTERPRISES",'Final Calculation Sheet'!$H$4:$H$1000)</f>
        <v/>
      </c>
      <c r="D576" s="199">
        <f>SUMIF('Final Calculation Sheet'!$G$4:$G$1000,"S M ENTERPRISES",'Final Calculation Sheet'!$S$4:$S$1000)</f>
        <v/>
      </c>
      <c r="E576" s="199">
        <f>SUMIF('Final Calculation Sheet'!$G$4:$G$1000,"S M ENTERPRISES",'Final Calculation Sheet'!$AC$4:$AC$1000)</f>
        <v/>
      </c>
      <c r="F576" s="199">
        <f>SUMIF('Final Calculation Sheet'!$G$4:$G$1000,"S M ENTERPRISES",'Final Calculation Sheet'!$AD$4:$AD$1000)</f>
        <v/>
      </c>
      <c r="G576" s="68">
        <f>IF(F576&lt;=0,"SETTLED","OUTSTANDING")</f>
        <v/>
      </c>
    </row>
    <row r="577" ht="16" customHeight="1">
      <c r="A577" s="200" t="inlineStr">
        <is>
          <t>SAHARA ENTERPRISES</t>
        </is>
      </c>
      <c r="B577" s="201">
        <f>COUNTIF('Final Calculation Sheet'!$G$4:$G$1000,"SAHARA ENTERPRISES")</f>
        <v/>
      </c>
      <c r="C577" s="202">
        <f>SUMIF('Final Calculation Sheet'!$G$4:$G$1000,"SAHARA ENTERPRISES",'Final Calculation Sheet'!$H$4:$H$1000)</f>
        <v/>
      </c>
      <c r="D577" s="202">
        <f>SUMIF('Final Calculation Sheet'!$G$4:$G$1000,"SAHARA ENTERPRISES",'Final Calculation Sheet'!$S$4:$S$1000)</f>
        <v/>
      </c>
      <c r="E577" s="202">
        <f>SUMIF('Final Calculation Sheet'!$G$4:$G$1000,"SAHARA ENTERPRISES",'Final Calculation Sheet'!$AC$4:$AC$1000)</f>
        <v/>
      </c>
      <c r="F577" s="202">
        <f>SUMIF('Final Calculation Sheet'!$G$4:$G$1000,"SAHARA ENTERPRISES",'Final Calculation Sheet'!$AD$4:$AD$1000)</f>
        <v/>
      </c>
      <c r="G577" s="203">
        <f>IF(F577&lt;=0,"SETTLED","OUTSTANDING")</f>
        <v/>
      </c>
    </row>
    <row r="578" ht="16" customHeight="1">
      <c r="A578" s="204" t="inlineStr">
        <is>
          <t>SHAR JAHAN TRADERS</t>
        </is>
      </c>
      <c r="B578" s="205">
        <f>COUNTIF('Final Calculation Sheet'!$G$4:$G$1000,"SHAR JAHAN TRADERS")</f>
        <v/>
      </c>
      <c r="C578" s="206">
        <f>SUMIF('Final Calculation Sheet'!$G$4:$G$1000,"SHAR JAHAN TRADERS",'Final Calculation Sheet'!$H$4:$H$1000)</f>
        <v/>
      </c>
      <c r="D578" s="206">
        <f>SUMIF('Final Calculation Sheet'!$G$4:$G$1000,"SHAR JAHAN TRADERS",'Final Calculation Sheet'!$S$4:$S$1000)</f>
        <v/>
      </c>
      <c r="E578" s="206">
        <f>SUMIF('Final Calculation Sheet'!$G$4:$G$1000,"SHAR JAHAN TRADERS",'Final Calculation Sheet'!$AC$4:$AC$1000)</f>
        <v/>
      </c>
      <c r="F578" s="206">
        <f>SUMIF('Final Calculation Sheet'!$G$4:$G$1000,"SHAR JAHAN TRADERS",'Final Calculation Sheet'!$AD$4:$AD$1000)</f>
        <v/>
      </c>
      <c r="G578" s="103">
        <f>IF(F578&lt;=0,"SETTLED","OUTSTANDING")</f>
        <v/>
      </c>
    </row>
    <row r="579" ht="16" customHeight="1">
      <c r="A579" s="207" t="inlineStr">
        <is>
          <t>STERLING ENTERPRISES</t>
        </is>
      </c>
      <c r="B579" s="208">
        <f>COUNTIF('Final Calculation Sheet'!$G$4:$G$1000,"STERLING ENTERPRISES")</f>
        <v/>
      </c>
      <c r="C579" s="209">
        <f>SUMIF('Final Calculation Sheet'!$G$4:$G$1000,"STERLING ENTERPRISES",'Final Calculation Sheet'!$H$4:$H$1000)</f>
        <v/>
      </c>
      <c r="D579" s="209">
        <f>SUMIF('Final Calculation Sheet'!$G$4:$G$1000,"STERLING ENTERPRISES",'Final Calculation Sheet'!$S$4:$S$1000)</f>
        <v/>
      </c>
      <c r="E579" s="209">
        <f>SUMIF('Final Calculation Sheet'!$G$4:$G$1000,"STERLING ENTERPRISES",'Final Calculation Sheet'!$AC$4:$AC$1000)</f>
        <v/>
      </c>
      <c r="F579" s="209">
        <f>SUMIF('Final Calculation Sheet'!$G$4:$G$1000,"STERLING ENTERPRISES",'Final Calculation Sheet'!$AD$4:$AD$1000)</f>
        <v/>
      </c>
      <c r="G579" s="210">
        <f>IF(F579&lt;=0,"SETTLED","OUTSTANDING")</f>
        <v/>
      </c>
    </row>
    <row r="580" ht="16" customHeight="1">
      <c r="A580" s="211" t="inlineStr">
        <is>
          <t>WATAN SCRAP TRADERS</t>
        </is>
      </c>
      <c r="B580" s="212">
        <f>COUNTIF('Final Calculation Sheet'!$G$4:$G$1000,"WATAN SCRAP TRADERS")</f>
        <v/>
      </c>
      <c r="C580" s="213">
        <f>SUMIF('Final Calculation Sheet'!$G$4:$G$1000,"WATAN SCRAP TRADERS",'Final Calculation Sheet'!$H$4:$H$1000)</f>
        <v/>
      </c>
      <c r="D580" s="213">
        <f>SUMIF('Final Calculation Sheet'!$G$4:$G$1000,"WATAN SCRAP TRADERS",'Final Calculation Sheet'!$S$4:$S$1000)</f>
        <v/>
      </c>
      <c r="E580" s="213">
        <f>SUMIF('Final Calculation Sheet'!$G$4:$G$1000,"WATAN SCRAP TRADERS",'Final Calculation Sheet'!$AC$4:$AC$1000)</f>
        <v/>
      </c>
      <c r="F580" s="213">
        <f>SUMIF('Final Calculation Sheet'!$G$4:$G$1000,"WATAN SCRAP TRADERS",'Final Calculation Sheet'!$AD$4:$AD$1000)</f>
        <v/>
      </c>
      <c r="G580" s="121">
        <f>IF(F580&lt;=0,"SETTLED","OUTSTANDING")</f>
        <v/>
      </c>
    </row>
    <row r="581" ht="18" customHeight="1">
      <c r="A581" s="225" t="inlineStr">
        <is>
          <t>∑  ALL BUYERS</t>
        </is>
      </c>
      <c r="B581" s="226">
        <f>SUM(B568:B580)</f>
        <v/>
      </c>
      <c r="C581" s="227">
        <f>SUM(C568:C580)</f>
        <v/>
      </c>
      <c r="D581" s="227">
        <f>SUM(D568:D580)</f>
        <v/>
      </c>
      <c r="E581" s="227">
        <f>SUM(E568:E580)</f>
        <v/>
      </c>
      <c r="F581" s="227">
        <f>SUM(F568:F580)</f>
        <v/>
      </c>
      <c r="G581" s="228">
        <f>IF(F581&lt;=0,"SETTLED","OUTSTANDING")</f>
        <v/>
      </c>
    </row>
  </sheetData>
  <autoFilter ref="A5:A563"/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0">
      <formula>"SETTLED"</formula>
    </cfRule>
    <cfRule type="cellIs" priority="2" operator="equal" dxfId="1">
      <formula>"OUTSTANDING"</formula>
    </cfRule>
  </conditionalFormatting>
  <hyperlinks>
    <hyperlink ref="A568" location="'Collapsible + Field Filter'!A6" tooltip="Jump to AL HAMD TRADE CORPORATION" display="AL HAMD TRADE CORPORATION"/>
    <hyperlink ref="A569" location="'Collapsible + Field Filter'!A49" tooltip="Jump to F R KHANS ENTERPRISES" display="F R KHANS ENTERPRISES"/>
    <hyperlink ref="A570" location="'Collapsible + Field Filter'!A92" tooltip="Jump to HIND TRADERS" display="HIND TRADERS"/>
    <hyperlink ref="A571" location="'Collapsible + Field Filter'!A135" tooltip="Jump to KASHYAP TRADING CO" display="KASHYAP TRADING CO"/>
    <hyperlink ref="A572" location="'Collapsible + Field Filter'!A178" tooltip="Jump to M I SCRAP TRADERS" display="M I SCRAP TRADERS"/>
    <hyperlink ref="A573" location="'Collapsible + Field Filter'!A221" tooltip="Jump to NATIONAL ENTERPRISES" display="NATIONAL ENTERPRISES"/>
    <hyperlink ref="A574" location="'Collapsible + Field Filter'!A264" tooltip="Jump to NATIONAL SCRAP AND BUILDING MATERIAL SUPPLIER" display="NATIONAL SCRAP AND BUILDING MATERIAL SUPPLIER"/>
    <hyperlink ref="A575" location="'Collapsible + Field Filter'!A307" tooltip="Jump to OMKAR STEELS" display="OMKAR STEELS"/>
    <hyperlink ref="A576" location="'Collapsible + Field Filter'!A350" tooltip="Jump to S M ENTERPRISES" display="S M ENTERPRISES"/>
    <hyperlink ref="A577" location="'Collapsible + Field Filter'!A393" tooltip="Jump to SAHARA ENTERPRISES" display="SAHARA ENTERPRISES"/>
    <hyperlink ref="A578" location="'Collapsible + Field Filter'!A436" tooltip="Jump to SHAR JAHAN TRADERS" display="SHAR JAHAN TRADERS"/>
    <hyperlink ref="A579" location="'Collapsible + Field Filter'!A479" tooltip="Jump to STERLING ENTERPRISES" display="STERLING ENTERPRISES"/>
    <hyperlink ref="A580" location="'Collapsible + Field Filter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FFC000"/>
    <outlinePr summaryBelow="0" summaryRight="0"/>
    <pageSetUpPr fitToPage="1"/>
  </sheetPr>
  <dimension ref="A1:AG8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8.5" customWidth="1" min="1" max="1"/>
    <col outlineLevel="1" width="50" customWidth="1" min="2" max="2"/>
    <col outlineLevel="1" width="10" customWidth="1" min="3" max="3"/>
    <col outlineLevel="1" width="10" customWidth="1" min="4" max="4"/>
    <col outlineLevel="1" width="6.5" customWidth="1" min="5" max="5"/>
    <col outlineLevel="1" width="13.5" customWidth="1" min="6" max="6"/>
    <col width="13.5" customWidth="1" min="7" max="7"/>
    <col outlineLevel="1"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2" customWidth="1" min="16" max="16"/>
    <col outlineLevel="1" width="13.5" customWidth="1" min="17" max="17"/>
    <col outlineLevel="1" width="13.5" customWidth="1" min="18" max="18"/>
    <col width="13.5" customWidth="1" min="19" max="19"/>
    <col outlineLevel="1" width="13.5" customWidth="1" min="20" max="20"/>
    <col outlineLevel="1" width="12" customWidth="1" min="21" max="21"/>
    <col width="13.5" customWidth="1" min="22" max="22"/>
    <col outlineLevel="1" width="13.5" customWidth="1" min="23" max="23"/>
    <col outlineLevel="1" width="12" customWidth="1" min="24" max="24"/>
    <col width="13.5" customWidth="1" min="25" max="25"/>
    <col outlineLevel="1" width="13.5" customWidth="1" min="26" max="26"/>
    <col outlineLevel="1" width="12" customWidth="1" min="27" max="27"/>
    <col width="13.5" customWidth="1" min="28" max="28"/>
    <col outlineLevel="1" width="13.5" customWidth="1" min="29" max="29"/>
    <col outlineLevel="1" width="14" customWidth="1" min="30" max="30"/>
    <col width="15" customWidth="1" min="31" max="31"/>
    <col outlineLevel="1" width="13" customWidth="1" min="32" max="32"/>
    <col outlineLevel="1" width="12" customWidth="1" min="33" max="33"/>
  </cols>
  <sheetData>
    <row r="1" ht="30" customHeight="1">
      <c r="A1" s="59" t="inlineStr">
        <is>
          <t>MSTC LIMITED  •  BUYER × LOT COLLAPSIBLE VIEW   (lots ↓ rows  |  fields → columns)</t>
        </is>
      </c>
    </row>
    <row r="2" ht="30" customHeight="1">
      <c r="A2" s="61" t="inlineStr">
        <is>
          <t>HOW TO USE  ▶  the − / + buttons in the left margin fold a buyer: its lots hide and the banner plus the ∑ totals row stay on screen   •   the − above a column category (LOT INFO, FINANCIALS …) folds those columns away, keeping the category's first column   •   every figure is a live link to 'Final Calculation Sheet'   •   for filtering use 'Ledger Filter - Lots Down' or 'Ledger Filter - Lots Across'</t>
        </is>
      </c>
    </row>
    <row r="3" ht="17" customHeight="1">
      <c r="A3" s="233" t="inlineStr">
        <is>
          <t>LOT INFORMATION</t>
        </is>
      </c>
      <c r="B3" s="384" t="n"/>
      <c r="C3" s="384" t="n"/>
      <c r="D3" s="384" t="n"/>
      <c r="E3" s="384" t="n"/>
      <c r="F3" s="384" t="n"/>
      <c r="G3" s="234" t="inlineStr">
        <is>
          <t>FINANCIALS</t>
        </is>
      </c>
      <c r="H3" s="385" t="n"/>
      <c r="I3" s="385" t="n"/>
      <c r="J3" s="385" t="n"/>
      <c r="K3" s="385" t="n"/>
      <c r="L3" s="385" t="n"/>
      <c r="M3" s="385" t="n"/>
      <c r="N3" s="385" t="n"/>
      <c r="O3" s="385" t="n"/>
      <c r="P3" s="385" t="n"/>
      <c r="Q3" s="385" t="n"/>
      <c r="R3" s="385" t="n"/>
      <c r="S3" s="235" t="inlineStr">
        <is>
          <t>SECURITY DEPOSIT</t>
        </is>
      </c>
      <c r="T3" s="386" t="n"/>
      <c r="U3" s="386" t="n"/>
      <c r="V3" s="236" t="inlineStr">
        <is>
          <t>FINAL PAYMENT</t>
        </is>
      </c>
      <c r="W3" s="387" t="n"/>
      <c r="X3" s="387" t="n"/>
      <c r="Y3" s="237" t="inlineStr">
        <is>
          <t>LPP</t>
        </is>
      </c>
      <c r="Z3" s="388" t="n"/>
      <c r="AA3" s="388" t="n"/>
      <c r="AB3" s="238" t="inlineStr">
        <is>
          <t>SUMMARY</t>
        </is>
      </c>
      <c r="AC3" s="389" t="n"/>
      <c r="AD3" s="389" t="n"/>
      <c r="AE3" s="239" t="inlineStr">
        <is>
          <t>DOCUMENT</t>
        </is>
      </c>
      <c r="AF3" s="390" t="n"/>
      <c r="AG3" s="390" t="n"/>
    </row>
    <row r="4" ht="42" customHeight="1">
      <c r="A4" s="233" t="inlineStr">
        <is>
          <t>Lot No.</t>
        </is>
      </c>
      <c r="B4" s="233" t="inlineStr">
        <is>
          <t>Lot Name</t>
        </is>
      </c>
      <c r="C4" s="233" t="inlineStr">
        <is>
          <t>Bid Sheet / Auction</t>
        </is>
      </c>
      <c r="D4" s="233" t="inlineStr">
        <is>
          <t>Quantity</t>
        </is>
      </c>
      <c r="E4" s="233" t="inlineStr">
        <is>
          <t>Unit</t>
        </is>
      </c>
      <c r="F4" s="233" t="inlineStr">
        <is>
          <t>Rate (₹)</t>
        </is>
      </c>
      <c r="G4" s="234" t="inlineStr">
        <is>
          <t>Mat. Value (₹)</t>
        </is>
      </c>
      <c r="H4" s="234" t="inlineStr">
        <is>
          <t>GST @ 18% (₹)</t>
        </is>
      </c>
      <c r="I4" s="234" t="inlineStr">
        <is>
          <t>Mat. Value + GST (₹)</t>
        </is>
      </c>
      <c r="J4" s="234" t="inlineStr">
        <is>
          <t>TCS @ 2% (₹)</t>
        </is>
      </c>
      <c r="K4" s="234" t="inlineStr">
        <is>
          <t>TDS u/s 194(O) (₹)</t>
        </is>
      </c>
      <c r="L4" s="234" t="inlineStr">
        <is>
          <t>Service Charge gross (₹)</t>
        </is>
      </c>
      <c r="M4" s="234" t="inlineStr">
        <is>
          <t>TDS u/s 194(H) (₹)</t>
        </is>
      </c>
      <c r="N4" s="234" t="inlineStr">
        <is>
          <t>Net Service Charge (₹)</t>
        </is>
      </c>
      <c r="O4" s="234" t="inlineStr">
        <is>
          <t>Svc Charge to MSTC (₹)</t>
        </is>
      </c>
      <c r="P4" s="234" t="inlineStr">
        <is>
          <t>GST TDS Rate</t>
        </is>
      </c>
      <c r="Q4" s="234" t="inlineStr">
        <is>
          <t>GST TDS (₹)</t>
        </is>
      </c>
      <c r="R4" s="234" t="inlineStr">
        <is>
          <t>Total Receivables (₹)</t>
        </is>
      </c>
      <c r="S4" s="235" t="inlineStr">
        <is>
          <t>SD Expected (₹)</t>
        </is>
      </c>
      <c r="T4" s="235" t="inlineStr">
        <is>
          <t>SD Received (₹)</t>
        </is>
      </c>
      <c r="U4" s="235" t="inlineStr">
        <is>
          <t>SD Receipt Date</t>
        </is>
      </c>
      <c r="V4" s="236" t="inlineStr">
        <is>
          <t>FP Expected (₹)</t>
        </is>
      </c>
      <c r="W4" s="236" t="inlineStr">
        <is>
          <t>FP Received (₹)</t>
        </is>
      </c>
      <c r="X4" s="236" t="inlineStr">
        <is>
          <t>FP Receipt Date</t>
        </is>
      </c>
      <c r="Y4" s="237" t="inlineStr">
        <is>
          <t>LPP Expected (₹)</t>
        </is>
      </c>
      <c r="Z4" s="237" t="inlineStr">
        <is>
          <t>LPP Received (₹)</t>
        </is>
      </c>
      <c r="AA4" s="237" t="inlineStr">
        <is>
          <t>LPP Receipt Date</t>
        </is>
      </c>
      <c r="AB4" s="238" t="inlineStr">
        <is>
          <t>Total Received (₹)</t>
        </is>
      </c>
      <c r="AC4" s="238" t="inlineStr">
        <is>
          <t>Outstanding (₹)</t>
        </is>
      </c>
      <c r="AD4" s="238" t="inlineStr">
        <is>
          <t>Payment Status</t>
        </is>
      </c>
      <c r="AE4" s="239" t="inlineStr">
        <is>
          <t>Invoice No.</t>
        </is>
      </c>
      <c r="AF4" s="239" t="inlineStr">
        <is>
          <t>SAP Document</t>
        </is>
      </c>
      <c r="AG4" s="239" t="inlineStr">
        <is>
          <t>Doc./Invoice Date</t>
        </is>
      </c>
    </row>
    <row r="5" ht="24" customHeight="1">
      <c r="A5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64" t="n"/>
      <c r="C5" s="64" t="n"/>
      <c r="D5" s="64" t="n"/>
      <c r="E5" s="64" t="n"/>
      <c r="F5" s="64" t="n"/>
      <c r="G5" s="64" t="n"/>
      <c r="H5" s="64" t="n"/>
      <c r="I5" s="64" t="n"/>
      <c r="J5" s="64" t="n"/>
      <c r="K5" s="64" t="n"/>
      <c r="L5" s="64" t="n"/>
      <c r="M5" s="64" t="n"/>
      <c r="N5" s="64" t="n"/>
      <c r="O5" s="64" t="n"/>
      <c r="P5" s="64" t="n"/>
      <c r="Q5" s="64" t="n"/>
      <c r="R5" s="64" t="n"/>
      <c r="S5" s="64" t="n"/>
      <c r="T5" s="64" t="n"/>
      <c r="U5" s="64" t="n"/>
      <c r="V5" s="64" t="n"/>
      <c r="W5" s="64" t="n"/>
      <c r="X5" s="64" t="n"/>
      <c r="Y5" s="64" t="n"/>
      <c r="Z5" s="64" t="n"/>
      <c r="AA5" s="64" t="n"/>
      <c r="AB5" s="64" t="n"/>
      <c r="AC5" s="64" t="n"/>
      <c r="AD5" s="64" t="n"/>
      <c r="AE5" s="64" t="n"/>
      <c r="AF5" s="64" t="n"/>
      <c r="AG5" s="64" t="n"/>
    </row>
    <row r="6" outlineLevel="1" ht="15" customHeight="1">
      <c r="A6" s="248">
        <f>IF('Final Calculation Sheet'!$F$4="","",'Final Calculation Sheet'!$F$4)</f>
        <v/>
      </c>
      <c r="B6" s="247">
        <f>IF('Final Calculation Sheet'!$B$4="","",'Final Calculation Sheet'!$B$4)</f>
        <v/>
      </c>
      <c r="C6" s="248">
        <f>IF('Final Calculation Sheet'!$D$4="","",'Final Calculation Sheet'!$D$4)</f>
        <v/>
      </c>
      <c r="D6" s="249">
        <f>IF('Final Calculation Sheet'!$A$4="","",'Final Calculation Sheet'!$A$4)</f>
        <v/>
      </c>
      <c r="E6" s="250">
        <f>IF('Final Calculation Sheet'!$E$4="","",'Final Calculation Sheet'!$E$4)</f>
        <v/>
      </c>
      <c r="F6" s="248">
        <f>IF('Final Calculation Sheet'!$C$4="","",'Final Calculation Sheet'!$C$4)</f>
        <v/>
      </c>
      <c r="G6" s="248">
        <f>IF('Final Calculation Sheet'!$H$4="","",'Final Calculation Sheet'!$H$4)</f>
        <v/>
      </c>
      <c r="H6" s="248">
        <f>IF('Final Calculation Sheet'!$I$4="","",'Final Calculation Sheet'!$I$4)</f>
        <v/>
      </c>
      <c r="I6" s="248">
        <f>IF('Final Calculation Sheet'!$J$4="","",'Final Calculation Sheet'!$J$4)</f>
        <v/>
      </c>
      <c r="J6" s="248">
        <f>IF('Final Calculation Sheet'!$K$4="","",'Final Calculation Sheet'!$K$4)</f>
        <v/>
      </c>
      <c r="K6" s="251">
        <f>IF('Final Calculation Sheet'!$L$4="","",'Final Calculation Sheet'!$L$4)</f>
        <v/>
      </c>
      <c r="L6" s="251">
        <f>IF('Final Calculation Sheet'!$M$4="","",'Final Calculation Sheet'!$M$4)</f>
        <v/>
      </c>
      <c r="M6" s="251">
        <f>IF('Final Calculation Sheet'!$N$4="","",'Final Calculation Sheet'!$N$4)</f>
        <v/>
      </c>
      <c r="N6" s="251">
        <f>IF('Final Calculation Sheet'!$O$4="","",'Final Calculation Sheet'!$O$4)</f>
        <v/>
      </c>
      <c r="O6" s="248">
        <f>IF('Final Calculation Sheet'!$P$4="","",'Final Calculation Sheet'!$P$4)</f>
        <v/>
      </c>
      <c r="P6" s="252">
        <f>IF('Final Calculation Sheet'!$Q$4="","",'Final Calculation Sheet'!$Q$4)</f>
        <v/>
      </c>
      <c r="Q6" s="248">
        <f>IF('Final Calculation Sheet'!$R$4="","",'Final Calculation Sheet'!$R$4)</f>
        <v/>
      </c>
      <c r="R6" s="248">
        <f>IF('Final Calculation Sheet'!$S$4="","",'Final Calculation Sheet'!$S$4)</f>
        <v/>
      </c>
      <c r="S6" s="248">
        <f>IF('Final Calculation Sheet'!$T$4="","",'Final Calculation Sheet'!$T$4)</f>
        <v/>
      </c>
      <c r="T6" s="248">
        <f>IF('Final Calculation Sheet'!$U$4="","",'Final Calculation Sheet'!$U$4)</f>
        <v/>
      </c>
      <c r="U6" s="250">
        <f>IF('Final Calculation Sheet'!$V$4="","",'Final Calculation Sheet'!$V$4)</f>
        <v/>
      </c>
      <c r="V6" s="248">
        <f>IF('Final Calculation Sheet'!$W$4="","",'Final Calculation Sheet'!$W$4)</f>
        <v/>
      </c>
      <c r="W6" s="248">
        <f>IF('Final Calculation Sheet'!$X$4="","",'Final Calculation Sheet'!$X$4)</f>
        <v/>
      </c>
      <c r="X6" s="250">
        <f>IF('Final Calculation Sheet'!$Y$4="","",'Final Calculation Sheet'!$Y$4)</f>
        <v/>
      </c>
      <c r="Y6" s="248">
        <f>IF('Final Calculation Sheet'!$Z$4="","",'Final Calculation Sheet'!$Z$4)</f>
        <v/>
      </c>
      <c r="Z6" s="248">
        <f>IF('Final Calculation Sheet'!$AA$4="","",'Final Calculation Sheet'!$AA$4)</f>
        <v/>
      </c>
      <c r="AA6" s="250">
        <f>IF('Final Calculation Sheet'!$AB$4="","",'Final Calculation Sheet'!$AB$4)</f>
        <v/>
      </c>
      <c r="AB6" s="248">
        <f>IF('Final Calculation Sheet'!$AC$4="","",'Final Calculation Sheet'!$AC$4)</f>
        <v/>
      </c>
      <c r="AC6" s="248">
        <f>IF('Final Calculation Sheet'!$AD$4="","",'Final Calculation Sheet'!$AD$4)</f>
        <v/>
      </c>
      <c r="AD6" s="250">
        <f>IF('Final Calculation Sheet'!$AD$4="","",IF('Final Calculation Sheet'!$AD$4&lt;=0,"SETTLED","OUTSTANDING"))</f>
        <v/>
      </c>
      <c r="AE6" s="250">
        <f>IF('Final Calculation Sheet'!$AE$4="","",'Final Calculation Sheet'!$AE$4)</f>
        <v/>
      </c>
      <c r="AF6" s="248">
        <f>IF('Final Calculation Sheet'!$AF$4="","",'Final Calculation Sheet'!$AF$4)</f>
        <v/>
      </c>
      <c r="AG6" s="250">
        <f>IF('Final Calculation Sheet'!$AG$4="","",'Final Calculation Sheet'!$AG$4)</f>
        <v/>
      </c>
    </row>
    <row r="7" ht="20" customHeight="1">
      <c r="A7" s="241" t="inlineStr">
        <is>
          <t>∑  AL HAMD TRADE CORPORATION — TOTALS</t>
        </is>
      </c>
      <c r="B7" s="391" t="inlineStr">
        <is>
          <t>–</t>
        </is>
      </c>
      <c r="C7" s="391" t="inlineStr">
        <is>
          <t>–</t>
        </is>
      </c>
      <c r="D7" s="244">
        <f>SUM(D6:D6)</f>
        <v/>
      </c>
      <c r="E7" s="391" t="inlineStr">
        <is>
          <t>–</t>
        </is>
      </c>
      <c r="F7" s="391" t="inlineStr">
        <is>
          <t>–</t>
        </is>
      </c>
      <c r="G7" s="245">
        <f>SUM(G6:G6)</f>
        <v/>
      </c>
      <c r="H7" s="245">
        <f>SUM(H6:H6)</f>
        <v/>
      </c>
      <c r="I7" s="245">
        <f>SUM(I6:I6)</f>
        <v/>
      </c>
      <c r="J7" s="245">
        <f>SUM(J6:J6)</f>
        <v/>
      </c>
      <c r="K7" s="246">
        <f>SUM(K6:K6)</f>
        <v/>
      </c>
      <c r="L7" s="246">
        <f>SUM(L6:L6)</f>
        <v/>
      </c>
      <c r="M7" s="246">
        <f>SUM(M6:M6)</f>
        <v/>
      </c>
      <c r="N7" s="246">
        <f>SUM(N6:N6)</f>
        <v/>
      </c>
      <c r="O7" s="245">
        <f>SUM(O6:O6)</f>
        <v/>
      </c>
      <c r="P7" s="391" t="inlineStr">
        <is>
          <t>–</t>
        </is>
      </c>
      <c r="Q7" s="245">
        <f>SUM(Q6:Q6)</f>
        <v/>
      </c>
      <c r="R7" s="245">
        <f>SUM(R6:R6)</f>
        <v/>
      </c>
      <c r="S7" s="245">
        <f>SUM(S6:S6)</f>
        <v/>
      </c>
      <c r="T7" s="245">
        <f>SUM(T6:T6)</f>
        <v/>
      </c>
      <c r="U7" s="391" t="inlineStr">
        <is>
          <t>–</t>
        </is>
      </c>
      <c r="V7" s="245">
        <f>SUM(V6:V6)</f>
        <v/>
      </c>
      <c r="W7" s="245">
        <f>SUM(W6:W6)</f>
        <v/>
      </c>
      <c r="X7" s="391" t="inlineStr">
        <is>
          <t>–</t>
        </is>
      </c>
      <c r="Y7" s="245">
        <f>SUM(Y6:Y6)</f>
        <v/>
      </c>
      <c r="Z7" s="245">
        <f>SUM(Z6:Z6)</f>
        <v/>
      </c>
      <c r="AA7" s="391" t="inlineStr">
        <is>
          <t>–</t>
        </is>
      </c>
      <c r="AB7" s="245">
        <f>SUM(AB6:AB6)</f>
        <v/>
      </c>
      <c r="AC7" s="245">
        <f>SUM(AC6:AC6)</f>
        <v/>
      </c>
      <c r="AD7" s="391" t="inlineStr">
        <is>
          <t>–</t>
        </is>
      </c>
      <c r="AE7" s="391" t="inlineStr">
        <is>
          <t>–</t>
        </is>
      </c>
      <c r="AF7" s="391" t="inlineStr">
        <is>
          <t>–</t>
        </is>
      </c>
      <c r="AG7" s="391" t="inlineStr">
        <is>
          <t>–</t>
        </is>
      </c>
    </row>
    <row r="8" ht="7" customHeight="1">
      <c r="A8" s="82" t="n"/>
      <c r="B8" s="82" t="n"/>
      <c r="C8" s="82" t="n"/>
      <c r="D8" s="82" t="n"/>
      <c r="E8" s="82" t="n"/>
      <c r="F8" s="82" t="n"/>
      <c r="G8" s="82" t="n"/>
      <c r="H8" s="82" t="n"/>
      <c r="I8" s="82" t="n"/>
      <c r="J8" s="82" t="n"/>
      <c r="K8" s="82" t="n"/>
      <c r="L8" s="82" t="n"/>
      <c r="M8" s="82" t="n"/>
      <c r="N8" s="82" t="n"/>
      <c r="O8" s="82" t="n"/>
      <c r="P8" s="82" t="n"/>
      <c r="Q8" s="82" t="n"/>
      <c r="R8" s="82" t="n"/>
      <c r="S8" s="82" t="n"/>
      <c r="T8" s="82" t="n"/>
      <c r="U8" s="82" t="n"/>
      <c r="V8" s="82" t="n"/>
      <c r="W8" s="82" t="n"/>
      <c r="X8" s="82" t="n"/>
      <c r="Y8" s="82" t="n"/>
      <c r="Z8" s="82" t="n"/>
      <c r="AA8" s="82" t="n"/>
      <c r="AB8" s="82" t="n"/>
      <c r="AC8" s="82" t="n"/>
      <c r="AD8" s="82" t="n"/>
      <c r="AE8" s="82" t="n"/>
      <c r="AF8" s="82" t="n"/>
      <c r="AG8" s="82" t="n"/>
    </row>
    <row r="9" ht="24" customHeight="1">
      <c r="A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9" s="64" t="n"/>
      <c r="C9" s="64" t="n"/>
      <c r="D9" s="64" t="n"/>
      <c r="E9" s="64" t="n"/>
      <c r="F9" s="64" t="n"/>
      <c r="G9" s="64" t="n"/>
      <c r="H9" s="64" t="n"/>
      <c r="I9" s="64" t="n"/>
      <c r="J9" s="64" t="n"/>
      <c r="K9" s="64" t="n"/>
      <c r="L9" s="64" t="n"/>
      <c r="M9" s="64" t="n"/>
      <c r="N9" s="64" t="n"/>
      <c r="O9" s="64" t="n"/>
      <c r="P9" s="64" t="n"/>
      <c r="Q9" s="64" t="n"/>
      <c r="R9" s="64" t="n"/>
      <c r="S9" s="64" t="n"/>
      <c r="T9" s="64" t="n"/>
      <c r="U9" s="64" t="n"/>
      <c r="V9" s="64" t="n"/>
      <c r="W9" s="64" t="n"/>
      <c r="X9" s="64" t="n"/>
      <c r="Y9" s="64" t="n"/>
      <c r="Z9" s="64" t="n"/>
      <c r="AA9" s="64" t="n"/>
      <c r="AB9" s="64" t="n"/>
      <c r="AC9" s="64" t="n"/>
      <c r="AD9" s="64" t="n"/>
      <c r="AE9" s="64" t="n"/>
      <c r="AF9" s="64" t="n"/>
      <c r="AG9" s="64" t="n"/>
    </row>
    <row r="10" outlineLevel="1" ht="15" customHeight="1">
      <c r="A10" s="260">
        <f>IF('Final Calculation Sheet'!$F$6="","",'Final Calculation Sheet'!$F$6)</f>
        <v/>
      </c>
      <c r="B10" s="259">
        <f>IF('Final Calculation Sheet'!$B$6="","",'Final Calculation Sheet'!$B$6)</f>
        <v/>
      </c>
      <c r="C10" s="260">
        <f>IF('Final Calculation Sheet'!$D$6="","",'Final Calculation Sheet'!$D$6)</f>
        <v/>
      </c>
      <c r="D10" s="261">
        <f>IF('Final Calculation Sheet'!$A$6="","",'Final Calculation Sheet'!$A$6)</f>
        <v/>
      </c>
      <c r="E10" s="262">
        <f>IF('Final Calculation Sheet'!$E$6="","",'Final Calculation Sheet'!$E$6)</f>
        <v/>
      </c>
      <c r="F10" s="260">
        <f>IF('Final Calculation Sheet'!$C$6="","",'Final Calculation Sheet'!$C$6)</f>
        <v/>
      </c>
      <c r="G10" s="260">
        <f>IF('Final Calculation Sheet'!$H$6="","",'Final Calculation Sheet'!$H$6)</f>
        <v/>
      </c>
      <c r="H10" s="260">
        <f>IF('Final Calculation Sheet'!$I$6="","",'Final Calculation Sheet'!$I$6)</f>
        <v/>
      </c>
      <c r="I10" s="260">
        <f>IF('Final Calculation Sheet'!$J$6="","",'Final Calculation Sheet'!$J$6)</f>
        <v/>
      </c>
      <c r="J10" s="260">
        <f>IF('Final Calculation Sheet'!$K$6="","",'Final Calculation Sheet'!$K$6)</f>
        <v/>
      </c>
      <c r="K10" s="263">
        <f>IF('Final Calculation Sheet'!$L$6="","",'Final Calculation Sheet'!$L$6)</f>
        <v/>
      </c>
      <c r="L10" s="263">
        <f>IF('Final Calculation Sheet'!$M$6="","",'Final Calculation Sheet'!$M$6)</f>
        <v/>
      </c>
      <c r="M10" s="263">
        <f>IF('Final Calculation Sheet'!$N$6="","",'Final Calculation Sheet'!$N$6)</f>
        <v/>
      </c>
      <c r="N10" s="263">
        <f>IF('Final Calculation Sheet'!$O$6="","",'Final Calculation Sheet'!$O$6)</f>
        <v/>
      </c>
      <c r="O10" s="260">
        <f>IF('Final Calculation Sheet'!$P$6="","",'Final Calculation Sheet'!$P$6)</f>
        <v/>
      </c>
      <c r="P10" s="264">
        <f>IF('Final Calculation Sheet'!$Q$6="","",'Final Calculation Sheet'!$Q$6)</f>
        <v/>
      </c>
      <c r="Q10" s="260">
        <f>IF('Final Calculation Sheet'!$R$6="","",'Final Calculation Sheet'!$R$6)</f>
        <v/>
      </c>
      <c r="R10" s="260">
        <f>IF('Final Calculation Sheet'!$S$6="","",'Final Calculation Sheet'!$S$6)</f>
        <v/>
      </c>
      <c r="S10" s="260">
        <f>IF('Final Calculation Sheet'!$T$6="","",'Final Calculation Sheet'!$T$6)</f>
        <v/>
      </c>
      <c r="T10" s="260">
        <f>IF('Final Calculation Sheet'!$U$6="","",'Final Calculation Sheet'!$U$6)</f>
        <v/>
      </c>
      <c r="U10" s="262">
        <f>IF('Final Calculation Sheet'!$V$6="","",'Final Calculation Sheet'!$V$6)</f>
        <v/>
      </c>
      <c r="V10" s="260">
        <f>IF('Final Calculation Sheet'!$W$6="","",'Final Calculation Sheet'!$W$6)</f>
        <v/>
      </c>
      <c r="W10" s="260">
        <f>IF('Final Calculation Sheet'!$X$6="","",'Final Calculation Sheet'!$X$6)</f>
        <v/>
      </c>
      <c r="X10" s="262">
        <f>IF('Final Calculation Sheet'!$Y$6="","",'Final Calculation Sheet'!$Y$6)</f>
        <v/>
      </c>
      <c r="Y10" s="260">
        <f>IF('Final Calculation Sheet'!$Z$6="","",'Final Calculation Sheet'!$Z$6)</f>
        <v/>
      </c>
      <c r="Z10" s="260">
        <f>IF('Final Calculation Sheet'!$AA$6="","",'Final Calculation Sheet'!$AA$6)</f>
        <v/>
      </c>
      <c r="AA10" s="262">
        <f>IF('Final Calculation Sheet'!$AB$6="","",'Final Calculation Sheet'!$AB$6)</f>
        <v/>
      </c>
      <c r="AB10" s="260">
        <f>IF('Final Calculation Sheet'!$AC$6="","",'Final Calculation Sheet'!$AC$6)</f>
        <v/>
      </c>
      <c r="AC10" s="260">
        <f>IF('Final Calculation Sheet'!$AD$6="","",'Final Calculation Sheet'!$AD$6)</f>
        <v/>
      </c>
      <c r="AD10" s="262">
        <f>IF('Final Calculation Sheet'!$AD$6="","",IF('Final Calculation Sheet'!$AD$6&lt;=0,"SETTLED","OUTSTANDING"))</f>
        <v/>
      </c>
      <c r="AE10" s="262">
        <f>IF('Final Calculation Sheet'!$AE$6="","",'Final Calculation Sheet'!$AE$6)</f>
        <v/>
      </c>
      <c r="AF10" s="260">
        <f>IF('Final Calculation Sheet'!$AF$6="","",'Final Calculation Sheet'!$AF$6)</f>
        <v/>
      </c>
      <c r="AG10" s="262">
        <f>IF('Final Calculation Sheet'!$AG$6="","",'Final Calculation Sheet'!$AG$6)</f>
        <v/>
      </c>
    </row>
    <row r="11" outlineLevel="1" ht="15" customHeight="1">
      <c r="A11" s="266">
        <f>IF('Final Calculation Sheet'!$F$7="","",'Final Calculation Sheet'!$F$7)</f>
        <v/>
      </c>
      <c r="B11" s="265">
        <f>IF('Final Calculation Sheet'!$B$7="","",'Final Calculation Sheet'!$B$7)</f>
        <v/>
      </c>
      <c r="C11" s="266">
        <f>IF('Final Calculation Sheet'!$D$7="","",'Final Calculation Sheet'!$D$7)</f>
        <v/>
      </c>
      <c r="D11" s="267">
        <f>IF('Final Calculation Sheet'!$A$7="","",'Final Calculation Sheet'!$A$7)</f>
        <v/>
      </c>
      <c r="E11" s="268">
        <f>IF('Final Calculation Sheet'!$E$7="","",'Final Calculation Sheet'!$E$7)</f>
        <v/>
      </c>
      <c r="F11" s="266">
        <f>IF('Final Calculation Sheet'!$C$7="","",'Final Calculation Sheet'!$C$7)</f>
        <v/>
      </c>
      <c r="G11" s="266">
        <f>IF('Final Calculation Sheet'!$H$7="","",'Final Calculation Sheet'!$H$7)</f>
        <v/>
      </c>
      <c r="H11" s="266">
        <f>IF('Final Calculation Sheet'!$I$7="","",'Final Calculation Sheet'!$I$7)</f>
        <v/>
      </c>
      <c r="I11" s="266">
        <f>IF('Final Calculation Sheet'!$J$7="","",'Final Calculation Sheet'!$J$7)</f>
        <v/>
      </c>
      <c r="J11" s="266">
        <f>IF('Final Calculation Sheet'!$K$7="","",'Final Calculation Sheet'!$K$7)</f>
        <v/>
      </c>
      <c r="K11" s="269">
        <f>IF('Final Calculation Sheet'!$L$7="","",'Final Calculation Sheet'!$L$7)</f>
        <v/>
      </c>
      <c r="L11" s="269">
        <f>IF('Final Calculation Sheet'!$M$7="","",'Final Calculation Sheet'!$M$7)</f>
        <v/>
      </c>
      <c r="M11" s="269">
        <f>IF('Final Calculation Sheet'!$N$7="","",'Final Calculation Sheet'!$N$7)</f>
        <v/>
      </c>
      <c r="N11" s="269">
        <f>IF('Final Calculation Sheet'!$O$7="","",'Final Calculation Sheet'!$O$7)</f>
        <v/>
      </c>
      <c r="O11" s="266">
        <f>IF('Final Calculation Sheet'!$P$7="","",'Final Calculation Sheet'!$P$7)</f>
        <v/>
      </c>
      <c r="P11" s="270">
        <f>IF('Final Calculation Sheet'!$Q$7="","",'Final Calculation Sheet'!$Q$7)</f>
        <v/>
      </c>
      <c r="Q11" s="266">
        <f>IF('Final Calculation Sheet'!$R$7="","",'Final Calculation Sheet'!$R$7)</f>
        <v/>
      </c>
      <c r="R11" s="266">
        <f>IF('Final Calculation Sheet'!$S$7="","",'Final Calculation Sheet'!$S$7)</f>
        <v/>
      </c>
      <c r="S11" s="266">
        <f>IF('Final Calculation Sheet'!$T$7="","",'Final Calculation Sheet'!$T$7)</f>
        <v/>
      </c>
      <c r="T11" s="266">
        <f>IF('Final Calculation Sheet'!$U$7="","",'Final Calculation Sheet'!$U$7)</f>
        <v/>
      </c>
      <c r="U11" s="268">
        <f>IF('Final Calculation Sheet'!$V$7="","",'Final Calculation Sheet'!$V$7)</f>
        <v/>
      </c>
      <c r="V11" s="266">
        <f>IF('Final Calculation Sheet'!$W$7="","",'Final Calculation Sheet'!$W$7)</f>
        <v/>
      </c>
      <c r="W11" s="266">
        <f>IF('Final Calculation Sheet'!$X$7="","",'Final Calculation Sheet'!$X$7)</f>
        <v/>
      </c>
      <c r="X11" s="268">
        <f>IF('Final Calculation Sheet'!$Y$7="","",'Final Calculation Sheet'!$Y$7)</f>
        <v/>
      </c>
      <c r="Y11" s="266">
        <f>IF('Final Calculation Sheet'!$Z$7="","",'Final Calculation Sheet'!$Z$7)</f>
        <v/>
      </c>
      <c r="Z11" s="266">
        <f>IF('Final Calculation Sheet'!$AA$7="","",'Final Calculation Sheet'!$AA$7)</f>
        <v/>
      </c>
      <c r="AA11" s="268">
        <f>IF('Final Calculation Sheet'!$AB$7="","",'Final Calculation Sheet'!$AB$7)</f>
        <v/>
      </c>
      <c r="AB11" s="266">
        <f>IF('Final Calculation Sheet'!$AC$7="","",'Final Calculation Sheet'!$AC$7)</f>
        <v/>
      </c>
      <c r="AC11" s="266">
        <f>IF('Final Calculation Sheet'!$AD$7="","",'Final Calculation Sheet'!$AD$7)</f>
        <v/>
      </c>
      <c r="AD11" s="268">
        <f>IF('Final Calculation Sheet'!$AD$7="","",IF('Final Calculation Sheet'!$AD$7&lt;=0,"SETTLED","OUTSTANDING"))</f>
        <v/>
      </c>
      <c r="AE11" s="268">
        <f>IF('Final Calculation Sheet'!$AE$7="","",'Final Calculation Sheet'!$AE$7)</f>
        <v/>
      </c>
      <c r="AF11" s="266">
        <f>IF('Final Calculation Sheet'!$AF$7="","",'Final Calculation Sheet'!$AF$7)</f>
        <v/>
      </c>
      <c r="AG11" s="268">
        <f>IF('Final Calculation Sheet'!$AG$7="","",'Final Calculation Sheet'!$AG$7)</f>
        <v/>
      </c>
    </row>
    <row r="12" ht="20" customHeight="1">
      <c r="A12" s="253" t="inlineStr">
        <is>
          <t>∑  F R KHANS ENTERPRISES — TOTALS</t>
        </is>
      </c>
      <c r="B12" s="392" t="inlineStr">
        <is>
          <t>–</t>
        </is>
      </c>
      <c r="C12" s="392" t="inlineStr">
        <is>
          <t>–</t>
        </is>
      </c>
      <c r="D12" s="256">
        <f>SUM(D10:D11)</f>
        <v/>
      </c>
      <c r="E12" s="392" t="inlineStr">
        <is>
          <t>–</t>
        </is>
      </c>
      <c r="F12" s="392" t="inlineStr">
        <is>
          <t>–</t>
        </is>
      </c>
      <c r="G12" s="257">
        <f>SUM(G10:G11)</f>
        <v/>
      </c>
      <c r="H12" s="257">
        <f>SUM(H10:H11)</f>
        <v/>
      </c>
      <c r="I12" s="257">
        <f>SUM(I10:I11)</f>
        <v/>
      </c>
      <c r="J12" s="257">
        <f>SUM(J10:J11)</f>
        <v/>
      </c>
      <c r="K12" s="258">
        <f>SUM(K10:K11)</f>
        <v/>
      </c>
      <c r="L12" s="258">
        <f>SUM(L10:L11)</f>
        <v/>
      </c>
      <c r="M12" s="258">
        <f>SUM(M10:M11)</f>
        <v/>
      </c>
      <c r="N12" s="258">
        <f>SUM(N10:N11)</f>
        <v/>
      </c>
      <c r="O12" s="257">
        <f>SUM(O10:O11)</f>
        <v/>
      </c>
      <c r="P12" s="392" t="inlineStr">
        <is>
          <t>–</t>
        </is>
      </c>
      <c r="Q12" s="257">
        <f>SUM(Q10:Q11)</f>
        <v/>
      </c>
      <c r="R12" s="257">
        <f>SUM(R10:R11)</f>
        <v/>
      </c>
      <c r="S12" s="257">
        <f>SUM(S10:S11)</f>
        <v/>
      </c>
      <c r="T12" s="257">
        <f>SUM(T10:T11)</f>
        <v/>
      </c>
      <c r="U12" s="392" t="inlineStr">
        <is>
          <t>–</t>
        </is>
      </c>
      <c r="V12" s="257">
        <f>SUM(V10:V11)</f>
        <v/>
      </c>
      <c r="W12" s="257">
        <f>SUM(W10:W11)</f>
        <v/>
      </c>
      <c r="X12" s="392" t="inlineStr">
        <is>
          <t>–</t>
        </is>
      </c>
      <c r="Y12" s="257">
        <f>SUM(Y10:Y11)</f>
        <v/>
      </c>
      <c r="Z12" s="257">
        <f>SUM(Z10:Z11)</f>
        <v/>
      </c>
      <c r="AA12" s="392" t="inlineStr">
        <is>
          <t>–</t>
        </is>
      </c>
      <c r="AB12" s="257">
        <f>SUM(AB10:AB11)</f>
        <v/>
      </c>
      <c r="AC12" s="257">
        <f>SUM(AC10:AC11)</f>
        <v/>
      </c>
      <c r="AD12" s="392" t="inlineStr">
        <is>
          <t>–</t>
        </is>
      </c>
      <c r="AE12" s="392" t="inlineStr">
        <is>
          <t>–</t>
        </is>
      </c>
      <c r="AF12" s="392" t="inlineStr">
        <is>
          <t>–</t>
        </is>
      </c>
      <c r="AG12" s="392" t="inlineStr">
        <is>
          <t>–</t>
        </is>
      </c>
    </row>
    <row r="13" ht="7" customHeight="1">
      <c r="A13" s="82" t="n"/>
      <c r="B13" s="82" t="n"/>
      <c r="C13" s="82" t="n"/>
      <c r="D13" s="82" t="n"/>
      <c r="E13" s="82" t="n"/>
      <c r="F13" s="82" t="n"/>
      <c r="G13" s="82" t="n"/>
      <c r="H13" s="82" t="n"/>
      <c r="I13" s="82" t="n"/>
      <c r="J13" s="82" t="n"/>
      <c r="K13" s="82" t="n"/>
      <c r="L13" s="82" t="n"/>
      <c r="M13" s="82" t="n"/>
      <c r="N13" s="82" t="n"/>
      <c r="O13" s="82" t="n"/>
      <c r="P13" s="82" t="n"/>
      <c r="Q13" s="82" t="n"/>
      <c r="R13" s="82" t="n"/>
      <c r="S13" s="82" t="n"/>
      <c r="T13" s="82" t="n"/>
      <c r="U13" s="82" t="n"/>
      <c r="V13" s="82" t="n"/>
      <c r="W13" s="82" t="n"/>
      <c r="X13" s="82" t="n"/>
      <c r="Y13" s="82" t="n"/>
      <c r="Z13" s="82" t="n"/>
      <c r="AA13" s="82" t="n"/>
      <c r="AB13" s="82" t="n"/>
      <c r="AC13" s="82" t="n"/>
      <c r="AD13" s="82" t="n"/>
      <c r="AE13" s="82" t="n"/>
      <c r="AF13" s="82" t="n"/>
      <c r="AG13" s="82" t="n"/>
    </row>
    <row r="14" ht="24" customHeight="1">
      <c r="A14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4" s="64" t="n"/>
      <c r="C14" s="64" t="n"/>
      <c r="D14" s="64" t="n"/>
      <c r="E14" s="64" t="n"/>
      <c r="F14" s="64" t="n"/>
      <c r="G14" s="64" t="n"/>
      <c r="H14" s="64" t="n"/>
      <c r="I14" s="64" t="n"/>
      <c r="J14" s="64" t="n"/>
      <c r="K14" s="64" t="n"/>
      <c r="L14" s="64" t="n"/>
      <c r="M14" s="64" t="n"/>
      <c r="N14" s="64" t="n"/>
      <c r="O14" s="64" t="n"/>
      <c r="P14" s="64" t="n"/>
      <c r="Q14" s="64" t="n"/>
      <c r="R14" s="64" t="n"/>
      <c r="S14" s="64" t="n"/>
      <c r="T14" s="64" t="n"/>
      <c r="U14" s="64" t="n"/>
      <c r="V14" s="64" t="n"/>
      <c r="W14" s="64" t="n"/>
      <c r="X14" s="64" t="n"/>
      <c r="Y14" s="64" t="n"/>
      <c r="Z14" s="64" t="n"/>
      <c r="AA14" s="64" t="n"/>
      <c r="AB14" s="64" t="n"/>
      <c r="AC14" s="64" t="n"/>
      <c r="AD14" s="64" t="n"/>
      <c r="AE14" s="64" t="n"/>
      <c r="AF14" s="64" t="n"/>
      <c r="AG14" s="64" t="n"/>
    </row>
    <row r="15" outlineLevel="1" ht="15" customHeight="1">
      <c r="A15" s="278">
        <f>IF('Final Calculation Sheet'!$F$15="","",'Final Calculation Sheet'!$F$15)</f>
        <v/>
      </c>
      <c r="B15" s="277">
        <f>IF('Final Calculation Sheet'!$B$15="","",'Final Calculation Sheet'!$B$15)</f>
        <v/>
      </c>
      <c r="C15" s="278">
        <f>IF('Final Calculation Sheet'!$D$15="","",'Final Calculation Sheet'!$D$15)</f>
        <v/>
      </c>
      <c r="D15" s="279">
        <f>IF('Final Calculation Sheet'!$A$15="","",'Final Calculation Sheet'!$A$15)</f>
        <v/>
      </c>
      <c r="E15" s="280">
        <f>IF('Final Calculation Sheet'!$E$15="","",'Final Calculation Sheet'!$E$15)</f>
        <v/>
      </c>
      <c r="F15" s="278">
        <f>IF('Final Calculation Sheet'!$C$15="","",'Final Calculation Sheet'!$C$15)</f>
        <v/>
      </c>
      <c r="G15" s="278">
        <f>IF('Final Calculation Sheet'!$H$15="","",'Final Calculation Sheet'!$H$15)</f>
        <v/>
      </c>
      <c r="H15" s="278">
        <f>IF('Final Calculation Sheet'!$I$15="","",'Final Calculation Sheet'!$I$15)</f>
        <v/>
      </c>
      <c r="I15" s="278">
        <f>IF('Final Calculation Sheet'!$J$15="","",'Final Calculation Sheet'!$J$15)</f>
        <v/>
      </c>
      <c r="J15" s="278">
        <f>IF('Final Calculation Sheet'!$K$15="","",'Final Calculation Sheet'!$K$15)</f>
        <v/>
      </c>
      <c r="K15" s="281">
        <f>IF('Final Calculation Sheet'!$L$15="","",'Final Calculation Sheet'!$L$15)</f>
        <v/>
      </c>
      <c r="L15" s="281">
        <f>IF('Final Calculation Sheet'!$M$15="","",'Final Calculation Sheet'!$M$15)</f>
        <v/>
      </c>
      <c r="M15" s="281">
        <f>IF('Final Calculation Sheet'!$N$15="","",'Final Calculation Sheet'!$N$15)</f>
        <v/>
      </c>
      <c r="N15" s="281">
        <f>IF('Final Calculation Sheet'!$O$15="","",'Final Calculation Sheet'!$O$15)</f>
        <v/>
      </c>
      <c r="O15" s="278">
        <f>IF('Final Calculation Sheet'!$P$15="","",'Final Calculation Sheet'!$P$15)</f>
        <v/>
      </c>
      <c r="P15" s="282">
        <f>IF('Final Calculation Sheet'!$Q$15="","",'Final Calculation Sheet'!$Q$15)</f>
        <v/>
      </c>
      <c r="Q15" s="278">
        <f>IF('Final Calculation Sheet'!$R$15="","",'Final Calculation Sheet'!$R$15)</f>
        <v/>
      </c>
      <c r="R15" s="278">
        <f>IF('Final Calculation Sheet'!$S$15="","",'Final Calculation Sheet'!$S$15)</f>
        <v/>
      </c>
      <c r="S15" s="278">
        <f>IF('Final Calculation Sheet'!$T$15="","",'Final Calculation Sheet'!$T$15)</f>
        <v/>
      </c>
      <c r="T15" s="278">
        <f>IF('Final Calculation Sheet'!$U$15="","",'Final Calculation Sheet'!$U$15)</f>
        <v/>
      </c>
      <c r="U15" s="280">
        <f>IF('Final Calculation Sheet'!$V$15="","",'Final Calculation Sheet'!$V$15)</f>
        <v/>
      </c>
      <c r="V15" s="278">
        <f>IF('Final Calculation Sheet'!$W$15="","",'Final Calculation Sheet'!$W$15)</f>
        <v/>
      </c>
      <c r="W15" s="278">
        <f>IF('Final Calculation Sheet'!$X$15="","",'Final Calculation Sheet'!$X$15)</f>
        <v/>
      </c>
      <c r="X15" s="280">
        <f>IF('Final Calculation Sheet'!$Y$15="","",'Final Calculation Sheet'!$Y$15)</f>
        <v/>
      </c>
      <c r="Y15" s="278">
        <f>IF('Final Calculation Sheet'!$Z$15="","",'Final Calculation Sheet'!$Z$15)</f>
        <v/>
      </c>
      <c r="Z15" s="278">
        <f>IF('Final Calculation Sheet'!$AA$15="","",'Final Calculation Sheet'!$AA$15)</f>
        <v/>
      </c>
      <c r="AA15" s="280">
        <f>IF('Final Calculation Sheet'!$AB$15="","",'Final Calculation Sheet'!$AB$15)</f>
        <v/>
      </c>
      <c r="AB15" s="278">
        <f>IF('Final Calculation Sheet'!$AC$15="","",'Final Calculation Sheet'!$AC$15)</f>
        <v/>
      </c>
      <c r="AC15" s="278">
        <f>IF('Final Calculation Sheet'!$AD$15="","",'Final Calculation Sheet'!$AD$15)</f>
        <v/>
      </c>
      <c r="AD15" s="280">
        <f>IF('Final Calculation Sheet'!$AD$15="","",IF('Final Calculation Sheet'!$AD$15&lt;=0,"SETTLED","OUTSTANDING"))</f>
        <v/>
      </c>
      <c r="AE15" s="280">
        <f>IF('Final Calculation Sheet'!$AE$15="","",'Final Calculation Sheet'!$AE$15)</f>
        <v/>
      </c>
      <c r="AF15" s="278">
        <f>IF('Final Calculation Sheet'!$AF$15="","",'Final Calculation Sheet'!$AF$15)</f>
        <v/>
      </c>
      <c r="AG15" s="280">
        <f>IF('Final Calculation Sheet'!$AG$15="","",'Final Calculation Sheet'!$AG$15)</f>
        <v/>
      </c>
    </row>
    <row r="16" ht="20" customHeight="1">
      <c r="A16" s="271" t="inlineStr">
        <is>
          <t>∑  HIND TRADERS — TOTALS</t>
        </is>
      </c>
      <c r="B16" s="393" t="inlineStr">
        <is>
          <t>–</t>
        </is>
      </c>
      <c r="C16" s="393" t="inlineStr">
        <is>
          <t>–</t>
        </is>
      </c>
      <c r="D16" s="274">
        <f>SUM(D15:D15)</f>
        <v/>
      </c>
      <c r="E16" s="393" t="inlineStr">
        <is>
          <t>–</t>
        </is>
      </c>
      <c r="F16" s="393" t="inlineStr">
        <is>
          <t>–</t>
        </is>
      </c>
      <c r="G16" s="275">
        <f>SUM(G15:G15)</f>
        <v/>
      </c>
      <c r="H16" s="275">
        <f>SUM(H15:H15)</f>
        <v/>
      </c>
      <c r="I16" s="275">
        <f>SUM(I15:I15)</f>
        <v/>
      </c>
      <c r="J16" s="275">
        <f>SUM(J15:J15)</f>
        <v/>
      </c>
      <c r="K16" s="276">
        <f>SUM(K15:K15)</f>
        <v/>
      </c>
      <c r="L16" s="276">
        <f>SUM(L15:L15)</f>
        <v/>
      </c>
      <c r="M16" s="276">
        <f>SUM(M15:M15)</f>
        <v/>
      </c>
      <c r="N16" s="276">
        <f>SUM(N15:N15)</f>
        <v/>
      </c>
      <c r="O16" s="275">
        <f>SUM(O15:O15)</f>
        <v/>
      </c>
      <c r="P16" s="393" t="inlineStr">
        <is>
          <t>–</t>
        </is>
      </c>
      <c r="Q16" s="275">
        <f>SUM(Q15:Q15)</f>
        <v/>
      </c>
      <c r="R16" s="275">
        <f>SUM(R15:R15)</f>
        <v/>
      </c>
      <c r="S16" s="275">
        <f>SUM(S15:S15)</f>
        <v/>
      </c>
      <c r="T16" s="275">
        <f>SUM(T15:T15)</f>
        <v/>
      </c>
      <c r="U16" s="393" t="inlineStr">
        <is>
          <t>–</t>
        </is>
      </c>
      <c r="V16" s="275">
        <f>SUM(V15:V15)</f>
        <v/>
      </c>
      <c r="W16" s="275">
        <f>SUM(W15:W15)</f>
        <v/>
      </c>
      <c r="X16" s="393" t="inlineStr">
        <is>
          <t>–</t>
        </is>
      </c>
      <c r="Y16" s="275">
        <f>SUM(Y15:Y15)</f>
        <v/>
      </c>
      <c r="Z16" s="275">
        <f>SUM(Z15:Z15)</f>
        <v/>
      </c>
      <c r="AA16" s="393" t="inlineStr">
        <is>
          <t>–</t>
        </is>
      </c>
      <c r="AB16" s="275">
        <f>SUM(AB15:AB15)</f>
        <v/>
      </c>
      <c r="AC16" s="275">
        <f>SUM(AC15:AC15)</f>
        <v/>
      </c>
      <c r="AD16" s="393" t="inlineStr">
        <is>
          <t>–</t>
        </is>
      </c>
      <c r="AE16" s="393" t="inlineStr">
        <is>
          <t>–</t>
        </is>
      </c>
      <c r="AF16" s="393" t="inlineStr">
        <is>
          <t>–</t>
        </is>
      </c>
      <c r="AG16" s="393" t="inlineStr">
        <is>
          <t>–</t>
        </is>
      </c>
    </row>
    <row r="17" ht="7" customHeight="1">
      <c r="A17" s="82" t="n"/>
      <c r="B17" s="82" t="n"/>
      <c r="C17" s="82" t="n"/>
      <c r="D17" s="82" t="n"/>
      <c r="E17" s="82" t="n"/>
      <c r="F17" s="82" t="n"/>
      <c r="G17" s="82" t="n"/>
      <c r="H17" s="82" t="n"/>
      <c r="I17" s="82" t="n"/>
      <c r="J17" s="82" t="n"/>
      <c r="K17" s="82" t="n"/>
      <c r="L17" s="82" t="n"/>
      <c r="M17" s="82" t="n"/>
      <c r="N17" s="82" t="n"/>
      <c r="O17" s="82" t="n"/>
      <c r="P17" s="82" t="n"/>
      <c r="Q17" s="82" t="n"/>
      <c r="R17" s="82" t="n"/>
      <c r="S17" s="82" t="n"/>
      <c r="T17" s="82" t="n"/>
      <c r="U17" s="82" t="n"/>
      <c r="V17" s="82" t="n"/>
      <c r="W17" s="82" t="n"/>
      <c r="X17" s="82" t="n"/>
      <c r="Y17" s="82" t="n"/>
      <c r="Z17" s="82" t="n"/>
      <c r="AA17" s="82" t="n"/>
      <c r="AB17" s="82" t="n"/>
      <c r="AC17" s="82" t="n"/>
      <c r="AD17" s="82" t="n"/>
      <c r="AE17" s="82" t="n"/>
      <c r="AF17" s="82" t="n"/>
      <c r="AG17" s="82" t="n"/>
    </row>
    <row r="18" ht="24" customHeight="1">
      <c r="A18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8" s="64" t="n"/>
      <c r="C18" s="64" t="n"/>
      <c r="D18" s="64" t="n"/>
      <c r="E18" s="64" t="n"/>
      <c r="F18" s="64" t="n"/>
      <c r="G18" s="64" t="n"/>
      <c r="H18" s="64" t="n"/>
      <c r="I18" s="64" t="n"/>
      <c r="J18" s="64" t="n"/>
      <c r="K18" s="64" t="n"/>
      <c r="L18" s="64" t="n"/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64" t="n"/>
      <c r="X18" s="64" t="n"/>
      <c r="Y18" s="64" t="n"/>
      <c r="Z18" s="64" t="n"/>
      <c r="AA18" s="64" t="n"/>
      <c r="AB18" s="64" t="n"/>
      <c r="AC18" s="64" t="n"/>
      <c r="AD18" s="64" t="n"/>
      <c r="AE18" s="64" t="n"/>
      <c r="AF18" s="64" t="n"/>
      <c r="AG18" s="64" t="n"/>
    </row>
    <row r="19" outlineLevel="1" ht="15" customHeight="1">
      <c r="A19" s="290">
        <f>IF('Final Calculation Sheet'!$F$38="","",'Final Calculation Sheet'!$F$38)</f>
        <v/>
      </c>
      <c r="B19" s="289">
        <f>IF('Final Calculation Sheet'!$B$38="","",'Final Calculation Sheet'!$B$38)</f>
        <v/>
      </c>
      <c r="C19" s="290">
        <f>IF('Final Calculation Sheet'!$D$38="","",'Final Calculation Sheet'!$D$38)</f>
        <v/>
      </c>
      <c r="D19" s="291">
        <f>IF('Final Calculation Sheet'!$A$38="","",'Final Calculation Sheet'!$A$38)</f>
        <v/>
      </c>
      <c r="E19" s="292">
        <f>IF('Final Calculation Sheet'!$E$38="","",'Final Calculation Sheet'!$E$38)</f>
        <v/>
      </c>
      <c r="F19" s="290">
        <f>IF('Final Calculation Sheet'!$C$38="","",'Final Calculation Sheet'!$C$38)</f>
        <v/>
      </c>
      <c r="G19" s="290">
        <f>IF('Final Calculation Sheet'!$H$38="","",'Final Calculation Sheet'!$H$38)</f>
        <v/>
      </c>
      <c r="H19" s="290">
        <f>IF('Final Calculation Sheet'!$I$38="","",'Final Calculation Sheet'!$I$38)</f>
        <v/>
      </c>
      <c r="I19" s="290">
        <f>IF('Final Calculation Sheet'!$J$38="","",'Final Calculation Sheet'!$J$38)</f>
        <v/>
      </c>
      <c r="J19" s="290">
        <f>IF('Final Calculation Sheet'!$K$38="","",'Final Calculation Sheet'!$K$38)</f>
        <v/>
      </c>
      <c r="K19" s="293">
        <f>IF('Final Calculation Sheet'!$L$38="","",'Final Calculation Sheet'!$L$38)</f>
        <v/>
      </c>
      <c r="L19" s="293">
        <f>IF('Final Calculation Sheet'!$M$38="","",'Final Calculation Sheet'!$M$38)</f>
        <v/>
      </c>
      <c r="M19" s="293">
        <f>IF('Final Calculation Sheet'!$N$38="","",'Final Calculation Sheet'!$N$38)</f>
        <v/>
      </c>
      <c r="N19" s="293">
        <f>IF('Final Calculation Sheet'!$O$38="","",'Final Calculation Sheet'!$O$38)</f>
        <v/>
      </c>
      <c r="O19" s="290">
        <f>IF('Final Calculation Sheet'!$P$38="","",'Final Calculation Sheet'!$P$38)</f>
        <v/>
      </c>
      <c r="P19" s="294">
        <f>IF('Final Calculation Sheet'!$Q$38="","",'Final Calculation Sheet'!$Q$38)</f>
        <v/>
      </c>
      <c r="Q19" s="290">
        <f>IF('Final Calculation Sheet'!$R$38="","",'Final Calculation Sheet'!$R$38)</f>
        <v/>
      </c>
      <c r="R19" s="290">
        <f>IF('Final Calculation Sheet'!$S$38="","",'Final Calculation Sheet'!$S$38)</f>
        <v/>
      </c>
      <c r="S19" s="290">
        <f>IF('Final Calculation Sheet'!$T$38="","",'Final Calculation Sheet'!$T$38)</f>
        <v/>
      </c>
      <c r="T19" s="290">
        <f>IF('Final Calculation Sheet'!$U$38="","",'Final Calculation Sheet'!$U$38)</f>
        <v/>
      </c>
      <c r="U19" s="292">
        <f>IF('Final Calculation Sheet'!$V$38="","",'Final Calculation Sheet'!$V$38)</f>
        <v/>
      </c>
      <c r="V19" s="290">
        <f>IF('Final Calculation Sheet'!$W$38="","",'Final Calculation Sheet'!$W$38)</f>
        <v/>
      </c>
      <c r="W19" s="290">
        <f>IF('Final Calculation Sheet'!$X$38="","",'Final Calculation Sheet'!$X$38)</f>
        <v/>
      </c>
      <c r="X19" s="292">
        <f>IF('Final Calculation Sheet'!$Y$38="","",'Final Calculation Sheet'!$Y$38)</f>
        <v/>
      </c>
      <c r="Y19" s="290">
        <f>IF('Final Calculation Sheet'!$Z$38="","",'Final Calculation Sheet'!$Z$38)</f>
        <v/>
      </c>
      <c r="Z19" s="290">
        <f>IF('Final Calculation Sheet'!$AA$38="","",'Final Calculation Sheet'!$AA$38)</f>
        <v/>
      </c>
      <c r="AA19" s="292">
        <f>IF('Final Calculation Sheet'!$AB$38="","",'Final Calculation Sheet'!$AB$38)</f>
        <v/>
      </c>
      <c r="AB19" s="290">
        <f>IF('Final Calculation Sheet'!$AC$38="","",'Final Calculation Sheet'!$AC$38)</f>
        <v/>
      </c>
      <c r="AC19" s="290">
        <f>IF('Final Calculation Sheet'!$AD$38="","",'Final Calculation Sheet'!$AD$38)</f>
        <v/>
      </c>
      <c r="AD19" s="292">
        <f>IF('Final Calculation Sheet'!$AD$38="","",IF('Final Calculation Sheet'!$AD$38&lt;=0,"SETTLED","OUTSTANDING"))</f>
        <v/>
      </c>
      <c r="AE19" s="292">
        <f>IF('Final Calculation Sheet'!$AE$38="","",'Final Calculation Sheet'!$AE$38)</f>
        <v/>
      </c>
      <c r="AF19" s="290">
        <f>IF('Final Calculation Sheet'!$AF$38="","",'Final Calculation Sheet'!$AF$38)</f>
        <v/>
      </c>
      <c r="AG19" s="292">
        <f>IF('Final Calculation Sheet'!$AG$38="","",'Final Calculation Sheet'!$AG$38)</f>
        <v/>
      </c>
    </row>
    <row r="20" ht="20" customHeight="1">
      <c r="A20" s="283" t="inlineStr">
        <is>
          <t>∑  KASHYAP TRADING CO — TOTALS</t>
        </is>
      </c>
      <c r="B20" s="394" t="inlineStr">
        <is>
          <t>–</t>
        </is>
      </c>
      <c r="C20" s="394" t="inlineStr">
        <is>
          <t>–</t>
        </is>
      </c>
      <c r="D20" s="286">
        <f>SUM(D19:D19)</f>
        <v/>
      </c>
      <c r="E20" s="394" t="inlineStr">
        <is>
          <t>–</t>
        </is>
      </c>
      <c r="F20" s="394" t="inlineStr">
        <is>
          <t>–</t>
        </is>
      </c>
      <c r="G20" s="287">
        <f>SUM(G19:G19)</f>
        <v/>
      </c>
      <c r="H20" s="287">
        <f>SUM(H19:H19)</f>
        <v/>
      </c>
      <c r="I20" s="287">
        <f>SUM(I19:I19)</f>
        <v/>
      </c>
      <c r="J20" s="287">
        <f>SUM(J19:J19)</f>
        <v/>
      </c>
      <c r="K20" s="288">
        <f>SUM(K19:K19)</f>
        <v/>
      </c>
      <c r="L20" s="288">
        <f>SUM(L19:L19)</f>
        <v/>
      </c>
      <c r="M20" s="288">
        <f>SUM(M19:M19)</f>
        <v/>
      </c>
      <c r="N20" s="288">
        <f>SUM(N19:N19)</f>
        <v/>
      </c>
      <c r="O20" s="287">
        <f>SUM(O19:O19)</f>
        <v/>
      </c>
      <c r="P20" s="394" t="inlineStr">
        <is>
          <t>–</t>
        </is>
      </c>
      <c r="Q20" s="287">
        <f>SUM(Q19:Q19)</f>
        <v/>
      </c>
      <c r="R20" s="287">
        <f>SUM(R19:R19)</f>
        <v/>
      </c>
      <c r="S20" s="287">
        <f>SUM(S19:S19)</f>
        <v/>
      </c>
      <c r="T20" s="287">
        <f>SUM(T19:T19)</f>
        <v/>
      </c>
      <c r="U20" s="394" t="inlineStr">
        <is>
          <t>–</t>
        </is>
      </c>
      <c r="V20" s="287">
        <f>SUM(V19:V19)</f>
        <v/>
      </c>
      <c r="W20" s="287">
        <f>SUM(W19:W19)</f>
        <v/>
      </c>
      <c r="X20" s="394" t="inlineStr">
        <is>
          <t>–</t>
        </is>
      </c>
      <c r="Y20" s="287">
        <f>SUM(Y19:Y19)</f>
        <v/>
      </c>
      <c r="Z20" s="287">
        <f>SUM(Z19:Z19)</f>
        <v/>
      </c>
      <c r="AA20" s="394" t="inlineStr">
        <is>
          <t>–</t>
        </is>
      </c>
      <c r="AB20" s="287">
        <f>SUM(AB19:AB19)</f>
        <v/>
      </c>
      <c r="AC20" s="287">
        <f>SUM(AC19:AC19)</f>
        <v/>
      </c>
      <c r="AD20" s="394" t="inlineStr">
        <is>
          <t>–</t>
        </is>
      </c>
      <c r="AE20" s="394" t="inlineStr">
        <is>
          <t>–</t>
        </is>
      </c>
      <c r="AF20" s="394" t="inlineStr">
        <is>
          <t>–</t>
        </is>
      </c>
      <c r="AG20" s="394" t="inlineStr">
        <is>
          <t>–</t>
        </is>
      </c>
    </row>
    <row r="21" ht="7" customHeight="1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  <c r="J21" s="82" t="n"/>
      <c r="K21" s="82" t="n"/>
      <c r="L21" s="82" t="n"/>
      <c r="M21" s="82" t="n"/>
      <c r="N21" s="82" t="n"/>
      <c r="O21" s="82" t="n"/>
      <c r="P21" s="82" t="n"/>
      <c r="Q21" s="82" t="n"/>
      <c r="R21" s="82" t="n"/>
      <c r="S21" s="82" t="n"/>
      <c r="T21" s="82" t="n"/>
      <c r="U21" s="82" t="n"/>
      <c r="V21" s="82" t="n"/>
      <c r="W21" s="82" t="n"/>
      <c r="X21" s="82" t="n"/>
      <c r="Y21" s="82" t="n"/>
      <c r="Z21" s="82" t="n"/>
      <c r="AA21" s="82" t="n"/>
      <c r="AB21" s="82" t="n"/>
      <c r="AC21" s="82" t="n"/>
      <c r="AD21" s="82" t="n"/>
      <c r="AE21" s="82" t="n"/>
      <c r="AF21" s="82" t="n"/>
      <c r="AG21" s="82" t="n"/>
    </row>
    <row r="22" ht="24" customHeight="1">
      <c r="A22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22" s="64" t="n"/>
      <c r="C22" s="64" t="n"/>
      <c r="D22" s="64" t="n"/>
      <c r="E22" s="64" t="n"/>
      <c r="F22" s="64" t="n"/>
      <c r="G22" s="64" t="n"/>
      <c r="H22" s="64" t="n"/>
      <c r="I22" s="64" t="n"/>
      <c r="J22" s="64" t="n"/>
      <c r="K22" s="64" t="n"/>
      <c r="L22" s="64" t="n"/>
      <c r="M22" s="64" t="n"/>
      <c r="N22" s="64" t="n"/>
      <c r="O22" s="64" t="n"/>
      <c r="P22" s="64" t="n"/>
      <c r="Q22" s="64" t="n"/>
      <c r="R22" s="64" t="n"/>
      <c r="S22" s="64" t="n"/>
      <c r="T22" s="64" t="n"/>
      <c r="U22" s="64" t="n"/>
      <c r="V22" s="64" t="n"/>
      <c r="W22" s="64" t="n"/>
      <c r="X22" s="64" t="n"/>
      <c r="Y22" s="64" t="n"/>
      <c r="Z22" s="64" t="n"/>
      <c r="AA22" s="64" t="n"/>
      <c r="AB22" s="64" t="n"/>
      <c r="AC22" s="64" t="n"/>
      <c r="AD22" s="64" t="n"/>
      <c r="AE22" s="64" t="n"/>
      <c r="AF22" s="64" t="n"/>
      <c r="AG22" s="64" t="n"/>
    </row>
    <row r="23" outlineLevel="1" ht="15" customHeight="1">
      <c r="A23" s="302">
        <f>IF('Final Calculation Sheet'!$F$27="","",'Final Calculation Sheet'!$F$27)</f>
        <v/>
      </c>
      <c r="B23" s="301">
        <f>IF('Final Calculation Sheet'!$B$27="","",'Final Calculation Sheet'!$B$27)</f>
        <v/>
      </c>
      <c r="C23" s="302">
        <f>IF('Final Calculation Sheet'!$D$27="","",'Final Calculation Sheet'!$D$27)</f>
        <v/>
      </c>
      <c r="D23" s="303">
        <f>IF('Final Calculation Sheet'!$A$27="","",'Final Calculation Sheet'!$A$27)</f>
        <v/>
      </c>
      <c r="E23" s="304">
        <f>IF('Final Calculation Sheet'!$E$27="","",'Final Calculation Sheet'!$E$27)</f>
        <v/>
      </c>
      <c r="F23" s="302">
        <f>IF('Final Calculation Sheet'!$C$27="","",'Final Calculation Sheet'!$C$27)</f>
        <v/>
      </c>
      <c r="G23" s="302">
        <f>IF('Final Calculation Sheet'!$H$27="","",'Final Calculation Sheet'!$H$27)</f>
        <v/>
      </c>
      <c r="H23" s="302">
        <f>IF('Final Calculation Sheet'!$I$27="","",'Final Calculation Sheet'!$I$27)</f>
        <v/>
      </c>
      <c r="I23" s="302">
        <f>IF('Final Calculation Sheet'!$J$27="","",'Final Calculation Sheet'!$J$27)</f>
        <v/>
      </c>
      <c r="J23" s="302">
        <f>IF('Final Calculation Sheet'!$K$27="","",'Final Calculation Sheet'!$K$27)</f>
        <v/>
      </c>
      <c r="K23" s="305">
        <f>IF('Final Calculation Sheet'!$L$27="","",'Final Calculation Sheet'!$L$27)</f>
        <v/>
      </c>
      <c r="L23" s="305">
        <f>IF('Final Calculation Sheet'!$M$27="","",'Final Calculation Sheet'!$M$27)</f>
        <v/>
      </c>
      <c r="M23" s="305">
        <f>IF('Final Calculation Sheet'!$N$27="","",'Final Calculation Sheet'!$N$27)</f>
        <v/>
      </c>
      <c r="N23" s="305">
        <f>IF('Final Calculation Sheet'!$O$27="","",'Final Calculation Sheet'!$O$27)</f>
        <v/>
      </c>
      <c r="O23" s="302">
        <f>IF('Final Calculation Sheet'!$P$27="","",'Final Calculation Sheet'!$P$27)</f>
        <v/>
      </c>
      <c r="P23" s="306">
        <f>IF('Final Calculation Sheet'!$Q$27="","",'Final Calculation Sheet'!$Q$27)</f>
        <v/>
      </c>
      <c r="Q23" s="302">
        <f>IF('Final Calculation Sheet'!$R$27="","",'Final Calculation Sheet'!$R$27)</f>
        <v/>
      </c>
      <c r="R23" s="302">
        <f>IF('Final Calculation Sheet'!$S$27="","",'Final Calculation Sheet'!$S$27)</f>
        <v/>
      </c>
      <c r="S23" s="302">
        <f>IF('Final Calculation Sheet'!$T$27="","",'Final Calculation Sheet'!$T$27)</f>
        <v/>
      </c>
      <c r="T23" s="302">
        <f>IF('Final Calculation Sheet'!$U$27="","",'Final Calculation Sheet'!$U$27)</f>
        <v/>
      </c>
      <c r="U23" s="304">
        <f>IF('Final Calculation Sheet'!$V$27="","",'Final Calculation Sheet'!$V$27)</f>
        <v/>
      </c>
      <c r="V23" s="302">
        <f>IF('Final Calculation Sheet'!$W$27="","",'Final Calculation Sheet'!$W$27)</f>
        <v/>
      </c>
      <c r="W23" s="302">
        <f>IF('Final Calculation Sheet'!$X$27="","",'Final Calculation Sheet'!$X$27)</f>
        <v/>
      </c>
      <c r="X23" s="304">
        <f>IF('Final Calculation Sheet'!$Y$27="","",'Final Calculation Sheet'!$Y$27)</f>
        <v/>
      </c>
      <c r="Y23" s="302">
        <f>IF('Final Calculation Sheet'!$Z$27="","",'Final Calculation Sheet'!$Z$27)</f>
        <v/>
      </c>
      <c r="Z23" s="302">
        <f>IF('Final Calculation Sheet'!$AA$27="","",'Final Calculation Sheet'!$AA$27)</f>
        <v/>
      </c>
      <c r="AA23" s="304">
        <f>IF('Final Calculation Sheet'!$AB$27="","",'Final Calculation Sheet'!$AB$27)</f>
        <v/>
      </c>
      <c r="AB23" s="302">
        <f>IF('Final Calculation Sheet'!$AC$27="","",'Final Calculation Sheet'!$AC$27)</f>
        <v/>
      </c>
      <c r="AC23" s="302">
        <f>IF('Final Calculation Sheet'!$AD$27="","",'Final Calculation Sheet'!$AD$27)</f>
        <v/>
      </c>
      <c r="AD23" s="304">
        <f>IF('Final Calculation Sheet'!$AD$27="","",IF('Final Calculation Sheet'!$AD$27&lt;=0,"SETTLED","OUTSTANDING"))</f>
        <v/>
      </c>
      <c r="AE23" s="304">
        <f>IF('Final Calculation Sheet'!$AE$27="","",'Final Calculation Sheet'!$AE$27)</f>
        <v/>
      </c>
      <c r="AF23" s="302">
        <f>IF('Final Calculation Sheet'!$AF$27="","",'Final Calculation Sheet'!$AF$27)</f>
        <v/>
      </c>
      <c r="AG23" s="304">
        <f>IF('Final Calculation Sheet'!$AG$27="","",'Final Calculation Sheet'!$AG$27)</f>
        <v/>
      </c>
    </row>
    <row r="24" ht="20" customHeight="1">
      <c r="A24" s="295" t="inlineStr">
        <is>
          <t>∑  M I SCRAP TRADERS — TOTALS</t>
        </is>
      </c>
      <c r="B24" s="395" t="inlineStr">
        <is>
          <t>–</t>
        </is>
      </c>
      <c r="C24" s="395" t="inlineStr">
        <is>
          <t>–</t>
        </is>
      </c>
      <c r="D24" s="298">
        <f>SUM(D23:D23)</f>
        <v/>
      </c>
      <c r="E24" s="395" t="inlineStr">
        <is>
          <t>–</t>
        </is>
      </c>
      <c r="F24" s="395" t="inlineStr">
        <is>
          <t>–</t>
        </is>
      </c>
      <c r="G24" s="299">
        <f>SUM(G23:G23)</f>
        <v/>
      </c>
      <c r="H24" s="299">
        <f>SUM(H23:H23)</f>
        <v/>
      </c>
      <c r="I24" s="299">
        <f>SUM(I23:I23)</f>
        <v/>
      </c>
      <c r="J24" s="299">
        <f>SUM(J23:J23)</f>
        <v/>
      </c>
      <c r="K24" s="300">
        <f>SUM(K23:K23)</f>
        <v/>
      </c>
      <c r="L24" s="300">
        <f>SUM(L23:L23)</f>
        <v/>
      </c>
      <c r="M24" s="300">
        <f>SUM(M23:M23)</f>
        <v/>
      </c>
      <c r="N24" s="300">
        <f>SUM(N23:N23)</f>
        <v/>
      </c>
      <c r="O24" s="299">
        <f>SUM(O23:O23)</f>
        <v/>
      </c>
      <c r="P24" s="395" t="inlineStr">
        <is>
          <t>–</t>
        </is>
      </c>
      <c r="Q24" s="299">
        <f>SUM(Q23:Q23)</f>
        <v/>
      </c>
      <c r="R24" s="299">
        <f>SUM(R23:R23)</f>
        <v/>
      </c>
      <c r="S24" s="299">
        <f>SUM(S23:S23)</f>
        <v/>
      </c>
      <c r="T24" s="299">
        <f>SUM(T23:T23)</f>
        <v/>
      </c>
      <c r="U24" s="395" t="inlineStr">
        <is>
          <t>–</t>
        </is>
      </c>
      <c r="V24" s="299">
        <f>SUM(V23:V23)</f>
        <v/>
      </c>
      <c r="W24" s="299">
        <f>SUM(W23:W23)</f>
        <v/>
      </c>
      <c r="X24" s="395" t="inlineStr">
        <is>
          <t>–</t>
        </is>
      </c>
      <c r="Y24" s="299">
        <f>SUM(Y23:Y23)</f>
        <v/>
      </c>
      <c r="Z24" s="299">
        <f>SUM(Z23:Z23)</f>
        <v/>
      </c>
      <c r="AA24" s="395" t="inlineStr">
        <is>
          <t>–</t>
        </is>
      </c>
      <c r="AB24" s="299">
        <f>SUM(AB23:AB23)</f>
        <v/>
      </c>
      <c r="AC24" s="299">
        <f>SUM(AC23:AC23)</f>
        <v/>
      </c>
      <c r="AD24" s="395" t="inlineStr">
        <is>
          <t>–</t>
        </is>
      </c>
      <c r="AE24" s="395" t="inlineStr">
        <is>
          <t>–</t>
        </is>
      </c>
      <c r="AF24" s="395" t="inlineStr">
        <is>
          <t>–</t>
        </is>
      </c>
      <c r="AG24" s="395" t="inlineStr">
        <is>
          <t>–</t>
        </is>
      </c>
    </row>
    <row r="25" ht="7" customHeight="1">
      <c r="A25" s="82" t="n"/>
      <c r="B25" s="82" t="n"/>
      <c r="C25" s="82" t="n"/>
      <c r="D25" s="82" t="n"/>
      <c r="E25" s="82" t="n"/>
      <c r="F25" s="82" t="n"/>
      <c r="G25" s="82" t="n"/>
      <c r="H25" s="82" t="n"/>
      <c r="I25" s="82" t="n"/>
      <c r="J25" s="82" t="n"/>
      <c r="K25" s="82" t="n"/>
      <c r="L25" s="82" t="n"/>
      <c r="M25" s="82" t="n"/>
      <c r="N25" s="82" t="n"/>
      <c r="O25" s="82" t="n"/>
      <c r="P25" s="82" t="n"/>
      <c r="Q25" s="82" t="n"/>
      <c r="R25" s="82" t="n"/>
      <c r="S25" s="82" t="n"/>
      <c r="T25" s="82" t="n"/>
      <c r="U25" s="82" t="n"/>
      <c r="V25" s="82" t="n"/>
      <c r="W25" s="82" t="n"/>
      <c r="X25" s="82" t="n"/>
      <c r="Y25" s="82" t="n"/>
      <c r="Z25" s="82" t="n"/>
      <c r="AA25" s="82" t="n"/>
      <c r="AB25" s="82" t="n"/>
      <c r="AC25" s="82" t="n"/>
      <c r="AD25" s="82" t="n"/>
      <c r="AE25" s="82" t="n"/>
      <c r="AF25" s="82" t="n"/>
      <c r="AG25" s="82" t="n"/>
    </row>
    <row r="26" ht="24" customHeight="1">
      <c r="A26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6" s="64" t="n"/>
      <c r="C26" s="64" t="n"/>
      <c r="D26" s="64" t="n"/>
      <c r="E26" s="64" t="n"/>
      <c r="F26" s="64" t="n"/>
      <c r="G26" s="64" t="n"/>
      <c r="H26" s="64" t="n"/>
      <c r="I26" s="64" t="n"/>
      <c r="J26" s="64" t="n"/>
      <c r="K26" s="64" t="n"/>
      <c r="L26" s="64" t="n"/>
      <c r="M26" s="64" t="n"/>
      <c r="N26" s="64" t="n"/>
      <c r="O26" s="64" t="n"/>
      <c r="P26" s="64" t="n"/>
      <c r="Q26" s="64" t="n"/>
      <c r="R26" s="64" t="n"/>
      <c r="S26" s="64" t="n"/>
      <c r="T26" s="64" t="n"/>
      <c r="U26" s="64" t="n"/>
      <c r="V26" s="64" t="n"/>
      <c r="W26" s="64" t="n"/>
      <c r="X26" s="64" t="n"/>
      <c r="Y26" s="64" t="n"/>
      <c r="Z26" s="64" t="n"/>
      <c r="AA26" s="64" t="n"/>
      <c r="AB26" s="64" t="n"/>
      <c r="AC26" s="64" t="n"/>
      <c r="AD26" s="64" t="n"/>
      <c r="AE26" s="64" t="n"/>
      <c r="AF26" s="64" t="n"/>
      <c r="AG26" s="64" t="n"/>
    </row>
    <row r="27" outlineLevel="1" ht="15" customHeight="1">
      <c r="A27" s="314">
        <f>IF('Final Calculation Sheet'!$F$5="","",'Final Calculation Sheet'!$F$5)</f>
        <v/>
      </c>
      <c r="B27" s="313">
        <f>IF('Final Calculation Sheet'!$B$5="","",'Final Calculation Sheet'!$B$5)</f>
        <v/>
      </c>
      <c r="C27" s="314">
        <f>IF('Final Calculation Sheet'!$D$5="","",'Final Calculation Sheet'!$D$5)</f>
        <v/>
      </c>
      <c r="D27" s="315">
        <f>IF('Final Calculation Sheet'!$A$5="","",'Final Calculation Sheet'!$A$5)</f>
        <v/>
      </c>
      <c r="E27" s="316">
        <f>IF('Final Calculation Sheet'!$E$5="","",'Final Calculation Sheet'!$E$5)</f>
        <v/>
      </c>
      <c r="F27" s="314">
        <f>IF('Final Calculation Sheet'!$C$5="","",'Final Calculation Sheet'!$C$5)</f>
        <v/>
      </c>
      <c r="G27" s="314">
        <f>IF('Final Calculation Sheet'!$H$5="","",'Final Calculation Sheet'!$H$5)</f>
        <v/>
      </c>
      <c r="H27" s="314">
        <f>IF('Final Calculation Sheet'!$I$5="","",'Final Calculation Sheet'!$I$5)</f>
        <v/>
      </c>
      <c r="I27" s="314">
        <f>IF('Final Calculation Sheet'!$J$5="","",'Final Calculation Sheet'!$J$5)</f>
        <v/>
      </c>
      <c r="J27" s="314">
        <f>IF('Final Calculation Sheet'!$K$5="","",'Final Calculation Sheet'!$K$5)</f>
        <v/>
      </c>
      <c r="K27" s="317">
        <f>IF('Final Calculation Sheet'!$L$5="","",'Final Calculation Sheet'!$L$5)</f>
        <v/>
      </c>
      <c r="L27" s="317">
        <f>IF('Final Calculation Sheet'!$M$5="","",'Final Calculation Sheet'!$M$5)</f>
        <v/>
      </c>
      <c r="M27" s="317">
        <f>IF('Final Calculation Sheet'!$N$5="","",'Final Calculation Sheet'!$N$5)</f>
        <v/>
      </c>
      <c r="N27" s="317">
        <f>IF('Final Calculation Sheet'!$O$5="","",'Final Calculation Sheet'!$O$5)</f>
        <v/>
      </c>
      <c r="O27" s="314">
        <f>IF('Final Calculation Sheet'!$P$5="","",'Final Calculation Sheet'!$P$5)</f>
        <v/>
      </c>
      <c r="P27" s="318">
        <f>IF('Final Calculation Sheet'!$Q$5="","",'Final Calculation Sheet'!$Q$5)</f>
        <v/>
      </c>
      <c r="Q27" s="314">
        <f>IF('Final Calculation Sheet'!$R$5="","",'Final Calculation Sheet'!$R$5)</f>
        <v/>
      </c>
      <c r="R27" s="314">
        <f>IF('Final Calculation Sheet'!$S$5="","",'Final Calculation Sheet'!$S$5)</f>
        <v/>
      </c>
      <c r="S27" s="314">
        <f>IF('Final Calculation Sheet'!$T$5="","",'Final Calculation Sheet'!$T$5)</f>
        <v/>
      </c>
      <c r="T27" s="314">
        <f>IF('Final Calculation Sheet'!$U$5="","",'Final Calculation Sheet'!$U$5)</f>
        <v/>
      </c>
      <c r="U27" s="316">
        <f>IF('Final Calculation Sheet'!$V$5="","",'Final Calculation Sheet'!$V$5)</f>
        <v/>
      </c>
      <c r="V27" s="314">
        <f>IF('Final Calculation Sheet'!$W$5="","",'Final Calculation Sheet'!$W$5)</f>
        <v/>
      </c>
      <c r="W27" s="314">
        <f>IF('Final Calculation Sheet'!$X$5="","",'Final Calculation Sheet'!$X$5)</f>
        <v/>
      </c>
      <c r="X27" s="316">
        <f>IF('Final Calculation Sheet'!$Y$5="","",'Final Calculation Sheet'!$Y$5)</f>
        <v/>
      </c>
      <c r="Y27" s="314">
        <f>IF('Final Calculation Sheet'!$Z$5="","",'Final Calculation Sheet'!$Z$5)</f>
        <v/>
      </c>
      <c r="Z27" s="314">
        <f>IF('Final Calculation Sheet'!$AA$5="","",'Final Calculation Sheet'!$AA$5)</f>
        <v/>
      </c>
      <c r="AA27" s="316">
        <f>IF('Final Calculation Sheet'!$AB$5="","",'Final Calculation Sheet'!$AB$5)</f>
        <v/>
      </c>
      <c r="AB27" s="314">
        <f>IF('Final Calculation Sheet'!$AC$5="","",'Final Calculation Sheet'!$AC$5)</f>
        <v/>
      </c>
      <c r="AC27" s="314">
        <f>IF('Final Calculation Sheet'!$AD$5="","",'Final Calculation Sheet'!$AD$5)</f>
        <v/>
      </c>
      <c r="AD27" s="316">
        <f>IF('Final Calculation Sheet'!$AD$5="","",IF('Final Calculation Sheet'!$AD$5&lt;=0,"SETTLED","OUTSTANDING"))</f>
        <v/>
      </c>
      <c r="AE27" s="316">
        <f>IF('Final Calculation Sheet'!$AE$5="","",'Final Calculation Sheet'!$AE$5)</f>
        <v/>
      </c>
      <c r="AF27" s="314">
        <f>IF('Final Calculation Sheet'!$AF$5="","",'Final Calculation Sheet'!$AF$5)</f>
        <v/>
      </c>
      <c r="AG27" s="316">
        <f>IF('Final Calculation Sheet'!$AG$5="","",'Final Calculation Sheet'!$AG$5)</f>
        <v/>
      </c>
    </row>
    <row r="28" outlineLevel="1" ht="15" customHeight="1">
      <c r="A28" s="320">
        <f>IF('Final Calculation Sheet'!$F$10="","",'Final Calculation Sheet'!$F$10)</f>
        <v/>
      </c>
      <c r="B28" s="319">
        <f>IF('Final Calculation Sheet'!$B$10="","",'Final Calculation Sheet'!$B$10)</f>
        <v/>
      </c>
      <c r="C28" s="320">
        <f>IF('Final Calculation Sheet'!$D$10="","",'Final Calculation Sheet'!$D$10)</f>
        <v/>
      </c>
      <c r="D28" s="321">
        <f>IF('Final Calculation Sheet'!$A$10="","",'Final Calculation Sheet'!$A$10)</f>
        <v/>
      </c>
      <c r="E28" s="322">
        <f>IF('Final Calculation Sheet'!$E$10="","",'Final Calculation Sheet'!$E$10)</f>
        <v/>
      </c>
      <c r="F28" s="320">
        <f>IF('Final Calculation Sheet'!$C$10="","",'Final Calculation Sheet'!$C$10)</f>
        <v/>
      </c>
      <c r="G28" s="320">
        <f>IF('Final Calculation Sheet'!$H$10="","",'Final Calculation Sheet'!$H$10)</f>
        <v/>
      </c>
      <c r="H28" s="320">
        <f>IF('Final Calculation Sheet'!$I$10="","",'Final Calculation Sheet'!$I$10)</f>
        <v/>
      </c>
      <c r="I28" s="320">
        <f>IF('Final Calculation Sheet'!$J$10="","",'Final Calculation Sheet'!$J$10)</f>
        <v/>
      </c>
      <c r="J28" s="320">
        <f>IF('Final Calculation Sheet'!$K$10="","",'Final Calculation Sheet'!$K$10)</f>
        <v/>
      </c>
      <c r="K28" s="323">
        <f>IF('Final Calculation Sheet'!$L$10="","",'Final Calculation Sheet'!$L$10)</f>
        <v/>
      </c>
      <c r="L28" s="323">
        <f>IF('Final Calculation Sheet'!$M$10="","",'Final Calculation Sheet'!$M$10)</f>
        <v/>
      </c>
      <c r="M28" s="323">
        <f>IF('Final Calculation Sheet'!$N$10="","",'Final Calculation Sheet'!$N$10)</f>
        <v/>
      </c>
      <c r="N28" s="323">
        <f>IF('Final Calculation Sheet'!$O$10="","",'Final Calculation Sheet'!$O$10)</f>
        <v/>
      </c>
      <c r="O28" s="320">
        <f>IF('Final Calculation Sheet'!$P$10="","",'Final Calculation Sheet'!$P$10)</f>
        <v/>
      </c>
      <c r="P28" s="324">
        <f>IF('Final Calculation Sheet'!$Q$10="","",'Final Calculation Sheet'!$Q$10)</f>
        <v/>
      </c>
      <c r="Q28" s="320">
        <f>IF('Final Calculation Sheet'!$R$10="","",'Final Calculation Sheet'!$R$10)</f>
        <v/>
      </c>
      <c r="R28" s="320">
        <f>IF('Final Calculation Sheet'!$S$10="","",'Final Calculation Sheet'!$S$10)</f>
        <v/>
      </c>
      <c r="S28" s="320">
        <f>IF('Final Calculation Sheet'!$T$10="","",'Final Calculation Sheet'!$T$10)</f>
        <v/>
      </c>
      <c r="T28" s="320">
        <f>IF('Final Calculation Sheet'!$U$10="","",'Final Calculation Sheet'!$U$10)</f>
        <v/>
      </c>
      <c r="U28" s="322">
        <f>IF('Final Calculation Sheet'!$V$10="","",'Final Calculation Sheet'!$V$10)</f>
        <v/>
      </c>
      <c r="V28" s="320">
        <f>IF('Final Calculation Sheet'!$W$10="","",'Final Calculation Sheet'!$W$10)</f>
        <v/>
      </c>
      <c r="W28" s="320">
        <f>IF('Final Calculation Sheet'!$X$10="","",'Final Calculation Sheet'!$X$10)</f>
        <v/>
      </c>
      <c r="X28" s="322">
        <f>IF('Final Calculation Sheet'!$Y$10="","",'Final Calculation Sheet'!$Y$10)</f>
        <v/>
      </c>
      <c r="Y28" s="320">
        <f>IF('Final Calculation Sheet'!$Z$10="","",'Final Calculation Sheet'!$Z$10)</f>
        <v/>
      </c>
      <c r="Z28" s="320">
        <f>IF('Final Calculation Sheet'!$AA$10="","",'Final Calculation Sheet'!$AA$10)</f>
        <v/>
      </c>
      <c r="AA28" s="322">
        <f>IF('Final Calculation Sheet'!$AB$10="","",'Final Calculation Sheet'!$AB$10)</f>
        <v/>
      </c>
      <c r="AB28" s="320">
        <f>IF('Final Calculation Sheet'!$AC$10="","",'Final Calculation Sheet'!$AC$10)</f>
        <v/>
      </c>
      <c r="AC28" s="320">
        <f>IF('Final Calculation Sheet'!$AD$10="","",'Final Calculation Sheet'!$AD$10)</f>
        <v/>
      </c>
      <c r="AD28" s="322">
        <f>IF('Final Calculation Sheet'!$AD$10="","",IF('Final Calculation Sheet'!$AD$10&lt;=0,"SETTLED","OUTSTANDING"))</f>
        <v/>
      </c>
      <c r="AE28" s="322">
        <f>IF('Final Calculation Sheet'!$AE$10="","",'Final Calculation Sheet'!$AE$10)</f>
        <v/>
      </c>
      <c r="AF28" s="320">
        <f>IF('Final Calculation Sheet'!$AF$10="","",'Final Calculation Sheet'!$AF$10)</f>
        <v/>
      </c>
      <c r="AG28" s="322">
        <f>IF('Final Calculation Sheet'!$AG$10="","",'Final Calculation Sheet'!$AG$10)</f>
        <v/>
      </c>
    </row>
    <row r="29" outlineLevel="1" ht="15" customHeight="1">
      <c r="A29" s="314">
        <f>IF('Final Calculation Sheet'!$F$11="","",'Final Calculation Sheet'!$F$11)</f>
        <v/>
      </c>
      <c r="B29" s="313">
        <f>IF('Final Calculation Sheet'!$B$11="","",'Final Calculation Sheet'!$B$11)</f>
        <v/>
      </c>
      <c r="C29" s="314">
        <f>IF('Final Calculation Sheet'!$D$11="","",'Final Calculation Sheet'!$D$11)</f>
        <v/>
      </c>
      <c r="D29" s="315">
        <f>IF('Final Calculation Sheet'!$A$11="","",'Final Calculation Sheet'!$A$11)</f>
        <v/>
      </c>
      <c r="E29" s="316">
        <f>IF('Final Calculation Sheet'!$E$11="","",'Final Calculation Sheet'!$E$11)</f>
        <v/>
      </c>
      <c r="F29" s="314">
        <f>IF('Final Calculation Sheet'!$C$11="","",'Final Calculation Sheet'!$C$11)</f>
        <v/>
      </c>
      <c r="G29" s="314">
        <f>IF('Final Calculation Sheet'!$H$11="","",'Final Calculation Sheet'!$H$11)</f>
        <v/>
      </c>
      <c r="H29" s="314">
        <f>IF('Final Calculation Sheet'!$I$11="","",'Final Calculation Sheet'!$I$11)</f>
        <v/>
      </c>
      <c r="I29" s="314">
        <f>IF('Final Calculation Sheet'!$J$11="","",'Final Calculation Sheet'!$J$11)</f>
        <v/>
      </c>
      <c r="J29" s="314">
        <f>IF('Final Calculation Sheet'!$K$11="","",'Final Calculation Sheet'!$K$11)</f>
        <v/>
      </c>
      <c r="K29" s="317">
        <f>IF('Final Calculation Sheet'!$L$11="","",'Final Calculation Sheet'!$L$11)</f>
        <v/>
      </c>
      <c r="L29" s="317">
        <f>IF('Final Calculation Sheet'!$M$11="","",'Final Calculation Sheet'!$M$11)</f>
        <v/>
      </c>
      <c r="M29" s="317">
        <f>IF('Final Calculation Sheet'!$N$11="","",'Final Calculation Sheet'!$N$11)</f>
        <v/>
      </c>
      <c r="N29" s="317">
        <f>IF('Final Calculation Sheet'!$O$11="","",'Final Calculation Sheet'!$O$11)</f>
        <v/>
      </c>
      <c r="O29" s="314">
        <f>IF('Final Calculation Sheet'!$P$11="","",'Final Calculation Sheet'!$P$11)</f>
        <v/>
      </c>
      <c r="P29" s="318">
        <f>IF('Final Calculation Sheet'!$Q$11="","",'Final Calculation Sheet'!$Q$11)</f>
        <v/>
      </c>
      <c r="Q29" s="314">
        <f>IF('Final Calculation Sheet'!$R$11="","",'Final Calculation Sheet'!$R$11)</f>
        <v/>
      </c>
      <c r="R29" s="314">
        <f>IF('Final Calculation Sheet'!$S$11="","",'Final Calculation Sheet'!$S$11)</f>
        <v/>
      </c>
      <c r="S29" s="314">
        <f>IF('Final Calculation Sheet'!$T$11="","",'Final Calculation Sheet'!$T$11)</f>
        <v/>
      </c>
      <c r="T29" s="314">
        <f>IF('Final Calculation Sheet'!$U$11="","",'Final Calculation Sheet'!$U$11)</f>
        <v/>
      </c>
      <c r="U29" s="316">
        <f>IF('Final Calculation Sheet'!$V$11="","",'Final Calculation Sheet'!$V$11)</f>
        <v/>
      </c>
      <c r="V29" s="314">
        <f>IF('Final Calculation Sheet'!$W$11="","",'Final Calculation Sheet'!$W$11)</f>
        <v/>
      </c>
      <c r="W29" s="314">
        <f>IF('Final Calculation Sheet'!$X$11="","",'Final Calculation Sheet'!$X$11)</f>
        <v/>
      </c>
      <c r="X29" s="316">
        <f>IF('Final Calculation Sheet'!$Y$11="","",'Final Calculation Sheet'!$Y$11)</f>
        <v/>
      </c>
      <c r="Y29" s="314">
        <f>IF('Final Calculation Sheet'!$Z$11="","",'Final Calculation Sheet'!$Z$11)</f>
        <v/>
      </c>
      <c r="Z29" s="314">
        <f>IF('Final Calculation Sheet'!$AA$11="","",'Final Calculation Sheet'!$AA$11)</f>
        <v/>
      </c>
      <c r="AA29" s="316">
        <f>IF('Final Calculation Sheet'!$AB$11="","",'Final Calculation Sheet'!$AB$11)</f>
        <v/>
      </c>
      <c r="AB29" s="314">
        <f>IF('Final Calculation Sheet'!$AC$11="","",'Final Calculation Sheet'!$AC$11)</f>
        <v/>
      </c>
      <c r="AC29" s="314">
        <f>IF('Final Calculation Sheet'!$AD$11="","",'Final Calculation Sheet'!$AD$11)</f>
        <v/>
      </c>
      <c r="AD29" s="316">
        <f>IF('Final Calculation Sheet'!$AD$11="","",IF('Final Calculation Sheet'!$AD$11&lt;=0,"SETTLED","OUTSTANDING"))</f>
        <v/>
      </c>
      <c r="AE29" s="316">
        <f>IF('Final Calculation Sheet'!$AE$11="","",'Final Calculation Sheet'!$AE$11)</f>
        <v/>
      </c>
      <c r="AF29" s="314">
        <f>IF('Final Calculation Sheet'!$AF$11="","",'Final Calculation Sheet'!$AF$11)</f>
        <v/>
      </c>
      <c r="AG29" s="316">
        <f>IF('Final Calculation Sheet'!$AG$11="","",'Final Calculation Sheet'!$AG$11)</f>
        <v/>
      </c>
    </row>
    <row r="30" outlineLevel="1" ht="15" customHeight="1">
      <c r="A30" s="320">
        <f>IF('Final Calculation Sheet'!$F$12="","",'Final Calculation Sheet'!$F$12)</f>
        <v/>
      </c>
      <c r="B30" s="319">
        <f>IF('Final Calculation Sheet'!$B$12="","",'Final Calculation Sheet'!$B$12)</f>
        <v/>
      </c>
      <c r="C30" s="320">
        <f>IF('Final Calculation Sheet'!$D$12="","",'Final Calculation Sheet'!$D$12)</f>
        <v/>
      </c>
      <c r="D30" s="321">
        <f>IF('Final Calculation Sheet'!$A$12="","",'Final Calculation Sheet'!$A$12)</f>
        <v/>
      </c>
      <c r="E30" s="322">
        <f>IF('Final Calculation Sheet'!$E$12="","",'Final Calculation Sheet'!$E$12)</f>
        <v/>
      </c>
      <c r="F30" s="320">
        <f>IF('Final Calculation Sheet'!$C$12="","",'Final Calculation Sheet'!$C$12)</f>
        <v/>
      </c>
      <c r="G30" s="320">
        <f>IF('Final Calculation Sheet'!$H$12="","",'Final Calculation Sheet'!$H$12)</f>
        <v/>
      </c>
      <c r="H30" s="320">
        <f>IF('Final Calculation Sheet'!$I$12="","",'Final Calculation Sheet'!$I$12)</f>
        <v/>
      </c>
      <c r="I30" s="320">
        <f>IF('Final Calculation Sheet'!$J$12="","",'Final Calculation Sheet'!$J$12)</f>
        <v/>
      </c>
      <c r="J30" s="320">
        <f>IF('Final Calculation Sheet'!$K$12="","",'Final Calculation Sheet'!$K$12)</f>
        <v/>
      </c>
      <c r="K30" s="323">
        <f>IF('Final Calculation Sheet'!$L$12="","",'Final Calculation Sheet'!$L$12)</f>
        <v/>
      </c>
      <c r="L30" s="323">
        <f>IF('Final Calculation Sheet'!$M$12="","",'Final Calculation Sheet'!$M$12)</f>
        <v/>
      </c>
      <c r="M30" s="323">
        <f>IF('Final Calculation Sheet'!$N$12="","",'Final Calculation Sheet'!$N$12)</f>
        <v/>
      </c>
      <c r="N30" s="323">
        <f>IF('Final Calculation Sheet'!$O$12="","",'Final Calculation Sheet'!$O$12)</f>
        <v/>
      </c>
      <c r="O30" s="320">
        <f>IF('Final Calculation Sheet'!$P$12="","",'Final Calculation Sheet'!$P$12)</f>
        <v/>
      </c>
      <c r="P30" s="324">
        <f>IF('Final Calculation Sheet'!$Q$12="","",'Final Calculation Sheet'!$Q$12)</f>
        <v/>
      </c>
      <c r="Q30" s="320">
        <f>IF('Final Calculation Sheet'!$R$12="","",'Final Calculation Sheet'!$R$12)</f>
        <v/>
      </c>
      <c r="R30" s="320">
        <f>IF('Final Calculation Sheet'!$S$12="","",'Final Calculation Sheet'!$S$12)</f>
        <v/>
      </c>
      <c r="S30" s="320">
        <f>IF('Final Calculation Sheet'!$T$12="","",'Final Calculation Sheet'!$T$12)</f>
        <v/>
      </c>
      <c r="T30" s="320">
        <f>IF('Final Calculation Sheet'!$U$12="","",'Final Calculation Sheet'!$U$12)</f>
        <v/>
      </c>
      <c r="U30" s="322">
        <f>IF('Final Calculation Sheet'!$V$12="","",'Final Calculation Sheet'!$V$12)</f>
        <v/>
      </c>
      <c r="V30" s="320">
        <f>IF('Final Calculation Sheet'!$W$12="","",'Final Calculation Sheet'!$W$12)</f>
        <v/>
      </c>
      <c r="W30" s="320">
        <f>IF('Final Calculation Sheet'!$X$12="","",'Final Calculation Sheet'!$X$12)</f>
        <v/>
      </c>
      <c r="X30" s="322">
        <f>IF('Final Calculation Sheet'!$Y$12="","",'Final Calculation Sheet'!$Y$12)</f>
        <v/>
      </c>
      <c r="Y30" s="320">
        <f>IF('Final Calculation Sheet'!$Z$12="","",'Final Calculation Sheet'!$Z$12)</f>
        <v/>
      </c>
      <c r="Z30" s="320">
        <f>IF('Final Calculation Sheet'!$AA$12="","",'Final Calculation Sheet'!$AA$12)</f>
        <v/>
      </c>
      <c r="AA30" s="322">
        <f>IF('Final Calculation Sheet'!$AB$12="","",'Final Calculation Sheet'!$AB$12)</f>
        <v/>
      </c>
      <c r="AB30" s="320">
        <f>IF('Final Calculation Sheet'!$AC$12="","",'Final Calculation Sheet'!$AC$12)</f>
        <v/>
      </c>
      <c r="AC30" s="320">
        <f>IF('Final Calculation Sheet'!$AD$12="","",'Final Calculation Sheet'!$AD$12)</f>
        <v/>
      </c>
      <c r="AD30" s="322">
        <f>IF('Final Calculation Sheet'!$AD$12="","",IF('Final Calculation Sheet'!$AD$12&lt;=0,"SETTLED","OUTSTANDING"))</f>
        <v/>
      </c>
      <c r="AE30" s="322">
        <f>IF('Final Calculation Sheet'!$AE$12="","",'Final Calculation Sheet'!$AE$12)</f>
        <v/>
      </c>
      <c r="AF30" s="320">
        <f>IF('Final Calculation Sheet'!$AF$12="","",'Final Calculation Sheet'!$AF$12)</f>
        <v/>
      </c>
      <c r="AG30" s="322">
        <f>IF('Final Calculation Sheet'!$AG$12="","",'Final Calculation Sheet'!$AG$12)</f>
        <v/>
      </c>
    </row>
    <row r="31" outlineLevel="1" ht="15" customHeight="1">
      <c r="A31" s="314">
        <f>IF('Final Calculation Sheet'!$F$18="","",'Final Calculation Sheet'!$F$18)</f>
        <v/>
      </c>
      <c r="B31" s="313">
        <f>IF('Final Calculation Sheet'!$B$18="","",'Final Calculation Sheet'!$B$18)</f>
        <v/>
      </c>
      <c r="C31" s="314">
        <f>IF('Final Calculation Sheet'!$D$18="","",'Final Calculation Sheet'!$D$18)</f>
        <v/>
      </c>
      <c r="D31" s="315">
        <f>IF('Final Calculation Sheet'!$A$18="","",'Final Calculation Sheet'!$A$18)</f>
        <v/>
      </c>
      <c r="E31" s="316">
        <f>IF('Final Calculation Sheet'!$E$18="","",'Final Calculation Sheet'!$E$18)</f>
        <v/>
      </c>
      <c r="F31" s="314">
        <f>IF('Final Calculation Sheet'!$C$18="","",'Final Calculation Sheet'!$C$18)</f>
        <v/>
      </c>
      <c r="G31" s="314">
        <f>IF('Final Calculation Sheet'!$H$18="","",'Final Calculation Sheet'!$H$18)</f>
        <v/>
      </c>
      <c r="H31" s="314">
        <f>IF('Final Calculation Sheet'!$I$18="","",'Final Calculation Sheet'!$I$18)</f>
        <v/>
      </c>
      <c r="I31" s="314">
        <f>IF('Final Calculation Sheet'!$J$18="","",'Final Calculation Sheet'!$J$18)</f>
        <v/>
      </c>
      <c r="J31" s="314">
        <f>IF('Final Calculation Sheet'!$K$18="","",'Final Calculation Sheet'!$K$18)</f>
        <v/>
      </c>
      <c r="K31" s="317">
        <f>IF('Final Calculation Sheet'!$L$18="","",'Final Calculation Sheet'!$L$18)</f>
        <v/>
      </c>
      <c r="L31" s="317">
        <f>IF('Final Calculation Sheet'!$M$18="","",'Final Calculation Sheet'!$M$18)</f>
        <v/>
      </c>
      <c r="M31" s="317">
        <f>IF('Final Calculation Sheet'!$N$18="","",'Final Calculation Sheet'!$N$18)</f>
        <v/>
      </c>
      <c r="N31" s="317">
        <f>IF('Final Calculation Sheet'!$O$18="","",'Final Calculation Sheet'!$O$18)</f>
        <v/>
      </c>
      <c r="O31" s="314">
        <f>IF('Final Calculation Sheet'!$P$18="","",'Final Calculation Sheet'!$P$18)</f>
        <v/>
      </c>
      <c r="P31" s="318">
        <f>IF('Final Calculation Sheet'!$Q$18="","",'Final Calculation Sheet'!$Q$18)</f>
        <v/>
      </c>
      <c r="Q31" s="314">
        <f>IF('Final Calculation Sheet'!$R$18="","",'Final Calculation Sheet'!$R$18)</f>
        <v/>
      </c>
      <c r="R31" s="314">
        <f>IF('Final Calculation Sheet'!$S$18="","",'Final Calculation Sheet'!$S$18)</f>
        <v/>
      </c>
      <c r="S31" s="314">
        <f>IF('Final Calculation Sheet'!$T$18="","",'Final Calculation Sheet'!$T$18)</f>
        <v/>
      </c>
      <c r="T31" s="314">
        <f>IF('Final Calculation Sheet'!$U$18="","",'Final Calculation Sheet'!$U$18)</f>
        <v/>
      </c>
      <c r="U31" s="316">
        <f>IF('Final Calculation Sheet'!$V$18="","",'Final Calculation Sheet'!$V$18)</f>
        <v/>
      </c>
      <c r="V31" s="314">
        <f>IF('Final Calculation Sheet'!$W$18="","",'Final Calculation Sheet'!$W$18)</f>
        <v/>
      </c>
      <c r="W31" s="314">
        <f>IF('Final Calculation Sheet'!$X$18="","",'Final Calculation Sheet'!$X$18)</f>
        <v/>
      </c>
      <c r="X31" s="316">
        <f>IF('Final Calculation Sheet'!$Y$18="","",'Final Calculation Sheet'!$Y$18)</f>
        <v/>
      </c>
      <c r="Y31" s="314">
        <f>IF('Final Calculation Sheet'!$Z$18="","",'Final Calculation Sheet'!$Z$18)</f>
        <v/>
      </c>
      <c r="Z31" s="314">
        <f>IF('Final Calculation Sheet'!$AA$18="","",'Final Calculation Sheet'!$AA$18)</f>
        <v/>
      </c>
      <c r="AA31" s="316">
        <f>IF('Final Calculation Sheet'!$AB$18="","",'Final Calculation Sheet'!$AB$18)</f>
        <v/>
      </c>
      <c r="AB31" s="314">
        <f>IF('Final Calculation Sheet'!$AC$18="","",'Final Calculation Sheet'!$AC$18)</f>
        <v/>
      </c>
      <c r="AC31" s="314">
        <f>IF('Final Calculation Sheet'!$AD$18="","",'Final Calculation Sheet'!$AD$18)</f>
        <v/>
      </c>
      <c r="AD31" s="316">
        <f>IF('Final Calculation Sheet'!$AD$18="","",IF('Final Calculation Sheet'!$AD$18&lt;=0,"SETTLED","OUTSTANDING"))</f>
        <v/>
      </c>
      <c r="AE31" s="316">
        <f>IF('Final Calculation Sheet'!$AE$18="","",'Final Calculation Sheet'!$AE$18)</f>
        <v/>
      </c>
      <c r="AF31" s="314">
        <f>IF('Final Calculation Sheet'!$AF$18="","",'Final Calculation Sheet'!$AF$18)</f>
        <v/>
      </c>
      <c r="AG31" s="316">
        <f>IF('Final Calculation Sheet'!$AG$18="","",'Final Calculation Sheet'!$AG$18)</f>
        <v/>
      </c>
    </row>
    <row r="32" outlineLevel="1" ht="15" customHeight="1">
      <c r="A32" s="320">
        <f>IF('Final Calculation Sheet'!$F$19="","",'Final Calculation Sheet'!$F$19)</f>
        <v/>
      </c>
      <c r="B32" s="319">
        <f>IF('Final Calculation Sheet'!$B$19="","",'Final Calculation Sheet'!$B$19)</f>
        <v/>
      </c>
      <c r="C32" s="320">
        <f>IF('Final Calculation Sheet'!$D$19="","",'Final Calculation Sheet'!$D$19)</f>
        <v/>
      </c>
      <c r="D32" s="321">
        <f>IF('Final Calculation Sheet'!$A$19="","",'Final Calculation Sheet'!$A$19)</f>
        <v/>
      </c>
      <c r="E32" s="322">
        <f>IF('Final Calculation Sheet'!$E$19="","",'Final Calculation Sheet'!$E$19)</f>
        <v/>
      </c>
      <c r="F32" s="320">
        <f>IF('Final Calculation Sheet'!$C$19="","",'Final Calculation Sheet'!$C$19)</f>
        <v/>
      </c>
      <c r="G32" s="320">
        <f>IF('Final Calculation Sheet'!$H$19="","",'Final Calculation Sheet'!$H$19)</f>
        <v/>
      </c>
      <c r="H32" s="320">
        <f>IF('Final Calculation Sheet'!$I$19="","",'Final Calculation Sheet'!$I$19)</f>
        <v/>
      </c>
      <c r="I32" s="320">
        <f>IF('Final Calculation Sheet'!$J$19="","",'Final Calculation Sheet'!$J$19)</f>
        <v/>
      </c>
      <c r="J32" s="320">
        <f>IF('Final Calculation Sheet'!$K$19="","",'Final Calculation Sheet'!$K$19)</f>
        <v/>
      </c>
      <c r="K32" s="323">
        <f>IF('Final Calculation Sheet'!$L$19="","",'Final Calculation Sheet'!$L$19)</f>
        <v/>
      </c>
      <c r="L32" s="323">
        <f>IF('Final Calculation Sheet'!$M$19="","",'Final Calculation Sheet'!$M$19)</f>
        <v/>
      </c>
      <c r="M32" s="323">
        <f>IF('Final Calculation Sheet'!$N$19="","",'Final Calculation Sheet'!$N$19)</f>
        <v/>
      </c>
      <c r="N32" s="323">
        <f>IF('Final Calculation Sheet'!$O$19="","",'Final Calculation Sheet'!$O$19)</f>
        <v/>
      </c>
      <c r="O32" s="320">
        <f>IF('Final Calculation Sheet'!$P$19="","",'Final Calculation Sheet'!$P$19)</f>
        <v/>
      </c>
      <c r="P32" s="324">
        <f>IF('Final Calculation Sheet'!$Q$19="","",'Final Calculation Sheet'!$Q$19)</f>
        <v/>
      </c>
      <c r="Q32" s="320">
        <f>IF('Final Calculation Sheet'!$R$19="","",'Final Calculation Sheet'!$R$19)</f>
        <v/>
      </c>
      <c r="R32" s="320">
        <f>IF('Final Calculation Sheet'!$S$19="","",'Final Calculation Sheet'!$S$19)</f>
        <v/>
      </c>
      <c r="S32" s="320">
        <f>IF('Final Calculation Sheet'!$T$19="","",'Final Calculation Sheet'!$T$19)</f>
        <v/>
      </c>
      <c r="T32" s="320">
        <f>IF('Final Calculation Sheet'!$U$19="","",'Final Calculation Sheet'!$U$19)</f>
        <v/>
      </c>
      <c r="U32" s="322">
        <f>IF('Final Calculation Sheet'!$V$19="","",'Final Calculation Sheet'!$V$19)</f>
        <v/>
      </c>
      <c r="V32" s="320">
        <f>IF('Final Calculation Sheet'!$W$19="","",'Final Calculation Sheet'!$W$19)</f>
        <v/>
      </c>
      <c r="W32" s="320">
        <f>IF('Final Calculation Sheet'!$X$19="","",'Final Calculation Sheet'!$X$19)</f>
        <v/>
      </c>
      <c r="X32" s="322">
        <f>IF('Final Calculation Sheet'!$Y$19="","",'Final Calculation Sheet'!$Y$19)</f>
        <v/>
      </c>
      <c r="Y32" s="320">
        <f>IF('Final Calculation Sheet'!$Z$19="","",'Final Calculation Sheet'!$Z$19)</f>
        <v/>
      </c>
      <c r="Z32" s="320">
        <f>IF('Final Calculation Sheet'!$AA$19="","",'Final Calculation Sheet'!$AA$19)</f>
        <v/>
      </c>
      <c r="AA32" s="322">
        <f>IF('Final Calculation Sheet'!$AB$19="","",'Final Calculation Sheet'!$AB$19)</f>
        <v/>
      </c>
      <c r="AB32" s="320">
        <f>IF('Final Calculation Sheet'!$AC$19="","",'Final Calculation Sheet'!$AC$19)</f>
        <v/>
      </c>
      <c r="AC32" s="320">
        <f>IF('Final Calculation Sheet'!$AD$19="","",'Final Calculation Sheet'!$AD$19)</f>
        <v/>
      </c>
      <c r="AD32" s="322">
        <f>IF('Final Calculation Sheet'!$AD$19="","",IF('Final Calculation Sheet'!$AD$19&lt;=0,"SETTLED","OUTSTANDING"))</f>
        <v/>
      </c>
      <c r="AE32" s="322">
        <f>IF('Final Calculation Sheet'!$AE$19="","",'Final Calculation Sheet'!$AE$19)</f>
        <v/>
      </c>
      <c r="AF32" s="320">
        <f>IF('Final Calculation Sheet'!$AF$19="","",'Final Calculation Sheet'!$AF$19)</f>
        <v/>
      </c>
      <c r="AG32" s="322">
        <f>IF('Final Calculation Sheet'!$AG$19="","",'Final Calculation Sheet'!$AG$19)</f>
        <v/>
      </c>
    </row>
    <row r="33" outlineLevel="1" ht="15" customHeight="1">
      <c r="A33" s="314">
        <f>IF('Final Calculation Sheet'!$F$22="","",'Final Calculation Sheet'!$F$22)</f>
        <v/>
      </c>
      <c r="B33" s="313">
        <f>IF('Final Calculation Sheet'!$B$22="","",'Final Calculation Sheet'!$B$22)</f>
        <v/>
      </c>
      <c r="C33" s="314">
        <f>IF('Final Calculation Sheet'!$D$22="","",'Final Calculation Sheet'!$D$22)</f>
        <v/>
      </c>
      <c r="D33" s="315">
        <f>IF('Final Calculation Sheet'!$A$22="","",'Final Calculation Sheet'!$A$22)</f>
        <v/>
      </c>
      <c r="E33" s="316">
        <f>IF('Final Calculation Sheet'!$E$22="","",'Final Calculation Sheet'!$E$22)</f>
        <v/>
      </c>
      <c r="F33" s="314">
        <f>IF('Final Calculation Sheet'!$C$22="","",'Final Calculation Sheet'!$C$22)</f>
        <v/>
      </c>
      <c r="G33" s="314">
        <f>IF('Final Calculation Sheet'!$H$22="","",'Final Calculation Sheet'!$H$22)</f>
        <v/>
      </c>
      <c r="H33" s="314">
        <f>IF('Final Calculation Sheet'!$I$22="","",'Final Calculation Sheet'!$I$22)</f>
        <v/>
      </c>
      <c r="I33" s="314">
        <f>IF('Final Calculation Sheet'!$J$22="","",'Final Calculation Sheet'!$J$22)</f>
        <v/>
      </c>
      <c r="J33" s="314">
        <f>IF('Final Calculation Sheet'!$K$22="","",'Final Calculation Sheet'!$K$22)</f>
        <v/>
      </c>
      <c r="K33" s="317">
        <f>IF('Final Calculation Sheet'!$L$22="","",'Final Calculation Sheet'!$L$22)</f>
        <v/>
      </c>
      <c r="L33" s="317">
        <f>IF('Final Calculation Sheet'!$M$22="","",'Final Calculation Sheet'!$M$22)</f>
        <v/>
      </c>
      <c r="M33" s="317">
        <f>IF('Final Calculation Sheet'!$N$22="","",'Final Calculation Sheet'!$N$22)</f>
        <v/>
      </c>
      <c r="N33" s="317">
        <f>IF('Final Calculation Sheet'!$O$22="","",'Final Calculation Sheet'!$O$22)</f>
        <v/>
      </c>
      <c r="O33" s="314">
        <f>IF('Final Calculation Sheet'!$P$22="","",'Final Calculation Sheet'!$P$22)</f>
        <v/>
      </c>
      <c r="P33" s="318">
        <f>IF('Final Calculation Sheet'!$Q$22="","",'Final Calculation Sheet'!$Q$22)</f>
        <v/>
      </c>
      <c r="Q33" s="314">
        <f>IF('Final Calculation Sheet'!$R$22="","",'Final Calculation Sheet'!$R$22)</f>
        <v/>
      </c>
      <c r="R33" s="314">
        <f>IF('Final Calculation Sheet'!$S$22="","",'Final Calculation Sheet'!$S$22)</f>
        <v/>
      </c>
      <c r="S33" s="314">
        <f>IF('Final Calculation Sheet'!$T$22="","",'Final Calculation Sheet'!$T$22)</f>
        <v/>
      </c>
      <c r="T33" s="314">
        <f>IF('Final Calculation Sheet'!$U$22="","",'Final Calculation Sheet'!$U$22)</f>
        <v/>
      </c>
      <c r="U33" s="316">
        <f>IF('Final Calculation Sheet'!$V$22="","",'Final Calculation Sheet'!$V$22)</f>
        <v/>
      </c>
      <c r="V33" s="314">
        <f>IF('Final Calculation Sheet'!$W$22="","",'Final Calculation Sheet'!$W$22)</f>
        <v/>
      </c>
      <c r="W33" s="314">
        <f>IF('Final Calculation Sheet'!$X$22="","",'Final Calculation Sheet'!$X$22)</f>
        <v/>
      </c>
      <c r="X33" s="316">
        <f>IF('Final Calculation Sheet'!$Y$22="","",'Final Calculation Sheet'!$Y$22)</f>
        <v/>
      </c>
      <c r="Y33" s="314">
        <f>IF('Final Calculation Sheet'!$Z$22="","",'Final Calculation Sheet'!$Z$22)</f>
        <v/>
      </c>
      <c r="Z33" s="314">
        <f>IF('Final Calculation Sheet'!$AA$22="","",'Final Calculation Sheet'!$AA$22)</f>
        <v/>
      </c>
      <c r="AA33" s="316">
        <f>IF('Final Calculation Sheet'!$AB$22="","",'Final Calculation Sheet'!$AB$22)</f>
        <v/>
      </c>
      <c r="AB33" s="314">
        <f>IF('Final Calculation Sheet'!$AC$22="","",'Final Calculation Sheet'!$AC$22)</f>
        <v/>
      </c>
      <c r="AC33" s="314">
        <f>IF('Final Calculation Sheet'!$AD$22="","",'Final Calculation Sheet'!$AD$22)</f>
        <v/>
      </c>
      <c r="AD33" s="316">
        <f>IF('Final Calculation Sheet'!$AD$22="","",IF('Final Calculation Sheet'!$AD$22&lt;=0,"SETTLED","OUTSTANDING"))</f>
        <v/>
      </c>
      <c r="AE33" s="316">
        <f>IF('Final Calculation Sheet'!$AE$22="","",'Final Calculation Sheet'!$AE$22)</f>
        <v/>
      </c>
      <c r="AF33" s="314">
        <f>IF('Final Calculation Sheet'!$AF$22="","",'Final Calculation Sheet'!$AF$22)</f>
        <v/>
      </c>
      <c r="AG33" s="316">
        <f>IF('Final Calculation Sheet'!$AG$22="","",'Final Calculation Sheet'!$AG$22)</f>
        <v/>
      </c>
    </row>
    <row r="34" outlineLevel="1" ht="15" customHeight="1">
      <c r="A34" s="320">
        <f>IF('Final Calculation Sheet'!$F$24="","",'Final Calculation Sheet'!$F$24)</f>
        <v/>
      </c>
      <c r="B34" s="319">
        <f>IF('Final Calculation Sheet'!$B$24="","",'Final Calculation Sheet'!$B$24)</f>
        <v/>
      </c>
      <c r="C34" s="320">
        <f>IF('Final Calculation Sheet'!$D$24="","",'Final Calculation Sheet'!$D$24)</f>
        <v/>
      </c>
      <c r="D34" s="321">
        <f>IF('Final Calculation Sheet'!$A$24="","",'Final Calculation Sheet'!$A$24)</f>
        <v/>
      </c>
      <c r="E34" s="322">
        <f>IF('Final Calculation Sheet'!$E$24="","",'Final Calculation Sheet'!$E$24)</f>
        <v/>
      </c>
      <c r="F34" s="320">
        <f>IF('Final Calculation Sheet'!$C$24="","",'Final Calculation Sheet'!$C$24)</f>
        <v/>
      </c>
      <c r="G34" s="320">
        <f>IF('Final Calculation Sheet'!$H$24="","",'Final Calculation Sheet'!$H$24)</f>
        <v/>
      </c>
      <c r="H34" s="320">
        <f>IF('Final Calculation Sheet'!$I$24="","",'Final Calculation Sheet'!$I$24)</f>
        <v/>
      </c>
      <c r="I34" s="320">
        <f>IF('Final Calculation Sheet'!$J$24="","",'Final Calculation Sheet'!$J$24)</f>
        <v/>
      </c>
      <c r="J34" s="320">
        <f>IF('Final Calculation Sheet'!$K$24="","",'Final Calculation Sheet'!$K$24)</f>
        <v/>
      </c>
      <c r="K34" s="323">
        <f>IF('Final Calculation Sheet'!$L$24="","",'Final Calculation Sheet'!$L$24)</f>
        <v/>
      </c>
      <c r="L34" s="323">
        <f>IF('Final Calculation Sheet'!$M$24="","",'Final Calculation Sheet'!$M$24)</f>
        <v/>
      </c>
      <c r="M34" s="323">
        <f>IF('Final Calculation Sheet'!$N$24="","",'Final Calculation Sheet'!$N$24)</f>
        <v/>
      </c>
      <c r="N34" s="323">
        <f>IF('Final Calculation Sheet'!$O$24="","",'Final Calculation Sheet'!$O$24)</f>
        <v/>
      </c>
      <c r="O34" s="320">
        <f>IF('Final Calculation Sheet'!$P$24="","",'Final Calculation Sheet'!$P$24)</f>
        <v/>
      </c>
      <c r="P34" s="324">
        <f>IF('Final Calculation Sheet'!$Q$24="","",'Final Calculation Sheet'!$Q$24)</f>
        <v/>
      </c>
      <c r="Q34" s="320">
        <f>IF('Final Calculation Sheet'!$R$24="","",'Final Calculation Sheet'!$R$24)</f>
        <v/>
      </c>
      <c r="R34" s="320">
        <f>IF('Final Calculation Sheet'!$S$24="","",'Final Calculation Sheet'!$S$24)</f>
        <v/>
      </c>
      <c r="S34" s="320">
        <f>IF('Final Calculation Sheet'!$T$24="","",'Final Calculation Sheet'!$T$24)</f>
        <v/>
      </c>
      <c r="T34" s="320">
        <f>IF('Final Calculation Sheet'!$U$24="","",'Final Calculation Sheet'!$U$24)</f>
        <v/>
      </c>
      <c r="U34" s="322">
        <f>IF('Final Calculation Sheet'!$V$24="","",'Final Calculation Sheet'!$V$24)</f>
        <v/>
      </c>
      <c r="V34" s="320">
        <f>IF('Final Calculation Sheet'!$W$24="","",'Final Calculation Sheet'!$W$24)</f>
        <v/>
      </c>
      <c r="W34" s="320">
        <f>IF('Final Calculation Sheet'!$X$24="","",'Final Calculation Sheet'!$X$24)</f>
        <v/>
      </c>
      <c r="X34" s="322">
        <f>IF('Final Calculation Sheet'!$Y$24="","",'Final Calculation Sheet'!$Y$24)</f>
        <v/>
      </c>
      <c r="Y34" s="320">
        <f>IF('Final Calculation Sheet'!$Z$24="","",'Final Calculation Sheet'!$Z$24)</f>
        <v/>
      </c>
      <c r="Z34" s="320">
        <f>IF('Final Calculation Sheet'!$AA$24="","",'Final Calculation Sheet'!$AA$24)</f>
        <v/>
      </c>
      <c r="AA34" s="322">
        <f>IF('Final Calculation Sheet'!$AB$24="","",'Final Calculation Sheet'!$AB$24)</f>
        <v/>
      </c>
      <c r="AB34" s="320">
        <f>IF('Final Calculation Sheet'!$AC$24="","",'Final Calculation Sheet'!$AC$24)</f>
        <v/>
      </c>
      <c r="AC34" s="320">
        <f>IF('Final Calculation Sheet'!$AD$24="","",'Final Calculation Sheet'!$AD$24)</f>
        <v/>
      </c>
      <c r="AD34" s="322">
        <f>IF('Final Calculation Sheet'!$AD$24="","",IF('Final Calculation Sheet'!$AD$24&lt;=0,"SETTLED","OUTSTANDING"))</f>
        <v/>
      </c>
      <c r="AE34" s="322">
        <f>IF('Final Calculation Sheet'!$AE$24="","",'Final Calculation Sheet'!$AE$24)</f>
        <v/>
      </c>
      <c r="AF34" s="320">
        <f>IF('Final Calculation Sheet'!$AF$24="","",'Final Calculation Sheet'!$AF$24)</f>
        <v/>
      </c>
      <c r="AG34" s="322">
        <f>IF('Final Calculation Sheet'!$AG$24="","",'Final Calculation Sheet'!$AG$24)</f>
        <v/>
      </c>
    </row>
    <row r="35" outlineLevel="1" ht="15" customHeight="1">
      <c r="A35" s="314">
        <f>IF('Final Calculation Sheet'!$F$26="","",'Final Calculation Sheet'!$F$26)</f>
        <v/>
      </c>
      <c r="B35" s="313">
        <f>IF('Final Calculation Sheet'!$B$26="","",'Final Calculation Sheet'!$B$26)</f>
        <v/>
      </c>
      <c r="C35" s="314">
        <f>IF('Final Calculation Sheet'!$D$26="","",'Final Calculation Sheet'!$D$26)</f>
        <v/>
      </c>
      <c r="D35" s="315">
        <f>IF('Final Calculation Sheet'!$A$26="","",'Final Calculation Sheet'!$A$26)</f>
        <v/>
      </c>
      <c r="E35" s="316">
        <f>IF('Final Calculation Sheet'!$E$26="","",'Final Calculation Sheet'!$E$26)</f>
        <v/>
      </c>
      <c r="F35" s="314">
        <f>IF('Final Calculation Sheet'!$C$26="","",'Final Calculation Sheet'!$C$26)</f>
        <v/>
      </c>
      <c r="G35" s="314">
        <f>IF('Final Calculation Sheet'!$H$26="","",'Final Calculation Sheet'!$H$26)</f>
        <v/>
      </c>
      <c r="H35" s="314">
        <f>IF('Final Calculation Sheet'!$I$26="","",'Final Calculation Sheet'!$I$26)</f>
        <v/>
      </c>
      <c r="I35" s="314">
        <f>IF('Final Calculation Sheet'!$J$26="","",'Final Calculation Sheet'!$J$26)</f>
        <v/>
      </c>
      <c r="J35" s="314">
        <f>IF('Final Calculation Sheet'!$K$26="","",'Final Calculation Sheet'!$K$26)</f>
        <v/>
      </c>
      <c r="K35" s="317">
        <f>IF('Final Calculation Sheet'!$L$26="","",'Final Calculation Sheet'!$L$26)</f>
        <v/>
      </c>
      <c r="L35" s="317">
        <f>IF('Final Calculation Sheet'!$M$26="","",'Final Calculation Sheet'!$M$26)</f>
        <v/>
      </c>
      <c r="M35" s="317">
        <f>IF('Final Calculation Sheet'!$N$26="","",'Final Calculation Sheet'!$N$26)</f>
        <v/>
      </c>
      <c r="N35" s="317">
        <f>IF('Final Calculation Sheet'!$O$26="","",'Final Calculation Sheet'!$O$26)</f>
        <v/>
      </c>
      <c r="O35" s="314">
        <f>IF('Final Calculation Sheet'!$P$26="","",'Final Calculation Sheet'!$P$26)</f>
        <v/>
      </c>
      <c r="P35" s="318">
        <f>IF('Final Calculation Sheet'!$Q$26="","",'Final Calculation Sheet'!$Q$26)</f>
        <v/>
      </c>
      <c r="Q35" s="314">
        <f>IF('Final Calculation Sheet'!$R$26="","",'Final Calculation Sheet'!$R$26)</f>
        <v/>
      </c>
      <c r="R35" s="314">
        <f>IF('Final Calculation Sheet'!$S$26="","",'Final Calculation Sheet'!$S$26)</f>
        <v/>
      </c>
      <c r="S35" s="314">
        <f>IF('Final Calculation Sheet'!$T$26="","",'Final Calculation Sheet'!$T$26)</f>
        <v/>
      </c>
      <c r="T35" s="314">
        <f>IF('Final Calculation Sheet'!$U$26="","",'Final Calculation Sheet'!$U$26)</f>
        <v/>
      </c>
      <c r="U35" s="316">
        <f>IF('Final Calculation Sheet'!$V$26="","",'Final Calculation Sheet'!$V$26)</f>
        <v/>
      </c>
      <c r="V35" s="314">
        <f>IF('Final Calculation Sheet'!$W$26="","",'Final Calculation Sheet'!$W$26)</f>
        <v/>
      </c>
      <c r="W35" s="314">
        <f>IF('Final Calculation Sheet'!$X$26="","",'Final Calculation Sheet'!$X$26)</f>
        <v/>
      </c>
      <c r="X35" s="316">
        <f>IF('Final Calculation Sheet'!$Y$26="","",'Final Calculation Sheet'!$Y$26)</f>
        <v/>
      </c>
      <c r="Y35" s="314">
        <f>IF('Final Calculation Sheet'!$Z$26="","",'Final Calculation Sheet'!$Z$26)</f>
        <v/>
      </c>
      <c r="Z35" s="314">
        <f>IF('Final Calculation Sheet'!$AA$26="","",'Final Calculation Sheet'!$AA$26)</f>
        <v/>
      </c>
      <c r="AA35" s="316">
        <f>IF('Final Calculation Sheet'!$AB$26="","",'Final Calculation Sheet'!$AB$26)</f>
        <v/>
      </c>
      <c r="AB35" s="314">
        <f>IF('Final Calculation Sheet'!$AC$26="","",'Final Calculation Sheet'!$AC$26)</f>
        <v/>
      </c>
      <c r="AC35" s="314">
        <f>IF('Final Calculation Sheet'!$AD$26="","",'Final Calculation Sheet'!$AD$26)</f>
        <v/>
      </c>
      <c r="AD35" s="316">
        <f>IF('Final Calculation Sheet'!$AD$26="","",IF('Final Calculation Sheet'!$AD$26&lt;=0,"SETTLED","OUTSTANDING"))</f>
        <v/>
      </c>
      <c r="AE35" s="316">
        <f>IF('Final Calculation Sheet'!$AE$26="","",'Final Calculation Sheet'!$AE$26)</f>
        <v/>
      </c>
      <c r="AF35" s="314">
        <f>IF('Final Calculation Sheet'!$AF$26="","",'Final Calculation Sheet'!$AF$26)</f>
        <v/>
      </c>
      <c r="AG35" s="316">
        <f>IF('Final Calculation Sheet'!$AG$26="","",'Final Calculation Sheet'!$AG$26)</f>
        <v/>
      </c>
    </row>
    <row r="36" outlineLevel="1" ht="15" customHeight="1">
      <c r="A36" s="320">
        <f>IF('Final Calculation Sheet'!$F$30="","",'Final Calculation Sheet'!$F$30)</f>
        <v/>
      </c>
      <c r="B36" s="319">
        <f>IF('Final Calculation Sheet'!$B$30="","",'Final Calculation Sheet'!$B$30)</f>
        <v/>
      </c>
      <c r="C36" s="320">
        <f>IF('Final Calculation Sheet'!$D$30="","",'Final Calculation Sheet'!$D$30)</f>
        <v/>
      </c>
      <c r="D36" s="321">
        <f>IF('Final Calculation Sheet'!$A$30="","",'Final Calculation Sheet'!$A$30)</f>
        <v/>
      </c>
      <c r="E36" s="322">
        <f>IF('Final Calculation Sheet'!$E$30="","",'Final Calculation Sheet'!$E$30)</f>
        <v/>
      </c>
      <c r="F36" s="320">
        <f>IF('Final Calculation Sheet'!$C$30="","",'Final Calculation Sheet'!$C$30)</f>
        <v/>
      </c>
      <c r="G36" s="320">
        <f>IF('Final Calculation Sheet'!$H$30="","",'Final Calculation Sheet'!$H$30)</f>
        <v/>
      </c>
      <c r="H36" s="320">
        <f>IF('Final Calculation Sheet'!$I$30="","",'Final Calculation Sheet'!$I$30)</f>
        <v/>
      </c>
      <c r="I36" s="320">
        <f>IF('Final Calculation Sheet'!$J$30="","",'Final Calculation Sheet'!$J$30)</f>
        <v/>
      </c>
      <c r="J36" s="320">
        <f>IF('Final Calculation Sheet'!$K$30="","",'Final Calculation Sheet'!$K$30)</f>
        <v/>
      </c>
      <c r="K36" s="323">
        <f>IF('Final Calculation Sheet'!$L$30="","",'Final Calculation Sheet'!$L$30)</f>
        <v/>
      </c>
      <c r="L36" s="323">
        <f>IF('Final Calculation Sheet'!$M$30="","",'Final Calculation Sheet'!$M$30)</f>
        <v/>
      </c>
      <c r="M36" s="323">
        <f>IF('Final Calculation Sheet'!$N$30="","",'Final Calculation Sheet'!$N$30)</f>
        <v/>
      </c>
      <c r="N36" s="323">
        <f>IF('Final Calculation Sheet'!$O$30="","",'Final Calculation Sheet'!$O$30)</f>
        <v/>
      </c>
      <c r="O36" s="320">
        <f>IF('Final Calculation Sheet'!$P$30="","",'Final Calculation Sheet'!$P$30)</f>
        <v/>
      </c>
      <c r="P36" s="324">
        <f>IF('Final Calculation Sheet'!$Q$30="","",'Final Calculation Sheet'!$Q$30)</f>
        <v/>
      </c>
      <c r="Q36" s="320">
        <f>IF('Final Calculation Sheet'!$R$30="","",'Final Calculation Sheet'!$R$30)</f>
        <v/>
      </c>
      <c r="R36" s="320">
        <f>IF('Final Calculation Sheet'!$S$30="","",'Final Calculation Sheet'!$S$30)</f>
        <v/>
      </c>
      <c r="S36" s="320">
        <f>IF('Final Calculation Sheet'!$T$30="","",'Final Calculation Sheet'!$T$30)</f>
        <v/>
      </c>
      <c r="T36" s="320">
        <f>IF('Final Calculation Sheet'!$U$30="","",'Final Calculation Sheet'!$U$30)</f>
        <v/>
      </c>
      <c r="U36" s="322">
        <f>IF('Final Calculation Sheet'!$V$30="","",'Final Calculation Sheet'!$V$30)</f>
        <v/>
      </c>
      <c r="V36" s="320">
        <f>IF('Final Calculation Sheet'!$W$30="","",'Final Calculation Sheet'!$W$30)</f>
        <v/>
      </c>
      <c r="W36" s="320">
        <f>IF('Final Calculation Sheet'!$X$30="","",'Final Calculation Sheet'!$X$30)</f>
        <v/>
      </c>
      <c r="X36" s="322">
        <f>IF('Final Calculation Sheet'!$Y$30="","",'Final Calculation Sheet'!$Y$30)</f>
        <v/>
      </c>
      <c r="Y36" s="320">
        <f>IF('Final Calculation Sheet'!$Z$30="","",'Final Calculation Sheet'!$Z$30)</f>
        <v/>
      </c>
      <c r="Z36" s="320">
        <f>IF('Final Calculation Sheet'!$AA$30="","",'Final Calculation Sheet'!$AA$30)</f>
        <v/>
      </c>
      <c r="AA36" s="322">
        <f>IF('Final Calculation Sheet'!$AB$30="","",'Final Calculation Sheet'!$AB$30)</f>
        <v/>
      </c>
      <c r="AB36" s="320">
        <f>IF('Final Calculation Sheet'!$AC$30="","",'Final Calculation Sheet'!$AC$30)</f>
        <v/>
      </c>
      <c r="AC36" s="320">
        <f>IF('Final Calculation Sheet'!$AD$30="","",'Final Calculation Sheet'!$AD$30)</f>
        <v/>
      </c>
      <c r="AD36" s="322">
        <f>IF('Final Calculation Sheet'!$AD$30="","",IF('Final Calculation Sheet'!$AD$30&lt;=0,"SETTLED","OUTSTANDING"))</f>
        <v/>
      </c>
      <c r="AE36" s="322">
        <f>IF('Final Calculation Sheet'!$AE$30="","",'Final Calculation Sheet'!$AE$30)</f>
        <v/>
      </c>
      <c r="AF36" s="320">
        <f>IF('Final Calculation Sheet'!$AF$30="","",'Final Calculation Sheet'!$AF$30)</f>
        <v/>
      </c>
      <c r="AG36" s="322">
        <f>IF('Final Calculation Sheet'!$AG$30="","",'Final Calculation Sheet'!$AG$30)</f>
        <v/>
      </c>
    </row>
    <row r="37" outlineLevel="1" ht="15" customHeight="1">
      <c r="A37" s="314">
        <f>IF('Final Calculation Sheet'!$F$32="","",'Final Calculation Sheet'!$F$32)</f>
        <v/>
      </c>
      <c r="B37" s="313">
        <f>IF('Final Calculation Sheet'!$B$32="","",'Final Calculation Sheet'!$B$32)</f>
        <v/>
      </c>
      <c r="C37" s="314">
        <f>IF('Final Calculation Sheet'!$D$32="","",'Final Calculation Sheet'!$D$32)</f>
        <v/>
      </c>
      <c r="D37" s="315">
        <f>IF('Final Calculation Sheet'!$A$32="","",'Final Calculation Sheet'!$A$32)</f>
        <v/>
      </c>
      <c r="E37" s="316">
        <f>IF('Final Calculation Sheet'!$E$32="","",'Final Calculation Sheet'!$E$32)</f>
        <v/>
      </c>
      <c r="F37" s="314">
        <f>IF('Final Calculation Sheet'!$C$32="","",'Final Calculation Sheet'!$C$32)</f>
        <v/>
      </c>
      <c r="G37" s="314">
        <f>IF('Final Calculation Sheet'!$H$32="","",'Final Calculation Sheet'!$H$32)</f>
        <v/>
      </c>
      <c r="H37" s="314">
        <f>IF('Final Calculation Sheet'!$I$32="","",'Final Calculation Sheet'!$I$32)</f>
        <v/>
      </c>
      <c r="I37" s="314">
        <f>IF('Final Calculation Sheet'!$J$32="","",'Final Calculation Sheet'!$J$32)</f>
        <v/>
      </c>
      <c r="J37" s="314">
        <f>IF('Final Calculation Sheet'!$K$32="","",'Final Calculation Sheet'!$K$32)</f>
        <v/>
      </c>
      <c r="K37" s="317">
        <f>IF('Final Calculation Sheet'!$L$32="","",'Final Calculation Sheet'!$L$32)</f>
        <v/>
      </c>
      <c r="L37" s="317">
        <f>IF('Final Calculation Sheet'!$M$32="","",'Final Calculation Sheet'!$M$32)</f>
        <v/>
      </c>
      <c r="M37" s="317">
        <f>IF('Final Calculation Sheet'!$N$32="","",'Final Calculation Sheet'!$N$32)</f>
        <v/>
      </c>
      <c r="N37" s="317">
        <f>IF('Final Calculation Sheet'!$O$32="","",'Final Calculation Sheet'!$O$32)</f>
        <v/>
      </c>
      <c r="O37" s="314">
        <f>IF('Final Calculation Sheet'!$P$32="","",'Final Calculation Sheet'!$P$32)</f>
        <v/>
      </c>
      <c r="P37" s="318">
        <f>IF('Final Calculation Sheet'!$Q$32="","",'Final Calculation Sheet'!$Q$32)</f>
        <v/>
      </c>
      <c r="Q37" s="314">
        <f>IF('Final Calculation Sheet'!$R$32="","",'Final Calculation Sheet'!$R$32)</f>
        <v/>
      </c>
      <c r="R37" s="314">
        <f>IF('Final Calculation Sheet'!$S$32="","",'Final Calculation Sheet'!$S$32)</f>
        <v/>
      </c>
      <c r="S37" s="314">
        <f>IF('Final Calculation Sheet'!$T$32="","",'Final Calculation Sheet'!$T$32)</f>
        <v/>
      </c>
      <c r="T37" s="314">
        <f>IF('Final Calculation Sheet'!$U$32="","",'Final Calculation Sheet'!$U$32)</f>
        <v/>
      </c>
      <c r="U37" s="316">
        <f>IF('Final Calculation Sheet'!$V$32="","",'Final Calculation Sheet'!$V$32)</f>
        <v/>
      </c>
      <c r="V37" s="314">
        <f>IF('Final Calculation Sheet'!$W$32="","",'Final Calculation Sheet'!$W$32)</f>
        <v/>
      </c>
      <c r="W37" s="314">
        <f>IF('Final Calculation Sheet'!$X$32="","",'Final Calculation Sheet'!$X$32)</f>
        <v/>
      </c>
      <c r="X37" s="316">
        <f>IF('Final Calculation Sheet'!$Y$32="","",'Final Calculation Sheet'!$Y$32)</f>
        <v/>
      </c>
      <c r="Y37" s="314">
        <f>IF('Final Calculation Sheet'!$Z$32="","",'Final Calculation Sheet'!$Z$32)</f>
        <v/>
      </c>
      <c r="Z37" s="314">
        <f>IF('Final Calculation Sheet'!$AA$32="","",'Final Calculation Sheet'!$AA$32)</f>
        <v/>
      </c>
      <c r="AA37" s="316">
        <f>IF('Final Calculation Sheet'!$AB$32="","",'Final Calculation Sheet'!$AB$32)</f>
        <v/>
      </c>
      <c r="AB37" s="314">
        <f>IF('Final Calculation Sheet'!$AC$32="","",'Final Calculation Sheet'!$AC$32)</f>
        <v/>
      </c>
      <c r="AC37" s="314">
        <f>IF('Final Calculation Sheet'!$AD$32="","",'Final Calculation Sheet'!$AD$32)</f>
        <v/>
      </c>
      <c r="AD37" s="316">
        <f>IF('Final Calculation Sheet'!$AD$32="","",IF('Final Calculation Sheet'!$AD$32&lt;=0,"SETTLED","OUTSTANDING"))</f>
        <v/>
      </c>
      <c r="AE37" s="316">
        <f>IF('Final Calculation Sheet'!$AE$32="","",'Final Calculation Sheet'!$AE$32)</f>
        <v/>
      </c>
      <c r="AF37" s="314">
        <f>IF('Final Calculation Sheet'!$AF$32="","",'Final Calculation Sheet'!$AF$32)</f>
        <v/>
      </c>
      <c r="AG37" s="316">
        <f>IF('Final Calculation Sheet'!$AG$32="","",'Final Calculation Sheet'!$AG$32)</f>
        <v/>
      </c>
    </row>
    <row r="38" outlineLevel="1" ht="15" customHeight="1">
      <c r="A38" s="320">
        <f>IF('Final Calculation Sheet'!$F$33="","",'Final Calculation Sheet'!$F$33)</f>
        <v/>
      </c>
      <c r="B38" s="319">
        <f>IF('Final Calculation Sheet'!$B$33="","",'Final Calculation Sheet'!$B$33)</f>
        <v/>
      </c>
      <c r="C38" s="320">
        <f>IF('Final Calculation Sheet'!$D$33="","",'Final Calculation Sheet'!$D$33)</f>
        <v/>
      </c>
      <c r="D38" s="321">
        <f>IF('Final Calculation Sheet'!$A$33="","",'Final Calculation Sheet'!$A$33)</f>
        <v/>
      </c>
      <c r="E38" s="322">
        <f>IF('Final Calculation Sheet'!$E$33="","",'Final Calculation Sheet'!$E$33)</f>
        <v/>
      </c>
      <c r="F38" s="320">
        <f>IF('Final Calculation Sheet'!$C$33="","",'Final Calculation Sheet'!$C$33)</f>
        <v/>
      </c>
      <c r="G38" s="320">
        <f>IF('Final Calculation Sheet'!$H$33="","",'Final Calculation Sheet'!$H$33)</f>
        <v/>
      </c>
      <c r="H38" s="320">
        <f>IF('Final Calculation Sheet'!$I$33="","",'Final Calculation Sheet'!$I$33)</f>
        <v/>
      </c>
      <c r="I38" s="320">
        <f>IF('Final Calculation Sheet'!$J$33="","",'Final Calculation Sheet'!$J$33)</f>
        <v/>
      </c>
      <c r="J38" s="320">
        <f>IF('Final Calculation Sheet'!$K$33="","",'Final Calculation Sheet'!$K$33)</f>
        <v/>
      </c>
      <c r="K38" s="323">
        <f>IF('Final Calculation Sheet'!$L$33="","",'Final Calculation Sheet'!$L$33)</f>
        <v/>
      </c>
      <c r="L38" s="323">
        <f>IF('Final Calculation Sheet'!$M$33="","",'Final Calculation Sheet'!$M$33)</f>
        <v/>
      </c>
      <c r="M38" s="323">
        <f>IF('Final Calculation Sheet'!$N$33="","",'Final Calculation Sheet'!$N$33)</f>
        <v/>
      </c>
      <c r="N38" s="323">
        <f>IF('Final Calculation Sheet'!$O$33="","",'Final Calculation Sheet'!$O$33)</f>
        <v/>
      </c>
      <c r="O38" s="320">
        <f>IF('Final Calculation Sheet'!$P$33="","",'Final Calculation Sheet'!$P$33)</f>
        <v/>
      </c>
      <c r="P38" s="324">
        <f>IF('Final Calculation Sheet'!$Q$33="","",'Final Calculation Sheet'!$Q$33)</f>
        <v/>
      </c>
      <c r="Q38" s="320">
        <f>IF('Final Calculation Sheet'!$R$33="","",'Final Calculation Sheet'!$R$33)</f>
        <v/>
      </c>
      <c r="R38" s="320">
        <f>IF('Final Calculation Sheet'!$S$33="","",'Final Calculation Sheet'!$S$33)</f>
        <v/>
      </c>
      <c r="S38" s="320">
        <f>IF('Final Calculation Sheet'!$T$33="","",'Final Calculation Sheet'!$T$33)</f>
        <v/>
      </c>
      <c r="T38" s="320">
        <f>IF('Final Calculation Sheet'!$U$33="","",'Final Calculation Sheet'!$U$33)</f>
        <v/>
      </c>
      <c r="U38" s="322">
        <f>IF('Final Calculation Sheet'!$V$33="","",'Final Calculation Sheet'!$V$33)</f>
        <v/>
      </c>
      <c r="V38" s="320">
        <f>IF('Final Calculation Sheet'!$W$33="","",'Final Calculation Sheet'!$W$33)</f>
        <v/>
      </c>
      <c r="W38" s="320">
        <f>IF('Final Calculation Sheet'!$X$33="","",'Final Calculation Sheet'!$X$33)</f>
        <v/>
      </c>
      <c r="X38" s="322">
        <f>IF('Final Calculation Sheet'!$Y$33="","",'Final Calculation Sheet'!$Y$33)</f>
        <v/>
      </c>
      <c r="Y38" s="320">
        <f>IF('Final Calculation Sheet'!$Z$33="","",'Final Calculation Sheet'!$Z$33)</f>
        <v/>
      </c>
      <c r="Z38" s="320">
        <f>IF('Final Calculation Sheet'!$AA$33="","",'Final Calculation Sheet'!$AA$33)</f>
        <v/>
      </c>
      <c r="AA38" s="322">
        <f>IF('Final Calculation Sheet'!$AB$33="","",'Final Calculation Sheet'!$AB$33)</f>
        <v/>
      </c>
      <c r="AB38" s="320">
        <f>IF('Final Calculation Sheet'!$AC$33="","",'Final Calculation Sheet'!$AC$33)</f>
        <v/>
      </c>
      <c r="AC38" s="320">
        <f>IF('Final Calculation Sheet'!$AD$33="","",'Final Calculation Sheet'!$AD$33)</f>
        <v/>
      </c>
      <c r="AD38" s="322">
        <f>IF('Final Calculation Sheet'!$AD$33="","",IF('Final Calculation Sheet'!$AD$33&lt;=0,"SETTLED","OUTSTANDING"))</f>
        <v/>
      </c>
      <c r="AE38" s="322">
        <f>IF('Final Calculation Sheet'!$AE$33="","",'Final Calculation Sheet'!$AE$33)</f>
        <v/>
      </c>
      <c r="AF38" s="320">
        <f>IF('Final Calculation Sheet'!$AF$33="","",'Final Calculation Sheet'!$AF$33)</f>
        <v/>
      </c>
      <c r="AG38" s="322">
        <f>IF('Final Calculation Sheet'!$AG$33="","",'Final Calculation Sheet'!$AG$33)</f>
        <v/>
      </c>
    </row>
    <row r="39" outlineLevel="1" ht="15" customHeight="1">
      <c r="A39" s="314">
        <f>IF('Final Calculation Sheet'!$F$37="","",'Final Calculation Sheet'!$F$37)</f>
        <v/>
      </c>
      <c r="B39" s="313">
        <f>IF('Final Calculation Sheet'!$B$37="","",'Final Calculation Sheet'!$B$37)</f>
        <v/>
      </c>
      <c r="C39" s="314">
        <f>IF('Final Calculation Sheet'!$D$37="","",'Final Calculation Sheet'!$D$37)</f>
        <v/>
      </c>
      <c r="D39" s="315">
        <f>IF('Final Calculation Sheet'!$A$37="","",'Final Calculation Sheet'!$A$37)</f>
        <v/>
      </c>
      <c r="E39" s="316">
        <f>IF('Final Calculation Sheet'!$E$37="","",'Final Calculation Sheet'!$E$37)</f>
        <v/>
      </c>
      <c r="F39" s="314">
        <f>IF('Final Calculation Sheet'!$C$37="","",'Final Calculation Sheet'!$C$37)</f>
        <v/>
      </c>
      <c r="G39" s="314">
        <f>IF('Final Calculation Sheet'!$H$37="","",'Final Calculation Sheet'!$H$37)</f>
        <v/>
      </c>
      <c r="H39" s="314">
        <f>IF('Final Calculation Sheet'!$I$37="","",'Final Calculation Sheet'!$I$37)</f>
        <v/>
      </c>
      <c r="I39" s="314">
        <f>IF('Final Calculation Sheet'!$J$37="","",'Final Calculation Sheet'!$J$37)</f>
        <v/>
      </c>
      <c r="J39" s="314">
        <f>IF('Final Calculation Sheet'!$K$37="","",'Final Calculation Sheet'!$K$37)</f>
        <v/>
      </c>
      <c r="K39" s="317">
        <f>IF('Final Calculation Sheet'!$L$37="","",'Final Calculation Sheet'!$L$37)</f>
        <v/>
      </c>
      <c r="L39" s="317">
        <f>IF('Final Calculation Sheet'!$M$37="","",'Final Calculation Sheet'!$M$37)</f>
        <v/>
      </c>
      <c r="M39" s="317">
        <f>IF('Final Calculation Sheet'!$N$37="","",'Final Calculation Sheet'!$N$37)</f>
        <v/>
      </c>
      <c r="N39" s="317">
        <f>IF('Final Calculation Sheet'!$O$37="","",'Final Calculation Sheet'!$O$37)</f>
        <v/>
      </c>
      <c r="O39" s="314">
        <f>IF('Final Calculation Sheet'!$P$37="","",'Final Calculation Sheet'!$P$37)</f>
        <v/>
      </c>
      <c r="P39" s="318">
        <f>IF('Final Calculation Sheet'!$Q$37="","",'Final Calculation Sheet'!$Q$37)</f>
        <v/>
      </c>
      <c r="Q39" s="314">
        <f>IF('Final Calculation Sheet'!$R$37="","",'Final Calculation Sheet'!$R$37)</f>
        <v/>
      </c>
      <c r="R39" s="314">
        <f>IF('Final Calculation Sheet'!$S$37="","",'Final Calculation Sheet'!$S$37)</f>
        <v/>
      </c>
      <c r="S39" s="314">
        <f>IF('Final Calculation Sheet'!$T$37="","",'Final Calculation Sheet'!$T$37)</f>
        <v/>
      </c>
      <c r="T39" s="314">
        <f>IF('Final Calculation Sheet'!$U$37="","",'Final Calculation Sheet'!$U$37)</f>
        <v/>
      </c>
      <c r="U39" s="316">
        <f>IF('Final Calculation Sheet'!$V$37="","",'Final Calculation Sheet'!$V$37)</f>
        <v/>
      </c>
      <c r="V39" s="314">
        <f>IF('Final Calculation Sheet'!$W$37="","",'Final Calculation Sheet'!$W$37)</f>
        <v/>
      </c>
      <c r="W39" s="314">
        <f>IF('Final Calculation Sheet'!$X$37="","",'Final Calculation Sheet'!$X$37)</f>
        <v/>
      </c>
      <c r="X39" s="316">
        <f>IF('Final Calculation Sheet'!$Y$37="","",'Final Calculation Sheet'!$Y$37)</f>
        <v/>
      </c>
      <c r="Y39" s="314">
        <f>IF('Final Calculation Sheet'!$Z$37="","",'Final Calculation Sheet'!$Z$37)</f>
        <v/>
      </c>
      <c r="Z39" s="314">
        <f>IF('Final Calculation Sheet'!$AA$37="","",'Final Calculation Sheet'!$AA$37)</f>
        <v/>
      </c>
      <c r="AA39" s="316">
        <f>IF('Final Calculation Sheet'!$AB$37="","",'Final Calculation Sheet'!$AB$37)</f>
        <v/>
      </c>
      <c r="AB39" s="314">
        <f>IF('Final Calculation Sheet'!$AC$37="","",'Final Calculation Sheet'!$AC$37)</f>
        <v/>
      </c>
      <c r="AC39" s="314">
        <f>IF('Final Calculation Sheet'!$AD$37="","",'Final Calculation Sheet'!$AD$37)</f>
        <v/>
      </c>
      <c r="AD39" s="316">
        <f>IF('Final Calculation Sheet'!$AD$37="","",IF('Final Calculation Sheet'!$AD$37&lt;=0,"SETTLED","OUTSTANDING"))</f>
        <v/>
      </c>
      <c r="AE39" s="316">
        <f>IF('Final Calculation Sheet'!$AE$37="","",'Final Calculation Sheet'!$AE$37)</f>
        <v/>
      </c>
      <c r="AF39" s="314">
        <f>IF('Final Calculation Sheet'!$AF$37="","",'Final Calculation Sheet'!$AF$37)</f>
        <v/>
      </c>
      <c r="AG39" s="316">
        <f>IF('Final Calculation Sheet'!$AG$37="","",'Final Calculation Sheet'!$AG$37)</f>
        <v/>
      </c>
    </row>
    <row r="40" ht="20" customHeight="1">
      <c r="A40" s="307" t="inlineStr">
        <is>
          <t>∑  NATIONAL ENTERPRISES — TOTALS</t>
        </is>
      </c>
      <c r="B40" s="396" t="inlineStr">
        <is>
          <t>–</t>
        </is>
      </c>
      <c r="C40" s="396" t="inlineStr">
        <is>
          <t>–</t>
        </is>
      </c>
      <c r="D40" s="310">
        <f>SUM(D27:D39)</f>
        <v/>
      </c>
      <c r="E40" s="396" t="inlineStr">
        <is>
          <t>–</t>
        </is>
      </c>
      <c r="F40" s="396" t="inlineStr">
        <is>
          <t>–</t>
        </is>
      </c>
      <c r="G40" s="311">
        <f>SUM(G27:G39)</f>
        <v/>
      </c>
      <c r="H40" s="311">
        <f>SUM(H27:H39)</f>
        <v/>
      </c>
      <c r="I40" s="311">
        <f>SUM(I27:I39)</f>
        <v/>
      </c>
      <c r="J40" s="311">
        <f>SUM(J27:J39)</f>
        <v/>
      </c>
      <c r="K40" s="312">
        <f>SUM(K27:K39)</f>
        <v/>
      </c>
      <c r="L40" s="312">
        <f>SUM(L27:L39)</f>
        <v/>
      </c>
      <c r="M40" s="312">
        <f>SUM(M27:M39)</f>
        <v/>
      </c>
      <c r="N40" s="312">
        <f>SUM(N27:N39)</f>
        <v/>
      </c>
      <c r="O40" s="311">
        <f>SUM(O27:O39)</f>
        <v/>
      </c>
      <c r="P40" s="396" t="inlineStr">
        <is>
          <t>–</t>
        </is>
      </c>
      <c r="Q40" s="311">
        <f>SUM(Q27:Q39)</f>
        <v/>
      </c>
      <c r="R40" s="311">
        <f>SUM(R27:R39)</f>
        <v/>
      </c>
      <c r="S40" s="311">
        <f>SUM(S27:S39)</f>
        <v/>
      </c>
      <c r="T40" s="311">
        <f>SUM(T27:T39)</f>
        <v/>
      </c>
      <c r="U40" s="396" t="inlineStr">
        <is>
          <t>–</t>
        </is>
      </c>
      <c r="V40" s="311">
        <f>SUM(V27:V39)</f>
        <v/>
      </c>
      <c r="W40" s="311">
        <f>SUM(W27:W39)</f>
        <v/>
      </c>
      <c r="X40" s="396" t="inlineStr">
        <is>
          <t>–</t>
        </is>
      </c>
      <c r="Y40" s="311">
        <f>SUM(Y27:Y39)</f>
        <v/>
      </c>
      <c r="Z40" s="311">
        <f>SUM(Z27:Z39)</f>
        <v/>
      </c>
      <c r="AA40" s="396" t="inlineStr">
        <is>
          <t>–</t>
        </is>
      </c>
      <c r="AB40" s="311">
        <f>SUM(AB27:AB39)</f>
        <v/>
      </c>
      <c r="AC40" s="311">
        <f>SUM(AC27:AC39)</f>
        <v/>
      </c>
      <c r="AD40" s="396" t="inlineStr">
        <is>
          <t>–</t>
        </is>
      </c>
      <c r="AE40" s="396" t="inlineStr">
        <is>
          <t>–</t>
        </is>
      </c>
      <c r="AF40" s="396" t="inlineStr">
        <is>
          <t>–</t>
        </is>
      </c>
      <c r="AG40" s="396" t="inlineStr">
        <is>
          <t>–</t>
        </is>
      </c>
    </row>
    <row r="41" ht="7" customHeight="1">
      <c r="A41" s="82" t="n"/>
      <c r="B41" s="82" t="n"/>
      <c r="C41" s="82" t="n"/>
      <c r="D41" s="82" t="n"/>
      <c r="E41" s="82" t="n"/>
      <c r="F41" s="82" t="n"/>
      <c r="G41" s="82" t="n"/>
      <c r="H41" s="82" t="n"/>
      <c r="I41" s="82" t="n"/>
      <c r="J41" s="82" t="n"/>
      <c r="K41" s="82" t="n"/>
      <c r="L41" s="82" t="n"/>
      <c r="M41" s="82" t="n"/>
      <c r="N41" s="82" t="n"/>
      <c r="O41" s="82" t="n"/>
      <c r="P41" s="82" t="n"/>
      <c r="Q41" s="82" t="n"/>
      <c r="R41" s="82" t="n"/>
      <c r="S41" s="82" t="n"/>
      <c r="T41" s="82" t="n"/>
      <c r="U41" s="82" t="n"/>
      <c r="V41" s="82" t="n"/>
      <c r="W41" s="82" t="n"/>
      <c r="X41" s="82" t="n"/>
      <c r="Y41" s="82" t="n"/>
      <c r="Z41" s="82" t="n"/>
      <c r="AA41" s="82" t="n"/>
      <c r="AB41" s="82" t="n"/>
      <c r="AC41" s="82" t="n"/>
      <c r="AD41" s="82" t="n"/>
      <c r="AE41" s="82" t="n"/>
      <c r="AF41" s="82" t="n"/>
      <c r="AG41" s="82" t="n"/>
    </row>
    <row r="42" ht="24" customHeight="1">
      <c r="A42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42" s="64" t="n"/>
      <c r="C42" s="64" t="n"/>
      <c r="D42" s="64" t="n"/>
      <c r="E42" s="64" t="n"/>
      <c r="F42" s="64" t="n"/>
      <c r="G42" s="64" t="n"/>
      <c r="H42" s="64" t="n"/>
      <c r="I42" s="64" t="n"/>
      <c r="J42" s="64" t="n"/>
      <c r="K42" s="64" t="n"/>
      <c r="L42" s="64" t="n"/>
      <c r="M42" s="64" t="n"/>
      <c r="N42" s="64" t="n"/>
      <c r="O42" s="64" t="n"/>
      <c r="P42" s="64" t="n"/>
      <c r="Q42" s="64" t="n"/>
      <c r="R42" s="64" t="n"/>
      <c r="S42" s="64" t="n"/>
      <c r="T42" s="64" t="n"/>
      <c r="U42" s="64" t="n"/>
      <c r="V42" s="64" t="n"/>
      <c r="W42" s="64" t="n"/>
      <c r="X42" s="64" t="n"/>
      <c r="Y42" s="64" t="n"/>
      <c r="Z42" s="64" t="n"/>
      <c r="AA42" s="64" t="n"/>
      <c r="AB42" s="64" t="n"/>
      <c r="AC42" s="64" t="n"/>
      <c r="AD42" s="64" t="n"/>
      <c r="AE42" s="64" t="n"/>
      <c r="AF42" s="64" t="n"/>
      <c r="AG42" s="64" t="n"/>
    </row>
    <row r="43" outlineLevel="1" ht="15" customHeight="1">
      <c r="A43" s="332">
        <f>IF('Final Calculation Sheet'!$F$21="","",'Final Calculation Sheet'!$F$21)</f>
        <v/>
      </c>
      <c r="B43" s="331">
        <f>IF('Final Calculation Sheet'!$B$21="","",'Final Calculation Sheet'!$B$21)</f>
        <v/>
      </c>
      <c r="C43" s="332">
        <f>IF('Final Calculation Sheet'!$D$21="","",'Final Calculation Sheet'!$D$21)</f>
        <v/>
      </c>
      <c r="D43" s="333">
        <f>IF('Final Calculation Sheet'!$A$21="","",'Final Calculation Sheet'!$A$21)</f>
        <v/>
      </c>
      <c r="E43" s="334">
        <f>IF('Final Calculation Sheet'!$E$21="","",'Final Calculation Sheet'!$E$21)</f>
        <v/>
      </c>
      <c r="F43" s="332">
        <f>IF('Final Calculation Sheet'!$C$21="","",'Final Calculation Sheet'!$C$21)</f>
        <v/>
      </c>
      <c r="G43" s="332">
        <f>IF('Final Calculation Sheet'!$H$21="","",'Final Calculation Sheet'!$H$21)</f>
        <v/>
      </c>
      <c r="H43" s="332">
        <f>IF('Final Calculation Sheet'!$I$21="","",'Final Calculation Sheet'!$I$21)</f>
        <v/>
      </c>
      <c r="I43" s="332">
        <f>IF('Final Calculation Sheet'!$J$21="","",'Final Calculation Sheet'!$J$21)</f>
        <v/>
      </c>
      <c r="J43" s="332">
        <f>IF('Final Calculation Sheet'!$K$21="","",'Final Calculation Sheet'!$K$21)</f>
        <v/>
      </c>
      <c r="K43" s="335">
        <f>IF('Final Calculation Sheet'!$L$21="","",'Final Calculation Sheet'!$L$21)</f>
        <v/>
      </c>
      <c r="L43" s="335">
        <f>IF('Final Calculation Sheet'!$M$21="","",'Final Calculation Sheet'!$M$21)</f>
        <v/>
      </c>
      <c r="M43" s="335">
        <f>IF('Final Calculation Sheet'!$N$21="","",'Final Calculation Sheet'!$N$21)</f>
        <v/>
      </c>
      <c r="N43" s="335">
        <f>IF('Final Calculation Sheet'!$O$21="","",'Final Calculation Sheet'!$O$21)</f>
        <v/>
      </c>
      <c r="O43" s="332">
        <f>IF('Final Calculation Sheet'!$P$21="","",'Final Calculation Sheet'!$P$21)</f>
        <v/>
      </c>
      <c r="P43" s="336">
        <f>IF('Final Calculation Sheet'!$Q$21="","",'Final Calculation Sheet'!$Q$21)</f>
        <v/>
      </c>
      <c r="Q43" s="332">
        <f>IF('Final Calculation Sheet'!$R$21="","",'Final Calculation Sheet'!$R$21)</f>
        <v/>
      </c>
      <c r="R43" s="332">
        <f>IF('Final Calculation Sheet'!$S$21="","",'Final Calculation Sheet'!$S$21)</f>
        <v/>
      </c>
      <c r="S43" s="332">
        <f>IF('Final Calculation Sheet'!$T$21="","",'Final Calculation Sheet'!$T$21)</f>
        <v/>
      </c>
      <c r="T43" s="332">
        <f>IF('Final Calculation Sheet'!$U$21="","",'Final Calculation Sheet'!$U$21)</f>
        <v/>
      </c>
      <c r="U43" s="334">
        <f>IF('Final Calculation Sheet'!$V$21="","",'Final Calculation Sheet'!$V$21)</f>
        <v/>
      </c>
      <c r="V43" s="332">
        <f>IF('Final Calculation Sheet'!$W$21="","",'Final Calculation Sheet'!$W$21)</f>
        <v/>
      </c>
      <c r="W43" s="332">
        <f>IF('Final Calculation Sheet'!$X$21="","",'Final Calculation Sheet'!$X$21)</f>
        <v/>
      </c>
      <c r="X43" s="334">
        <f>IF('Final Calculation Sheet'!$Y$21="","",'Final Calculation Sheet'!$Y$21)</f>
        <v/>
      </c>
      <c r="Y43" s="332">
        <f>IF('Final Calculation Sheet'!$Z$21="","",'Final Calculation Sheet'!$Z$21)</f>
        <v/>
      </c>
      <c r="Z43" s="332">
        <f>IF('Final Calculation Sheet'!$AA$21="","",'Final Calculation Sheet'!$AA$21)</f>
        <v/>
      </c>
      <c r="AA43" s="334">
        <f>IF('Final Calculation Sheet'!$AB$21="","",'Final Calculation Sheet'!$AB$21)</f>
        <v/>
      </c>
      <c r="AB43" s="332">
        <f>IF('Final Calculation Sheet'!$AC$21="","",'Final Calculation Sheet'!$AC$21)</f>
        <v/>
      </c>
      <c r="AC43" s="332">
        <f>IF('Final Calculation Sheet'!$AD$21="","",'Final Calculation Sheet'!$AD$21)</f>
        <v/>
      </c>
      <c r="AD43" s="334">
        <f>IF('Final Calculation Sheet'!$AD$21="","",IF('Final Calculation Sheet'!$AD$21&lt;=0,"SETTLED","OUTSTANDING"))</f>
        <v/>
      </c>
      <c r="AE43" s="334">
        <f>IF('Final Calculation Sheet'!$AE$21="","",'Final Calculation Sheet'!$AE$21)</f>
        <v/>
      </c>
      <c r="AF43" s="332">
        <f>IF('Final Calculation Sheet'!$AF$21="","",'Final Calculation Sheet'!$AF$21)</f>
        <v/>
      </c>
      <c r="AG43" s="334">
        <f>IF('Final Calculation Sheet'!$AG$21="","",'Final Calculation Sheet'!$AG$21)</f>
        <v/>
      </c>
    </row>
    <row r="44" ht="20" customHeight="1">
      <c r="A44" s="325" t="inlineStr">
        <is>
          <t>∑  NATIONAL SCRAP AND BUILDING MATERIAL SUPPLIER — TOTALS</t>
        </is>
      </c>
      <c r="B44" s="397" t="inlineStr">
        <is>
          <t>–</t>
        </is>
      </c>
      <c r="C44" s="397" t="inlineStr">
        <is>
          <t>–</t>
        </is>
      </c>
      <c r="D44" s="328">
        <f>SUM(D43:D43)</f>
        <v/>
      </c>
      <c r="E44" s="397" t="inlineStr">
        <is>
          <t>–</t>
        </is>
      </c>
      <c r="F44" s="397" t="inlineStr">
        <is>
          <t>–</t>
        </is>
      </c>
      <c r="G44" s="329">
        <f>SUM(G43:G43)</f>
        <v/>
      </c>
      <c r="H44" s="329">
        <f>SUM(H43:H43)</f>
        <v/>
      </c>
      <c r="I44" s="329">
        <f>SUM(I43:I43)</f>
        <v/>
      </c>
      <c r="J44" s="329">
        <f>SUM(J43:J43)</f>
        <v/>
      </c>
      <c r="K44" s="330">
        <f>SUM(K43:K43)</f>
        <v/>
      </c>
      <c r="L44" s="330">
        <f>SUM(L43:L43)</f>
        <v/>
      </c>
      <c r="M44" s="330">
        <f>SUM(M43:M43)</f>
        <v/>
      </c>
      <c r="N44" s="330">
        <f>SUM(N43:N43)</f>
        <v/>
      </c>
      <c r="O44" s="329">
        <f>SUM(O43:O43)</f>
        <v/>
      </c>
      <c r="P44" s="397" t="inlineStr">
        <is>
          <t>–</t>
        </is>
      </c>
      <c r="Q44" s="329">
        <f>SUM(Q43:Q43)</f>
        <v/>
      </c>
      <c r="R44" s="329">
        <f>SUM(R43:R43)</f>
        <v/>
      </c>
      <c r="S44" s="329">
        <f>SUM(S43:S43)</f>
        <v/>
      </c>
      <c r="T44" s="329">
        <f>SUM(T43:T43)</f>
        <v/>
      </c>
      <c r="U44" s="397" t="inlineStr">
        <is>
          <t>–</t>
        </is>
      </c>
      <c r="V44" s="329">
        <f>SUM(V43:V43)</f>
        <v/>
      </c>
      <c r="W44" s="329">
        <f>SUM(W43:W43)</f>
        <v/>
      </c>
      <c r="X44" s="397" t="inlineStr">
        <is>
          <t>–</t>
        </is>
      </c>
      <c r="Y44" s="329">
        <f>SUM(Y43:Y43)</f>
        <v/>
      </c>
      <c r="Z44" s="329">
        <f>SUM(Z43:Z43)</f>
        <v/>
      </c>
      <c r="AA44" s="397" t="inlineStr">
        <is>
          <t>–</t>
        </is>
      </c>
      <c r="AB44" s="329">
        <f>SUM(AB43:AB43)</f>
        <v/>
      </c>
      <c r="AC44" s="329">
        <f>SUM(AC43:AC43)</f>
        <v/>
      </c>
      <c r="AD44" s="397" t="inlineStr">
        <is>
          <t>–</t>
        </is>
      </c>
      <c r="AE44" s="397" t="inlineStr">
        <is>
          <t>–</t>
        </is>
      </c>
      <c r="AF44" s="397" t="inlineStr">
        <is>
          <t>–</t>
        </is>
      </c>
      <c r="AG44" s="397" t="inlineStr">
        <is>
          <t>–</t>
        </is>
      </c>
    </row>
    <row r="45" ht="7" customHeight="1">
      <c r="A45" s="82" t="n"/>
      <c r="B45" s="82" t="n"/>
      <c r="C45" s="82" t="n"/>
      <c r="D45" s="82" t="n"/>
      <c r="E45" s="82" t="n"/>
      <c r="F45" s="82" t="n"/>
      <c r="G45" s="82" t="n"/>
      <c r="H45" s="82" t="n"/>
      <c r="I45" s="82" t="n"/>
      <c r="J45" s="82" t="n"/>
      <c r="K45" s="82" t="n"/>
      <c r="L45" s="82" t="n"/>
      <c r="M45" s="82" t="n"/>
      <c r="N45" s="82" t="n"/>
      <c r="O45" s="82" t="n"/>
      <c r="P45" s="82" t="n"/>
      <c r="Q45" s="82" t="n"/>
      <c r="R45" s="82" t="n"/>
      <c r="S45" s="82" t="n"/>
      <c r="T45" s="82" t="n"/>
      <c r="U45" s="82" t="n"/>
      <c r="V45" s="82" t="n"/>
      <c r="W45" s="82" t="n"/>
      <c r="X45" s="82" t="n"/>
      <c r="Y45" s="82" t="n"/>
      <c r="Z45" s="82" t="n"/>
      <c r="AA45" s="82" t="n"/>
      <c r="AB45" s="82" t="n"/>
      <c r="AC45" s="82" t="n"/>
      <c r="AD45" s="82" t="n"/>
      <c r="AE45" s="82" t="n"/>
      <c r="AF45" s="82" t="n"/>
      <c r="AG45" s="82" t="n"/>
    </row>
    <row r="46" ht="24" customHeight="1">
      <c r="A46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46" s="64" t="n"/>
      <c r="C46" s="64" t="n"/>
      <c r="D46" s="64" t="n"/>
      <c r="E46" s="64" t="n"/>
      <c r="F46" s="64" t="n"/>
      <c r="G46" s="64" t="n"/>
      <c r="H46" s="64" t="n"/>
      <c r="I46" s="64" t="n"/>
      <c r="J46" s="64" t="n"/>
      <c r="K46" s="64" t="n"/>
      <c r="L46" s="64" t="n"/>
      <c r="M46" s="64" t="n"/>
      <c r="N46" s="64" t="n"/>
      <c r="O46" s="64" t="n"/>
      <c r="P46" s="64" t="n"/>
      <c r="Q46" s="64" t="n"/>
      <c r="R46" s="64" t="n"/>
      <c r="S46" s="64" t="n"/>
      <c r="T46" s="64" t="n"/>
      <c r="U46" s="64" t="n"/>
      <c r="V46" s="64" t="n"/>
      <c r="W46" s="64" t="n"/>
      <c r="X46" s="64" t="n"/>
      <c r="Y46" s="64" t="n"/>
      <c r="Z46" s="64" t="n"/>
      <c r="AA46" s="64" t="n"/>
      <c r="AB46" s="64" t="n"/>
      <c r="AC46" s="64" t="n"/>
      <c r="AD46" s="64" t="n"/>
      <c r="AE46" s="64" t="n"/>
      <c r="AF46" s="64" t="n"/>
      <c r="AG46" s="64" t="n"/>
    </row>
    <row r="47" outlineLevel="1" ht="15" customHeight="1">
      <c r="A47" s="344">
        <f>IF('Final Calculation Sheet'!$F$8="","",'Final Calculation Sheet'!$F$8)</f>
        <v/>
      </c>
      <c r="B47" s="343">
        <f>IF('Final Calculation Sheet'!$B$8="","",'Final Calculation Sheet'!$B$8)</f>
        <v/>
      </c>
      <c r="C47" s="344">
        <f>IF('Final Calculation Sheet'!$D$8="","",'Final Calculation Sheet'!$D$8)</f>
        <v/>
      </c>
      <c r="D47" s="345">
        <f>IF('Final Calculation Sheet'!$A$8="","",'Final Calculation Sheet'!$A$8)</f>
        <v/>
      </c>
      <c r="E47" s="346">
        <f>IF('Final Calculation Sheet'!$E$8="","",'Final Calculation Sheet'!$E$8)</f>
        <v/>
      </c>
      <c r="F47" s="344">
        <f>IF('Final Calculation Sheet'!$C$8="","",'Final Calculation Sheet'!$C$8)</f>
        <v/>
      </c>
      <c r="G47" s="344">
        <f>IF('Final Calculation Sheet'!$H$8="","",'Final Calculation Sheet'!$H$8)</f>
        <v/>
      </c>
      <c r="H47" s="344">
        <f>IF('Final Calculation Sheet'!$I$8="","",'Final Calculation Sheet'!$I$8)</f>
        <v/>
      </c>
      <c r="I47" s="344">
        <f>IF('Final Calculation Sheet'!$J$8="","",'Final Calculation Sheet'!$J$8)</f>
        <v/>
      </c>
      <c r="J47" s="344">
        <f>IF('Final Calculation Sheet'!$K$8="","",'Final Calculation Sheet'!$K$8)</f>
        <v/>
      </c>
      <c r="K47" s="347">
        <f>IF('Final Calculation Sheet'!$L$8="","",'Final Calculation Sheet'!$L$8)</f>
        <v/>
      </c>
      <c r="L47" s="347">
        <f>IF('Final Calculation Sheet'!$M$8="","",'Final Calculation Sheet'!$M$8)</f>
        <v/>
      </c>
      <c r="M47" s="347">
        <f>IF('Final Calculation Sheet'!$N$8="","",'Final Calculation Sheet'!$N$8)</f>
        <v/>
      </c>
      <c r="N47" s="347">
        <f>IF('Final Calculation Sheet'!$O$8="","",'Final Calculation Sheet'!$O$8)</f>
        <v/>
      </c>
      <c r="O47" s="344">
        <f>IF('Final Calculation Sheet'!$P$8="","",'Final Calculation Sheet'!$P$8)</f>
        <v/>
      </c>
      <c r="P47" s="348">
        <f>IF('Final Calculation Sheet'!$Q$8="","",'Final Calculation Sheet'!$Q$8)</f>
        <v/>
      </c>
      <c r="Q47" s="344">
        <f>IF('Final Calculation Sheet'!$R$8="","",'Final Calculation Sheet'!$R$8)</f>
        <v/>
      </c>
      <c r="R47" s="344">
        <f>IF('Final Calculation Sheet'!$S$8="","",'Final Calculation Sheet'!$S$8)</f>
        <v/>
      </c>
      <c r="S47" s="344">
        <f>IF('Final Calculation Sheet'!$T$8="","",'Final Calculation Sheet'!$T$8)</f>
        <v/>
      </c>
      <c r="T47" s="344">
        <f>IF('Final Calculation Sheet'!$U$8="","",'Final Calculation Sheet'!$U$8)</f>
        <v/>
      </c>
      <c r="U47" s="346">
        <f>IF('Final Calculation Sheet'!$V$8="","",'Final Calculation Sheet'!$V$8)</f>
        <v/>
      </c>
      <c r="V47" s="344">
        <f>IF('Final Calculation Sheet'!$W$8="","",'Final Calculation Sheet'!$W$8)</f>
        <v/>
      </c>
      <c r="W47" s="344">
        <f>IF('Final Calculation Sheet'!$X$8="","",'Final Calculation Sheet'!$X$8)</f>
        <v/>
      </c>
      <c r="X47" s="346">
        <f>IF('Final Calculation Sheet'!$Y$8="","",'Final Calculation Sheet'!$Y$8)</f>
        <v/>
      </c>
      <c r="Y47" s="344">
        <f>IF('Final Calculation Sheet'!$Z$8="","",'Final Calculation Sheet'!$Z$8)</f>
        <v/>
      </c>
      <c r="Z47" s="344">
        <f>IF('Final Calculation Sheet'!$AA$8="","",'Final Calculation Sheet'!$AA$8)</f>
        <v/>
      </c>
      <c r="AA47" s="346">
        <f>IF('Final Calculation Sheet'!$AB$8="","",'Final Calculation Sheet'!$AB$8)</f>
        <v/>
      </c>
      <c r="AB47" s="344">
        <f>IF('Final Calculation Sheet'!$AC$8="","",'Final Calculation Sheet'!$AC$8)</f>
        <v/>
      </c>
      <c r="AC47" s="344">
        <f>IF('Final Calculation Sheet'!$AD$8="","",'Final Calculation Sheet'!$AD$8)</f>
        <v/>
      </c>
      <c r="AD47" s="346">
        <f>IF('Final Calculation Sheet'!$AD$8="","",IF('Final Calculation Sheet'!$AD$8&lt;=0,"SETTLED","OUTSTANDING"))</f>
        <v/>
      </c>
      <c r="AE47" s="346">
        <f>IF('Final Calculation Sheet'!$AE$8="","",'Final Calculation Sheet'!$AE$8)</f>
        <v/>
      </c>
      <c r="AF47" s="344">
        <f>IF('Final Calculation Sheet'!$AF$8="","",'Final Calculation Sheet'!$AF$8)</f>
        <v/>
      </c>
      <c r="AG47" s="346">
        <f>IF('Final Calculation Sheet'!$AG$8="","",'Final Calculation Sheet'!$AG$8)</f>
        <v/>
      </c>
    </row>
    <row r="48" outlineLevel="1" ht="15" customHeight="1">
      <c r="A48" s="350">
        <f>IF('Final Calculation Sheet'!$F$20="","",'Final Calculation Sheet'!$F$20)</f>
        <v/>
      </c>
      <c r="B48" s="349">
        <f>IF('Final Calculation Sheet'!$B$20="","",'Final Calculation Sheet'!$B$20)</f>
        <v/>
      </c>
      <c r="C48" s="350">
        <f>IF('Final Calculation Sheet'!$D$20="","",'Final Calculation Sheet'!$D$20)</f>
        <v/>
      </c>
      <c r="D48" s="351">
        <f>IF('Final Calculation Sheet'!$A$20="","",'Final Calculation Sheet'!$A$20)</f>
        <v/>
      </c>
      <c r="E48" s="352">
        <f>IF('Final Calculation Sheet'!$E$20="","",'Final Calculation Sheet'!$E$20)</f>
        <v/>
      </c>
      <c r="F48" s="350">
        <f>IF('Final Calculation Sheet'!$C$20="","",'Final Calculation Sheet'!$C$20)</f>
        <v/>
      </c>
      <c r="G48" s="350">
        <f>IF('Final Calculation Sheet'!$H$20="","",'Final Calculation Sheet'!$H$20)</f>
        <v/>
      </c>
      <c r="H48" s="350">
        <f>IF('Final Calculation Sheet'!$I$20="","",'Final Calculation Sheet'!$I$20)</f>
        <v/>
      </c>
      <c r="I48" s="350">
        <f>IF('Final Calculation Sheet'!$J$20="","",'Final Calculation Sheet'!$J$20)</f>
        <v/>
      </c>
      <c r="J48" s="350">
        <f>IF('Final Calculation Sheet'!$K$20="","",'Final Calculation Sheet'!$K$20)</f>
        <v/>
      </c>
      <c r="K48" s="353">
        <f>IF('Final Calculation Sheet'!$L$20="","",'Final Calculation Sheet'!$L$20)</f>
        <v/>
      </c>
      <c r="L48" s="353">
        <f>IF('Final Calculation Sheet'!$M$20="","",'Final Calculation Sheet'!$M$20)</f>
        <v/>
      </c>
      <c r="M48" s="353">
        <f>IF('Final Calculation Sheet'!$N$20="","",'Final Calculation Sheet'!$N$20)</f>
        <v/>
      </c>
      <c r="N48" s="353">
        <f>IF('Final Calculation Sheet'!$O$20="","",'Final Calculation Sheet'!$O$20)</f>
        <v/>
      </c>
      <c r="O48" s="350">
        <f>IF('Final Calculation Sheet'!$P$20="","",'Final Calculation Sheet'!$P$20)</f>
        <v/>
      </c>
      <c r="P48" s="354">
        <f>IF('Final Calculation Sheet'!$Q$20="","",'Final Calculation Sheet'!$Q$20)</f>
        <v/>
      </c>
      <c r="Q48" s="350">
        <f>IF('Final Calculation Sheet'!$R$20="","",'Final Calculation Sheet'!$R$20)</f>
        <v/>
      </c>
      <c r="R48" s="350">
        <f>IF('Final Calculation Sheet'!$S$20="","",'Final Calculation Sheet'!$S$20)</f>
        <v/>
      </c>
      <c r="S48" s="350">
        <f>IF('Final Calculation Sheet'!$T$20="","",'Final Calculation Sheet'!$T$20)</f>
        <v/>
      </c>
      <c r="T48" s="350">
        <f>IF('Final Calculation Sheet'!$U$20="","",'Final Calculation Sheet'!$U$20)</f>
        <v/>
      </c>
      <c r="U48" s="352">
        <f>IF('Final Calculation Sheet'!$V$20="","",'Final Calculation Sheet'!$V$20)</f>
        <v/>
      </c>
      <c r="V48" s="350">
        <f>IF('Final Calculation Sheet'!$W$20="","",'Final Calculation Sheet'!$W$20)</f>
        <v/>
      </c>
      <c r="W48" s="350">
        <f>IF('Final Calculation Sheet'!$X$20="","",'Final Calculation Sheet'!$X$20)</f>
        <v/>
      </c>
      <c r="X48" s="352">
        <f>IF('Final Calculation Sheet'!$Y$20="","",'Final Calculation Sheet'!$Y$20)</f>
        <v/>
      </c>
      <c r="Y48" s="350">
        <f>IF('Final Calculation Sheet'!$Z$20="","",'Final Calculation Sheet'!$Z$20)</f>
        <v/>
      </c>
      <c r="Z48" s="350">
        <f>IF('Final Calculation Sheet'!$AA$20="","",'Final Calculation Sheet'!$AA$20)</f>
        <v/>
      </c>
      <c r="AA48" s="352">
        <f>IF('Final Calculation Sheet'!$AB$20="","",'Final Calculation Sheet'!$AB$20)</f>
        <v/>
      </c>
      <c r="AB48" s="350">
        <f>IF('Final Calculation Sheet'!$AC$20="","",'Final Calculation Sheet'!$AC$20)</f>
        <v/>
      </c>
      <c r="AC48" s="350">
        <f>IF('Final Calculation Sheet'!$AD$20="","",'Final Calculation Sheet'!$AD$20)</f>
        <v/>
      </c>
      <c r="AD48" s="352">
        <f>IF('Final Calculation Sheet'!$AD$20="","",IF('Final Calculation Sheet'!$AD$20&lt;=0,"SETTLED","OUTSTANDING"))</f>
        <v/>
      </c>
      <c r="AE48" s="352">
        <f>IF('Final Calculation Sheet'!$AE$20="","",'Final Calculation Sheet'!$AE$20)</f>
        <v/>
      </c>
      <c r="AF48" s="350">
        <f>IF('Final Calculation Sheet'!$AF$20="","",'Final Calculation Sheet'!$AF$20)</f>
        <v/>
      </c>
      <c r="AG48" s="352">
        <f>IF('Final Calculation Sheet'!$AG$20="","",'Final Calculation Sheet'!$AG$20)</f>
        <v/>
      </c>
    </row>
    <row r="49" ht="20" customHeight="1">
      <c r="A49" s="337" t="inlineStr">
        <is>
          <t>∑  OMKAR STEELS — TOTALS</t>
        </is>
      </c>
      <c r="B49" s="398" t="inlineStr">
        <is>
          <t>–</t>
        </is>
      </c>
      <c r="C49" s="398" t="inlineStr">
        <is>
          <t>–</t>
        </is>
      </c>
      <c r="D49" s="340">
        <f>SUM(D47:D48)</f>
        <v/>
      </c>
      <c r="E49" s="398" t="inlineStr">
        <is>
          <t>–</t>
        </is>
      </c>
      <c r="F49" s="398" t="inlineStr">
        <is>
          <t>–</t>
        </is>
      </c>
      <c r="G49" s="341">
        <f>SUM(G47:G48)</f>
        <v/>
      </c>
      <c r="H49" s="341">
        <f>SUM(H47:H48)</f>
        <v/>
      </c>
      <c r="I49" s="341">
        <f>SUM(I47:I48)</f>
        <v/>
      </c>
      <c r="J49" s="341">
        <f>SUM(J47:J48)</f>
        <v/>
      </c>
      <c r="K49" s="342">
        <f>SUM(K47:K48)</f>
        <v/>
      </c>
      <c r="L49" s="342">
        <f>SUM(L47:L48)</f>
        <v/>
      </c>
      <c r="M49" s="342">
        <f>SUM(M47:M48)</f>
        <v/>
      </c>
      <c r="N49" s="342">
        <f>SUM(N47:N48)</f>
        <v/>
      </c>
      <c r="O49" s="341">
        <f>SUM(O47:O48)</f>
        <v/>
      </c>
      <c r="P49" s="398" t="inlineStr">
        <is>
          <t>–</t>
        </is>
      </c>
      <c r="Q49" s="341">
        <f>SUM(Q47:Q48)</f>
        <v/>
      </c>
      <c r="R49" s="341">
        <f>SUM(R47:R48)</f>
        <v/>
      </c>
      <c r="S49" s="341">
        <f>SUM(S47:S48)</f>
        <v/>
      </c>
      <c r="T49" s="341">
        <f>SUM(T47:T48)</f>
        <v/>
      </c>
      <c r="U49" s="398" t="inlineStr">
        <is>
          <t>–</t>
        </is>
      </c>
      <c r="V49" s="341">
        <f>SUM(V47:V48)</f>
        <v/>
      </c>
      <c r="W49" s="341">
        <f>SUM(W47:W48)</f>
        <v/>
      </c>
      <c r="X49" s="398" t="inlineStr">
        <is>
          <t>–</t>
        </is>
      </c>
      <c r="Y49" s="341">
        <f>SUM(Y47:Y48)</f>
        <v/>
      </c>
      <c r="Z49" s="341">
        <f>SUM(Z47:Z48)</f>
        <v/>
      </c>
      <c r="AA49" s="398" t="inlineStr">
        <is>
          <t>–</t>
        </is>
      </c>
      <c r="AB49" s="341">
        <f>SUM(AB47:AB48)</f>
        <v/>
      </c>
      <c r="AC49" s="341">
        <f>SUM(AC47:AC48)</f>
        <v/>
      </c>
      <c r="AD49" s="398" t="inlineStr">
        <is>
          <t>–</t>
        </is>
      </c>
      <c r="AE49" s="398" t="inlineStr">
        <is>
          <t>–</t>
        </is>
      </c>
      <c r="AF49" s="398" t="inlineStr">
        <is>
          <t>–</t>
        </is>
      </c>
      <c r="AG49" s="398" t="inlineStr">
        <is>
          <t>–</t>
        </is>
      </c>
    </row>
    <row r="50" ht="7" customHeight="1">
      <c r="A50" s="82" t="n"/>
      <c r="B50" s="82" t="n"/>
      <c r="C50" s="82" t="n"/>
      <c r="D50" s="82" t="n"/>
      <c r="E50" s="82" t="n"/>
      <c r="F50" s="82" t="n"/>
      <c r="G50" s="82" t="n"/>
      <c r="H50" s="82" t="n"/>
      <c r="I50" s="82" t="n"/>
      <c r="J50" s="82" t="n"/>
      <c r="K50" s="82" t="n"/>
      <c r="L50" s="82" t="n"/>
      <c r="M50" s="82" t="n"/>
      <c r="N50" s="82" t="n"/>
      <c r="O50" s="82" t="n"/>
      <c r="P50" s="82" t="n"/>
      <c r="Q50" s="82" t="n"/>
      <c r="R50" s="82" t="n"/>
      <c r="S50" s="82" t="n"/>
      <c r="T50" s="82" t="n"/>
      <c r="U50" s="82" t="n"/>
      <c r="V50" s="82" t="n"/>
      <c r="W50" s="82" t="n"/>
      <c r="X50" s="82" t="n"/>
      <c r="Y50" s="82" t="n"/>
      <c r="Z50" s="82" t="n"/>
      <c r="AA50" s="82" t="n"/>
      <c r="AB50" s="82" t="n"/>
      <c r="AC50" s="82" t="n"/>
      <c r="AD50" s="82" t="n"/>
      <c r="AE50" s="82" t="n"/>
      <c r="AF50" s="82" t="n"/>
      <c r="AG50" s="82" t="n"/>
    </row>
    <row r="51" ht="24" customHeight="1">
      <c r="A51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51" s="64" t="n"/>
      <c r="C51" s="64" t="n"/>
      <c r="D51" s="64" t="n"/>
      <c r="E51" s="64" t="n"/>
      <c r="F51" s="64" t="n"/>
      <c r="G51" s="64" t="n"/>
      <c r="H51" s="64" t="n"/>
      <c r="I51" s="64" t="n"/>
      <c r="J51" s="64" t="n"/>
      <c r="K51" s="64" t="n"/>
      <c r="L51" s="64" t="n"/>
      <c r="M51" s="64" t="n"/>
      <c r="N51" s="64" t="n"/>
      <c r="O51" s="64" t="n"/>
      <c r="P51" s="64" t="n"/>
      <c r="Q51" s="64" t="n"/>
      <c r="R51" s="64" t="n"/>
      <c r="S51" s="64" t="n"/>
      <c r="T51" s="64" t="n"/>
      <c r="U51" s="64" t="n"/>
      <c r="V51" s="64" t="n"/>
      <c r="W51" s="64" t="n"/>
      <c r="X51" s="64" t="n"/>
      <c r="Y51" s="64" t="n"/>
      <c r="Z51" s="64" t="n"/>
      <c r="AA51" s="64" t="n"/>
      <c r="AB51" s="64" t="n"/>
      <c r="AC51" s="64" t="n"/>
      <c r="AD51" s="64" t="n"/>
      <c r="AE51" s="64" t="n"/>
      <c r="AF51" s="64" t="n"/>
      <c r="AG51" s="64" t="n"/>
    </row>
    <row r="52" outlineLevel="1" ht="15" customHeight="1">
      <c r="A52" s="248">
        <f>IF('Final Calculation Sheet'!$F$39="","",'Final Calculation Sheet'!$F$39)</f>
        <v/>
      </c>
      <c r="B52" s="247">
        <f>IF('Final Calculation Sheet'!$B$39="","",'Final Calculation Sheet'!$B$39)</f>
        <v/>
      </c>
      <c r="C52" s="248">
        <f>IF('Final Calculation Sheet'!$D$39="","",'Final Calculation Sheet'!$D$39)</f>
        <v/>
      </c>
      <c r="D52" s="249">
        <f>IF('Final Calculation Sheet'!$A$39="","",'Final Calculation Sheet'!$A$39)</f>
        <v/>
      </c>
      <c r="E52" s="250">
        <f>IF('Final Calculation Sheet'!$E$39="","",'Final Calculation Sheet'!$E$39)</f>
        <v/>
      </c>
      <c r="F52" s="248">
        <f>IF('Final Calculation Sheet'!$C$39="","",'Final Calculation Sheet'!$C$39)</f>
        <v/>
      </c>
      <c r="G52" s="248">
        <f>IF('Final Calculation Sheet'!$H$39="","",'Final Calculation Sheet'!$H$39)</f>
        <v/>
      </c>
      <c r="H52" s="248">
        <f>IF('Final Calculation Sheet'!$I$39="","",'Final Calculation Sheet'!$I$39)</f>
        <v/>
      </c>
      <c r="I52" s="248">
        <f>IF('Final Calculation Sheet'!$J$39="","",'Final Calculation Sheet'!$J$39)</f>
        <v/>
      </c>
      <c r="J52" s="248">
        <f>IF('Final Calculation Sheet'!$K$39="","",'Final Calculation Sheet'!$K$39)</f>
        <v/>
      </c>
      <c r="K52" s="251">
        <f>IF('Final Calculation Sheet'!$L$39="","",'Final Calculation Sheet'!$L$39)</f>
        <v/>
      </c>
      <c r="L52" s="251">
        <f>IF('Final Calculation Sheet'!$M$39="","",'Final Calculation Sheet'!$M$39)</f>
        <v/>
      </c>
      <c r="M52" s="251">
        <f>IF('Final Calculation Sheet'!$N$39="","",'Final Calculation Sheet'!$N$39)</f>
        <v/>
      </c>
      <c r="N52" s="251">
        <f>IF('Final Calculation Sheet'!$O$39="","",'Final Calculation Sheet'!$O$39)</f>
        <v/>
      </c>
      <c r="O52" s="248">
        <f>IF('Final Calculation Sheet'!$P$39="","",'Final Calculation Sheet'!$P$39)</f>
        <v/>
      </c>
      <c r="P52" s="252">
        <f>IF('Final Calculation Sheet'!$Q$39="","",'Final Calculation Sheet'!$Q$39)</f>
        <v/>
      </c>
      <c r="Q52" s="248">
        <f>IF('Final Calculation Sheet'!$R$39="","",'Final Calculation Sheet'!$R$39)</f>
        <v/>
      </c>
      <c r="R52" s="248">
        <f>IF('Final Calculation Sheet'!$S$39="","",'Final Calculation Sheet'!$S$39)</f>
        <v/>
      </c>
      <c r="S52" s="248">
        <f>IF('Final Calculation Sheet'!$T$39="","",'Final Calculation Sheet'!$T$39)</f>
        <v/>
      </c>
      <c r="T52" s="248">
        <f>IF('Final Calculation Sheet'!$U$39="","",'Final Calculation Sheet'!$U$39)</f>
        <v/>
      </c>
      <c r="U52" s="250">
        <f>IF('Final Calculation Sheet'!$V$39="","",'Final Calculation Sheet'!$V$39)</f>
        <v/>
      </c>
      <c r="V52" s="248">
        <f>IF('Final Calculation Sheet'!$W$39="","",'Final Calculation Sheet'!$W$39)</f>
        <v/>
      </c>
      <c r="W52" s="248">
        <f>IF('Final Calculation Sheet'!$X$39="","",'Final Calculation Sheet'!$X$39)</f>
        <v/>
      </c>
      <c r="X52" s="250">
        <f>IF('Final Calculation Sheet'!$Y$39="","",'Final Calculation Sheet'!$Y$39)</f>
        <v/>
      </c>
      <c r="Y52" s="248">
        <f>IF('Final Calculation Sheet'!$Z$39="","",'Final Calculation Sheet'!$Z$39)</f>
        <v/>
      </c>
      <c r="Z52" s="248">
        <f>IF('Final Calculation Sheet'!$AA$39="","",'Final Calculation Sheet'!$AA$39)</f>
        <v/>
      </c>
      <c r="AA52" s="250">
        <f>IF('Final Calculation Sheet'!$AB$39="","",'Final Calculation Sheet'!$AB$39)</f>
        <v/>
      </c>
      <c r="AB52" s="248">
        <f>IF('Final Calculation Sheet'!$AC$39="","",'Final Calculation Sheet'!$AC$39)</f>
        <v/>
      </c>
      <c r="AC52" s="248">
        <f>IF('Final Calculation Sheet'!$AD$39="","",'Final Calculation Sheet'!$AD$39)</f>
        <v/>
      </c>
      <c r="AD52" s="250">
        <f>IF('Final Calculation Sheet'!$AD$39="","",IF('Final Calculation Sheet'!$AD$39&lt;=0,"SETTLED","OUTSTANDING"))</f>
        <v/>
      </c>
      <c r="AE52" s="250">
        <f>IF('Final Calculation Sheet'!$AE$39="","",'Final Calculation Sheet'!$AE$39)</f>
        <v/>
      </c>
      <c r="AF52" s="248">
        <f>IF('Final Calculation Sheet'!$AF$39="","",'Final Calculation Sheet'!$AF$39)</f>
        <v/>
      </c>
      <c r="AG52" s="250">
        <f>IF('Final Calculation Sheet'!$AG$39="","",'Final Calculation Sheet'!$AG$39)</f>
        <v/>
      </c>
    </row>
    <row r="53" outlineLevel="1" ht="15" customHeight="1">
      <c r="A53" s="356">
        <f>IF('Final Calculation Sheet'!$F$40="","",'Final Calculation Sheet'!$F$40)</f>
        <v/>
      </c>
      <c r="B53" s="355">
        <f>IF('Final Calculation Sheet'!$B$40="","",'Final Calculation Sheet'!$B$40)</f>
        <v/>
      </c>
      <c r="C53" s="356">
        <f>IF('Final Calculation Sheet'!$D$40="","",'Final Calculation Sheet'!$D$40)</f>
        <v/>
      </c>
      <c r="D53" s="357">
        <f>IF('Final Calculation Sheet'!$A$40="","",'Final Calculation Sheet'!$A$40)</f>
        <v/>
      </c>
      <c r="E53" s="358">
        <f>IF('Final Calculation Sheet'!$E$40="","",'Final Calculation Sheet'!$E$40)</f>
        <v/>
      </c>
      <c r="F53" s="356">
        <f>IF('Final Calculation Sheet'!$C$40="","",'Final Calculation Sheet'!$C$40)</f>
        <v/>
      </c>
      <c r="G53" s="356">
        <f>IF('Final Calculation Sheet'!$H$40="","",'Final Calculation Sheet'!$H$40)</f>
        <v/>
      </c>
      <c r="H53" s="356">
        <f>IF('Final Calculation Sheet'!$I$40="","",'Final Calculation Sheet'!$I$40)</f>
        <v/>
      </c>
      <c r="I53" s="356">
        <f>IF('Final Calculation Sheet'!$J$40="","",'Final Calculation Sheet'!$J$40)</f>
        <v/>
      </c>
      <c r="J53" s="356">
        <f>IF('Final Calculation Sheet'!$K$40="","",'Final Calculation Sheet'!$K$40)</f>
        <v/>
      </c>
      <c r="K53" s="359">
        <f>IF('Final Calculation Sheet'!$L$40="","",'Final Calculation Sheet'!$L$40)</f>
        <v/>
      </c>
      <c r="L53" s="359">
        <f>IF('Final Calculation Sheet'!$M$40="","",'Final Calculation Sheet'!$M$40)</f>
        <v/>
      </c>
      <c r="M53" s="359">
        <f>IF('Final Calculation Sheet'!$N$40="","",'Final Calculation Sheet'!$N$40)</f>
        <v/>
      </c>
      <c r="N53" s="359">
        <f>IF('Final Calculation Sheet'!$O$40="","",'Final Calculation Sheet'!$O$40)</f>
        <v/>
      </c>
      <c r="O53" s="356">
        <f>IF('Final Calculation Sheet'!$P$40="","",'Final Calculation Sheet'!$P$40)</f>
        <v/>
      </c>
      <c r="P53" s="360">
        <f>IF('Final Calculation Sheet'!$Q$40="","",'Final Calculation Sheet'!$Q$40)</f>
        <v/>
      </c>
      <c r="Q53" s="356">
        <f>IF('Final Calculation Sheet'!$R$40="","",'Final Calculation Sheet'!$R$40)</f>
        <v/>
      </c>
      <c r="R53" s="356">
        <f>IF('Final Calculation Sheet'!$S$40="","",'Final Calculation Sheet'!$S$40)</f>
        <v/>
      </c>
      <c r="S53" s="356">
        <f>IF('Final Calculation Sheet'!$T$40="","",'Final Calculation Sheet'!$T$40)</f>
        <v/>
      </c>
      <c r="T53" s="356">
        <f>IF('Final Calculation Sheet'!$U$40="","",'Final Calculation Sheet'!$U$40)</f>
        <v/>
      </c>
      <c r="U53" s="358">
        <f>IF('Final Calculation Sheet'!$V$40="","",'Final Calculation Sheet'!$V$40)</f>
        <v/>
      </c>
      <c r="V53" s="356">
        <f>IF('Final Calculation Sheet'!$W$40="","",'Final Calculation Sheet'!$W$40)</f>
        <v/>
      </c>
      <c r="W53" s="356">
        <f>IF('Final Calculation Sheet'!$X$40="","",'Final Calculation Sheet'!$X$40)</f>
        <v/>
      </c>
      <c r="X53" s="358">
        <f>IF('Final Calculation Sheet'!$Y$40="","",'Final Calculation Sheet'!$Y$40)</f>
        <v/>
      </c>
      <c r="Y53" s="356">
        <f>IF('Final Calculation Sheet'!$Z$40="","",'Final Calculation Sheet'!$Z$40)</f>
        <v/>
      </c>
      <c r="Z53" s="356">
        <f>IF('Final Calculation Sheet'!$AA$40="","",'Final Calculation Sheet'!$AA$40)</f>
        <v/>
      </c>
      <c r="AA53" s="358">
        <f>IF('Final Calculation Sheet'!$AB$40="","",'Final Calculation Sheet'!$AB$40)</f>
        <v/>
      </c>
      <c r="AB53" s="356">
        <f>IF('Final Calculation Sheet'!$AC$40="","",'Final Calculation Sheet'!$AC$40)</f>
        <v/>
      </c>
      <c r="AC53" s="356">
        <f>IF('Final Calculation Sheet'!$AD$40="","",'Final Calculation Sheet'!$AD$40)</f>
        <v/>
      </c>
      <c r="AD53" s="358">
        <f>IF('Final Calculation Sheet'!$AD$40="","",IF('Final Calculation Sheet'!$AD$40&lt;=0,"SETTLED","OUTSTANDING"))</f>
        <v/>
      </c>
      <c r="AE53" s="358">
        <f>IF('Final Calculation Sheet'!$AE$40="","",'Final Calculation Sheet'!$AE$40)</f>
        <v/>
      </c>
      <c r="AF53" s="356">
        <f>IF('Final Calculation Sheet'!$AF$40="","",'Final Calculation Sheet'!$AF$40)</f>
        <v/>
      </c>
      <c r="AG53" s="358">
        <f>IF('Final Calculation Sheet'!$AG$40="","",'Final Calculation Sheet'!$AG$40)</f>
        <v/>
      </c>
    </row>
    <row r="54" ht="20" customHeight="1">
      <c r="A54" s="241" t="inlineStr">
        <is>
          <t>∑  S M ENTERPRISES — TOTALS</t>
        </is>
      </c>
      <c r="B54" s="391" t="inlineStr">
        <is>
          <t>–</t>
        </is>
      </c>
      <c r="C54" s="391" t="inlineStr">
        <is>
          <t>–</t>
        </is>
      </c>
      <c r="D54" s="244">
        <f>SUM(D52:D53)</f>
        <v/>
      </c>
      <c r="E54" s="391" t="inlineStr">
        <is>
          <t>–</t>
        </is>
      </c>
      <c r="F54" s="391" t="inlineStr">
        <is>
          <t>–</t>
        </is>
      </c>
      <c r="G54" s="245">
        <f>SUM(G52:G53)</f>
        <v/>
      </c>
      <c r="H54" s="245">
        <f>SUM(H52:H53)</f>
        <v/>
      </c>
      <c r="I54" s="245">
        <f>SUM(I52:I53)</f>
        <v/>
      </c>
      <c r="J54" s="245">
        <f>SUM(J52:J53)</f>
        <v/>
      </c>
      <c r="K54" s="246">
        <f>SUM(K52:K53)</f>
        <v/>
      </c>
      <c r="L54" s="246">
        <f>SUM(L52:L53)</f>
        <v/>
      </c>
      <c r="M54" s="246">
        <f>SUM(M52:M53)</f>
        <v/>
      </c>
      <c r="N54" s="246">
        <f>SUM(N52:N53)</f>
        <v/>
      </c>
      <c r="O54" s="245">
        <f>SUM(O52:O53)</f>
        <v/>
      </c>
      <c r="P54" s="391" t="inlineStr">
        <is>
          <t>–</t>
        </is>
      </c>
      <c r="Q54" s="245">
        <f>SUM(Q52:Q53)</f>
        <v/>
      </c>
      <c r="R54" s="245">
        <f>SUM(R52:R53)</f>
        <v/>
      </c>
      <c r="S54" s="245">
        <f>SUM(S52:S53)</f>
        <v/>
      </c>
      <c r="T54" s="245">
        <f>SUM(T52:T53)</f>
        <v/>
      </c>
      <c r="U54" s="391" t="inlineStr">
        <is>
          <t>–</t>
        </is>
      </c>
      <c r="V54" s="245">
        <f>SUM(V52:V53)</f>
        <v/>
      </c>
      <c r="W54" s="245">
        <f>SUM(W52:W53)</f>
        <v/>
      </c>
      <c r="X54" s="391" t="inlineStr">
        <is>
          <t>–</t>
        </is>
      </c>
      <c r="Y54" s="245">
        <f>SUM(Y52:Y53)</f>
        <v/>
      </c>
      <c r="Z54" s="245">
        <f>SUM(Z52:Z53)</f>
        <v/>
      </c>
      <c r="AA54" s="391" t="inlineStr">
        <is>
          <t>–</t>
        </is>
      </c>
      <c r="AB54" s="245">
        <f>SUM(AB52:AB53)</f>
        <v/>
      </c>
      <c r="AC54" s="245">
        <f>SUM(AC52:AC53)</f>
        <v/>
      </c>
      <c r="AD54" s="391" t="inlineStr">
        <is>
          <t>–</t>
        </is>
      </c>
      <c r="AE54" s="391" t="inlineStr">
        <is>
          <t>–</t>
        </is>
      </c>
      <c r="AF54" s="391" t="inlineStr">
        <is>
          <t>–</t>
        </is>
      </c>
      <c r="AG54" s="391" t="inlineStr">
        <is>
          <t>–</t>
        </is>
      </c>
    </row>
    <row r="55" ht="7" customHeight="1">
      <c r="A55" s="82" t="n"/>
      <c r="B55" s="82" t="n"/>
      <c r="C55" s="82" t="n"/>
      <c r="D55" s="82" t="n"/>
      <c r="E55" s="82" t="n"/>
      <c r="F55" s="82" t="n"/>
      <c r="G55" s="82" t="n"/>
      <c r="H55" s="82" t="n"/>
      <c r="I55" s="82" t="n"/>
      <c r="J55" s="82" t="n"/>
      <c r="K55" s="82" t="n"/>
      <c r="L55" s="82" t="n"/>
      <c r="M55" s="82" t="n"/>
      <c r="N55" s="82" t="n"/>
      <c r="O55" s="82" t="n"/>
      <c r="P55" s="82" t="n"/>
      <c r="Q55" s="82" t="n"/>
      <c r="R55" s="82" t="n"/>
      <c r="S55" s="82" t="n"/>
      <c r="T55" s="82" t="n"/>
      <c r="U55" s="82" t="n"/>
      <c r="V55" s="82" t="n"/>
      <c r="W55" s="82" t="n"/>
      <c r="X55" s="82" t="n"/>
      <c r="Y55" s="82" t="n"/>
      <c r="Z55" s="82" t="n"/>
      <c r="AA55" s="82" t="n"/>
      <c r="AB55" s="82" t="n"/>
      <c r="AC55" s="82" t="n"/>
      <c r="AD55" s="82" t="n"/>
      <c r="AE55" s="82" t="n"/>
      <c r="AF55" s="82" t="n"/>
      <c r="AG55" s="82" t="n"/>
    </row>
    <row r="56" ht="24" customHeight="1">
      <c r="A56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56" s="64" t="n"/>
      <c r="C56" s="64" t="n"/>
      <c r="D56" s="64" t="n"/>
      <c r="E56" s="64" t="n"/>
      <c r="F56" s="64" t="n"/>
      <c r="G56" s="64" t="n"/>
      <c r="H56" s="64" t="n"/>
      <c r="I56" s="64" t="n"/>
      <c r="J56" s="64" t="n"/>
      <c r="K56" s="64" t="n"/>
      <c r="L56" s="64" t="n"/>
      <c r="M56" s="64" t="n"/>
      <c r="N56" s="64" t="n"/>
      <c r="O56" s="64" t="n"/>
      <c r="P56" s="64" t="n"/>
      <c r="Q56" s="64" t="n"/>
      <c r="R56" s="64" t="n"/>
      <c r="S56" s="64" t="n"/>
      <c r="T56" s="64" t="n"/>
      <c r="U56" s="64" t="n"/>
      <c r="V56" s="64" t="n"/>
      <c r="W56" s="64" t="n"/>
      <c r="X56" s="64" t="n"/>
      <c r="Y56" s="64" t="n"/>
      <c r="Z56" s="64" t="n"/>
      <c r="AA56" s="64" t="n"/>
      <c r="AB56" s="64" t="n"/>
      <c r="AC56" s="64" t="n"/>
      <c r="AD56" s="64" t="n"/>
      <c r="AE56" s="64" t="n"/>
      <c r="AF56" s="64" t="n"/>
      <c r="AG56" s="64" t="n"/>
    </row>
    <row r="57" outlineLevel="1" ht="15" customHeight="1">
      <c r="A57" s="260">
        <f>IF('Final Calculation Sheet'!$F$31="","",'Final Calculation Sheet'!$F$31)</f>
        <v/>
      </c>
      <c r="B57" s="259">
        <f>IF('Final Calculation Sheet'!$B$31="","",'Final Calculation Sheet'!$B$31)</f>
        <v/>
      </c>
      <c r="C57" s="260">
        <f>IF('Final Calculation Sheet'!$D$31="","",'Final Calculation Sheet'!$D$31)</f>
        <v/>
      </c>
      <c r="D57" s="261">
        <f>IF('Final Calculation Sheet'!$A$31="","",'Final Calculation Sheet'!$A$31)</f>
        <v/>
      </c>
      <c r="E57" s="262">
        <f>IF('Final Calculation Sheet'!$E$31="","",'Final Calculation Sheet'!$E$31)</f>
        <v/>
      </c>
      <c r="F57" s="260">
        <f>IF('Final Calculation Sheet'!$C$31="","",'Final Calculation Sheet'!$C$31)</f>
        <v/>
      </c>
      <c r="G57" s="260">
        <f>IF('Final Calculation Sheet'!$H$31="","",'Final Calculation Sheet'!$H$31)</f>
        <v/>
      </c>
      <c r="H57" s="260">
        <f>IF('Final Calculation Sheet'!$I$31="","",'Final Calculation Sheet'!$I$31)</f>
        <v/>
      </c>
      <c r="I57" s="260">
        <f>IF('Final Calculation Sheet'!$J$31="","",'Final Calculation Sheet'!$J$31)</f>
        <v/>
      </c>
      <c r="J57" s="260">
        <f>IF('Final Calculation Sheet'!$K$31="","",'Final Calculation Sheet'!$K$31)</f>
        <v/>
      </c>
      <c r="K57" s="263">
        <f>IF('Final Calculation Sheet'!$L$31="","",'Final Calculation Sheet'!$L$31)</f>
        <v/>
      </c>
      <c r="L57" s="263">
        <f>IF('Final Calculation Sheet'!$M$31="","",'Final Calculation Sheet'!$M$31)</f>
        <v/>
      </c>
      <c r="M57" s="263">
        <f>IF('Final Calculation Sheet'!$N$31="","",'Final Calculation Sheet'!$N$31)</f>
        <v/>
      </c>
      <c r="N57" s="263">
        <f>IF('Final Calculation Sheet'!$O$31="","",'Final Calculation Sheet'!$O$31)</f>
        <v/>
      </c>
      <c r="O57" s="260">
        <f>IF('Final Calculation Sheet'!$P$31="","",'Final Calculation Sheet'!$P$31)</f>
        <v/>
      </c>
      <c r="P57" s="264">
        <f>IF('Final Calculation Sheet'!$Q$31="","",'Final Calculation Sheet'!$Q$31)</f>
        <v/>
      </c>
      <c r="Q57" s="260">
        <f>IF('Final Calculation Sheet'!$R$31="","",'Final Calculation Sheet'!$R$31)</f>
        <v/>
      </c>
      <c r="R57" s="260">
        <f>IF('Final Calculation Sheet'!$S$31="","",'Final Calculation Sheet'!$S$31)</f>
        <v/>
      </c>
      <c r="S57" s="260">
        <f>IF('Final Calculation Sheet'!$T$31="","",'Final Calculation Sheet'!$T$31)</f>
        <v/>
      </c>
      <c r="T57" s="260">
        <f>IF('Final Calculation Sheet'!$U$31="","",'Final Calculation Sheet'!$U$31)</f>
        <v/>
      </c>
      <c r="U57" s="262">
        <f>IF('Final Calculation Sheet'!$V$31="","",'Final Calculation Sheet'!$V$31)</f>
        <v/>
      </c>
      <c r="V57" s="260">
        <f>IF('Final Calculation Sheet'!$W$31="","",'Final Calculation Sheet'!$W$31)</f>
        <v/>
      </c>
      <c r="W57" s="260">
        <f>IF('Final Calculation Sheet'!$X$31="","",'Final Calculation Sheet'!$X$31)</f>
        <v/>
      </c>
      <c r="X57" s="262">
        <f>IF('Final Calculation Sheet'!$Y$31="","",'Final Calculation Sheet'!$Y$31)</f>
        <v/>
      </c>
      <c r="Y57" s="260">
        <f>IF('Final Calculation Sheet'!$Z$31="","",'Final Calculation Sheet'!$Z$31)</f>
        <v/>
      </c>
      <c r="Z57" s="260">
        <f>IF('Final Calculation Sheet'!$AA$31="","",'Final Calculation Sheet'!$AA$31)</f>
        <v/>
      </c>
      <c r="AA57" s="262">
        <f>IF('Final Calculation Sheet'!$AB$31="","",'Final Calculation Sheet'!$AB$31)</f>
        <v/>
      </c>
      <c r="AB57" s="260">
        <f>IF('Final Calculation Sheet'!$AC$31="","",'Final Calculation Sheet'!$AC$31)</f>
        <v/>
      </c>
      <c r="AC57" s="260">
        <f>IF('Final Calculation Sheet'!$AD$31="","",'Final Calculation Sheet'!$AD$31)</f>
        <v/>
      </c>
      <c r="AD57" s="262">
        <f>IF('Final Calculation Sheet'!$AD$31="","",IF('Final Calculation Sheet'!$AD$31&lt;=0,"SETTLED","OUTSTANDING"))</f>
        <v/>
      </c>
      <c r="AE57" s="262">
        <f>IF('Final Calculation Sheet'!$AE$31="","",'Final Calculation Sheet'!$AE$31)</f>
        <v/>
      </c>
      <c r="AF57" s="260">
        <f>IF('Final Calculation Sheet'!$AF$31="","",'Final Calculation Sheet'!$AF$31)</f>
        <v/>
      </c>
      <c r="AG57" s="262">
        <f>IF('Final Calculation Sheet'!$AG$31="","",'Final Calculation Sheet'!$AG$31)</f>
        <v/>
      </c>
    </row>
    <row r="58" ht="20" customHeight="1">
      <c r="A58" s="253" t="inlineStr">
        <is>
          <t>∑  SAHARA ENTERPRISES — TOTALS</t>
        </is>
      </c>
      <c r="B58" s="392" t="inlineStr">
        <is>
          <t>–</t>
        </is>
      </c>
      <c r="C58" s="392" t="inlineStr">
        <is>
          <t>–</t>
        </is>
      </c>
      <c r="D58" s="256">
        <f>SUM(D57:D57)</f>
        <v/>
      </c>
      <c r="E58" s="392" t="inlineStr">
        <is>
          <t>–</t>
        </is>
      </c>
      <c r="F58" s="392" t="inlineStr">
        <is>
          <t>–</t>
        </is>
      </c>
      <c r="G58" s="257">
        <f>SUM(G57:G57)</f>
        <v/>
      </c>
      <c r="H58" s="257">
        <f>SUM(H57:H57)</f>
        <v/>
      </c>
      <c r="I58" s="257">
        <f>SUM(I57:I57)</f>
        <v/>
      </c>
      <c r="J58" s="257">
        <f>SUM(J57:J57)</f>
        <v/>
      </c>
      <c r="K58" s="258">
        <f>SUM(K57:K57)</f>
        <v/>
      </c>
      <c r="L58" s="258">
        <f>SUM(L57:L57)</f>
        <v/>
      </c>
      <c r="M58" s="258">
        <f>SUM(M57:M57)</f>
        <v/>
      </c>
      <c r="N58" s="258">
        <f>SUM(N57:N57)</f>
        <v/>
      </c>
      <c r="O58" s="257">
        <f>SUM(O57:O57)</f>
        <v/>
      </c>
      <c r="P58" s="392" t="inlineStr">
        <is>
          <t>–</t>
        </is>
      </c>
      <c r="Q58" s="257">
        <f>SUM(Q57:Q57)</f>
        <v/>
      </c>
      <c r="R58" s="257">
        <f>SUM(R57:R57)</f>
        <v/>
      </c>
      <c r="S58" s="257">
        <f>SUM(S57:S57)</f>
        <v/>
      </c>
      <c r="T58" s="257">
        <f>SUM(T57:T57)</f>
        <v/>
      </c>
      <c r="U58" s="392" t="inlineStr">
        <is>
          <t>–</t>
        </is>
      </c>
      <c r="V58" s="257">
        <f>SUM(V57:V57)</f>
        <v/>
      </c>
      <c r="W58" s="257">
        <f>SUM(W57:W57)</f>
        <v/>
      </c>
      <c r="X58" s="392" t="inlineStr">
        <is>
          <t>–</t>
        </is>
      </c>
      <c r="Y58" s="257">
        <f>SUM(Y57:Y57)</f>
        <v/>
      </c>
      <c r="Z58" s="257">
        <f>SUM(Z57:Z57)</f>
        <v/>
      </c>
      <c r="AA58" s="392" t="inlineStr">
        <is>
          <t>–</t>
        </is>
      </c>
      <c r="AB58" s="257">
        <f>SUM(AB57:AB57)</f>
        <v/>
      </c>
      <c r="AC58" s="257">
        <f>SUM(AC57:AC57)</f>
        <v/>
      </c>
      <c r="AD58" s="392" t="inlineStr">
        <is>
          <t>–</t>
        </is>
      </c>
      <c r="AE58" s="392" t="inlineStr">
        <is>
          <t>–</t>
        </is>
      </c>
      <c r="AF58" s="392" t="inlineStr">
        <is>
          <t>–</t>
        </is>
      </c>
      <c r="AG58" s="392" t="inlineStr">
        <is>
          <t>–</t>
        </is>
      </c>
    </row>
    <row r="59" ht="7" customHeight="1">
      <c r="A59" s="82" t="n"/>
      <c r="B59" s="82" t="n"/>
      <c r="C59" s="82" t="n"/>
      <c r="D59" s="82" t="n"/>
      <c r="E59" s="82" t="n"/>
      <c r="F59" s="82" t="n"/>
      <c r="G59" s="82" t="n"/>
      <c r="H59" s="82" t="n"/>
      <c r="I59" s="82" t="n"/>
      <c r="J59" s="82" t="n"/>
      <c r="K59" s="82" t="n"/>
      <c r="L59" s="82" t="n"/>
      <c r="M59" s="82" t="n"/>
      <c r="N59" s="82" t="n"/>
      <c r="O59" s="82" t="n"/>
      <c r="P59" s="82" t="n"/>
      <c r="Q59" s="82" t="n"/>
      <c r="R59" s="82" t="n"/>
      <c r="S59" s="82" t="n"/>
      <c r="T59" s="82" t="n"/>
      <c r="U59" s="82" t="n"/>
      <c r="V59" s="82" t="n"/>
      <c r="W59" s="82" t="n"/>
      <c r="X59" s="82" t="n"/>
      <c r="Y59" s="82" t="n"/>
      <c r="Z59" s="82" t="n"/>
      <c r="AA59" s="82" t="n"/>
      <c r="AB59" s="82" t="n"/>
      <c r="AC59" s="82" t="n"/>
      <c r="AD59" s="82" t="n"/>
      <c r="AE59" s="82" t="n"/>
      <c r="AF59" s="82" t="n"/>
      <c r="AG59" s="82" t="n"/>
    </row>
    <row r="60" ht="24" customHeight="1">
      <c r="A60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60" s="64" t="n"/>
      <c r="C60" s="64" t="n"/>
      <c r="D60" s="64" t="n"/>
      <c r="E60" s="64" t="n"/>
      <c r="F60" s="64" t="n"/>
      <c r="G60" s="64" t="n"/>
      <c r="H60" s="64" t="n"/>
      <c r="I60" s="64" t="n"/>
      <c r="J60" s="64" t="n"/>
      <c r="K60" s="64" t="n"/>
      <c r="L60" s="64" t="n"/>
      <c r="M60" s="64" t="n"/>
      <c r="N60" s="64" t="n"/>
      <c r="O60" s="64" t="n"/>
      <c r="P60" s="64" t="n"/>
      <c r="Q60" s="64" t="n"/>
      <c r="R60" s="64" t="n"/>
      <c r="S60" s="64" t="n"/>
      <c r="T60" s="64" t="n"/>
      <c r="U60" s="64" t="n"/>
      <c r="V60" s="64" t="n"/>
      <c r="W60" s="64" t="n"/>
      <c r="X60" s="64" t="n"/>
      <c r="Y60" s="64" t="n"/>
      <c r="Z60" s="64" t="n"/>
      <c r="AA60" s="64" t="n"/>
      <c r="AB60" s="64" t="n"/>
      <c r="AC60" s="64" t="n"/>
      <c r="AD60" s="64" t="n"/>
      <c r="AE60" s="64" t="n"/>
      <c r="AF60" s="64" t="n"/>
      <c r="AG60" s="64" t="n"/>
    </row>
    <row r="61" outlineLevel="1" ht="15" customHeight="1">
      <c r="A61" s="278">
        <f>IF('Final Calculation Sheet'!$F$9="","",'Final Calculation Sheet'!$F$9)</f>
        <v/>
      </c>
      <c r="B61" s="277">
        <f>IF('Final Calculation Sheet'!$B$9="","",'Final Calculation Sheet'!$B$9)</f>
        <v/>
      </c>
      <c r="C61" s="278">
        <f>IF('Final Calculation Sheet'!$D$9="","",'Final Calculation Sheet'!$D$9)</f>
        <v/>
      </c>
      <c r="D61" s="279">
        <f>IF('Final Calculation Sheet'!$A$9="","",'Final Calculation Sheet'!$A$9)</f>
        <v/>
      </c>
      <c r="E61" s="280">
        <f>IF('Final Calculation Sheet'!$E$9="","",'Final Calculation Sheet'!$E$9)</f>
        <v/>
      </c>
      <c r="F61" s="278">
        <f>IF('Final Calculation Sheet'!$C$9="","",'Final Calculation Sheet'!$C$9)</f>
        <v/>
      </c>
      <c r="G61" s="278">
        <f>IF('Final Calculation Sheet'!$H$9="","",'Final Calculation Sheet'!$H$9)</f>
        <v/>
      </c>
      <c r="H61" s="278">
        <f>IF('Final Calculation Sheet'!$I$9="","",'Final Calculation Sheet'!$I$9)</f>
        <v/>
      </c>
      <c r="I61" s="278">
        <f>IF('Final Calculation Sheet'!$J$9="","",'Final Calculation Sheet'!$J$9)</f>
        <v/>
      </c>
      <c r="J61" s="278">
        <f>IF('Final Calculation Sheet'!$K$9="","",'Final Calculation Sheet'!$K$9)</f>
        <v/>
      </c>
      <c r="K61" s="281">
        <f>IF('Final Calculation Sheet'!$L$9="","",'Final Calculation Sheet'!$L$9)</f>
        <v/>
      </c>
      <c r="L61" s="281">
        <f>IF('Final Calculation Sheet'!$M$9="","",'Final Calculation Sheet'!$M$9)</f>
        <v/>
      </c>
      <c r="M61" s="281">
        <f>IF('Final Calculation Sheet'!$N$9="","",'Final Calculation Sheet'!$N$9)</f>
        <v/>
      </c>
      <c r="N61" s="281">
        <f>IF('Final Calculation Sheet'!$O$9="","",'Final Calculation Sheet'!$O$9)</f>
        <v/>
      </c>
      <c r="O61" s="278">
        <f>IF('Final Calculation Sheet'!$P$9="","",'Final Calculation Sheet'!$P$9)</f>
        <v/>
      </c>
      <c r="P61" s="282">
        <f>IF('Final Calculation Sheet'!$Q$9="","",'Final Calculation Sheet'!$Q$9)</f>
        <v/>
      </c>
      <c r="Q61" s="278">
        <f>IF('Final Calculation Sheet'!$R$9="","",'Final Calculation Sheet'!$R$9)</f>
        <v/>
      </c>
      <c r="R61" s="278">
        <f>IF('Final Calculation Sheet'!$S$9="","",'Final Calculation Sheet'!$S$9)</f>
        <v/>
      </c>
      <c r="S61" s="278">
        <f>IF('Final Calculation Sheet'!$T$9="","",'Final Calculation Sheet'!$T$9)</f>
        <v/>
      </c>
      <c r="T61" s="278">
        <f>IF('Final Calculation Sheet'!$U$9="","",'Final Calculation Sheet'!$U$9)</f>
        <v/>
      </c>
      <c r="U61" s="280">
        <f>IF('Final Calculation Sheet'!$V$9="","",'Final Calculation Sheet'!$V$9)</f>
        <v/>
      </c>
      <c r="V61" s="278">
        <f>IF('Final Calculation Sheet'!$W$9="","",'Final Calculation Sheet'!$W$9)</f>
        <v/>
      </c>
      <c r="W61" s="278">
        <f>IF('Final Calculation Sheet'!$X$9="","",'Final Calculation Sheet'!$X$9)</f>
        <v/>
      </c>
      <c r="X61" s="280">
        <f>IF('Final Calculation Sheet'!$Y$9="","",'Final Calculation Sheet'!$Y$9)</f>
        <v/>
      </c>
      <c r="Y61" s="278">
        <f>IF('Final Calculation Sheet'!$Z$9="","",'Final Calculation Sheet'!$Z$9)</f>
        <v/>
      </c>
      <c r="Z61" s="278">
        <f>IF('Final Calculation Sheet'!$AA$9="","",'Final Calculation Sheet'!$AA$9)</f>
        <v/>
      </c>
      <c r="AA61" s="280">
        <f>IF('Final Calculation Sheet'!$AB$9="","",'Final Calculation Sheet'!$AB$9)</f>
        <v/>
      </c>
      <c r="AB61" s="278">
        <f>IF('Final Calculation Sheet'!$AC$9="","",'Final Calculation Sheet'!$AC$9)</f>
        <v/>
      </c>
      <c r="AC61" s="278">
        <f>IF('Final Calculation Sheet'!$AD$9="","",'Final Calculation Sheet'!$AD$9)</f>
        <v/>
      </c>
      <c r="AD61" s="280">
        <f>IF('Final Calculation Sheet'!$AD$9="","",IF('Final Calculation Sheet'!$AD$9&lt;=0,"SETTLED","OUTSTANDING"))</f>
        <v/>
      </c>
      <c r="AE61" s="280">
        <f>IF('Final Calculation Sheet'!$AE$9="","",'Final Calculation Sheet'!$AE$9)</f>
        <v/>
      </c>
      <c r="AF61" s="278">
        <f>IF('Final Calculation Sheet'!$AF$9="","",'Final Calculation Sheet'!$AF$9)</f>
        <v/>
      </c>
      <c r="AG61" s="280">
        <f>IF('Final Calculation Sheet'!$AG$9="","",'Final Calculation Sheet'!$AG$9)</f>
        <v/>
      </c>
    </row>
    <row r="62" outlineLevel="1" ht="15" customHeight="1">
      <c r="A62" s="362">
        <f>IF('Final Calculation Sheet'!$F$14="","",'Final Calculation Sheet'!$F$14)</f>
        <v/>
      </c>
      <c r="B62" s="361">
        <f>IF('Final Calculation Sheet'!$B$14="","",'Final Calculation Sheet'!$B$14)</f>
        <v/>
      </c>
      <c r="C62" s="362">
        <f>IF('Final Calculation Sheet'!$D$14="","",'Final Calculation Sheet'!$D$14)</f>
        <v/>
      </c>
      <c r="D62" s="363">
        <f>IF('Final Calculation Sheet'!$A$14="","",'Final Calculation Sheet'!$A$14)</f>
        <v/>
      </c>
      <c r="E62" s="364">
        <f>IF('Final Calculation Sheet'!$E$14="","",'Final Calculation Sheet'!$E$14)</f>
        <v/>
      </c>
      <c r="F62" s="362">
        <f>IF('Final Calculation Sheet'!$C$14="","",'Final Calculation Sheet'!$C$14)</f>
        <v/>
      </c>
      <c r="G62" s="362">
        <f>IF('Final Calculation Sheet'!$H$14="","",'Final Calculation Sheet'!$H$14)</f>
        <v/>
      </c>
      <c r="H62" s="362">
        <f>IF('Final Calculation Sheet'!$I$14="","",'Final Calculation Sheet'!$I$14)</f>
        <v/>
      </c>
      <c r="I62" s="362">
        <f>IF('Final Calculation Sheet'!$J$14="","",'Final Calculation Sheet'!$J$14)</f>
        <v/>
      </c>
      <c r="J62" s="362">
        <f>IF('Final Calculation Sheet'!$K$14="","",'Final Calculation Sheet'!$K$14)</f>
        <v/>
      </c>
      <c r="K62" s="365">
        <f>IF('Final Calculation Sheet'!$L$14="","",'Final Calculation Sheet'!$L$14)</f>
        <v/>
      </c>
      <c r="L62" s="365">
        <f>IF('Final Calculation Sheet'!$M$14="","",'Final Calculation Sheet'!$M$14)</f>
        <v/>
      </c>
      <c r="M62" s="365">
        <f>IF('Final Calculation Sheet'!$N$14="","",'Final Calculation Sheet'!$N$14)</f>
        <v/>
      </c>
      <c r="N62" s="365">
        <f>IF('Final Calculation Sheet'!$O$14="","",'Final Calculation Sheet'!$O$14)</f>
        <v/>
      </c>
      <c r="O62" s="362">
        <f>IF('Final Calculation Sheet'!$P$14="","",'Final Calculation Sheet'!$P$14)</f>
        <v/>
      </c>
      <c r="P62" s="366">
        <f>IF('Final Calculation Sheet'!$Q$14="","",'Final Calculation Sheet'!$Q$14)</f>
        <v/>
      </c>
      <c r="Q62" s="362">
        <f>IF('Final Calculation Sheet'!$R$14="","",'Final Calculation Sheet'!$R$14)</f>
        <v/>
      </c>
      <c r="R62" s="362">
        <f>IF('Final Calculation Sheet'!$S$14="","",'Final Calculation Sheet'!$S$14)</f>
        <v/>
      </c>
      <c r="S62" s="362">
        <f>IF('Final Calculation Sheet'!$T$14="","",'Final Calculation Sheet'!$T$14)</f>
        <v/>
      </c>
      <c r="T62" s="362">
        <f>IF('Final Calculation Sheet'!$U$14="","",'Final Calculation Sheet'!$U$14)</f>
        <v/>
      </c>
      <c r="U62" s="364">
        <f>IF('Final Calculation Sheet'!$V$14="","",'Final Calculation Sheet'!$V$14)</f>
        <v/>
      </c>
      <c r="V62" s="362">
        <f>IF('Final Calculation Sheet'!$W$14="","",'Final Calculation Sheet'!$W$14)</f>
        <v/>
      </c>
      <c r="W62" s="362">
        <f>IF('Final Calculation Sheet'!$X$14="","",'Final Calculation Sheet'!$X$14)</f>
        <v/>
      </c>
      <c r="X62" s="364">
        <f>IF('Final Calculation Sheet'!$Y$14="","",'Final Calculation Sheet'!$Y$14)</f>
        <v/>
      </c>
      <c r="Y62" s="362">
        <f>IF('Final Calculation Sheet'!$Z$14="","",'Final Calculation Sheet'!$Z$14)</f>
        <v/>
      </c>
      <c r="Z62" s="362">
        <f>IF('Final Calculation Sheet'!$AA$14="","",'Final Calculation Sheet'!$AA$14)</f>
        <v/>
      </c>
      <c r="AA62" s="364">
        <f>IF('Final Calculation Sheet'!$AB$14="","",'Final Calculation Sheet'!$AB$14)</f>
        <v/>
      </c>
      <c r="AB62" s="362">
        <f>IF('Final Calculation Sheet'!$AC$14="","",'Final Calculation Sheet'!$AC$14)</f>
        <v/>
      </c>
      <c r="AC62" s="362">
        <f>IF('Final Calculation Sheet'!$AD$14="","",'Final Calculation Sheet'!$AD$14)</f>
        <v/>
      </c>
      <c r="AD62" s="364">
        <f>IF('Final Calculation Sheet'!$AD$14="","",IF('Final Calculation Sheet'!$AD$14&lt;=0,"SETTLED","OUTSTANDING"))</f>
        <v/>
      </c>
      <c r="AE62" s="364">
        <f>IF('Final Calculation Sheet'!$AE$14="","",'Final Calculation Sheet'!$AE$14)</f>
        <v/>
      </c>
      <c r="AF62" s="362">
        <f>IF('Final Calculation Sheet'!$AF$14="","",'Final Calculation Sheet'!$AF$14)</f>
        <v/>
      </c>
      <c r="AG62" s="364">
        <f>IF('Final Calculation Sheet'!$AG$14="","",'Final Calculation Sheet'!$AG$14)</f>
        <v/>
      </c>
    </row>
    <row r="63" ht="20" customHeight="1">
      <c r="A63" s="271" t="inlineStr">
        <is>
          <t>∑  SHAR JAHAN TRADERS — TOTALS</t>
        </is>
      </c>
      <c r="B63" s="393" t="inlineStr">
        <is>
          <t>–</t>
        </is>
      </c>
      <c r="C63" s="393" t="inlineStr">
        <is>
          <t>–</t>
        </is>
      </c>
      <c r="D63" s="274">
        <f>SUM(D61:D62)</f>
        <v/>
      </c>
      <c r="E63" s="393" t="inlineStr">
        <is>
          <t>–</t>
        </is>
      </c>
      <c r="F63" s="393" t="inlineStr">
        <is>
          <t>–</t>
        </is>
      </c>
      <c r="G63" s="275">
        <f>SUM(G61:G62)</f>
        <v/>
      </c>
      <c r="H63" s="275">
        <f>SUM(H61:H62)</f>
        <v/>
      </c>
      <c r="I63" s="275">
        <f>SUM(I61:I62)</f>
        <v/>
      </c>
      <c r="J63" s="275">
        <f>SUM(J61:J62)</f>
        <v/>
      </c>
      <c r="K63" s="276">
        <f>SUM(K61:K62)</f>
        <v/>
      </c>
      <c r="L63" s="276">
        <f>SUM(L61:L62)</f>
        <v/>
      </c>
      <c r="M63" s="276">
        <f>SUM(M61:M62)</f>
        <v/>
      </c>
      <c r="N63" s="276">
        <f>SUM(N61:N62)</f>
        <v/>
      </c>
      <c r="O63" s="275">
        <f>SUM(O61:O62)</f>
        <v/>
      </c>
      <c r="P63" s="393" t="inlineStr">
        <is>
          <t>–</t>
        </is>
      </c>
      <c r="Q63" s="275">
        <f>SUM(Q61:Q62)</f>
        <v/>
      </c>
      <c r="R63" s="275">
        <f>SUM(R61:R62)</f>
        <v/>
      </c>
      <c r="S63" s="275">
        <f>SUM(S61:S62)</f>
        <v/>
      </c>
      <c r="T63" s="275">
        <f>SUM(T61:T62)</f>
        <v/>
      </c>
      <c r="U63" s="393" t="inlineStr">
        <is>
          <t>–</t>
        </is>
      </c>
      <c r="V63" s="275">
        <f>SUM(V61:V62)</f>
        <v/>
      </c>
      <c r="W63" s="275">
        <f>SUM(W61:W62)</f>
        <v/>
      </c>
      <c r="X63" s="393" t="inlineStr">
        <is>
          <t>–</t>
        </is>
      </c>
      <c r="Y63" s="275">
        <f>SUM(Y61:Y62)</f>
        <v/>
      </c>
      <c r="Z63" s="275">
        <f>SUM(Z61:Z62)</f>
        <v/>
      </c>
      <c r="AA63" s="393" t="inlineStr">
        <is>
          <t>–</t>
        </is>
      </c>
      <c r="AB63" s="275">
        <f>SUM(AB61:AB62)</f>
        <v/>
      </c>
      <c r="AC63" s="275">
        <f>SUM(AC61:AC62)</f>
        <v/>
      </c>
      <c r="AD63" s="393" t="inlineStr">
        <is>
          <t>–</t>
        </is>
      </c>
      <c r="AE63" s="393" t="inlineStr">
        <is>
          <t>–</t>
        </is>
      </c>
      <c r="AF63" s="393" t="inlineStr">
        <is>
          <t>–</t>
        </is>
      </c>
      <c r="AG63" s="393" t="inlineStr">
        <is>
          <t>–</t>
        </is>
      </c>
    </row>
    <row r="64" ht="7" customHeight="1">
      <c r="A64" s="82" t="n"/>
      <c r="B64" s="82" t="n"/>
      <c r="C64" s="82" t="n"/>
      <c r="D64" s="82" t="n"/>
      <c r="E64" s="82" t="n"/>
      <c r="F64" s="82" t="n"/>
      <c r="G64" s="82" t="n"/>
      <c r="H64" s="82" t="n"/>
      <c r="I64" s="82" t="n"/>
      <c r="J64" s="82" t="n"/>
      <c r="K64" s="82" t="n"/>
      <c r="L64" s="82" t="n"/>
      <c r="M64" s="82" t="n"/>
      <c r="N64" s="82" t="n"/>
      <c r="O64" s="82" t="n"/>
      <c r="P64" s="82" t="n"/>
      <c r="Q64" s="82" t="n"/>
      <c r="R64" s="82" t="n"/>
      <c r="S64" s="82" t="n"/>
      <c r="T64" s="82" t="n"/>
      <c r="U64" s="82" t="n"/>
      <c r="V64" s="82" t="n"/>
      <c r="W64" s="82" t="n"/>
      <c r="X64" s="82" t="n"/>
      <c r="Y64" s="82" t="n"/>
      <c r="Z64" s="82" t="n"/>
      <c r="AA64" s="82" t="n"/>
      <c r="AB64" s="82" t="n"/>
      <c r="AC64" s="82" t="n"/>
      <c r="AD64" s="82" t="n"/>
      <c r="AE64" s="82" t="n"/>
      <c r="AF64" s="82" t="n"/>
      <c r="AG64" s="82" t="n"/>
    </row>
    <row r="65" ht="24" customHeight="1">
      <c r="A65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65" s="64" t="n"/>
      <c r="C65" s="64" t="n"/>
      <c r="D65" s="64" t="n"/>
      <c r="E65" s="64" t="n"/>
      <c r="F65" s="64" t="n"/>
      <c r="G65" s="64" t="n"/>
      <c r="H65" s="64" t="n"/>
      <c r="I65" s="64" t="n"/>
      <c r="J65" s="64" t="n"/>
      <c r="K65" s="64" t="n"/>
      <c r="L65" s="64" t="n"/>
      <c r="M65" s="64" t="n"/>
      <c r="N65" s="64" t="n"/>
      <c r="O65" s="64" t="n"/>
      <c r="P65" s="64" t="n"/>
      <c r="Q65" s="64" t="n"/>
      <c r="R65" s="64" t="n"/>
      <c r="S65" s="64" t="n"/>
      <c r="T65" s="64" t="n"/>
      <c r="U65" s="64" t="n"/>
      <c r="V65" s="64" t="n"/>
      <c r="W65" s="64" t="n"/>
      <c r="X65" s="64" t="n"/>
      <c r="Y65" s="64" t="n"/>
      <c r="Z65" s="64" t="n"/>
      <c r="AA65" s="64" t="n"/>
      <c r="AB65" s="64" t="n"/>
      <c r="AC65" s="64" t="n"/>
      <c r="AD65" s="64" t="n"/>
      <c r="AE65" s="64" t="n"/>
      <c r="AF65" s="64" t="n"/>
      <c r="AG65" s="64" t="n"/>
    </row>
    <row r="66" outlineLevel="1" ht="15" customHeight="1">
      <c r="A66" s="290">
        <f>IF('Final Calculation Sheet'!$F$13="","",'Final Calculation Sheet'!$F$13)</f>
        <v/>
      </c>
      <c r="B66" s="289">
        <f>IF('Final Calculation Sheet'!$B$13="","",'Final Calculation Sheet'!$B$13)</f>
        <v/>
      </c>
      <c r="C66" s="290">
        <f>IF('Final Calculation Sheet'!$D$13="","",'Final Calculation Sheet'!$D$13)</f>
        <v/>
      </c>
      <c r="D66" s="291">
        <f>IF('Final Calculation Sheet'!$A$13="","",'Final Calculation Sheet'!$A$13)</f>
        <v/>
      </c>
      <c r="E66" s="292">
        <f>IF('Final Calculation Sheet'!$E$13="","",'Final Calculation Sheet'!$E$13)</f>
        <v/>
      </c>
      <c r="F66" s="290">
        <f>IF('Final Calculation Sheet'!$C$13="","",'Final Calculation Sheet'!$C$13)</f>
        <v/>
      </c>
      <c r="G66" s="290">
        <f>IF('Final Calculation Sheet'!$H$13="","",'Final Calculation Sheet'!$H$13)</f>
        <v/>
      </c>
      <c r="H66" s="290">
        <f>IF('Final Calculation Sheet'!$I$13="","",'Final Calculation Sheet'!$I$13)</f>
        <v/>
      </c>
      <c r="I66" s="290">
        <f>IF('Final Calculation Sheet'!$J$13="","",'Final Calculation Sheet'!$J$13)</f>
        <v/>
      </c>
      <c r="J66" s="290">
        <f>IF('Final Calculation Sheet'!$K$13="","",'Final Calculation Sheet'!$K$13)</f>
        <v/>
      </c>
      <c r="K66" s="293">
        <f>IF('Final Calculation Sheet'!$L$13="","",'Final Calculation Sheet'!$L$13)</f>
        <v/>
      </c>
      <c r="L66" s="293">
        <f>IF('Final Calculation Sheet'!$M$13="","",'Final Calculation Sheet'!$M$13)</f>
        <v/>
      </c>
      <c r="M66" s="293">
        <f>IF('Final Calculation Sheet'!$N$13="","",'Final Calculation Sheet'!$N$13)</f>
        <v/>
      </c>
      <c r="N66" s="293">
        <f>IF('Final Calculation Sheet'!$O$13="","",'Final Calculation Sheet'!$O$13)</f>
        <v/>
      </c>
      <c r="O66" s="290">
        <f>IF('Final Calculation Sheet'!$P$13="","",'Final Calculation Sheet'!$P$13)</f>
        <v/>
      </c>
      <c r="P66" s="294">
        <f>IF('Final Calculation Sheet'!$Q$13="","",'Final Calculation Sheet'!$Q$13)</f>
        <v/>
      </c>
      <c r="Q66" s="290">
        <f>IF('Final Calculation Sheet'!$R$13="","",'Final Calculation Sheet'!$R$13)</f>
        <v/>
      </c>
      <c r="R66" s="290">
        <f>IF('Final Calculation Sheet'!$S$13="","",'Final Calculation Sheet'!$S$13)</f>
        <v/>
      </c>
      <c r="S66" s="290">
        <f>IF('Final Calculation Sheet'!$T$13="","",'Final Calculation Sheet'!$T$13)</f>
        <v/>
      </c>
      <c r="T66" s="290">
        <f>IF('Final Calculation Sheet'!$U$13="","",'Final Calculation Sheet'!$U$13)</f>
        <v/>
      </c>
      <c r="U66" s="292">
        <f>IF('Final Calculation Sheet'!$V$13="","",'Final Calculation Sheet'!$V$13)</f>
        <v/>
      </c>
      <c r="V66" s="290">
        <f>IF('Final Calculation Sheet'!$W$13="","",'Final Calculation Sheet'!$W$13)</f>
        <v/>
      </c>
      <c r="W66" s="290">
        <f>IF('Final Calculation Sheet'!$X$13="","",'Final Calculation Sheet'!$X$13)</f>
        <v/>
      </c>
      <c r="X66" s="292">
        <f>IF('Final Calculation Sheet'!$Y$13="","",'Final Calculation Sheet'!$Y$13)</f>
        <v/>
      </c>
      <c r="Y66" s="290">
        <f>IF('Final Calculation Sheet'!$Z$13="","",'Final Calculation Sheet'!$Z$13)</f>
        <v/>
      </c>
      <c r="Z66" s="290">
        <f>IF('Final Calculation Sheet'!$AA$13="","",'Final Calculation Sheet'!$AA$13)</f>
        <v/>
      </c>
      <c r="AA66" s="292">
        <f>IF('Final Calculation Sheet'!$AB$13="","",'Final Calculation Sheet'!$AB$13)</f>
        <v/>
      </c>
      <c r="AB66" s="290">
        <f>IF('Final Calculation Sheet'!$AC$13="","",'Final Calculation Sheet'!$AC$13)</f>
        <v/>
      </c>
      <c r="AC66" s="290">
        <f>IF('Final Calculation Sheet'!$AD$13="","",'Final Calculation Sheet'!$AD$13)</f>
        <v/>
      </c>
      <c r="AD66" s="292">
        <f>IF('Final Calculation Sheet'!$AD$13="","",IF('Final Calculation Sheet'!$AD$13&lt;=0,"SETTLED","OUTSTANDING"))</f>
        <v/>
      </c>
      <c r="AE66" s="292">
        <f>IF('Final Calculation Sheet'!$AE$13="","",'Final Calculation Sheet'!$AE$13)</f>
        <v/>
      </c>
      <c r="AF66" s="290">
        <f>IF('Final Calculation Sheet'!$AF$13="","",'Final Calculation Sheet'!$AF$13)</f>
        <v/>
      </c>
      <c r="AG66" s="292">
        <f>IF('Final Calculation Sheet'!$AG$13="","",'Final Calculation Sheet'!$AG$13)</f>
        <v/>
      </c>
    </row>
    <row r="67" outlineLevel="1" ht="15" customHeight="1">
      <c r="A67" s="368">
        <f>IF('Final Calculation Sheet'!$F$16="","",'Final Calculation Sheet'!$F$16)</f>
        <v/>
      </c>
      <c r="B67" s="367">
        <f>IF('Final Calculation Sheet'!$B$16="","",'Final Calculation Sheet'!$B$16)</f>
        <v/>
      </c>
      <c r="C67" s="368">
        <f>IF('Final Calculation Sheet'!$D$16="","",'Final Calculation Sheet'!$D$16)</f>
        <v/>
      </c>
      <c r="D67" s="369">
        <f>IF('Final Calculation Sheet'!$A$16="","",'Final Calculation Sheet'!$A$16)</f>
        <v/>
      </c>
      <c r="E67" s="370">
        <f>IF('Final Calculation Sheet'!$E$16="","",'Final Calculation Sheet'!$E$16)</f>
        <v/>
      </c>
      <c r="F67" s="368">
        <f>IF('Final Calculation Sheet'!$C$16="","",'Final Calculation Sheet'!$C$16)</f>
        <v/>
      </c>
      <c r="G67" s="368">
        <f>IF('Final Calculation Sheet'!$H$16="","",'Final Calculation Sheet'!$H$16)</f>
        <v/>
      </c>
      <c r="H67" s="368">
        <f>IF('Final Calculation Sheet'!$I$16="","",'Final Calculation Sheet'!$I$16)</f>
        <v/>
      </c>
      <c r="I67" s="368">
        <f>IF('Final Calculation Sheet'!$J$16="","",'Final Calculation Sheet'!$J$16)</f>
        <v/>
      </c>
      <c r="J67" s="368">
        <f>IF('Final Calculation Sheet'!$K$16="","",'Final Calculation Sheet'!$K$16)</f>
        <v/>
      </c>
      <c r="K67" s="371">
        <f>IF('Final Calculation Sheet'!$L$16="","",'Final Calculation Sheet'!$L$16)</f>
        <v/>
      </c>
      <c r="L67" s="371">
        <f>IF('Final Calculation Sheet'!$M$16="","",'Final Calculation Sheet'!$M$16)</f>
        <v/>
      </c>
      <c r="M67" s="371">
        <f>IF('Final Calculation Sheet'!$N$16="","",'Final Calculation Sheet'!$N$16)</f>
        <v/>
      </c>
      <c r="N67" s="371">
        <f>IF('Final Calculation Sheet'!$O$16="","",'Final Calculation Sheet'!$O$16)</f>
        <v/>
      </c>
      <c r="O67" s="368">
        <f>IF('Final Calculation Sheet'!$P$16="","",'Final Calculation Sheet'!$P$16)</f>
        <v/>
      </c>
      <c r="P67" s="372">
        <f>IF('Final Calculation Sheet'!$Q$16="","",'Final Calculation Sheet'!$Q$16)</f>
        <v/>
      </c>
      <c r="Q67" s="368">
        <f>IF('Final Calculation Sheet'!$R$16="","",'Final Calculation Sheet'!$R$16)</f>
        <v/>
      </c>
      <c r="R67" s="368">
        <f>IF('Final Calculation Sheet'!$S$16="","",'Final Calculation Sheet'!$S$16)</f>
        <v/>
      </c>
      <c r="S67" s="368">
        <f>IF('Final Calculation Sheet'!$T$16="","",'Final Calculation Sheet'!$T$16)</f>
        <v/>
      </c>
      <c r="T67" s="368">
        <f>IF('Final Calculation Sheet'!$U$16="","",'Final Calculation Sheet'!$U$16)</f>
        <v/>
      </c>
      <c r="U67" s="370">
        <f>IF('Final Calculation Sheet'!$V$16="","",'Final Calculation Sheet'!$V$16)</f>
        <v/>
      </c>
      <c r="V67" s="368">
        <f>IF('Final Calculation Sheet'!$W$16="","",'Final Calculation Sheet'!$W$16)</f>
        <v/>
      </c>
      <c r="W67" s="368">
        <f>IF('Final Calculation Sheet'!$X$16="","",'Final Calculation Sheet'!$X$16)</f>
        <v/>
      </c>
      <c r="X67" s="370">
        <f>IF('Final Calculation Sheet'!$Y$16="","",'Final Calculation Sheet'!$Y$16)</f>
        <v/>
      </c>
      <c r="Y67" s="368">
        <f>IF('Final Calculation Sheet'!$Z$16="","",'Final Calculation Sheet'!$Z$16)</f>
        <v/>
      </c>
      <c r="Z67" s="368">
        <f>IF('Final Calculation Sheet'!$AA$16="","",'Final Calculation Sheet'!$AA$16)</f>
        <v/>
      </c>
      <c r="AA67" s="370">
        <f>IF('Final Calculation Sheet'!$AB$16="","",'Final Calculation Sheet'!$AB$16)</f>
        <v/>
      </c>
      <c r="AB67" s="368">
        <f>IF('Final Calculation Sheet'!$AC$16="","",'Final Calculation Sheet'!$AC$16)</f>
        <v/>
      </c>
      <c r="AC67" s="368">
        <f>IF('Final Calculation Sheet'!$AD$16="","",'Final Calculation Sheet'!$AD$16)</f>
        <v/>
      </c>
      <c r="AD67" s="370">
        <f>IF('Final Calculation Sheet'!$AD$16="","",IF('Final Calculation Sheet'!$AD$16&lt;=0,"SETTLED","OUTSTANDING"))</f>
        <v/>
      </c>
      <c r="AE67" s="370">
        <f>IF('Final Calculation Sheet'!$AE$16="","",'Final Calculation Sheet'!$AE$16)</f>
        <v/>
      </c>
      <c r="AF67" s="368">
        <f>IF('Final Calculation Sheet'!$AF$16="","",'Final Calculation Sheet'!$AF$16)</f>
        <v/>
      </c>
      <c r="AG67" s="370">
        <f>IF('Final Calculation Sheet'!$AG$16="","",'Final Calculation Sheet'!$AG$16)</f>
        <v/>
      </c>
    </row>
    <row r="68" outlineLevel="1" ht="15" customHeight="1">
      <c r="A68" s="290">
        <f>IF('Final Calculation Sheet'!$F$17="","",'Final Calculation Sheet'!$F$17)</f>
        <v/>
      </c>
      <c r="B68" s="289">
        <f>IF('Final Calculation Sheet'!$B$17="","",'Final Calculation Sheet'!$B$17)</f>
        <v/>
      </c>
      <c r="C68" s="290">
        <f>IF('Final Calculation Sheet'!$D$17="","",'Final Calculation Sheet'!$D$17)</f>
        <v/>
      </c>
      <c r="D68" s="291">
        <f>IF('Final Calculation Sheet'!$A$17="","",'Final Calculation Sheet'!$A$17)</f>
        <v/>
      </c>
      <c r="E68" s="292">
        <f>IF('Final Calculation Sheet'!$E$17="","",'Final Calculation Sheet'!$E$17)</f>
        <v/>
      </c>
      <c r="F68" s="290">
        <f>IF('Final Calculation Sheet'!$C$17="","",'Final Calculation Sheet'!$C$17)</f>
        <v/>
      </c>
      <c r="G68" s="290">
        <f>IF('Final Calculation Sheet'!$H$17="","",'Final Calculation Sheet'!$H$17)</f>
        <v/>
      </c>
      <c r="H68" s="290">
        <f>IF('Final Calculation Sheet'!$I$17="","",'Final Calculation Sheet'!$I$17)</f>
        <v/>
      </c>
      <c r="I68" s="290">
        <f>IF('Final Calculation Sheet'!$J$17="","",'Final Calculation Sheet'!$J$17)</f>
        <v/>
      </c>
      <c r="J68" s="290">
        <f>IF('Final Calculation Sheet'!$K$17="","",'Final Calculation Sheet'!$K$17)</f>
        <v/>
      </c>
      <c r="K68" s="293">
        <f>IF('Final Calculation Sheet'!$L$17="","",'Final Calculation Sheet'!$L$17)</f>
        <v/>
      </c>
      <c r="L68" s="293">
        <f>IF('Final Calculation Sheet'!$M$17="","",'Final Calculation Sheet'!$M$17)</f>
        <v/>
      </c>
      <c r="M68" s="293">
        <f>IF('Final Calculation Sheet'!$N$17="","",'Final Calculation Sheet'!$N$17)</f>
        <v/>
      </c>
      <c r="N68" s="293">
        <f>IF('Final Calculation Sheet'!$O$17="","",'Final Calculation Sheet'!$O$17)</f>
        <v/>
      </c>
      <c r="O68" s="290">
        <f>IF('Final Calculation Sheet'!$P$17="","",'Final Calculation Sheet'!$P$17)</f>
        <v/>
      </c>
      <c r="P68" s="294">
        <f>IF('Final Calculation Sheet'!$Q$17="","",'Final Calculation Sheet'!$Q$17)</f>
        <v/>
      </c>
      <c r="Q68" s="290">
        <f>IF('Final Calculation Sheet'!$R$17="","",'Final Calculation Sheet'!$R$17)</f>
        <v/>
      </c>
      <c r="R68" s="290">
        <f>IF('Final Calculation Sheet'!$S$17="","",'Final Calculation Sheet'!$S$17)</f>
        <v/>
      </c>
      <c r="S68" s="290">
        <f>IF('Final Calculation Sheet'!$T$17="","",'Final Calculation Sheet'!$T$17)</f>
        <v/>
      </c>
      <c r="T68" s="290">
        <f>IF('Final Calculation Sheet'!$U$17="","",'Final Calculation Sheet'!$U$17)</f>
        <v/>
      </c>
      <c r="U68" s="292">
        <f>IF('Final Calculation Sheet'!$V$17="","",'Final Calculation Sheet'!$V$17)</f>
        <v/>
      </c>
      <c r="V68" s="290">
        <f>IF('Final Calculation Sheet'!$W$17="","",'Final Calculation Sheet'!$W$17)</f>
        <v/>
      </c>
      <c r="W68" s="290">
        <f>IF('Final Calculation Sheet'!$X$17="","",'Final Calculation Sheet'!$X$17)</f>
        <v/>
      </c>
      <c r="X68" s="292">
        <f>IF('Final Calculation Sheet'!$Y$17="","",'Final Calculation Sheet'!$Y$17)</f>
        <v/>
      </c>
      <c r="Y68" s="290">
        <f>IF('Final Calculation Sheet'!$Z$17="","",'Final Calculation Sheet'!$Z$17)</f>
        <v/>
      </c>
      <c r="Z68" s="290">
        <f>IF('Final Calculation Sheet'!$AA$17="","",'Final Calculation Sheet'!$AA$17)</f>
        <v/>
      </c>
      <c r="AA68" s="292">
        <f>IF('Final Calculation Sheet'!$AB$17="","",'Final Calculation Sheet'!$AB$17)</f>
        <v/>
      </c>
      <c r="AB68" s="290">
        <f>IF('Final Calculation Sheet'!$AC$17="","",'Final Calculation Sheet'!$AC$17)</f>
        <v/>
      </c>
      <c r="AC68" s="290">
        <f>IF('Final Calculation Sheet'!$AD$17="","",'Final Calculation Sheet'!$AD$17)</f>
        <v/>
      </c>
      <c r="AD68" s="292">
        <f>IF('Final Calculation Sheet'!$AD$17="","",IF('Final Calculation Sheet'!$AD$17&lt;=0,"SETTLED","OUTSTANDING"))</f>
        <v/>
      </c>
      <c r="AE68" s="292">
        <f>IF('Final Calculation Sheet'!$AE$17="","",'Final Calculation Sheet'!$AE$17)</f>
        <v/>
      </c>
      <c r="AF68" s="290">
        <f>IF('Final Calculation Sheet'!$AF$17="","",'Final Calculation Sheet'!$AF$17)</f>
        <v/>
      </c>
      <c r="AG68" s="292">
        <f>IF('Final Calculation Sheet'!$AG$17="","",'Final Calculation Sheet'!$AG$17)</f>
        <v/>
      </c>
    </row>
    <row r="69" outlineLevel="1" ht="15" customHeight="1">
      <c r="A69" s="368">
        <f>IF('Final Calculation Sheet'!$F$23="","",'Final Calculation Sheet'!$F$23)</f>
        <v/>
      </c>
      <c r="B69" s="367">
        <f>IF('Final Calculation Sheet'!$B$23="","",'Final Calculation Sheet'!$B$23)</f>
        <v/>
      </c>
      <c r="C69" s="368">
        <f>IF('Final Calculation Sheet'!$D$23="","",'Final Calculation Sheet'!$D$23)</f>
        <v/>
      </c>
      <c r="D69" s="369">
        <f>IF('Final Calculation Sheet'!$A$23="","",'Final Calculation Sheet'!$A$23)</f>
        <v/>
      </c>
      <c r="E69" s="370">
        <f>IF('Final Calculation Sheet'!$E$23="","",'Final Calculation Sheet'!$E$23)</f>
        <v/>
      </c>
      <c r="F69" s="368">
        <f>IF('Final Calculation Sheet'!$C$23="","",'Final Calculation Sheet'!$C$23)</f>
        <v/>
      </c>
      <c r="G69" s="368">
        <f>IF('Final Calculation Sheet'!$H$23="","",'Final Calculation Sheet'!$H$23)</f>
        <v/>
      </c>
      <c r="H69" s="368">
        <f>IF('Final Calculation Sheet'!$I$23="","",'Final Calculation Sheet'!$I$23)</f>
        <v/>
      </c>
      <c r="I69" s="368">
        <f>IF('Final Calculation Sheet'!$J$23="","",'Final Calculation Sheet'!$J$23)</f>
        <v/>
      </c>
      <c r="J69" s="368">
        <f>IF('Final Calculation Sheet'!$K$23="","",'Final Calculation Sheet'!$K$23)</f>
        <v/>
      </c>
      <c r="K69" s="371">
        <f>IF('Final Calculation Sheet'!$L$23="","",'Final Calculation Sheet'!$L$23)</f>
        <v/>
      </c>
      <c r="L69" s="371">
        <f>IF('Final Calculation Sheet'!$M$23="","",'Final Calculation Sheet'!$M$23)</f>
        <v/>
      </c>
      <c r="M69" s="371">
        <f>IF('Final Calculation Sheet'!$N$23="","",'Final Calculation Sheet'!$N$23)</f>
        <v/>
      </c>
      <c r="N69" s="371">
        <f>IF('Final Calculation Sheet'!$O$23="","",'Final Calculation Sheet'!$O$23)</f>
        <v/>
      </c>
      <c r="O69" s="368">
        <f>IF('Final Calculation Sheet'!$P$23="","",'Final Calculation Sheet'!$P$23)</f>
        <v/>
      </c>
      <c r="P69" s="372">
        <f>IF('Final Calculation Sheet'!$Q$23="","",'Final Calculation Sheet'!$Q$23)</f>
        <v/>
      </c>
      <c r="Q69" s="368">
        <f>IF('Final Calculation Sheet'!$R$23="","",'Final Calculation Sheet'!$R$23)</f>
        <v/>
      </c>
      <c r="R69" s="368">
        <f>IF('Final Calculation Sheet'!$S$23="","",'Final Calculation Sheet'!$S$23)</f>
        <v/>
      </c>
      <c r="S69" s="368">
        <f>IF('Final Calculation Sheet'!$T$23="","",'Final Calculation Sheet'!$T$23)</f>
        <v/>
      </c>
      <c r="T69" s="368">
        <f>IF('Final Calculation Sheet'!$U$23="","",'Final Calculation Sheet'!$U$23)</f>
        <v/>
      </c>
      <c r="U69" s="370">
        <f>IF('Final Calculation Sheet'!$V$23="","",'Final Calculation Sheet'!$V$23)</f>
        <v/>
      </c>
      <c r="V69" s="368">
        <f>IF('Final Calculation Sheet'!$W$23="","",'Final Calculation Sheet'!$W$23)</f>
        <v/>
      </c>
      <c r="W69" s="368">
        <f>IF('Final Calculation Sheet'!$X$23="","",'Final Calculation Sheet'!$X$23)</f>
        <v/>
      </c>
      <c r="X69" s="370">
        <f>IF('Final Calculation Sheet'!$Y$23="","",'Final Calculation Sheet'!$Y$23)</f>
        <v/>
      </c>
      <c r="Y69" s="368">
        <f>IF('Final Calculation Sheet'!$Z$23="","",'Final Calculation Sheet'!$Z$23)</f>
        <v/>
      </c>
      <c r="Z69" s="368">
        <f>IF('Final Calculation Sheet'!$AA$23="","",'Final Calculation Sheet'!$AA$23)</f>
        <v/>
      </c>
      <c r="AA69" s="370">
        <f>IF('Final Calculation Sheet'!$AB$23="","",'Final Calculation Sheet'!$AB$23)</f>
        <v/>
      </c>
      <c r="AB69" s="368">
        <f>IF('Final Calculation Sheet'!$AC$23="","",'Final Calculation Sheet'!$AC$23)</f>
        <v/>
      </c>
      <c r="AC69" s="368">
        <f>IF('Final Calculation Sheet'!$AD$23="","",'Final Calculation Sheet'!$AD$23)</f>
        <v/>
      </c>
      <c r="AD69" s="370">
        <f>IF('Final Calculation Sheet'!$AD$23="","",IF('Final Calculation Sheet'!$AD$23&lt;=0,"SETTLED","OUTSTANDING"))</f>
        <v/>
      </c>
      <c r="AE69" s="370">
        <f>IF('Final Calculation Sheet'!$AE$23="","",'Final Calculation Sheet'!$AE$23)</f>
        <v/>
      </c>
      <c r="AF69" s="368">
        <f>IF('Final Calculation Sheet'!$AF$23="","",'Final Calculation Sheet'!$AF$23)</f>
        <v/>
      </c>
      <c r="AG69" s="370">
        <f>IF('Final Calculation Sheet'!$AG$23="","",'Final Calculation Sheet'!$AG$23)</f>
        <v/>
      </c>
    </row>
    <row r="70" outlineLevel="1" ht="15" customHeight="1">
      <c r="A70" s="290">
        <f>IF('Final Calculation Sheet'!$F$29="","",'Final Calculation Sheet'!$F$29)</f>
        <v/>
      </c>
      <c r="B70" s="289">
        <f>IF('Final Calculation Sheet'!$B$29="","",'Final Calculation Sheet'!$B$29)</f>
        <v/>
      </c>
      <c r="C70" s="290">
        <f>IF('Final Calculation Sheet'!$D$29="","",'Final Calculation Sheet'!$D$29)</f>
        <v/>
      </c>
      <c r="D70" s="291">
        <f>IF('Final Calculation Sheet'!$A$29="","",'Final Calculation Sheet'!$A$29)</f>
        <v/>
      </c>
      <c r="E70" s="292">
        <f>IF('Final Calculation Sheet'!$E$29="","",'Final Calculation Sheet'!$E$29)</f>
        <v/>
      </c>
      <c r="F70" s="290">
        <f>IF('Final Calculation Sheet'!$C$29="","",'Final Calculation Sheet'!$C$29)</f>
        <v/>
      </c>
      <c r="G70" s="290">
        <f>IF('Final Calculation Sheet'!$H$29="","",'Final Calculation Sheet'!$H$29)</f>
        <v/>
      </c>
      <c r="H70" s="290">
        <f>IF('Final Calculation Sheet'!$I$29="","",'Final Calculation Sheet'!$I$29)</f>
        <v/>
      </c>
      <c r="I70" s="290">
        <f>IF('Final Calculation Sheet'!$J$29="","",'Final Calculation Sheet'!$J$29)</f>
        <v/>
      </c>
      <c r="J70" s="290">
        <f>IF('Final Calculation Sheet'!$K$29="","",'Final Calculation Sheet'!$K$29)</f>
        <v/>
      </c>
      <c r="K70" s="293">
        <f>IF('Final Calculation Sheet'!$L$29="","",'Final Calculation Sheet'!$L$29)</f>
        <v/>
      </c>
      <c r="L70" s="293">
        <f>IF('Final Calculation Sheet'!$M$29="","",'Final Calculation Sheet'!$M$29)</f>
        <v/>
      </c>
      <c r="M70" s="293">
        <f>IF('Final Calculation Sheet'!$N$29="","",'Final Calculation Sheet'!$N$29)</f>
        <v/>
      </c>
      <c r="N70" s="293">
        <f>IF('Final Calculation Sheet'!$O$29="","",'Final Calculation Sheet'!$O$29)</f>
        <v/>
      </c>
      <c r="O70" s="290">
        <f>IF('Final Calculation Sheet'!$P$29="","",'Final Calculation Sheet'!$P$29)</f>
        <v/>
      </c>
      <c r="P70" s="294">
        <f>IF('Final Calculation Sheet'!$Q$29="","",'Final Calculation Sheet'!$Q$29)</f>
        <v/>
      </c>
      <c r="Q70" s="290">
        <f>IF('Final Calculation Sheet'!$R$29="","",'Final Calculation Sheet'!$R$29)</f>
        <v/>
      </c>
      <c r="R70" s="290">
        <f>IF('Final Calculation Sheet'!$S$29="","",'Final Calculation Sheet'!$S$29)</f>
        <v/>
      </c>
      <c r="S70" s="290">
        <f>IF('Final Calculation Sheet'!$T$29="","",'Final Calculation Sheet'!$T$29)</f>
        <v/>
      </c>
      <c r="T70" s="290">
        <f>IF('Final Calculation Sheet'!$U$29="","",'Final Calculation Sheet'!$U$29)</f>
        <v/>
      </c>
      <c r="U70" s="292">
        <f>IF('Final Calculation Sheet'!$V$29="","",'Final Calculation Sheet'!$V$29)</f>
        <v/>
      </c>
      <c r="V70" s="290">
        <f>IF('Final Calculation Sheet'!$W$29="","",'Final Calculation Sheet'!$W$29)</f>
        <v/>
      </c>
      <c r="W70" s="290">
        <f>IF('Final Calculation Sheet'!$X$29="","",'Final Calculation Sheet'!$X$29)</f>
        <v/>
      </c>
      <c r="X70" s="292">
        <f>IF('Final Calculation Sheet'!$Y$29="","",'Final Calculation Sheet'!$Y$29)</f>
        <v/>
      </c>
      <c r="Y70" s="290">
        <f>IF('Final Calculation Sheet'!$Z$29="","",'Final Calculation Sheet'!$Z$29)</f>
        <v/>
      </c>
      <c r="Z70" s="290">
        <f>IF('Final Calculation Sheet'!$AA$29="","",'Final Calculation Sheet'!$AA$29)</f>
        <v/>
      </c>
      <c r="AA70" s="292">
        <f>IF('Final Calculation Sheet'!$AB$29="","",'Final Calculation Sheet'!$AB$29)</f>
        <v/>
      </c>
      <c r="AB70" s="290">
        <f>IF('Final Calculation Sheet'!$AC$29="","",'Final Calculation Sheet'!$AC$29)</f>
        <v/>
      </c>
      <c r="AC70" s="290">
        <f>IF('Final Calculation Sheet'!$AD$29="","",'Final Calculation Sheet'!$AD$29)</f>
        <v/>
      </c>
      <c r="AD70" s="292">
        <f>IF('Final Calculation Sheet'!$AD$29="","",IF('Final Calculation Sheet'!$AD$29&lt;=0,"SETTLED","OUTSTANDING"))</f>
        <v/>
      </c>
      <c r="AE70" s="292">
        <f>IF('Final Calculation Sheet'!$AE$29="","",'Final Calculation Sheet'!$AE$29)</f>
        <v/>
      </c>
      <c r="AF70" s="290">
        <f>IF('Final Calculation Sheet'!$AF$29="","",'Final Calculation Sheet'!$AF$29)</f>
        <v/>
      </c>
      <c r="AG70" s="292">
        <f>IF('Final Calculation Sheet'!$AG$29="","",'Final Calculation Sheet'!$AG$29)</f>
        <v/>
      </c>
    </row>
    <row r="71" outlineLevel="1" ht="15" customHeight="1">
      <c r="A71" s="368">
        <f>IF('Final Calculation Sheet'!$F$34="","",'Final Calculation Sheet'!$F$34)</f>
        <v/>
      </c>
      <c r="B71" s="367">
        <f>IF('Final Calculation Sheet'!$B$34="","",'Final Calculation Sheet'!$B$34)</f>
        <v/>
      </c>
      <c r="C71" s="368">
        <f>IF('Final Calculation Sheet'!$D$34="","",'Final Calculation Sheet'!$D$34)</f>
        <v/>
      </c>
      <c r="D71" s="369">
        <f>IF('Final Calculation Sheet'!$A$34="","",'Final Calculation Sheet'!$A$34)</f>
        <v/>
      </c>
      <c r="E71" s="370">
        <f>IF('Final Calculation Sheet'!$E$34="","",'Final Calculation Sheet'!$E$34)</f>
        <v/>
      </c>
      <c r="F71" s="368">
        <f>IF('Final Calculation Sheet'!$C$34="","",'Final Calculation Sheet'!$C$34)</f>
        <v/>
      </c>
      <c r="G71" s="368">
        <f>IF('Final Calculation Sheet'!$H$34="","",'Final Calculation Sheet'!$H$34)</f>
        <v/>
      </c>
      <c r="H71" s="368">
        <f>IF('Final Calculation Sheet'!$I$34="","",'Final Calculation Sheet'!$I$34)</f>
        <v/>
      </c>
      <c r="I71" s="368">
        <f>IF('Final Calculation Sheet'!$J$34="","",'Final Calculation Sheet'!$J$34)</f>
        <v/>
      </c>
      <c r="J71" s="368">
        <f>IF('Final Calculation Sheet'!$K$34="","",'Final Calculation Sheet'!$K$34)</f>
        <v/>
      </c>
      <c r="K71" s="371">
        <f>IF('Final Calculation Sheet'!$L$34="","",'Final Calculation Sheet'!$L$34)</f>
        <v/>
      </c>
      <c r="L71" s="371">
        <f>IF('Final Calculation Sheet'!$M$34="","",'Final Calculation Sheet'!$M$34)</f>
        <v/>
      </c>
      <c r="M71" s="371">
        <f>IF('Final Calculation Sheet'!$N$34="","",'Final Calculation Sheet'!$N$34)</f>
        <v/>
      </c>
      <c r="N71" s="371">
        <f>IF('Final Calculation Sheet'!$O$34="","",'Final Calculation Sheet'!$O$34)</f>
        <v/>
      </c>
      <c r="O71" s="368">
        <f>IF('Final Calculation Sheet'!$P$34="","",'Final Calculation Sheet'!$P$34)</f>
        <v/>
      </c>
      <c r="P71" s="372">
        <f>IF('Final Calculation Sheet'!$Q$34="","",'Final Calculation Sheet'!$Q$34)</f>
        <v/>
      </c>
      <c r="Q71" s="368">
        <f>IF('Final Calculation Sheet'!$R$34="","",'Final Calculation Sheet'!$R$34)</f>
        <v/>
      </c>
      <c r="R71" s="368">
        <f>IF('Final Calculation Sheet'!$S$34="","",'Final Calculation Sheet'!$S$34)</f>
        <v/>
      </c>
      <c r="S71" s="368">
        <f>IF('Final Calculation Sheet'!$T$34="","",'Final Calculation Sheet'!$T$34)</f>
        <v/>
      </c>
      <c r="T71" s="368">
        <f>IF('Final Calculation Sheet'!$U$34="","",'Final Calculation Sheet'!$U$34)</f>
        <v/>
      </c>
      <c r="U71" s="370">
        <f>IF('Final Calculation Sheet'!$V$34="","",'Final Calculation Sheet'!$V$34)</f>
        <v/>
      </c>
      <c r="V71" s="368">
        <f>IF('Final Calculation Sheet'!$W$34="","",'Final Calculation Sheet'!$W$34)</f>
        <v/>
      </c>
      <c r="W71" s="368">
        <f>IF('Final Calculation Sheet'!$X$34="","",'Final Calculation Sheet'!$X$34)</f>
        <v/>
      </c>
      <c r="X71" s="370">
        <f>IF('Final Calculation Sheet'!$Y$34="","",'Final Calculation Sheet'!$Y$34)</f>
        <v/>
      </c>
      <c r="Y71" s="368">
        <f>IF('Final Calculation Sheet'!$Z$34="","",'Final Calculation Sheet'!$Z$34)</f>
        <v/>
      </c>
      <c r="Z71" s="368">
        <f>IF('Final Calculation Sheet'!$AA$34="","",'Final Calculation Sheet'!$AA$34)</f>
        <v/>
      </c>
      <c r="AA71" s="370">
        <f>IF('Final Calculation Sheet'!$AB$34="","",'Final Calculation Sheet'!$AB$34)</f>
        <v/>
      </c>
      <c r="AB71" s="368">
        <f>IF('Final Calculation Sheet'!$AC$34="","",'Final Calculation Sheet'!$AC$34)</f>
        <v/>
      </c>
      <c r="AC71" s="368">
        <f>IF('Final Calculation Sheet'!$AD$34="","",'Final Calculation Sheet'!$AD$34)</f>
        <v/>
      </c>
      <c r="AD71" s="370">
        <f>IF('Final Calculation Sheet'!$AD$34="","",IF('Final Calculation Sheet'!$AD$34&lt;=0,"SETTLED","OUTSTANDING"))</f>
        <v/>
      </c>
      <c r="AE71" s="370">
        <f>IF('Final Calculation Sheet'!$AE$34="","",'Final Calculation Sheet'!$AE$34)</f>
        <v/>
      </c>
      <c r="AF71" s="368">
        <f>IF('Final Calculation Sheet'!$AF$34="","",'Final Calculation Sheet'!$AF$34)</f>
        <v/>
      </c>
      <c r="AG71" s="370">
        <f>IF('Final Calculation Sheet'!$AG$34="","",'Final Calculation Sheet'!$AG$34)</f>
        <v/>
      </c>
    </row>
    <row r="72" outlineLevel="1" ht="15" customHeight="1">
      <c r="A72" s="290">
        <f>IF('Final Calculation Sheet'!$F$36="","",'Final Calculation Sheet'!$F$36)</f>
        <v/>
      </c>
      <c r="B72" s="289">
        <f>IF('Final Calculation Sheet'!$B$36="","",'Final Calculation Sheet'!$B$36)</f>
        <v/>
      </c>
      <c r="C72" s="290">
        <f>IF('Final Calculation Sheet'!$D$36="","",'Final Calculation Sheet'!$D$36)</f>
        <v/>
      </c>
      <c r="D72" s="291">
        <f>IF('Final Calculation Sheet'!$A$36="","",'Final Calculation Sheet'!$A$36)</f>
        <v/>
      </c>
      <c r="E72" s="292">
        <f>IF('Final Calculation Sheet'!$E$36="","",'Final Calculation Sheet'!$E$36)</f>
        <v/>
      </c>
      <c r="F72" s="290">
        <f>IF('Final Calculation Sheet'!$C$36="","",'Final Calculation Sheet'!$C$36)</f>
        <v/>
      </c>
      <c r="G72" s="290">
        <f>IF('Final Calculation Sheet'!$H$36="","",'Final Calculation Sheet'!$H$36)</f>
        <v/>
      </c>
      <c r="H72" s="290">
        <f>IF('Final Calculation Sheet'!$I$36="","",'Final Calculation Sheet'!$I$36)</f>
        <v/>
      </c>
      <c r="I72" s="290">
        <f>IF('Final Calculation Sheet'!$J$36="","",'Final Calculation Sheet'!$J$36)</f>
        <v/>
      </c>
      <c r="J72" s="290">
        <f>IF('Final Calculation Sheet'!$K$36="","",'Final Calculation Sheet'!$K$36)</f>
        <v/>
      </c>
      <c r="K72" s="293">
        <f>IF('Final Calculation Sheet'!$L$36="","",'Final Calculation Sheet'!$L$36)</f>
        <v/>
      </c>
      <c r="L72" s="293">
        <f>IF('Final Calculation Sheet'!$M$36="","",'Final Calculation Sheet'!$M$36)</f>
        <v/>
      </c>
      <c r="M72" s="293">
        <f>IF('Final Calculation Sheet'!$N$36="","",'Final Calculation Sheet'!$N$36)</f>
        <v/>
      </c>
      <c r="N72" s="293">
        <f>IF('Final Calculation Sheet'!$O$36="","",'Final Calculation Sheet'!$O$36)</f>
        <v/>
      </c>
      <c r="O72" s="290">
        <f>IF('Final Calculation Sheet'!$P$36="","",'Final Calculation Sheet'!$P$36)</f>
        <v/>
      </c>
      <c r="P72" s="294">
        <f>IF('Final Calculation Sheet'!$Q$36="","",'Final Calculation Sheet'!$Q$36)</f>
        <v/>
      </c>
      <c r="Q72" s="290">
        <f>IF('Final Calculation Sheet'!$R$36="","",'Final Calculation Sheet'!$R$36)</f>
        <v/>
      </c>
      <c r="R72" s="290">
        <f>IF('Final Calculation Sheet'!$S$36="","",'Final Calculation Sheet'!$S$36)</f>
        <v/>
      </c>
      <c r="S72" s="290">
        <f>IF('Final Calculation Sheet'!$T$36="","",'Final Calculation Sheet'!$T$36)</f>
        <v/>
      </c>
      <c r="T72" s="290">
        <f>IF('Final Calculation Sheet'!$U$36="","",'Final Calculation Sheet'!$U$36)</f>
        <v/>
      </c>
      <c r="U72" s="292">
        <f>IF('Final Calculation Sheet'!$V$36="","",'Final Calculation Sheet'!$V$36)</f>
        <v/>
      </c>
      <c r="V72" s="290">
        <f>IF('Final Calculation Sheet'!$W$36="","",'Final Calculation Sheet'!$W$36)</f>
        <v/>
      </c>
      <c r="W72" s="290">
        <f>IF('Final Calculation Sheet'!$X$36="","",'Final Calculation Sheet'!$X$36)</f>
        <v/>
      </c>
      <c r="X72" s="292">
        <f>IF('Final Calculation Sheet'!$Y$36="","",'Final Calculation Sheet'!$Y$36)</f>
        <v/>
      </c>
      <c r="Y72" s="290">
        <f>IF('Final Calculation Sheet'!$Z$36="","",'Final Calculation Sheet'!$Z$36)</f>
        <v/>
      </c>
      <c r="Z72" s="290">
        <f>IF('Final Calculation Sheet'!$AA$36="","",'Final Calculation Sheet'!$AA$36)</f>
        <v/>
      </c>
      <c r="AA72" s="292">
        <f>IF('Final Calculation Sheet'!$AB$36="","",'Final Calculation Sheet'!$AB$36)</f>
        <v/>
      </c>
      <c r="AB72" s="290">
        <f>IF('Final Calculation Sheet'!$AC$36="","",'Final Calculation Sheet'!$AC$36)</f>
        <v/>
      </c>
      <c r="AC72" s="290">
        <f>IF('Final Calculation Sheet'!$AD$36="","",'Final Calculation Sheet'!$AD$36)</f>
        <v/>
      </c>
      <c r="AD72" s="292">
        <f>IF('Final Calculation Sheet'!$AD$36="","",IF('Final Calculation Sheet'!$AD$36&lt;=0,"SETTLED","OUTSTANDING"))</f>
        <v/>
      </c>
      <c r="AE72" s="292">
        <f>IF('Final Calculation Sheet'!$AE$36="","",'Final Calculation Sheet'!$AE$36)</f>
        <v/>
      </c>
      <c r="AF72" s="290">
        <f>IF('Final Calculation Sheet'!$AF$36="","",'Final Calculation Sheet'!$AF$36)</f>
        <v/>
      </c>
      <c r="AG72" s="292">
        <f>IF('Final Calculation Sheet'!$AG$36="","",'Final Calculation Sheet'!$AG$36)</f>
        <v/>
      </c>
    </row>
    <row r="73" ht="20" customHeight="1">
      <c r="A73" s="283" t="inlineStr">
        <is>
          <t>∑  STERLING ENTERPRISES — TOTALS</t>
        </is>
      </c>
      <c r="B73" s="394" t="inlineStr">
        <is>
          <t>–</t>
        </is>
      </c>
      <c r="C73" s="394" t="inlineStr">
        <is>
          <t>–</t>
        </is>
      </c>
      <c r="D73" s="286">
        <f>SUM(D66:D72)</f>
        <v/>
      </c>
      <c r="E73" s="394" t="inlineStr">
        <is>
          <t>–</t>
        </is>
      </c>
      <c r="F73" s="394" t="inlineStr">
        <is>
          <t>–</t>
        </is>
      </c>
      <c r="G73" s="287">
        <f>SUM(G66:G72)</f>
        <v/>
      </c>
      <c r="H73" s="287">
        <f>SUM(H66:H72)</f>
        <v/>
      </c>
      <c r="I73" s="287">
        <f>SUM(I66:I72)</f>
        <v/>
      </c>
      <c r="J73" s="287">
        <f>SUM(J66:J72)</f>
        <v/>
      </c>
      <c r="K73" s="288">
        <f>SUM(K66:K72)</f>
        <v/>
      </c>
      <c r="L73" s="288">
        <f>SUM(L66:L72)</f>
        <v/>
      </c>
      <c r="M73" s="288">
        <f>SUM(M66:M72)</f>
        <v/>
      </c>
      <c r="N73" s="288">
        <f>SUM(N66:N72)</f>
        <v/>
      </c>
      <c r="O73" s="287">
        <f>SUM(O66:O72)</f>
        <v/>
      </c>
      <c r="P73" s="394" t="inlineStr">
        <is>
          <t>–</t>
        </is>
      </c>
      <c r="Q73" s="287">
        <f>SUM(Q66:Q72)</f>
        <v/>
      </c>
      <c r="R73" s="287">
        <f>SUM(R66:R72)</f>
        <v/>
      </c>
      <c r="S73" s="287">
        <f>SUM(S66:S72)</f>
        <v/>
      </c>
      <c r="T73" s="287">
        <f>SUM(T66:T72)</f>
        <v/>
      </c>
      <c r="U73" s="394" t="inlineStr">
        <is>
          <t>–</t>
        </is>
      </c>
      <c r="V73" s="287">
        <f>SUM(V66:V72)</f>
        <v/>
      </c>
      <c r="W73" s="287">
        <f>SUM(W66:W72)</f>
        <v/>
      </c>
      <c r="X73" s="394" t="inlineStr">
        <is>
          <t>–</t>
        </is>
      </c>
      <c r="Y73" s="287">
        <f>SUM(Y66:Y72)</f>
        <v/>
      </c>
      <c r="Z73" s="287">
        <f>SUM(Z66:Z72)</f>
        <v/>
      </c>
      <c r="AA73" s="394" t="inlineStr">
        <is>
          <t>–</t>
        </is>
      </c>
      <c r="AB73" s="287">
        <f>SUM(AB66:AB72)</f>
        <v/>
      </c>
      <c r="AC73" s="287">
        <f>SUM(AC66:AC72)</f>
        <v/>
      </c>
      <c r="AD73" s="394" t="inlineStr">
        <is>
          <t>–</t>
        </is>
      </c>
      <c r="AE73" s="394" t="inlineStr">
        <is>
          <t>–</t>
        </is>
      </c>
      <c r="AF73" s="394" t="inlineStr">
        <is>
          <t>–</t>
        </is>
      </c>
      <c r="AG73" s="394" t="inlineStr">
        <is>
          <t>–</t>
        </is>
      </c>
    </row>
    <row r="74" ht="7" customHeight="1">
      <c r="A74" s="82" t="n"/>
      <c r="B74" s="82" t="n"/>
      <c r="C74" s="82" t="n"/>
      <c r="D74" s="82" t="n"/>
      <c r="E74" s="82" t="n"/>
      <c r="F74" s="82" t="n"/>
      <c r="G74" s="82" t="n"/>
      <c r="H74" s="82" t="n"/>
      <c r="I74" s="82" t="n"/>
      <c r="J74" s="82" t="n"/>
      <c r="K74" s="82" t="n"/>
      <c r="L74" s="82" t="n"/>
      <c r="M74" s="82" t="n"/>
      <c r="N74" s="82" t="n"/>
      <c r="O74" s="82" t="n"/>
      <c r="P74" s="82" t="n"/>
      <c r="Q74" s="82" t="n"/>
      <c r="R74" s="82" t="n"/>
      <c r="S74" s="82" t="n"/>
      <c r="T74" s="82" t="n"/>
      <c r="U74" s="82" t="n"/>
      <c r="V74" s="82" t="n"/>
      <c r="W74" s="82" t="n"/>
      <c r="X74" s="82" t="n"/>
      <c r="Y74" s="82" t="n"/>
      <c r="Z74" s="82" t="n"/>
      <c r="AA74" s="82" t="n"/>
      <c r="AB74" s="82" t="n"/>
      <c r="AC74" s="82" t="n"/>
      <c r="AD74" s="82" t="n"/>
      <c r="AE74" s="82" t="n"/>
      <c r="AF74" s="82" t="n"/>
      <c r="AG74" s="82" t="n"/>
    </row>
    <row r="75" ht="24" customHeight="1">
      <c r="A75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75" s="64" t="n"/>
      <c r="C75" s="64" t="n"/>
      <c r="D75" s="64" t="n"/>
      <c r="E75" s="64" t="n"/>
      <c r="F75" s="64" t="n"/>
      <c r="G75" s="64" t="n"/>
      <c r="H75" s="64" t="n"/>
      <c r="I75" s="64" t="n"/>
      <c r="J75" s="64" t="n"/>
      <c r="K75" s="64" t="n"/>
      <c r="L75" s="64" t="n"/>
      <c r="M75" s="64" t="n"/>
      <c r="N75" s="64" t="n"/>
      <c r="O75" s="64" t="n"/>
      <c r="P75" s="64" t="n"/>
      <c r="Q75" s="64" t="n"/>
      <c r="R75" s="64" t="n"/>
      <c r="S75" s="64" t="n"/>
      <c r="T75" s="64" t="n"/>
      <c r="U75" s="64" t="n"/>
      <c r="V75" s="64" t="n"/>
      <c r="W75" s="64" t="n"/>
      <c r="X75" s="64" t="n"/>
      <c r="Y75" s="64" t="n"/>
      <c r="Z75" s="64" t="n"/>
      <c r="AA75" s="64" t="n"/>
      <c r="AB75" s="64" t="n"/>
      <c r="AC75" s="64" t="n"/>
      <c r="AD75" s="64" t="n"/>
      <c r="AE75" s="64" t="n"/>
      <c r="AF75" s="64" t="n"/>
      <c r="AG75" s="64" t="n"/>
    </row>
    <row r="76" outlineLevel="1" ht="15" customHeight="1">
      <c r="A76" s="302">
        <f>IF('Final Calculation Sheet'!$F$25="","",'Final Calculation Sheet'!$F$25)</f>
        <v/>
      </c>
      <c r="B76" s="301">
        <f>IF('Final Calculation Sheet'!$B$25="","",'Final Calculation Sheet'!$B$25)</f>
        <v/>
      </c>
      <c r="C76" s="302">
        <f>IF('Final Calculation Sheet'!$D$25="","",'Final Calculation Sheet'!$D$25)</f>
        <v/>
      </c>
      <c r="D76" s="303">
        <f>IF('Final Calculation Sheet'!$A$25="","",'Final Calculation Sheet'!$A$25)</f>
        <v/>
      </c>
      <c r="E76" s="304">
        <f>IF('Final Calculation Sheet'!$E$25="","",'Final Calculation Sheet'!$E$25)</f>
        <v/>
      </c>
      <c r="F76" s="302">
        <f>IF('Final Calculation Sheet'!$C$25="","",'Final Calculation Sheet'!$C$25)</f>
        <v/>
      </c>
      <c r="G76" s="302">
        <f>IF('Final Calculation Sheet'!$H$25="","",'Final Calculation Sheet'!$H$25)</f>
        <v/>
      </c>
      <c r="H76" s="302">
        <f>IF('Final Calculation Sheet'!$I$25="","",'Final Calculation Sheet'!$I$25)</f>
        <v/>
      </c>
      <c r="I76" s="302">
        <f>IF('Final Calculation Sheet'!$J$25="","",'Final Calculation Sheet'!$J$25)</f>
        <v/>
      </c>
      <c r="J76" s="302">
        <f>IF('Final Calculation Sheet'!$K$25="","",'Final Calculation Sheet'!$K$25)</f>
        <v/>
      </c>
      <c r="K76" s="305">
        <f>IF('Final Calculation Sheet'!$L$25="","",'Final Calculation Sheet'!$L$25)</f>
        <v/>
      </c>
      <c r="L76" s="305">
        <f>IF('Final Calculation Sheet'!$M$25="","",'Final Calculation Sheet'!$M$25)</f>
        <v/>
      </c>
      <c r="M76" s="305">
        <f>IF('Final Calculation Sheet'!$N$25="","",'Final Calculation Sheet'!$N$25)</f>
        <v/>
      </c>
      <c r="N76" s="305">
        <f>IF('Final Calculation Sheet'!$O$25="","",'Final Calculation Sheet'!$O$25)</f>
        <v/>
      </c>
      <c r="O76" s="302">
        <f>IF('Final Calculation Sheet'!$P$25="","",'Final Calculation Sheet'!$P$25)</f>
        <v/>
      </c>
      <c r="P76" s="306">
        <f>IF('Final Calculation Sheet'!$Q$25="","",'Final Calculation Sheet'!$Q$25)</f>
        <v/>
      </c>
      <c r="Q76" s="302">
        <f>IF('Final Calculation Sheet'!$R$25="","",'Final Calculation Sheet'!$R$25)</f>
        <v/>
      </c>
      <c r="R76" s="302">
        <f>IF('Final Calculation Sheet'!$S$25="","",'Final Calculation Sheet'!$S$25)</f>
        <v/>
      </c>
      <c r="S76" s="302">
        <f>IF('Final Calculation Sheet'!$T$25="","",'Final Calculation Sheet'!$T$25)</f>
        <v/>
      </c>
      <c r="T76" s="302">
        <f>IF('Final Calculation Sheet'!$U$25="","",'Final Calculation Sheet'!$U$25)</f>
        <v/>
      </c>
      <c r="U76" s="304">
        <f>IF('Final Calculation Sheet'!$V$25="","",'Final Calculation Sheet'!$V$25)</f>
        <v/>
      </c>
      <c r="V76" s="302">
        <f>IF('Final Calculation Sheet'!$W$25="","",'Final Calculation Sheet'!$W$25)</f>
        <v/>
      </c>
      <c r="W76" s="302">
        <f>IF('Final Calculation Sheet'!$X$25="","",'Final Calculation Sheet'!$X$25)</f>
        <v/>
      </c>
      <c r="X76" s="304">
        <f>IF('Final Calculation Sheet'!$Y$25="","",'Final Calculation Sheet'!$Y$25)</f>
        <v/>
      </c>
      <c r="Y76" s="302">
        <f>IF('Final Calculation Sheet'!$Z$25="","",'Final Calculation Sheet'!$Z$25)</f>
        <v/>
      </c>
      <c r="Z76" s="302">
        <f>IF('Final Calculation Sheet'!$AA$25="","",'Final Calculation Sheet'!$AA$25)</f>
        <v/>
      </c>
      <c r="AA76" s="304">
        <f>IF('Final Calculation Sheet'!$AB$25="","",'Final Calculation Sheet'!$AB$25)</f>
        <v/>
      </c>
      <c r="AB76" s="302">
        <f>IF('Final Calculation Sheet'!$AC$25="","",'Final Calculation Sheet'!$AC$25)</f>
        <v/>
      </c>
      <c r="AC76" s="302">
        <f>IF('Final Calculation Sheet'!$AD$25="","",'Final Calculation Sheet'!$AD$25)</f>
        <v/>
      </c>
      <c r="AD76" s="304">
        <f>IF('Final Calculation Sheet'!$AD$25="","",IF('Final Calculation Sheet'!$AD$25&lt;=0,"SETTLED","OUTSTANDING"))</f>
        <v/>
      </c>
      <c r="AE76" s="304">
        <f>IF('Final Calculation Sheet'!$AE$25="","",'Final Calculation Sheet'!$AE$25)</f>
        <v/>
      </c>
      <c r="AF76" s="302">
        <f>IF('Final Calculation Sheet'!$AF$25="","",'Final Calculation Sheet'!$AF$25)</f>
        <v/>
      </c>
      <c r="AG76" s="304">
        <f>IF('Final Calculation Sheet'!$AG$25="","",'Final Calculation Sheet'!$AG$25)</f>
        <v/>
      </c>
    </row>
    <row r="77" outlineLevel="1" ht="15" customHeight="1">
      <c r="A77" s="374">
        <f>IF('Final Calculation Sheet'!$F$28="","",'Final Calculation Sheet'!$F$28)</f>
        <v/>
      </c>
      <c r="B77" s="373">
        <f>IF('Final Calculation Sheet'!$B$28="","",'Final Calculation Sheet'!$B$28)</f>
        <v/>
      </c>
      <c r="C77" s="374">
        <f>IF('Final Calculation Sheet'!$D$28="","",'Final Calculation Sheet'!$D$28)</f>
        <v/>
      </c>
      <c r="D77" s="375">
        <f>IF('Final Calculation Sheet'!$A$28="","",'Final Calculation Sheet'!$A$28)</f>
        <v/>
      </c>
      <c r="E77" s="376">
        <f>IF('Final Calculation Sheet'!$E$28="","",'Final Calculation Sheet'!$E$28)</f>
        <v/>
      </c>
      <c r="F77" s="374">
        <f>IF('Final Calculation Sheet'!$C$28="","",'Final Calculation Sheet'!$C$28)</f>
        <v/>
      </c>
      <c r="G77" s="374">
        <f>IF('Final Calculation Sheet'!$H$28="","",'Final Calculation Sheet'!$H$28)</f>
        <v/>
      </c>
      <c r="H77" s="374">
        <f>IF('Final Calculation Sheet'!$I$28="","",'Final Calculation Sheet'!$I$28)</f>
        <v/>
      </c>
      <c r="I77" s="374">
        <f>IF('Final Calculation Sheet'!$J$28="","",'Final Calculation Sheet'!$J$28)</f>
        <v/>
      </c>
      <c r="J77" s="374">
        <f>IF('Final Calculation Sheet'!$K$28="","",'Final Calculation Sheet'!$K$28)</f>
        <v/>
      </c>
      <c r="K77" s="377">
        <f>IF('Final Calculation Sheet'!$L$28="","",'Final Calculation Sheet'!$L$28)</f>
        <v/>
      </c>
      <c r="L77" s="377">
        <f>IF('Final Calculation Sheet'!$M$28="","",'Final Calculation Sheet'!$M$28)</f>
        <v/>
      </c>
      <c r="M77" s="377">
        <f>IF('Final Calculation Sheet'!$N$28="","",'Final Calculation Sheet'!$N$28)</f>
        <v/>
      </c>
      <c r="N77" s="377">
        <f>IF('Final Calculation Sheet'!$O$28="","",'Final Calculation Sheet'!$O$28)</f>
        <v/>
      </c>
      <c r="O77" s="374">
        <f>IF('Final Calculation Sheet'!$P$28="","",'Final Calculation Sheet'!$P$28)</f>
        <v/>
      </c>
      <c r="P77" s="378">
        <f>IF('Final Calculation Sheet'!$Q$28="","",'Final Calculation Sheet'!$Q$28)</f>
        <v/>
      </c>
      <c r="Q77" s="374">
        <f>IF('Final Calculation Sheet'!$R$28="","",'Final Calculation Sheet'!$R$28)</f>
        <v/>
      </c>
      <c r="R77" s="374">
        <f>IF('Final Calculation Sheet'!$S$28="","",'Final Calculation Sheet'!$S$28)</f>
        <v/>
      </c>
      <c r="S77" s="374">
        <f>IF('Final Calculation Sheet'!$T$28="","",'Final Calculation Sheet'!$T$28)</f>
        <v/>
      </c>
      <c r="T77" s="374">
        <f>IF('Final Calculation Sheet'!$U$28="","",'Final Calculation Sheet'!$U$28)</f>
        <v/>
      </c>
      <c r="U77" s="376">
        <f>IF('Final Calculation Sheet'!$V$28="","",'Final Calculation Sheet'!$V$28)</f>
        <v/>
      </c>
      <c r="V77" s="374">
        <f>IF('Final Calculation Sheet'!$W$28="","",'Final Calculation Sheet'!$W$28)</f>
        <v/>
      </c>
      <c r="W77" s="374">
        <f>IF('Final Calculation Sheet'!$X$28="","",'Final Calculation Sheet'!$X$28)</f>
        <v/>
      </c>
      <c r="X77" s="376">
        <f>IF('Final Calculation Sheet'!$Y$28="","",'Final Calculation Sheet'!$Y$28)</f>
        <v/>
      </c>
      <c r="Y77" s="374">
        <f>IF('Final Calculation Sheet'!$Z$28="","",'Final Calculation Sheet'!$Z$28)</f>
        <v/>
      </c>
      <c r="Z77" s="374">
        <f>IF('Final Calculation Sheet'!$AA$28="","",'Final Calculation Sheet'!$AA$28)</f>
        <v/>
      </c>
      <c r="AA77" s="376">
        <f>IF('Final Calculation Sheet'!$AB$28="","",'Final Calculation Sheet'!$AB$28)</f>
        <v/>
      </c>
      <c r="AB77" s="374">
        <f>IF('Final Calculation Sheet'!$AC$28="","",'Final Calculation Sheet'!$AC$28)</f>
        <v/>
      </c>
      <c r="AC77" s="374">
        <f>IF('Final Calculation Sheet'!$AD$28="","",'Final Calculation Sheet'!$AD$28)</f>
        <v/>
      </c>
      <c r="AD77" s="376">
        <f>IF('Final Calculation Sheet'!$AD$28="","",IF('Final Calculation Sheet'!$AD$28&lt;=0,"SETTLED","OUTSTANDING"))</f>
        <v/>
      </c>
      <c r="AE77" s="376">
        <f>IF('Final Calculation Sheet'!$AE$28="","",'Final Calculation Sheet'!$AE$28)</f>
        <v/>
      </c>
      <c r="AF77" s="374">
        <f>IF('Final Calculation Sheet'!$AF$28="","",'Final Calculation Sheet'!$AF$28)</f>
        <v/>
      </c>
      <c r="AG77" s="376">
        <f>IF('Final Calculation Sheet'!$AG$28="","",'Final Calculation Sheet'!$AG$28)</f>
        <v/>
      </c>
    </row>
    <row r="78" outlineLevel="1" ht="15" customHeight="1">
      <c r="A78" s="302">
        <f>IF('Final Calculation Sheet'!$F$35="","",'Final Calculation Sheet'!$F$35)</f>
        <v/>
      </c>
      <c r="B78" s="301">
        <f>IF('Final Calculation Sheet'!$B$35="","",'Final Calculation Sheet'!$B$35)</f>
        <v/>
      </c>
      <c r="C78" s="302">
        <f>IF('Final Calculation Sheet'!$D$35="","",'Final Calculation Sheet'!$D$35)</f>
        <v/>
      </c>
      <c r="D78" s="303">
        <f>IF('Final Calculation Sheet'!$A$35="","",'Final Calculation Sheet'!$A$35)</f>
        <v/>
      </c>
      <c r="E78" s="304">
        <f>IF('Final Calculation Sheet'!$E$35="","",'Final Calculation Sheet'!$E$35)</f>
        <v/>
      </c>
      <c r="F78" s="302">
        <f>IF('Final Calculation Sheet'!$C$35="","",'Final Calculation Sheet'!$C$35)</f>
        <v/>
      </c>
      <c r="G78" s="302">
        <f>IF('Final Calculation Sheet'!$H$35="","",'Final Calculation Sheet'!$H$35)</f>
        <v/>
      </c>
      <c r="H78" s="302">
        <f>IF('Final Calculation Sheet'!$I$35="","",'Final Calculation Sheet'!$I$35)</f>
        <v/>
      </c>
      <c r="I78" s="302">
        <f>IF('Final Calculation Sheet'!$J$35="","",'Final Calculation Sheet'!$J$35)</f>
        <v/>
      </c>
      <c r="J78" s="302">
        <f>IF('Final Calculation Sheet'!$K$35="","",'Final Calculation Sheet'!$K$35)</f>
        <v/>
      </c>
      <c r="K78" s="305">
        <f>IF('Final Calculation Sheet'!$L$35="","",'Final Calculation Sheet'!$L$35)</f>
        <v/>
      </c>
      <c r="L78" s="305">
        <f>IF('Final Calculation Sheet'!$M$35="","",'Final Calculation Sheet'!$M$35)</f>
        <v/>
      </c>
      <c r="M78" s="305">
        <f>IF('Final Calculation Sheet'!$N$35="","",'Final Calculation Sheet'!$N$35)</f>
        <v/>
      </c>
      <c r="N78" s="305">
        <f>IF('Final Calculation Sheet'!$O$35="","",'Final Calculation Sheet'!$O$35)</f>
        <v/>
      </c>
      <c r="O78" s="302">
        <f>IF('Final Calculation Sheet'!$P$35="","",'Final Calculation Sheet'!$P$35)</f>
        <v/>
      </c>
      <c r="P78" s="306">
        <f>IF('Final Calculation Sheet'!$Q$35="","",'Final Calculation Sheet'!$Q$35)</f>
        <v/>
      </c>
      <c r="Q78" s="302">
        <f>IF('Final Calculation Sheet'!$R$35="","",'Final Calculation Sheet'!$R$35)</f>
        <v/>
      </c>
      <c r="R78" s="302">
        <f>IF('Final Calculation Sheet'!$S$35="","",'Final Calculation Sheet'!$S$35)</f>
        <v/>
      </c>
      <c r="S78" s="302">
        <f>IF('Final Calculation Sheet'!$T$35="","",'Final Calculation Sheet'!$T$35)</f>
        <v/>
      </c>
      <c r="T78" s="302">
        <f>IF('Final Calculation Sheet'!$U$35="","",'Final Calculation Sheet'!$U$35)</f>
        <v/>
      </c>
      <c r="U78" s="304">
        <f>IF('Final Calculation Sheet'!$V$35="","",'Final Calculation Sheet'!$V$35)</f>
        <v/>
      </c>
      <c r="V78" s="302">
        <f>IF('Final Calculation Sheet'!$W$35="","",'Final Calculation Sheet'!$W$35)</f>
        <v/>
      </c>
      <c r="W78" s="302">
        <f>IF('Final Calculation Sheet'!$X$35="","",'Final Calculation Sheet'!$X$35)</f>
        <v/>
      </c>
      <c r="X78" s="304">
        <f>IF('Final Calculation Sheet'!$Y$35="","",'Final Calculation Sheet'!$Y$35)</f>
        <v/>
      </c>
      <c r="Y78" s="302">
        <f>IF('Final Calculation Sheet'!$Z$35="","",'Final Calculation Sheet'!$Z$35)</f>
        <v/>
      </c>
      <c r="Z78" s="302">
        <f>IF('Final Calculation Sheet'!$AA$35="","",'Final Calculation Sheet'!$AA$35)</f>
        <v/>
      </c>
      <c r="AA78" s="304">
        <f>IF('Final Calculation Sheet'!$AB$35="","",'Final Calculation Sheet'!$AB$35)</f>
        <v/>
      </c>
      <c r="AB78" s="302">
        <f>IF('Final Calculation Sheet'!$AC$35="","",'Final Calculation Sheet'!$AC$35)</f>
        <v/>
      </c>
      <c r="AC78" s="302">
        <f>IF('Final Calculation Sheet'!$AD$35="","",'Final Calculation Sheet'!$AD$35)</f>
        <v/>
      </c>
      <c r="AD78" s="304">
        <f>IF('Final Calculation Sheet'!$AD$35="","",IF('Final Calculation Sheet'!$AD$35&lt;=0,"SETTLED","OUTSTANDING"))</f>
        <v/>
      </c>
      <c r="AE78" s="304">
        <f>IF('Final Calculation Sheet'!$AE$35="","",'Final Calculation Sheet'!$AE$35)</f>
        <v/>
      </c>
      <c r="AF78" s="302">
        <f>IF('Final Calculation Sheet'!$AF$35="","",'Final Calculation Sheet'!$AF$35)</f>
        <v/>
      </c>
      <c r="AG78" s="304">
        <f>IF('Final Calculation Sheet'!$AG$35="","",'Final Calculation Sheet'!$AG$35)</f>
        <v/>
      </c>
    </row>
    <row r="79" ht="20" customHeight="1">
      <c r="A79" s="295" t="inlineStr">
        <is>
          <t>∑  WATAN SCRAP TRADERS — TOTALS</t>
        </is>
      </c>
      <c r="B79" s="395" t="inlineStr">
        <is>
          <t>–</t>
        </is>
      </c>
      <c r="C79" s="395" t="inlineStr">
        <is>
          <t>–</t>
        </is>
      </c>
      <c r="D79" s="298">
        <f>SUM(D76:D78)</f>
        <v/>
      </c>
      <c r="E79" s="395" t="inlineStr">
        <is>
          <t>–</t>
        </is>
      </c>
      <c r="F79" s="395" t="inlineStr">
        <is>
          <t>–</t>
        </is>
      </c>
      <c r="G79" s="299">
        <f>SUM(G76:G78)</f>
        <v/>
      </c>
      <c r="H79" s="299">
        <f>SUM(H76:H78)</f>
        <v/>
      </c>
      <c r="I79" s="299">
        <f>SUM(I76:I78)</f>
        <v/>
      </c>
      <c r="J79" s="299">
        <f>SUM(J76:J78)</f>
        <v/>
      </c>
      <c r="K79" s="300">
        <f>SUM(K76:K78)</f>
        <v/>
      </c>
      <c r="L79" s="300">
        <f>SUM(L76:L78)</f>
        <v/>
      </c>
      <c r="M79" s="300">
        <f>SUM(M76:M78)</f>
        <v/>
      </c>
      <c r="N79" s="300">
        <f>SUM(N76:N78)</f>
        <v/>
      </c>
      <c r="O79" s="299">
        <f>SUM(O76:O78)</f>
        <v/>
      </c>
      <c r="P79" s="395" t="inlineStr">
        <is>
          <t>–</t>
        </is>
      </c>
      <c r="Q79" s="299">
        <f>SUM(Q76:Q78)</f>
        <v/>
      </c>
      <c r="R79" s="299">
        <f>SUM(R76:R78)</f>
        <v/>
      </c>
      <c r="S79" s="299">
        <f>SUM(S76:S78)</f>
        <v/>
      </c>
      <c r="T79" s="299">
        <f>SUM(T76:T78)</f>
        <v/>
      </c>
      <c r="U79" s="395" t="inlineStr">
        <is>
          <t>–</t>
        </is>
      </c>
      <c r="V79" s="299">
        <f>SUM(V76:V78)</f>
        <v/>
      </c>
      <c r="W79" s="299">
        <f>SUM(W76:W78)</f>
        <v/>
      </c>
      <c r="X79" s="395" t="inlineStr">
        <is>
          <t>–</t>
        </is>
      </c>
      <c r="Y79" s="299">
        <f>SUM(Y76:Y78)</f>
        <v/>
      </c>
      <c r="Z79" s="299">
        <f>SUM(Z76:Z78)</f>
        <v/>
      </c>
      <c r="AA79" s="395" t="inlineStr">
        <is>
          <t>–</t>
        </is>
      </c>
      <c r="AB79" s="299">
        <f>SUM(AB76:AB78)</f>
        <v/>
      </c>
      <c r="AC79" s="299">
        <f>SUM(AC76:AC78)</f>
        <v/>
      </c>
      <c r="AD79" s="395" t="inlineStr">
        <is>
          <t>–</t>
        </is>
      </c>
      <c r="AE79" s="395" t="inlineStr">
        <is>
          <t>–</t>
        </is>
      </c>
      <c r="AF79" s="395" t="inlineStr">
        <is>
          <t>–</t>
        </is>
      </c>
      <c r="AG79" s="395" t="inlineStr">
        <is>
          <t>–</t>
        </is>
      </c>
    </row>
    <row r="80" ht="7" customHeight="1">
      <c r="A80" s="82" t="n"/>
      <c r="B80" s="82" t="n"/>
      <c r="C80" s="82" t="n"/>
      <c r="D80" s="82" t="n"/>
      <c r="E80" s="82" t="n"/>
      <c r="F80" s="82" t="n"/>
      <c r="G80" s="82" t="n"/>
      <c r="H80" s="82" t="n"/>
      <c r="I80" s="82" t="n"/>
      <c r="J80" s="82" t="n"/>
      <c r="K80" s="82" t="n"/>
      <c r="L80" s="82" t="n"/>
      <c r="M80" s="82" t="n"/>
      <c r="N80" s="82" t="n"/>
      <c r="O80" s="82" t="n"/>
      <c r="P80" s="82" t="n"/>
      <c r="Q80" s="82" t="n"/>
      <c r="R80" s="82" t="n"/>
      <c r="S80" s="82" t="n"/>
      <c r="T80" s="82" t="n"/>
      <c r="U80" s="82" t="n"/>
      <c r="V80" s="82" t="n"/>
      <c r="W80" s="82" t="n"/>
      <c r="X80" s="82" t="n"/>
      <c r="Y80" s="82" t="n"/>
      <c r="Z80" s="82" t="n"/>
      <c r="AA80" s="82" t="n"/>
      <c r="AB80" s="82" t="n"/>
      <c r="AC80" s="82" t="n"/>
      <c r="AD80" s="82" t="n"/>
      <c r="AE80" s="82" t="n"/>
      <c r="AF80" s="82" t="n"/>
      <c r="AG80" s="82" t="n"/>
    </row>
  </sheetData>
  <mergeCells count="22">
    <mergeCell ref="A1:AG1"/>
    <mergeCell ref="A65:AG65"/>
    <mergeCell ref="A3:F3"/>
    <mergeCell ref="G3:R3"/>
    <mergeCell ref="A46:AG46"/>
    <mergeCell ref="A75:AG75"/>
    <mergeCell ref="A18:AG18"/>
    <mergeCell ref="A56:AG56"/>
    <mergeCell ref="A26:AG26"/>
    <mergeCell ref="A2:AG2"/>
    <mergeCell ref="A42:AG42"/>
    <mergeCell ref="A5:AG5"/>
    <mergeCell ref="A14:AG14"/>
    <mergeCell ref="A22:AG22"/>
    <mergeCell ref="AB3:AD3"/>
    <mergeCell ref="V3:X3"/>
    <mergeCell ref="Y3:AA3"/>
    <mergeCell ref="A9:AG9"/>
    <mergeCell ref="S3:U3"/>
    <mergeCell ref="A60:AG60"/>
    <mergeCell ref="AE3:AG3"/>
    <mergeCell ref="A51:AG51"/>
  </mergeCells>
  <conditionalFormatting sqref="AC6:AC80">
    <cfRule type="cellIs" priority="1" operator="greaterThan" dxfId="1">
      <formula>0</formula>
    </cfRule>
  </conditionalFormatting>
  <conditionalFormatting sqref="AD6:AD80">
    <cfRule type="cellIs" priority="2" operator="equal" dxfId="0">
      <formula>"SETTLED"</formula>
    </cfRule>
    <cfRule type="cellIs" priority="3" operator="equal" dxfId="1">
      <formula>"OUTSTANDING"</formula>
    </cfRule>
  </conditionalFormatting>
  <conditionalFormatting sqref="AE6:AE80">
    <cfRule type="expression" priority="4" dxfId="3">
      <formula>AND(ISNUMBER($A6),$AE6="")</formula>
    </cfRule>
  </conditionalFormatting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2E75B6"/>
    <outlinePr summaryBelow="0" summaryRight="0"/>
    <pageSetUpPr fitToPage="1"/>
  </sheetPr>
  <dimension ref="A1:AI5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0" customWidth="1" min="1" max="1"/>
    <col width="8.5" customWidth="1" min="2" max="2"/>
    <col width="50" customWidth="1" min="3" max="3"/>
    <col outlineLevel="1" width="10" customWidth="1" min="4" max="4"/>
    <col outlineLevel="1" width="10" customWidth="1" min="5" max="5"/>
    <col outlineLevel="1" width="6.5" customWidth="1" min="6" max="6"/>
    <col outlineLevel="1" width="13.5" customWidth="1" min="7" max="7"/>
    <col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3.5" customWidth="1" min="16" max="16"/>
    <col outlineLevel="1" width="12" customWidth="1" min="17" max="17"/>
    <col outlineLevel="1" width="13.5" customWidth="1" min="18" max="18"/>
    <col outlineLevel="1" width="13.5" customWidth="1" min="19" max="19"/>
    <col width="13.5" customWidth="1" min="20" max="20"/>
    <col outlineLevel="1" width="13.5" customWidth="1" min="21" max="21"/>
    <col outlineLevel="1" width="12" customWidth="1" min="22" max="22"/>
    <col width="13.5" customWidth="1" min="23" max="23"/>
    <col outlineLevel="1" width="13.5" customWidth="1" min="24" max="24"/>
    <col outlineLevel="1" width="12" customWidth="1" min="25" max="25"/>
    <col width="13.5" customWidth="1" min="26" max="26"/>
    <col outlineLevel="1" width="13.5" customWidth="1" min="27" max="27"/>
    <col outlineLevel="1" width="12" customWidth="1" min="28" max="28"/>
    <col width="13.5" customWidth="1" min="29" max="29"/>
    <col outlineLevel="1" width="13.5" customWidth="1" min="30" max="30"/>
    <col outlineLevel="1" width="14" customWidth="1" min="31" max="31"/>
    <col width="15" customWidth="1" min="32" max="32"/>
    <col outlineLevel="1" width="13" customWidth="1" min="33" max="33"/>
    <col outlineLevel="1" width="12" customWidth="1" min="34" max="34"/>
    <col width="8" customWidth="1" min="35" max="35"/>
  </cols>
  <sheetData>
    <row r="1" ht="30" customHeight="1">
      <c r="A1" s="59" t="inlineStr">
        <is>
          <t>MSTC LIMITED  •  BUYER &amp; LOT LEDGER  (filter + fold)   (lots ↓ rows  |  fields → columns)</t>
        </is>
      </c>
    </row>
    <row r="2" ht="28" customHeight="1">
      <c r="A2" s="61" t="inlineStr">
        <is>
          <t>HOW TO USE  ▶  filter with the ▼ arrows in row 5 (buyer, lot no., bid sheet, unit, payment status …)   •   fold a buyer with the − button in the left margin — its coloured summary row stays on screen   •   fold a column category (FINANCIALS, SECURITY DEPOSIT …) with the − above its first column; that key column stays on screen   •   the KPI band in row 3 and the GRAND TOTAL row always follow the filter</t>
        </is>
      </c>
    </row>
    <row r="3" ht="22" customHeight="1">
      <c r="A3" s="229" t="inlineStr">
        <is>
          <t>LOTS VISIBLE  ▸</t>
        </is>
      </c>
      <c r="C3" s="230">
        <f>SUBTOTAL(103,$B$7:$B$55)</f>
        <v/>
      </c>
      <c r="E3" s="229" t="inlineStr">
        <is>
          <t>MAT. VALUE ₹  ▸</t>
        </is>
      </c>
      <c r="G3" s="231">
        <f>SUBTOTAL(109,$H$7:$H$55)</f>
        <v/>
      </c>
      <c r="I3" s="229" t="inlineStr">
        <is>
          <t>RECEIVABLES ₹  ▸</t>
        </is>
      </c>
      <c r="K3" s="231">
        <f>SUBTOTAL(109,$S$7:$S$55)</f>
        <v/>
      </c>
      <c r="M3" s="229" t="inlineStr">
        <is>
          <t>SD RECEIVED ₹  ▸</t>
        </is>
      </c>
      <c r="O3" s="231">
        <f>SUBTOTAL(109,$U$7:$U$55)</f>
        <v/>
      </c>
      <c r="Q3" s="229" t="inlineStr">
        <is>
          <t>FP RECEIVED ₹  ▸</t>
        </is>
      </c>
      <c r="S3" s="231">
        <f>SUBTOTAL(109,$X$7:$X$55)</f>
        <v/>
      </c>
      <c r="U3" s="229" t="inlineStr">
        <is>
          <t>TOTAL RECEIVED ₹  ▸</t>
        </is>
      </c>
      <c r="W3" s="231">
        <f>SUBTOTAL(109,$AC$7:$AC$55)</f>
        <v/>
      </c>
      <c r="Y3" s="229" t="inlineStr">
        <is>
          <t>OUTSTANDING ₹  ▸</t>
        </is>
      </c>
      <c r="AA3" s="231">
        <f>SUBTOTAL(109,$AD$7:$AD$55)</f>
        <v/>
      </c>
    </row>
    <row r="4" ht="17" customHeight="1">
      <c r="A4" s="232" t="inlineStr">
        <is>
          <t>IDENTITY</t>
        </is>
      </c>
      <c r="B4" s="71" t="n"/>
      <c r="C4" s="233" t="inlineStr">
        <is>
          <t>LOT INFO</t>
        </is>
      </c>
      <c r="D4" s="71" t="n"/>
      <c r="E4" s="71" t="n"/>
      <c r="F4" s="71" t="n"/>
      <c r="G4" s="71" t="n"/>
      <c r="H4" s="234" t="inlineStr">
        <is>
          <t>FINANCIALS</t>
        </is>
      </c>
      <c r="I4" s="71" t="n"/>
      <c r="J4" s="71" t="n"/>
      <c r="K4" s="71" t="n"/>
      <c r="L4" s="71" t="n"/>
      <c r="M4" s="71" t="n"/>
      <c r="N4" s="71" t="n"/>
      <c r="O4" s="71" t="n"/>
      <c r="P4" s="71" t="n"/>
      <c r="Q4" s="71" t="n"/>
      <c r="R4" s="71" t="n"/>
      <c r="S4" s="71" t="n"/>
      <c r="T4" s="235" t="inlineStr">
        <is>
          <t>SECURITY DEPOSIT</t>
        </is>
      </c>
      <c r="U4" s="71" t="n"/>
      <c r="V4" s="71" t="n"/>
      <c r="W4" s="236" t="inlineStr">
        <is>
          <t>FINAL PAYMENT</t>
        </is>
      </c>
      <c r="X4" s="71" t="n"/>
      <c r="Y4" s="71" t="n"/>
      <c r="Z4" s="237" t="inlineStr">
        <is>
          <t>LPP</t>
        </is>
      </c>
      <c r="AA4" s="71" t="n"/>
      <c r="AB4" s="71" t="n"/>
      <c r="AC4" s="238" t="inlineStr">
        <is>
          <t>SUMMARY</t>
        </is>
      </c>
      <c r="AD4" s="71" t="n"/>
      <c r="AE4" s="71" t="n"/>
      <c r="AF4" s="239" t="inlineStr">
        <is>
          <t>DOCUMENT</t>
        </is>
      </c>
      <c r="AG4" s="71" t="n"/>
      <c r="AH4" s="71" t="n"/>
      <c r="AI4" s="240" t="inlineStr">
        <is>
          <t>TRACE</t>
        </is>
      </c>
    </row>
    <row r="5" ht="42" customHeight="1">
      <c r="A5" s="232" t="inlineStr">
        <is>
          <t>Buyer</t>
        </is>
      </c>
      <c r="B5" s="232" t="inlineStr">
        <is>
          <t>Lot No.</t>
        </is>
      </c>
      <c r="C5" s="233" t="inlineStr">
        <is>
          <t>Lot Name</t>
        </is>
      </c>
      <c r="D5" s="233" t="inlineStr">
        <is>
          <t>Bid Sheet / Auction</t>
        </is>
      </c>
      <c r="E5" s="233" t="inlineStr">
        <is>
          <t>Quantity</t>
        </is>
      </c>
      <c r="F5" s="233" t="inlineStr">
        <is>
          <t>Unit</t>
        </is>
      </c>
      <c r="G5" s="233" t="inlineStr">
        <is>
          <t>Rate (₹)</t>
        </is>
      </c>
      <c r="H5" s="234" t="inlineStr">
        <is>
          <t>Mat. Value (₹)</t>
        </is>
      </c>
      <c r="I5" s="234" t="inlineStr">
        <is>
          <t>GST @ 18% (₹)</t>
        </is>
      </c>
      <c r="J5" s="234" t="inlineStr">
        <is>
          <t>Mat. Value + GST (₹)</t>
        </is>
      </c>
      <c r="K5" s="234" t="inlineStr">
        <is>
          <t>TCS @ 2% (₹)</t>
        </is>
      </c>
      <c r="L5" s="234" t="inlineStr">
        <is>
          <t>TDS u/s 194(O) (₹)</t>
        </is>
      </c>
      <c r="M5" s="234" t="inlineStr">
        <is>
          <t>Service Charge gross (₹)</t>
        </is>
      </c>
      <c r="N5" s="234" t="inlineStr">
        <is>
          <t>TDS u/s 194(H) (₹)</t>
        </is>
      </c>
      <c r="O5" s="234" t="inlineStr">
        <is>
          <t>Net Service Charge (₹)</t>
        </is>
      </c>
      <c r="P5" s="234" t="inlineStr">
        <is>
          <t>Svc Charge to MSTC (₹)</t>
        </is>
      </c>
      <c r="Q5" s="234" t="inlineStr">
        <is>
          <t>GST TDS Rate</t>
        </is>
      </c>
      <c r="R5" s="234" t="inlineStr">
        <is>
          <t>GST TDS (₹)</t>
        </is>
      </c>
      <c r="S5" s="234" t="inlineStr">
        <is>
          <t>Total Receivables (₹)</t>
        </is>
      </c>
      <c r="T5" s="235" t="inlineStr">
        <is>
          <t>SD Expected (₹)</t>
        </is>
      </c>
      <c r="U5" s="235" t="inlineStr">
        <is>
          <t>SD Received (₹)</t>
        </is>
      </c>
      <c r="V5" s="235" t="inlineStr">
        <is>
          <t>SD Receipt Date</t>
        </is>
      </c>
      <c r="W5" s="236" t="inlineStr">
        <is>
          <t>FP Expected (₹)</t>
        </is>
      </c>
      <c r="X5" s="236" t="inlineStr">
        <is>
          <t>FP Received (₹)</t>
        </is>
      </c>
      <c r="Y5" s="236" t="inlineStr">
        <is>
          <t>FP Receipt Date</t>
        </is>
      </c>
      <c r="Z5" s="237" t="inlineStr">
        <is>
          <t>LPP Expected (₹)</t>
        </is>
      </c>
      <c r="AA5" s="237" t="inlineStr">
        <is>
          <t>LPP Received (₹)</t>
        </is>
      </c>
      <c r="AB5" s="237" t="inlineStr">
        <is>
          <t>LPP Receipt Date</t>
        </is>
      </c>
      <c r="AC5" s="238" t="inlineStr">
        <is>
          <t>Total Received (₹)</t>
        </is>
      </c>
      <c r="AD5" s="238" t="inlineStr">
        <is>
          <t>Outstanding (₹)</t>
        </is>
      </c>
      <c r="AE5" s="238" t="inlineStr">
        <is>
          <t>Payment Status</t>
        </is>
      </c>
      <c r="AF5" s="239" t="inlineStr">
        <is>
          <t>Invoice No.</t>
        </is>
      </c>
      <c r="AG5" s="239" t="inlineStr">
        <is>
          <t>SAP Document</t>
        </is>
      </c>
      <c r="AH5" s="239" t="inlineStr">
        <is>
          <t>Doc./Invoice Date</t>
        </is>
      </c>
      <c r="AI5" s="240" t="inlineStr">
        <is>
          <t>Src Row</t>
        </is>
      </c>
    </row>
    <row r="6" ht="20" customHeight="1">
      <c r="A6" s="241" t="inlineStr">
        <is>
          <t>▼  AL HAMD TRADE CORPORATION</t>
        </is>
      </c>
      <c r="B6" s="242" t="n"/>
      <c r="C6" s="243" t="inlineStr">
        <is>
          <t>1 lot  —  click − to fold this buyer</t>
        </is>
      </c>
      <c r="D6" s="242" t="n"/>
      <c r="E6" s="244">
        <f>SUBTOTAL(109,E7:E7)</f>
        <v/>
      </c>
      <c r="F6" s="242" t="n"/>
      <c r="G6" s="242" t="n"/>
      <c r="H6" s="245">
        <f>SUBTOTAL(109,H7:H7)</f>
        <v/>
      </c>
      <c r="I6" s="245">
        <f>SUBTOTAL(109,I7:I7)</f>
        <v/>
      </c>
      <c r="J6" s="245">
        <f>SUBTOTAL(109,J7:J7)</f>
        <v/>
      </c>
      <c r="K6" s="245">
        <f>SUBTOTAL(109,K7:K7)</f>
        <v/>
      </c>
      <c r="L6" s="246">
        <f>SUBTOTAL(109,L7:L7)</f>
        <v/>
      </c>
      <c r="M6" s="246">
        <f>SUBTOTAL(109,M7:M7)</f>
        <v/>
      </c>
      <c r="N6" s="246">
        <f>SUBTOTAL(109,N7:N7)</f>
        <v/>
      </c>
      <c r="O6" s="246">
        <f>SUBTOTAL(109,O7:O7)</f>
        <v/>
      </c>
      <c r="P6" s="245">
        <f>SUBTOTAL(109,P7:P7)</f>
        <v/>
      </c>
      <c r="Q6" s="242" t="n"/>
      <c r="R6" s="245">
        <f>SUBTOTAL(109,R7:R7)</f>
        <v/>
      </c>
      <c r="S6" s="245">
        <f>SUBTOTAL(109,S7:S7)</f>
        <v/>
      </c>
      <c r="T6" s="245">
        <f>SUBTOTAL(109,T7:T7)</f>
        <v/>
      </c>
      <c r="U6" s="245">
        <f>SUBTOTAL(109,U7:U7)</f>
        <v/>
      </c>
      <c r="V6" s="242" t="n"/>
      <c r="W6" s="245">
        <f>SUBTOTAL(109,W7:W7)</f>
        <v/>
      </c>
      <c r="X6" s="245">
        <f>SUBTOTAL(109,X7:X7)</f>
        <v/>
      </c>
      <c r="Y6" s="242" t="n"/>
      <c r="Z6" s="245">
        <f>SUBTOTAL(109,Z7:Z7)</f>
        <v/>
      </c>
      <c r="AA6" s="245">
        <f>SUBTOTAL(109,AA7:AA7)</f>
        <v/>
      </c>
      <c r="AB6" s="242" t="n"/>
      <c r="AC6" s="245">
        <f>SUBTOTAL(109,AC7:AC7)</f>
        <v/>
      </c>
      <c r="AD6" s="245">
        <f>SUBTOTAL(109,AD7:AD7)</f>
        <v/>
      </c>
      <c r="AE6" s="242" t="n"/>
      <c r="AF6" s="242" t="n"/>
      <c r="AG6" s="242" t="n"/>
      <c r="AH6" s="242" t="n"/>
      <c r="AI6" s="242" t="n"/>
    </row>
    <row r="7" outlineLevel="1" ht="15" customHeight="1">
      <c r="A7" s="247">
        <f>IF('Final Calculation Sheet'!$G$4="","",'Final Calculation Sheet'!$G$4)</f>
        <v/>
      </c>
      <c r="B7" s="248">
        <f>IF('Final Calculation Sheet'!$F$4="","",'Final Calculation Sheet'!$F$4)</f>
        <v/>
      </c>
      <c r="C7" s="247">
        <f>IF('Final Calculation Sheet'!$B$4="","",'Final Calculation Sheet'!$B$4)</f>
        <v/>
      </c>
      <c r="D7" s="248">
        <f>IF('Final Calculation Sheet'!$D$4="","",'Final Calculation Sheet'!$D$4)</f>
        <v/>
      </c>
      <c r="E7" s="249">
        <f>IF('Final Calculation Sheet'!$A$4="","",'Final Calculation Sheet'!$A$4)</f>
        <v/>
      </c>
      <c r="F7" s="250">
        <f>IF('Final Calculation Sheet'!$E$4="","",'Final Calculation Sheet'!$E$4)</f>
        <v/>
      </c>
      <c r="G7" s="248">
        <f>IF('Final Calculation Sheet'!$C$4="","",'Final Calculation Sheet'!$C$4)</f>
        <v/>
      </c>
      <c r="H7" s="248">
        <f>IF('Final Calculation Sheet'!$H$4="","",'Final Calculation Sheet'!$H$4)</f>
        <v/>
      </c>
      <c r="I7" s="248">
        <f>IF('Final Calculation Sheet'!$I$4="","",'Final Calculation Sheet'!$I$4)</f>
        <v/>
      </c>
      <c r="J7" s="248">
        <f>IF('Final Calculation Sheet'!$J$4="","",'Final Calculation Sheet'!$J$4)</f>
        <v/>
      </c>
      <c r="K7" s="248">
        <f>IF('Final Calculation Sheet'!$K$4="","",'Final Calculation Sheet'!$K$4)</f>
        <v/>
      </c>
      <c r="L7" s="251">
        <f>IF('Final Calculation Sheet'!$L$4="","",'Final Calculation Sheet'!$L$4)</f>
        <v/>
      </c>
      <c r="M7" s="251">
        <f>IF('Final Calculation Sheet'!$M$4="","",'Final Calculation Sheet'!$M$4)</f>
        <v/>
      </c>
      <c r="N7" s="251">
        <f>IF('Final Calculation Sheet'!$N$4="","",'Final Calculation Sheet'!$N$4)</f>
        <v/>
      </c>
      <c r="O7" s="251">
        <f>IF('Final Calculation Sheet'!$O$4="","",'Final Calculation Sheet'!$O$4)</f>
        <v/>
      </c>
      <c r="P7" s="248">
        <f>IF('Final Calculation Sheet'!$P$4="","",'Final Calculation Sheet'!$P$4)</f>
        <v/>
      </c>
      <c r="Q7" s="252">
        <f>IF('Final Calculation Sheet'!$Q$4="","",'Final Calculation Sheet'!$Q$4)</f>
        <v/>
      </c>
      <c r="R7" s="248">
        <f>IF('Final Calculation Sheet'!$R$4="","",'Final Calculation Sheet'!$R$4)</f>
        <v/>
      </c>
      <c r="S7" s="248">
        <f>IF('Final Calculation Sheet'!$S$4="","",'Final Calculation Sheet'!$S$4)</f>
        <v/>
      </c>
      <c r="T7" s="248">
        <f>IF('Final Calculation Sheet'!$T$4="","",'Final Calculation Sheet'!$T$4)</f>
        <v/>
      </c>
      <c r="U7" s="248">
        <f>IF('Final Calculation Sheet'!$U$4="","",'Final Calculation Sheet'!$U$4)</f>
        <v/>
      </c>
      <c r="V7" s="250">
        <f>IF('Final Calculation Sheet'!$V$4="","",'Final Calculation Sheet'!$V$4)</f>
        <v/>
      </c>
      <c r="W7" s="248">
        <f>IF('Final Calculation Sheet'!$W$4="","",'Final Calculation Sheet'!$W$4)</f>
        <v/>
      </c>
      <c r="X7" s="248">
        <f>IF('Final Calculation Sheet'!$X$4="","",'Final Calculation Sheet'!$X$4)</f>
        <v/>
      </c>
      <c r="Y7" s="250">
        <f>IF('Final Calculation Sheet'!$Y$4="","",'Final Calculation Sheet'!$Y$4)</f>
        <v/>
      </c>
      <c r="Z7" s="248">
        <f>IF('Final Calculation Sheet'!$Z$4="","",'Final Calculation Sheet'!$Z$4)</f>
        <v/>
      </c>
      <c r="AA7" s="248">
        <f>IF('Final Calculation Sheet'!$AA$4="","",'Final Calculation Sheet'!$AA$4)</f>
        <v/>
      </c>
      <c r="AB7" s="250">
        <f>IF('Final Calculation Sheet'!$AB$4="","",'Final Calculation Sheet'!$AB$4)</f>
        <v/>
      </c>
      <c r="AC7" s="248">
        <f>IF('Final Calculation Sheet'!$AC$4="","",'Final Calculation Sheet'!$AC$4)</f>
        <v/>
      </c>
      <c r="AD7" s="248">
        <f>IF('Final Calculation Sheet'!$AD$4="","",'Final Calculation Sheet'!$AD$4)</f>
        <v/>
      </c>
      <c r="AE7" s="250">
        <f>IF('Final Calculation Sheet'!$AD$4="","",IF('Final Calculation Sheet'!$AD$4&lt;=0,"SETTLED","OUTSTANDING"))</f>
        <v/>
      </c>
      <c r="AF7" s="250">
        <f>IF('Final Calculation Sheet'!$AE$4="","",'Final Calculation Sheet'!$AE$4)</f>
        <v/>
      </c>
      <c r="AG7" s="248">
        <f>IF('Final Calculation Sheet'!$AF$4="","",'Final Calculation Sheet'!$AF$4)</f>
        <v/>
      </c>
      <c r="AH7" s="250">
        <f>IF('Final Calculation Sheet'!$AG$4="","",'Final Calculation Sheet'!$AG$4)</f>
        <v/>
      </c>
      <c r="AI7" s="248" t="n">
        <v>4</v>
      </c>
    </row>
    <row r="8" ht="20" customHeight="1">
      <c r="A8" s="253" t="inlineStr">
        <is>
          <t>▼  F R KHANS ENTERPRISES</t>
        </is>
      </c>
      <c r="B8" s="254" t="n"/>
      <c r="C8" s="255" t="inlineStr">
        <is>
          <t>2 lots  —  click − to fold this buyer</t>
        </is>
      </c>
      <c r="D8" s="254" t="n"/>
      <c r="E8" s="256">
        <f>SUBTOTAL(109,E9:E10)</f>
        <v/>
      </c>
      <c r="F8" s="254" t="n"/>
      <c r="G8" s="254" t="n"/>
      <c r="H8" s="257">
        <f>SUBTOTAL(109,H9:H10)</f>
        <v/>
      </c>
      <c r="I8" s="257">
        <f>SUBTOTAL(109,I9:I10)</f>
        <v/>
      </c>
      <c r="J8" s="257">
        <f>SUBTOTAL(109,J9:J10)</f>
        <v/>
      </c>
      <c r="K8" s="257">
        <f>SUBTOTAL(109,K9:K10)</f>
        <v/>
      </c>
      <c r="L8" s="258">
        <f>SUBTOTAL(109,L9:L10)</f>
        <v/>
      </c>
      <c r="M8" s="258">
        <f>SUBTOTAL(109,M9:M10)</f>
        <v/>
      </c>
      <c r="N8" s="258">
        <f>SUBTOTAL(109,N9:N10)</f>
        <v/>
      </c>
      <c r="O8" s="258">
        <f>SUBTOTAL(109,O9:O10)</f>
        <v/>
      </c>
      <c r="P8" s="257">
        <f>SUBTOTAL(109,P9:P10)</f>
        <v/>
      </c>
      <c r="Q8" s="254" t="n"/>
      <c r="R8" s="257">
        <f>SUBTOTAL(109,R9:R10)</f>
        <v/>
      </c>
      <c r="S8" s="257">
        <f>SUBTOTAL(109,S9:S10)</f>
        <v/>
      </c>
      <c r="T8" s="257">
        <f>SUBTOTAL(109,T9:T10)</f>
        <v/>
      </c>
      <c r="U8" s="257">
        <f>SUBTOTAL(109,U9:U10)</f>
        <v/>
      </c>
      <c r="V8" s="254" t="n"/>
      <c r="W8" s="257">
        <f>SUBTOTAL(109,W9:W10)</f>
        <v/>
      </c>
      <c r="X8" s="257">
        <f>SUBTOTAL(109,X9:X10)</f>
        <v/>
      </c>
      <c r="Y8" s="254" t="n"/>
      <c r="Z8" s="257">
        <f>SUBTOTAL(109,Z9:Z10)</f>
        <v/>
      </c>
      <c r="AA8" s="257">
        <f>SUBTOTAL(109,AA9:AA10)</f>
        <v/>
      </c>
      <c r="AB8" s="254" t="n"/>
      <c r="AC8" s="257">
        <f>SUBTOTAL(109,AC9:AC10)</f>
        <v/>
      </c>
      <c r="AD8" s="257">
        <f>SUBTOTAL(109,AD9:AD10)</f>
        <v/>
      </c>
      <c r="AE8" s="254" t="n"/>
      <c r="AF8" s="254" t="n"/>
      <c r="AG8" s="254" t="n"/>
      <c r="AH8" s="254" t="n"/>
      <c r="AI8" s="254" t="n"/>
    </row>
    <row r="9" outlineLevel="1" ht="15" customHeight="1">
      <c r="A9" s="259">
        <f>IF('Final Calculation Sheet'!$G$6="","",'Final Calculation Sheet'!$G$6)</f>
        <v/>
      </c>
      <c r="B9" s="260">
        <f>IF('Final Calculation Sheet'!$F$6="","",'Final Calculation Sheet'!$F$6)</f>
        <v/>
      </c>
      <c r="C9" s="259">
        <f>IF('Final Calculation Sheet'!$B$6="","",'Final Calculation Sheet'!$B$6)</f>
        <v/>
      </c>
      <c r="D9" s="260">
        <f>IF('Final Calculation Sheet'!$D$6="","",'Final Calculation Sheet'!$D$6)</f>
        <v/>
      </c>
      <c r="E9" s="261">
        <f>IF('Final Calculation Sheet'!$A$6="","",'Final Calculation Sheet'!$A$6)</f>
        <v/>
      </c>
      <c r="F9" s="262">
        <f>IF('Final Calculation Sheet'!$E$6="","",'Final Calculation Sheet'!$E$6)</f>
        <v/>
      </c>
      <c r="G9" s="260">
        <f>IF('Final Calculation Sheet'!$C$6="","",'Final Calculation Sheet'!$C$6)</f>
        <v/>
      </c>
      <c r="H9" s="260">
        <f>IF('Final Calculation Sheet'!$H$6="","",'Final Calculation Sheet'!$H$6)</f>
        <v/>
      </c>
      <c r="I9" s="260">
        <f>IF('Final Calculation Sheet'!$I$6="","",'Final Calculation Sheet'!$I$6)</f>
        <v/>
      </c>
      <c r="J9" s="260">
        <f>IF('Final Calculation Sheet'!$J$6="","",'Final Calculation Sheet'!$J$6)</f>
        <v/>
      </c>
      <c r="K9" s="260">
        <f>IF('Final Calculation Sheet'!$K$6="","",'Final Calculation Sheet'!$K$6)</f>
        <v/>
      </c>
      <c r="L9" s="263">
        <f>IF('Final Calculation Sheet'!$L$6="","",'Final Calculation Sheet'!$L$6)</f>
        <v/>
      </c>
      <c r="M9" s="263">
        <f>IF('Final Calculation Sheet'!$M$6="","",'Final Calculation Sheet'!$M$6)</f>
        <v/>
      </c>
      <c r="N9" s="263">
        <f>IF('Final Calculation Sheet'!$N$6="","",'Final Calculation Sheet'!$N$6)</f>
        <v/>
      </c>
      <c r="O9" s="263">
        <f>IF('Final Calculation Sheet'!$O$6="","",'Final Calculation Sheet'!$O$6)</f>
        <v/>
      </c>
      <c r="P9" s="260">
        <f>IF('Final Calculation Sheet'!$P$6="","",'Final Calculation Sheet'!$P$6)</f>
        <v/>
      </c>
      <c r="Q9" s="264">
        <f>IF('Final Calculation Sheet'!$Q$6="","",'Final Calculation Sheet'!$Q$6)</f>
        <v/>
      </c>
      <c r="R9" s="260">
        <f>IF('Final Calculation Sheet'!$R$6="","",'Final Calculation Sheet'!$R$6)</f>
        <v/>
      </c>
      <c r="S9" s="260">
        <f>IF('Final Calculation Sheet'!$S$6="","",'Final Calculation Sheet'!$S$6)</f>
        <v/>
      </c>
      <c r="T9" s="260">
        <f>IF('Final Calculation Sheet'!$T$6="","",'Final Calculation Sheet'!$T$6)</f>
        <v/>
      </c>
      <c r="U9" s="260">
        <f>IF('Final Calculation Sheet'!$U$6="","",'Final Calculation Sheet'!$U$6)</f>
        <v/>
      </c>
      <c r="V9" s="262">
        <f>IF('Final Calculation Sheet'!$V$6="","",'Final Calculation Sheet'!$V$6)</f>
        <v/>
      </c>
      <c r="W9" s="260">
        <f>IF('Final Calculation Sheet'!$W$6="","",'Final Calculation Sheet'!$W$6)</f>
        <v/>
      </c>
      <c r="X9" s="260">
        <f>IF('Final Calculation Sheet'!$X$6="","",'Final Calculation Sheet'!$X$6)</f>
        <v/>
      </c>
      <c r="Y9" s="262">
        <f>IF('Final Calculation Sheet'!$Y$6="","",'Final Calculation Sheet'!$Y$6)</f>
        <v/>
      </c>
      <c r="Z9" s="260">
        <f>IF('Final Calculation Sheet'!$Z$6="","",'Final Calculation Sheet'!$Z$6)</f>
        <v/>
      </c>
      <c r="AA9" s="260">
        <f>IF('Final Calculation Sheet'!$AA$6="","",'Final Calculation Sheet'!$AA$6)</f>
        <v/>
      </c>
      <c r="AB9" s="262">
        <f>IF('Final Calculation Sheet'!$AB$6="","",'Final Calculation Sheet'!$AB$6)</f>
        <v/>
      </c>
      <c r="AC9" s="260">
        <f>IF('Final Calculation Sheet'!$AC$6="","",'Final Calculation Sheet'!$AC$6)</f>
        <v/>
      </c>
      <c r="AD9" s="260">
        <f>IF('Final Calculation Sheet'!$AD$6="","",'Final Calculation Sheet'!$AD$6)</f>
        <v/>
      </c>
      <c r="AE9" s="262">
        <f>IF('Final Calculation Sheet'!$AD$6="","",IF('Final Calculation Sheet'!$AD$6&lt;=0,"SETTLED","OUTSTANDING"))</f>
        <v/>
      </c>
      <c r="AF9" s="262">
        <f>IF('Final Calculation Sheet'!$AE$6="","",'Final Calculation Sheet'!$AE$6)</f>
        <v/>
      </c>
      <c r="AG9" s="260">
        <f>IF('Final Calculation Sheet'!$AF$6="","",'Final Calculation Sheet'!$AF$6)</f>
        <v/>
      </c>
      <c r="AH9" s="262">
        <f>IF('Final Calculation Sheet'!$AG$6="","",'Final Calculation Sheet'!$AG$6)</f>
        <v/>
      </c>
      <c r="AI9" s="260" t="n">
        <v>6</v>
      </c>
    </row>
    <row r="10" outlineLevel="1" ht="15" customHeight="1">
      <c r="A10" s="265">
        <f>IF('Final Calculation Sheet'!$G$7="","",'Final Calculation Sheet'!$G$7)</f>
        <v/>
      </c>
      <c r="B10" s="266">
        <f>IF('Final Calculation Sheet'!$F$7="","",'Final Calculation Sheet'!$F$7)</f>
        <v/>
      </c>
      <c r="C10" s="265">
        <f>IF('Final Calculation Sheet'!$B$7="","",'Final Calculation Sheet'!$B$7)</f>
        <v/>
      </c>
      <c r="D10" s="266">
        <f>IF('Final Calculation Sheet'!$D$7="","",'Final Calculation Sheet'!$D$7)</f>
        <v/>
      </c>
      <c r="E10" s="267">
        <f>IF('Final Calculation Sheet'!$A$7="","",'Final Calculation Sheet'!$A$7)</f>
        <v/>
      </c>
      <c r="F10" s="268">
        <f>IF('Final Calculation Sheet'!$E$7="","",'Final Calculation Sheet'!$E$7)</f>
        <v/>
      </c>
      <c r="G10" s="266">
        <f>IF('Final Calculation Sheet'!$C$7="","",'Final Calculation Sheet'!$C$7)</f>
        <v/>
      </c>
      <c r="H10" s="266">
        <f>IF('Final Calculation Sheet'!$H$7="","",'Final Calculation Sheet'!$H$7)</f>
        <v/>
      </c>
      <c r="I10" s="266">
        <f>IF('Final Calculation Sheet'!$I$7="","",'Final Calculation Sheet'!$I$7)</f>
        <v/>
      </c>
      <c r="J10" s="266">
        <f>IF('Final Calculation Sheet'!$J$7="","",'Final Calculation Sheet'!$J$7)</f>
        <v/>
      </c>
      <c r="K10" s="266">
        <f>IF('Final Calculation Sheet'!$K$7="","",'Final Calculation Sheet'!$K$7)</f>
        <v/>
      </c>
      <c r="L10" s="269">
        <f>IF('Final Calculation Sheet'!$L$7="","",'Final Calculation Sheet'!$L$7)</f>
        <v/>
      </c>
      <c r="M10" s="269">
        <f>IF('Final Calculation Sheet'!$M$7="","",'Final Calculation Sheet'!$M$7)</f>
        <v/>
      </c>
      <c r="N10" s="269">
        <f>IF('Final Calculation Sheet'!$N$7="","",'Final Calculation Sheet'!$N$7)</f>
        <v/>
      </c>
      <c r="O10" s="269">
        <f>IF('Final Calculation Sheet'!$O$7="","",'Final Calculation Sheet'!$O$7)</f>
        <v/>
      </c>
      <c r="P10" s="266">
        <f>IF('Final Calculation Sheet'!$P$7="","",'Final Calculation Sheet'!$P$7)</f>
        <v/>
      </c>
      <c r="Q10" s="270">
        <f>IF('Final Calculation Sheet'!$Q$7="","",'Final Calculation Sheet'!$Q$7)</f>
        <v/>
      </c>
      <c r="R10" s="266">
        <f>IF('Final Calculation Sheet'!$R$7="","",'Final Calculation Sheet'!$R$7)</f>
        <v/>
      </c>
      <c r="S10" s="266">
        <f>IF('Final Calculation Sheet'!$S$7="","",'Final Calculation Sheet'!$S$7)</f>
        <v/>
      </c>
      <c r="T10" s="266">
        <f>IF('Final Calculation Sheet'!$T$7="","",'Final Calculation Sheet'!$T$7)</f>
        <v/>
      </c>
      <c r="U10" s="266">
        <f>IF('Final Calculation Sheet'!$U$7="","",'Final Calculation Sheet'!$U$7)</f>
        <v/>
      </c>
      <c r="V10" s="268">
        <f>IF('Final Calculation Sheet'!$V$7="","",'Final Calculation Sheet'!$V$7)</f>
        <v/>
      </c>
      <c r="W10" s="266">
        <f>IF('Final Calculation Sheet'!$W$7="","",'Final Calculation Sheet'!$W$7)</f>
        <v/>
      </c>
      <c r="X10" s="266">
        <f>IF('Final Calculation Sheet'!$X$7="","",'Final Calculation Sheet'!$X$7)</f>
        <v/>
      </c>
      <c r="Y10" s="268">
        <f>IF('Final Calculation Sheet'!$Y$7="","",'Final Calculation Sheet'!$Y$7)</f>
        <v/>
      </c>
      <c r="Z10" s="266">
        <f>IF('Final Calculation Sheet'!$Z$7="","",'Final Calculation Sheet'!$Z$7)</f>
        <v/>
      </c>
      <c r="AA10" s="266">
        <f>IF('Final Calculation Sheet'!$AA$7="","",'Final Calculation Sheet'!$AA$7)</f>
        <v/>
      </c>
      <c r="AB10" s="268">
        <f>IF('Final Calculation Sheet'!$AB$7="","",'Final Calculation Sheet'!$AB$7)</f>
        <v/>
      </c>
      <c r="AC10" s="266">
        <f>IF('Final Calculation Sheet'!$AC$7="","",'Final Calculation Sheet'!$AC$7)</f>
        <v/>
      </c>
      <c r="AD10" s="266">
        <f>IF('Final Calculation Sheet'!$AD$7="","",'Final Calculation Sheet'!$AD$7)</f>
        <v/>
      </c>
      <c r="AE10" s="268">
        <f>IF('Final Calculation Sheet'!$AD$7="","",IF('Final Calculation Sheet'!$AD$7&lt;=0,"SETTLED","OUTSTANDING"))</f>
        <v/>
      </c>
      <c r="AF10" s="268">
        <f>IF('Final Calculation Sheet'!$AE$7="","",'Final Calculation Sheet'!$AE$7)</f>
        <v/>
      </c>
      <c r="AG10" s="266">
        <f>IF('Final Calculation Sheet'!$AF$7="","",'Final Calculation Sheet'!$AF$7)</f>
        <v/>
      </c>
      <c r="AH10" s="268">
        <f>IF('Final Calculation Sheet'!$AG$7="","",'Final Calculation Sheet'!$AG$7)</f>
        <v/>
      </c>
      <c r="AI10" s="266" t="n">
        <v>7</v>
      </c>
    </row>
    <row r="11" ht="20" customHeight="1">
      <c r="A11" s="271" t="inlineStr">
        <is>
          <t>▼  HIND TRADERS</t>
        </is>
      </c>
      <c r="B11" s="272" t="n"/>
      <c r="C11" s="273" t="inlineStr">
        <is>
          <t>1 lot  —  click − to fold this buyer</t>
        </is>
      </c>
      <c r="D11" s="272" t="n"/>
      <c r="E11" s="274">
        <f>SUBTOTAL(109,E12:E12)</f>
        <v/>
      </c>
      <c r="F11" s="272" t="n"/>
      <c r="G11" s="272" t="n"/>
      <c r="H11" s="275">
        <f>SUBTOTAL(109,H12:H12)</f>
        <v/>
      </c>
      <c r="I11" s="275">
        <f>SUBTOTAL(109,I12:I12)</f>
        <v/>
      </c>
      <c r="J11" s="275">
        <f>SUBTOTAL(109,J12:J12)</f>
        <v/>
      </c>
      <c r="K11" s="275">
        <f>SUBTOTAL(109,K12:K12)</f>
        <v/>
      </c>
      <c r="L11" s="276">
        <f>SUBTOTAL(109,L12:L12)</f>
        <v/>
      </c>
      <c r="M11" s="276">
        <f>SUBTOTAL(109,M12:M12)</f>
        <v/>
      </c>
      <c r="N11" s="276">
        <f>SUBTOTAL(109,N12:N12)</f>
        <v/>
      </c>
      <c r="O11" s="276">
        <f>SUBTOTAL(109,O12:O12)</f>
        <v/>
      </c>
      <c r="P11" s="275">
        <f>SUBTOTAL(109,P12:P12)</f>
        <v/>
      </c>
      <c r="Q11" s="272" t="n"/>
      <c r="R11" s="275">
        <f>SUBTOTAL(109,R12:R12)</f>
        <v/>
      </c>
      <c r="S11" s="275">
        <f>SUBTOTAL(109,S12:S12)</f>
        <v/>
      </c>
      <c r="T11" s="275">
        <f>SUBTOTAL(109,T12:T12)</f>
        <v/>
      </c>
      <c r="U11" s="275">
        <f>SUBTOTAL(109,U12:U12)</f>
        <v/>
      </c>
      <c r="V11" s="272" t="n"/>
      <c r="W11" s="275">
        <f>SUBTOTAL(109,W12:W12)</f>
        <v/>
      </c>
      <c r="X11" s="275">
        <f>SUBTOTAL(109,X12:X12)</f>
        <v/>
      </c>
      <c r="Y11" s="272" t="n"/>
      <c r="Z11" s="275">
        <f>SUBTOTAL(109,Z12:Z12)</f>
        <v/>
      </c>
      <c r="AA11" s="275">
        <f>SUBTOTAL(109,AA12:AA12)</f>
        <v/>
      </c>
      <c r="AB11" s="272" t="n"/>
      <c r="AC11" s="275">
        <f>SUBTOTAL(109,AC12:AC12)</f>
        <v/>
      </c>
      <c r="AD11" s="275">
        <f>SUBTOTAL(109,AD12:AD12)</f>
        <v/>
      </c>
      <c r="AE11" s="272" t="n"/>
      <c r="AF11" s="272" t="n"/>
      <c r="AG11" s="272" t="n"/>
      <c r="AH11" s="272" t="n"/>
      <c r="AI11" s="272" t="n"/>
    </row>
    <row r="12" outlineLevel="1" ht="15" customHeight="1">
      <c r="A12" s="277">
        <f>IF('Final Calculation Sheet'!$G$15="","",'Final Calculation Sheet'!$G$15)</f>
        <v/>
      </c>
      <c r="B12" s="278">
        <f>IF('Final Calculation Sheet'!$F$15="","",'Final Calculation Sheet'!$F$15)</f>
        <v/>
      </c>
      <c r="C12" s="277">
        <f>IF('Final Calculation Sheet'!$B$15="","",'Final Calculation Sheet'!$B$15)</f>
        <v/>
      </c>
      <c r="D12" s="278">
        <f>IF('Final Calculation Sheet'!$D$15="","",'Final Calculation Sheet'!$D$15)</f>
        <v/>
      </c>
      <c r="E12" s="279">
        <f>IF('Final Calculation Sheet'!$A$15="","",'Final Calculation Sheet'!$A$15)</f>
        <v/>
      </c>
      <c r="F12" s="280">
        <f>IF('Final Calculation Sheet'!$E$15="","",'Final Calculation Sheet'!$E$15)</f>
        <v/>
      </c>
      <c r="G12" s="278">
        <f>IF('Final Calculation Sheet'!$C$15="","",'Final Calculation Sheet'!$C$15)</f>
        <v/>
      </c>
      <c r="H12" s="278">
        <f>IF('Final Calculation Sheet'!$H$15="","",'Final Calculation Sheet'!$H$15)</f>
        <v/>
      </c>
      <c r="I12" s="278">
        <f>IF('Final Calculation Sheet'!$I$15="","",'Final Calculation Sheet'!$I$15)</f>
        <v/>
      </c>
      <c r="J12" s="278">
        <f>IF('Final Calculation Sheet'!$J$15="","",'Final Calculation Sheet'!$J$15)</f>
        <v/>
      </c>
      <c r="K12" s="278">
        <f>IF('Final Calculation Sheet'!$K$15="","",'Final Calculation Sheet'!$K$15)</f>
        <v/>
      </c>
      <c r="L12" s="281">
        <f>IF('Final Calculation Sheet'!$L$15="","",'Final Calculation Sheet'!$L$15)</f>
        <v/>
      </c>
      <c r="M12" s="281">
        <f>IF('Final Calculation Sheet'!$M$15="","",'Final Calculation Sheet'!$M$15)</f>
        <v/>
      </c>
      <c r="N12" s="281">
        <f>IF('Final Calculation Sheet'!$N$15="","",'Final Calculation Sheet'!$N$15)</f>
        <v/>
      </c>
      <c r="O12" s="281">
        <f>IF('Final Calculation Sheet'!$O$15="","",'Final Calculation Sheet'!$O$15)</f>
        <v/>
      </c>
      <c r="P12" s="278">
        <f>IF('Final Calculation Sheet'!$P$15="","",'Final Calculation Sheet'!$P$15)</f>
        <v/>
      </c>
      <c r="Q12" s="282">
        <f>IF('Final Calculation Sheet'!$Q$15="","",'Final Calculation Sheet'!$Q$15)</f>
        <v/>
      </c>
      <c r="R12" s="278">
        <f>IF('Final Calculation Sheet'!$R$15="","",'Final Calculation Sheet'!$R$15)</f>
        <v/>
      </c>
      <c r="S12" s="278">
        <f>IF('Final Calculation Sheet'!$S$15="","",'Final Calculation Sheet'!$S$15)</f>
        <v/>
      </c>
      <c r="T12" s="278">
        <f>IF('Final Calculation Sheet'!$T$15="","",'Final Calculation Sheet'!$T$15)</f>
        <v/>
      </c>
      <c r="U12" s="278">
        <f>IF('Final Calculation Sheet'!$U$15="","",'Final Calculation Sheet'!$U$15)</f>
        <v/>
      </c>
      <c r="V12" s="280">
        <f>IF('Final Calculation Sheet'!$V$15="","",'Final Calculation Sheet'!$V$15)</f>
        <v/>
      </c>
      <c r="W12" s="278">
        <f>IF('Final Calculation Sheet'!$W$15="","",'Final Calculation Sheet'!$W$15)</f>
        <v/>
      </c>
      <c r="X12" s="278">
        <f>IF('Final Calculation Sheet'!$X$15="","",'Final Calculation Sheet'!$X$15)</f>
        <v/>
      </c>
      <c r="Y12" s="280">
        <f>IF('Final Calculation Sheet'!$Y$15="","",'Final Calculation Sheet'!$Y$15)</f>
        <v/>
      </c>
      <c r="Z12" s="278">
        <f>IF('Final Calculation Sheet'!$Z$15="","",'Final Calculation Sheet'!$Z$15)</f>
        <v/>
      </c>
      <c r="AA12" s="278">
        <f>IF('Final Calculation Sheet'!$AA$15="","",'Final Calculation Sheet'!$AA$15)</f>
        <v/>
      </c>
      <c r="AB12" s="280">
        <f>IF('Final Calculation Sheet'!$AB$15="","",'Final Calculation Sheet'!$AB$15)</f>
        <v/>
      </c>
      <c r="AC12" s="278">
        <f>IF('Final Calculation Sheet'!$AC$15="","",'Final Calculation Sheet'!$AC$15)</f>
        <v/>
      </c>
      <c r="AD12" s="278">
        <f>IF('Final Calculation Sheet'!$AD$15="","",'Final Calculation Sheet'!$AD$15)</f>
        <v/>
      </c>
      <c r="AE12" s="280">
        <f>IF('Final Calculation Sheet'!$AD$15="","",IF('Final Calculation Sheet'!$AD$15&lt;=0,"SETTLED","OUTSTANDING"))</f>
        <v/>
      </c>
      <c r="AF12" s="280">
        <f>IF('Final Calculation Sheet'!$AE$15="","",'Final Calculation Sheet'!$AE$15)</f>
        <v/>
      </c>
      <c r="AG12" s="278">
        <f>IF('Final Calculation Sheet'!$AF$15="","",'Final Calculation Sheet'!$AF$15)</f>
        <v/>
      </c>
      <c r="AH12" s="280">
        <f>IF('Final Calculation Sheet'!$AG$15="","",'Final Calculation Sheet'!$AG$15)</f>
        <v/>
      </c>
      <c r="AI12" s="278" t="n">
        <v>15</v>
      </c>
    </row>
    <row r="13" ht="20" customHeight="1">
      <c r="A13" s="283" t="inlineStr">
        <is>
          <t>▼  KASHYAP TRADING CO</t>
        </is>
      </c>
      <c r="B13" s="284" t="n"/>
      <c r="C13" s="285" t="inlineStr">
        <is>
          <t>1 lot  —  click − to fold this buyer</t>
        </is>
      </c>
      <c r="D13" s="284" t="n"/>
      <c r="E13" s="286">
        <f>SUBTOTAL(109,E14:E14)</f>
        <v/>
      </c>
      <c r="F13" s="284" t="n"/>
      <c r="G13" s="284" t="n"/>
      <c r="H13" s="287">
        <f>SUBTOTAL(109,H14:H14)</f>
        <v/>
      </c>
      <c r="I13" s="287">
        <f>SUBTOTAL(109,I14:I14)</f>
        <v/>
      </c>
      <c r="J13" s="287">
        <f>SUBTOTAL(109,J14:J14)</f>
        <v/>
      </c>
      <c r="K13" s="287">
        <f>SUBTOTAL(109,K14:K14)</f>
        <v/>
      </c>
      <c r="L13" s="288">
        <f>SUBTOTAL(109,L14:L14)</f>
        <v/>
      </c>
      <c r="M13" s="288">
        <f>SUBTOTAL(109,M14:M14)</f>
        <v/>
      </c>
      <c r="N13" s="288">
        <f>SUBTOTAL(109,N14:N14)</f>
        <v/>
      </c>
      <c r="O13" s="288">
        <f>SUBTOTAL(109,O14:O14)</f>
        <v/>
      </c>
      <c r="P13" s="287">
        <f>SUBTOTAL(109,P14:P14)</f>
        <v/>
      </c>
      <c r="Q13" s="284" t="n"/>
      <c r="R13" s="287">
        <f>SUBTOTAL(109,R14:R14)</f>
        <v/>
      </c>
      <c r="S13" s="287">
        <f>SUBTOTAL(109,S14:S14)</f>
        <v/>
      </c>
      <c r="T13" s="287">
        <f>SUBTOTAL(109,T14:T14)</f>
        <v/>
      </c>
      <c r="U13" s="287">
        <f>SUBTOTAL(109,U14:U14)</f>
        <v/>
      </c>
      <c r="V13" s="284" t="n"/>
      <c r="W13" s="287">
        <f>SUBTOTAL(109,W14:W14)</f>
        <v/>
      </c>
      <c r="X13" s="287">
        <f>SUBTOTAL(109,X14:X14)</f>
        <v/>
      </c>
      <c r="Y13" s="284" t="n"/>
      <c r="Z13" s="287">
        <f>SUBTOTAL(109,Z14:Z14)</f>
        <v/>
      </c>
      <c r="AA13" s="287">
        <f>SUBTOTAL(109,AA14:AA14)</f>
        <v/>
      </c>
      <c r="AB13" s="284" t="n"/>
      <c r="AC13" s="287">
        <f>SUBTOTAL(109,AC14:AC14)</f>
        <v/>
      </c>
      <c r="AD13" s="287">
        <f>SUBTOTAL(109,AD14:AD14)</f>
        <v/>
      </c>
      <c r="AE13" s="284" t="n"/>
      <c r="AF13" s="284" t="n"/>
      <c r="AG13" s="284" t="n"/>
      <c r="AH13" s="284" t="n"/>
      <c r="AI13" s="284" t="n"/>
    </row>
    <row r="14" outlineLevel="1" ht="15" customHeight="1">
      <c r="A14" s="289">
        <f>IF('Final Calculation Sheet'!$G$38="","",'Final Calculation Sheet'!$G$38)</f>
        <v/>
      </c>
      <c r="B14" s="290">
        <f>IF('Final Calculation Sheet'!$F$38="","",'Final Calculation Sheet'!$F$38)</f>
        <v/>
      </c>
      <c r="C14" s="289">
        <f>IF('Final Calculation Sheet'!$B$38="","",'Final Calculation Sheet'!$B$38)</f>
        <v/>
      </c>
      <c r="D14" s="290">
        <f>IF('Final Calculation Sheet'!$D$38="","",'Final Calculation Sheet'!$D$38)</f>
        <v/>
      </c>
      <c r="E14" s="291">
        <f>IF('Final Calculation Sheet'!$A$38="","",'Final Calculation Sheet'!$A$38)</f>
        <v/>
      </c>
      <c r="F14" s="292">
        <f>IF('Final Calculation Sheet'!$E$38="","",'Final Calculation Sheet'!$E$38)</f>
        <v/>
      </c>
      <c r="G14" s="290">
        <f>IF('Final Calculation Sheet'!$C$38="","",'Final Calculation Sheet'!$C$38)</f>
        <v/>
      </c>
      <c r="H14" s="290">
        <f>IF('Final Calculation Sheet'!$H$38="","",'Final Calculation Sheet'!$H$38)</f>
        <v/>
      </c>
      <c r="I14" s="290">
        <f>IF('Final Calculation Sheet'!$I$38="","",'Final Calculation Sheet'!$I$38)</f>
        <v/>
      </c>
      <c r="J14" s="290">
        <f>IF('Final Calculation Sheet'!$J$38="","",'Final Calculation Sheet'!$J$38)</f>
        <v/>
      </c>
      <c r="K14" s="290">
        <f>IF('Final Calculation Sheet'!$K$38="","",'Final Calculation Sheet'!$K$38)</f>
        <v/>
      </c>
      <c r="L14" s="293">
        <f>IF('Final Calculation Sheet'!$L$38="","",'Final Calculation Sheet'!$L$38)</f>
        <v/>
      </c>
      <c r="M14" s="293">
        <f>IF('Final Calculation Sheet'!$M$38="","",'Final Calculation Sheet'!$M$38)</f>
        <v/>
      </c>
      <c r="N14" s="293">
        <f>IF('Final Calculation Sheet'!$N$38="","",'Final Calculation Sheet'!$N$38)</f>
        <v/>
      </c>
      <c r="O14" s="293">
        <f>IF('Final Calculation Sheet'!$O$38="","",'Final Calculation Sheet'!$O$38)</f>
        <v/>
      </c>
      <c r="P14" s="290">
        <f>IF('Final Calculation Sheet'!$P$38="","",'Final Calculation Sheet'!$P$38)</f>
        <v/>
      </c>
      <c r="Q14" s="294">
        <f>IF('Final Calculation Sheet'!$Q$38="","",'Final Calculation Sheet'!$Q$38)</f>
        <v/>
      </c>
      <c r="R14" s="290">
        <f>IF('Final Calculation Sheet'!$R$38="","",'Final Calculation Sheet'!$R$38)</f>
        <v/>
      </c>
      <c r="S14" s="290">
        <f>IF('Final Calculation Sheet'!$S$38="","",'Final Calculation Sheet'!$S$38)</f>
        <v/>
      </c>
      <c r="T14" s="290">
        <f>IF('Final Calculation Sheet'!$T$38="","",'Final Calculation Sheet'!$T$38)</f>
        <v/>
      </c>
      <c r="U14" s="290">
        <f>IF('Final Calculation Sheet'!$U$38="","",'Final Calculation Sheet'!$U$38)</f>
        <v/>
      </c>
      <c r="V14" s="292">
        <f>IF('Final Calculation Sheet'!$V$38="","",'Final Calculation Sheet'!$V$38)</f>
        <v/>
      </c>
      <c r="W14" s="290">
        <f>IF('Final Calculation Sheet'!$W$38="","",'Final Calculation Sheet'!$W$38)</f>
        <v/>
      </c>
      <c r="X14" s="290">
        <f>IF('Final Calculation Sheet'!$X$38="","",'Final Calculation Sheet'!$X$38)</f>
        <v/>
      </c>
      <c r="Y14" s="292">
        <f>IF('Final Calculation Sheet'!$Y$38="","",'Final Calculation Sheet'!$Y$38)</f>
        <v/>
      </c>
      <c r="Z14" s="290">
        <f>IF('Final Calculation Sheet'!$Z$38="","",'Final Calculation Sheet'!$Z$38)</f>
        <v/>
      </c>
      <c r="AA14" s="290">
        <f>IF('Final Calculation Sheet'!$AA$38="","",'Final Calculation Sheet'!$AA$38)</f>
        <v/>
      </c>
      <c r="AB14" s="292">
        <f>IF('Final Calculation Sheet'!$AB$38="","",'Final Calculation Sheet'!$AB$38)</f>
        <v/>
      </c>
      <c r="AC14" s="290">
        <f>IF('Final Calculation Sheet'!$AC$38="","",'Final Calculation Sheet'!$AC$38)</f>
        <v/>
      </c>
      <c r="AD14" s="290">
        <f>IF('Final Calculation Sheet'!$AD$38="","",'Final Calculation Sheet'!$AD$38)</f>
        <v/>
      </c>
      <c r="AE14" s="292">
        <f>IF('Final Calculation Sheet'!$AD$38="","",IF('Final Calculation Sheet'!$AD$38&lt;=0,"SETTLED","OUTSTANDING"))</f>
        <v/>
      </c>
      <c r="AF14" s="292">
        <f>IF('Final Calculation Sheet'!$AE$38="","",'Final Calculation Sheet'!$AE$38)</f>
        <v/>
      </c>
      <c r="AG14" s="290">
        <f>IF('Final Calculation Sheet'!$AF$38="","",'Final Calculation Sheet'!$AF$38)</f>
        <v/>
      </c>
      <c r="AH14" s="292">
        <f>IF('Final Calculation Sheet'!$AG$38="","",'Final Calculation Sheet'!$AG$38)</f>
        <v/>
      </c>
      <c r="AI14" s="290" t="n">
        <v>38</v>
      </c>
    </row>
    <row r="15" ht="20" customHeight="1">
      <c r="A15" s="295" t="inlineStr">
        <is>
          <t>▼  M I SCRAP TRADERS</t>
        </is>
      </c>
      <c r="B15" s="296" t="n"/>
      <c r="C15" s="297" t="inlineStr">
        <is>
          <t>1 lot  —  click − to fold this buyer</t>
        </is>
      </c>
      <c r="D15" s="296" t="n"/>
      <c r="E15" s="298">
        <f>SUBTOTAL(109,E16:E16)</f>
        <v/>
      </c>
      <c r="F15" s="296" t="n"/>
      <c r="G15" s="296" t="n"/>
      <c r="H15" s="299">
        <f>SUBTOTAL(109,H16:H16)</f>
        <v/>
      </c>
      <c r="I15" s="299">
        <f>SUBTOTAL(109,I16:I16)</f>
        <v/>
      </c>
      <c r="J15" s="299">
        <f>SUBTOTAL(109,J16:J16)</f>
        <v/>
      </c>
      <c r="K15" s="299">
        <f>SUBTOTAL(109,K16:K16)</f>
        <v/>
      </c>
      <c r="L15" s="300">
        <f>SUBTOTAL(109,L16:L16)</f>
        <v/>
      </c>
      <c r="M15" s="300">
        <f>SUBTOTAL(109,M16:M16)</f>
        <v/>
      </c>
      <c r="N15" s="300">
        <f>SUBTOTAL(109,N16:N16)</f>
        <v/>
      </c>
      <c r="O15" s="300">
        <f>SUBTOTAL(109,O16:O16)</f>
        <v/>
      </c>
      <c r="P15" s="299">
        <f>SUBTOTAL(109,P16:P16)</f>
        <v/>
      </c>
      <c r="Q15" s="296" t="n"/>
      <c r="R15" s="299">
        <f>SUBTOTAL(109,R16:R16)</f>
        <v/>
      </c>
      <c r="S15" s="299">
        <f>SUBTOTAL(109,S16:S16)</f>
        <v/>
      </c>
      <c r="T15" s="299">
        <f>SUBTOTAL(109,T16:T16)</f>
        <v/>
      </c>
      <c r="U15" s="299">
        <f>SUBTOTAL(109,U16:U16)</f>
        <v/>
      </c>
      <c r="V15" s="296" t="n"/>
      <c r="W15" s="299">
        <f>SUBTOTAL(109,W16:W16)</f>
        <v/>
      </c>
      <c r="X15" s="299">
        <f>SUBTOTAL(109,X16:X16)</f>
        <v/>
      </c>
      <c r="Y15" s="296" t="n"/>
      <c r="Z15" s="299">
        <f>SUBTOTAL(109,Z16:Z16)</f>
        <v/>
      </c>
      <c r="AA15" s="299">
        <f>SUBTOTAL(109,AA16:AA16)</f>
        <v/>
      </c>
      <c r="AB15" s="296" t="n"/>
      <c r="AC15" s="299">
        <f>SUBTOTAL(109,AC16:AC16)</f>
        <v/>
      </c>
      <c r="AD15" s="299">
        <f>SUBTOTAL(109,AD16:AD16)</f>
        <v/>
      </c>
      <c r="AE15" s="296" t="n"/>
      <c r="AF15" s="296" t="n"/>
      <c r="AG15" s="296" t="n"/>
      <c r="AH15" s="296" t="n"/>
      <c r="AI15" s="296" t="n"/>
    </row>
    <row r="16" outlineLevel="1" ht="15" customHeight="1">
      <c r="A16" s="301">
        <f>IF('Final Calculation Sheet'!$G$27="","",'Final Calculation Sheet'!$G$27)</f>
        <v/>
      </c>
      <c r="B16" s="302">
        <f>IF('Final Calculation Sheet'!$F$27="","",'Final Calculation Sheet'!$F$27)</f>
        <v/>
      </c>
      <c r="C16" s="301">
        <f>IF('Final Calculation Sheet'!$B$27="","",'Final Calculation Sheet'!$B$27)</f>
        <v/>
      </c>
      <c r="D16" s="302">
        <f>IF('Final Calculation Sheet'!$D$27="","",'Final Calculation Sheet'!$D$27)</f>
        <v/>
      </c>
      <c r="E16" s="303">
        <f>IF('Final Calculation Sheet'!$A$27="","",'Final Calculation Sheet'!$A$27)</f>
        <v/>
      </c>
      <c r="F16" s="304">
        <f>IF('Final Calculation Sheet'!$E$27="","",'Final Calculation Sheet'!$E$27)</f>
        <v/>
      </c>
      <c r="G16" s="302">
        <f>IF('Final Calculation Sheet'!$C$27="","",'Final Calculation Sheet'!$C$27)</f>
        <v/>
      </c>
      <c r="H16" s="302">
        <f>IF('Final Calculation Sheet'!$H$27="","",'Final Calculation Sheet'!$H$27)</f>
        <v/>
      </c>
      <c r="I16" s="302">
        <f>IF('Final Calculation Sheet'!$I$27="","",'Final Calculation Sheet'!$I$27)</f>
        <v/>
      </c>
      <c r="J16" s="302">
        <f>IF('Final Calculation Sheet'!$J$27="","",'Final Calculation Sheet'!$J$27)</f>
        <v/>
      </c>
      <c r="K16" s="302">
        <f>IF('Final Calculation Sheet'!$K$27="","",'Final Calculation Sheet'!$K$27)</f>
        <v/>
      </c>
      <c r="L16" s="305">
        <f>IF('Final Calculation Sheet'!$L$27="","",'Final Calculation Sheet'!$L$27)</f>
        <v/>
      </c>
      <c r="M16" s="305">
        <f>IF('Final Calculation Sheet'!$M$27="","",'Final Calculation Sheet'!$M$27)</f>
        <v/>
      </c>
      <c r="N16" s="305">
        <f>IF('Final Calculation Sheet'!$N$27="","",'Final Calculation Sheet'!$N$27)</f>
        <v/>
      </c>
      <c r="O16" s="305">
        <f>IF('Final Calculation Sheet'!$O$27="","",'Final Calculation Sheet'!$O$27)</f>
        <v/>
      </c>
      <c r="P16" s="302">
        <f>IF('Final Calculation Sheet'!$P$27="","",'Final Calculation Sheet'!$P$27)</f>
        <v/>
      </c>
      <c r="Q16" s="306">
        <f>IF('Final Calculation Sheet'!$Q$27="","",'Final Calculation Sheet'!$Q$27)</f>
        <v/>
      </c>
      <c r="R16" s="302">
        <f>IF('Final Calculation Sheet'!$R$27="","",'Final Calculation Sheet'!$R$27)</f>
        <v/>
      </c>
      <c r="S16" s="302">
        <f>IF('Final Calculation Sheet'!$S$27="","",'Final Calculation Sheet'!$S$27)</f>
        <v/>
      </c>
      <c r="T16" s="302">
        <f>IF('Final Calculation Sheet'!$T$27="","",'Final Calculation Sheet'!$T$27)</f>
        <v/>
      </c>
      <c r="U16" s="302">
        <f>IF('Final Calculation Sheet'!$U$27="","",'Final Calculation Sheet'!$U$27)</f>
        <v/>
      </c>
      <c r="V16" s="304">
        <f>IF('Final Calculation Sheet'!$V$27="","",'Final Calculation Sheet'!$V$27)</f>
        <v/>
      </c>
      <c r="W16" s="302">
        <f>IF('Final Calculation Sheet'!$W$27="","",'Final Calculation Sheet'!$W$27)</f>
        <v/>
      </c>
      <c r="X16" s="302">
        <f>IF('Final Calculation Sheet'!$X$27="","",'Final Calculation Sheet'!$X$27)</f>
        <v/>
      </c>
      <c r="Y16" s="304">
        <f>IF('Final Calculation Sheet'!$Y$27="","",'Final Calculation Sheet'!$Y$27)</f>
        <v/>
      </c>
      <c r="Z16" s="302">
        <f>IF('Final Calculation Sheet'!$Z$27="","",'Final Calculation Sheet'!$Z$27)</f>
        <v/>
      </c>
      <c r="AA16" s="302">
        <f>IF('Final Calculation Sheet'!$AA$27="","",'Final Calculation Sheet'!$AA$27)</f>
        <v/>
      </c>
      <c r="AB16" s="304">
        <f>IF('Final Calculation Sheet'!$AB$27="","",'Final Calculation Sheet'!$AB$27)</f>
        <v/>
      </c>
      <c r="AC16" s="302">
        <f>IF('Final Calculation Sheet'!$AC$27="","",'Final Calculation Sheet'!$AC$27)</f>
        <v/>
      </c>
      <c r="AD16" s="302">
        <f>IF('Final Calculation Sheet'!$AD$27="","",'Final Calculation Sheet'!$AD$27)</f>
        <v/>
      </c>
      <c r="AE16" s="304">
        <f>IF('Final Calculation Sheet'!$AD$27="","",IF('Final Calculation Sheet'!$AD$27&lt;=0,"SETTLED","OUTSTANDING"))</f>
        <v/>
      </c>
      <c r="AF16" s="304">
        <f>IF('Final Calculation Sheet'!$AE$27="","",'Final Calculation Sheet'!$AE$27)</f>
        <v/>
      </c>
      <c r="AG16" s="302">
        <f>IF('Final Calculation Sheet'!$AF$27="","",'Final Calculation Sheet'!$AF$27)</f>
        <v/>
      </c>
      <c r="AH16" s="304">
        <f>IF('Final Calculation Sheet'!$AG$27="","",'Final Calculation Sheet'!$AG$27)</f>
        <v/>
      </c>
      <c r="AI16" s="302" t="n">
        <v>27</v>
      </c>
    </row>
    <row r="17" ht="20" customHeight="1">
      <c r="A17" s="307" t="inlineStr">
        <is>
          <t>▼  NATIONAL ENTERPRISES</t>
        </is>
      </c>
      <c r="B17" s="308" t="n"/>
      <c r="C17" s="309" t="inlineStr">
        <is>
          <t>13 lots  —  click − to fold this buyer</t>
        </is>
      </c>
      <c r="D17" s="308" t="n"/>
      <c r="E17" s="310">
        <f>SUBTOTAL(109,E18:E30)</f>
        <v/>
      </c>
      <c r="F17" s="308" t="n"/>
      <c r="G17" s="308" t="n"/>
      <c r="H17" s="311">
        <f>SUBTOTAL(109,H18:H30)</f>
        <v/>
      </c>
      <c r="I17" s="311">
        <f>SUBTOTAL(109,I18:I30)</f>
        <v/>
      </c>
      <c r="J17" s="311">
        <f>SUBTOTAL(109,J18:J30)</f>
        <v/>
      </c>
      <c r="K17" s="311">
        <f>SUBTOTAL(109,K18:K30)</f>
        <v/>
      </c>
      <c r="L17" s="312">
        <f>SUBTOTAL(109,L18:L30)</f>
        <v/>
      </c>
      <c r="M17" s="312">
        <f>SUBTOTAL(109,M18:M30)</f>
        <v/>
      </c>
      <c r="N17" s="312">
        <f>SUBTOTAL(109,N18:N30)</f>
        <v/>
      </c>
      <c r="O17" s="312">
        <f>SUBTOTAL(109,O18:O30)</f>
        <v/>
      </c>
      <c r="P17" s="311">
        <f>SUBTOTAL(109,P18:P30)</f>
        <v/>
      </c>
      <c r="Q17" s="308" t="n"/>
      <c r="R17" s="311">
        <f>SUBTOTAL(109,R18:R30)</f>
        <v/>
      </c>
      <c r="S17" s="311">
        <f>SUBTOTAL(109,S18:S30)</f>
        <v/>
      </c>
      <c r="T17" s="311">
        <f>SUBTOTAL(109,T18:T30)</f>
        <v/>
      </c>
      <c r="U17" s="311">
        <f>SUBTOTAL(109,U18:U30)</f>
        <v/>
      </c>
      <c r="V17" s="308" t="n"/>
      <c r="W17" s="311">
        <f>SUBTOTAL(109,W18:W30)</f>
        <v/>
      </c>
      <c r="X17" s="311">
        <f>SUBTOTAL(109,X18:X30)</f>
        <v/>
      </c>
      <c r="Y17" s="308" t="n"/>
      <c r="Z17" s="311">
        <f>SUBTOTAL(109,Z18:Z30)</f>
        <v/>
      </c>
      <c r="AA17" s="311">
        <f>SUBTOTAL(109,AA18:AA30)</f>
        <v/>
      </c>
      <c r="AB17" s="308" t="n"/>
      <c r="AC17" s="311">
        <f>SUBTOTAL(109,AC18:AC30)</f>
        <v/>
      </c>
      <c r="AD17" s="311">
        <f>SUBTOTAL(109,AD18:AD30)</f>
        <v/>
      </c>
      <c r="AE17" s="308" t="n"/>
      <c r="AF17" s="308" t="n"/>
      <c r="AG17" s="308" t="n"/>
      <c r="AH17" s="308" t="n"/>
      <c r="AI17" s="308" t="n"/>
    </row>
    <row r="18" outlineLevel="1" ht="15" customHeight="1">
      <c r="A18" s="313">
        <f>IF('Final Calculation Sheet'!$G$5="","",'Final Calculation Sheet'!$G$5)</f>
        <v/>
      </c>
      <c r="B18" s="314">
        <f>IF('Final Calculation Sheet'!$F$5="","",'Final Calculation Sheet'!$F$5)</f>
        <v/>
      </c>
      <c r="C18" s="313">
        <f>IF('Final Calculation Sheet'!$B$5="","",'Final Calculation Sheet'!$B$5)</f>
        <v/>
      </c>
      <c r="D18" s="314">
        <f>IF('Final Calculation Sheet'!$D$5="","",'Final Calculation Sheet'!$D$5)</f>
        <v/>
      </c>
      <c r="E18" s="315">
        <f>IF('Final Calculation Sheet'!$A$5="","",'Final Calculation Sheet'!$A$5)</f>
        <v/>
      </c>
      <c r="F18" s="316">
        <f>IF('Final Calculation Sheet'!$E$5="","",'Final Calculation Sheet'!$E$5)</f>
        <v/>
      </c>
      <c r="G18" s="314">
        <f>IF('Final Calculation Sheet'!$C$5="","",'Final Calculation Sheet'!$C$5)</f>
        <v/>
      </c>
      <c r="H18" s="314">
        <f>IF('Final Calculation Sheet'!$H$5="","",'Final Calculation Sheet'!$H$5)</f>
        <v/>
      </c>
      <c r="I18" s="314">
        <f>IF('Final Calculation Sheet'!$I$5="","",'Final Calculation Sheet'!$I$5)</f>
        <v/>
      </c>
      <c r="J18" s="314">
        <f>IF('Final Calculation Sheet'!$J$5="","",'Final Calculation Sheet'!$J$5)</f>
        <v/>
      </c>
      <c r="K18" s="314">
        <f>IF('Final Calculation Sheet'!$K$5="","",'Final Calculation Sheet'!$K$5)</f>
        <v/>
      </c>
      <c r="L18" s="317">
        <f>IF('Final Calculation Sheet'!$L$5="","",'Final Calculation Sheet'!$L$5)</f>
        <v/>
      </c>
      <c r="M18" s="317">
        <f>IF('Final Calculation Sheet'!$M$5="","",'Final Calculation Sheet'!$M$5)</f>
        <v/>
      </c>
      <c r="N18" s="317">
        <f>IF('Final Calculation Sheet'!$N$5="","",'Final Calculation Sheet'!$N$5)</f>
        <v/>
      </c>
      <c r="O18" s="317">
        <f>IF('Final Calculation Sheet'!$O$5="","",'Final Calculation Sheet'!$O$5)</f>
        <v/>
      </c>
      <c r="P18" s="314">
        <f>IF('Final Calculation Sheet'!$P$5="","",'Final Calculation Sheet'!$P$5)</f>
        <v/>
      </c>
      <c r="Q18" s="318">
        <f>IF('Final Calculation Sheet'!$Q$5="","",'Final Calculation Sheet'!$Q$5)</f>
        <v/>
      </c>
      <c r="R18" s="314">
        <f>IF('Final Calculation Sheet'!$R$5="","",'Final Calculation Sheet'!$R$5)</f>
        <v/>
      </c>
      <c r="S18" s="314">
        <f>IF('Final Calculation Sheet'!$S$5="","",'Final Calculation Sheet'!$S$5)</f>
        <v/>
      </c>
      <c r="T18" s="314">
        <f>IF('Final Calculation Sheet'!$T$5="","",'Final Calculation Sheet'!$T$5)</f>
        <v/>
      </c>
      <c r="U18" s="314">
        <f>IF('Final Calculation Sheet'!$U$5="","",'Final Calculation Sheet'!$U$5)</f>
        <v/>
      </c>
      <c r="V18" s="316">
        <f>IF('Final Calculation Sheet'!$V$5="","",'Final Calculation Sheet'!$V$5)</f>
        <v/>
      </c>
      <c r="W18" s="314">
        <f>IF('Final Calculation Sheet'!$W$5="","",'Final Calculation Sheet'!$W$5)</f>
        <v/>
      </c>
      <c r="X18" s="314">
        <f>IF('Final Calculation Sheet'!$X$5="","",'Final Calculation Sheet'!$X$5)</f>
        <v/>
      </c>
      <c r="Y18" s="316">
        <f>IF('Final Calculation Sheet'!$Y$5="","",'Final Calculation Sheet'!$Y$5)</f>
        <v/>
      </c>
      <c r="Z18" s="314">
        <f>IF('Final Calculation Sheet'!$Z$5="","",'Final Calculation Sheet'!$Z$5)</f>
        <v/>
      </c>
      <c r="AA18" s="314">
        <f>IF('Final Calculation Sheet'!$AA$5="","",'Final Calculation Sheet'!$AA$5)</f>
        <v/>
      </c>
      <c r="AB18" s="316">
        <f>IF('Final Calculation Sheet'!$AB$5="","",'Final Calculation Sheet'!$AB$5)</f>
        <v/>
      </c>
      <c r="AC18" s="314">
        <f>IF('Final Calculation Sheet'!$AC$5="","",'Final Calculation Sheet'!$AC$5)</f>
        <v/>
      </c>
      <c r="AD18" s="314">
        <f>IF('Final Calculation Sheet'!$AD$5="","",'Final Calculation Sheet'!$AD$5)</f>
        <v/>
      </c>
      <c r="AE18" s="316">
        <f>IF('Final Calculation Sheet'!$AD$5="","",IF('Final Calculation Sheet'!$AD$5&lt;=0,"SETTLED","OUTSTANDING"))</f>
        <v/>
      </c>
      <c r="AF18" s="316">
        <f>IF('Final Calculation Sheet'!$AE$5="","",'Final Calculation Sheet'!$AE$5)</f>
        <v/>
      </c>
      <c r="AG18" s="314">
        <f>IF('Final Calculation Sheet'!$AF$5="","",'Final Calculation Sheet'!$AF$5)</f>
        <v/>
      </c>
      <c r="AH18" s="316">
        <f>IF('Final Calculation Sheet'!$AG$5="","",'Final Calculation Sheet'!$AG$5)</f>
        <v/>
      </c>
      <c r="AI18" s="314" t="n">
        <v>5</v>
      </c>
    </row>
    <row r="19" outlineLevel="1" ht="15" customHeight="1">
      <c r="A19" s="319">
        <f>IF('Final Calculation Sheet'!$G$10="","",'Final Calculation Sheet'!$G$10)</f>
        <v/>
      </c>
      <c r="B19" s="320">
        <f>IF('Final Calculation Sheet'!$F$10="","",'Final Calculation Sheet'!$F$10)</f>
        <v/>
      </c>
      <c r="C19" s="319">
        <f>IF('Final Calculation Sheet'!$B$10="","",'Final Calculation Sheet'!$B$10)</f>
        <v/>
      </c>
      <c r="D19" s="320">
        <f>IF('Final Calculation Sheet'!$D$10="","",'Final Calculation Sheet'!$D$10)</f>
        <v/>
      </c>
      <c r="E19" s="321">
        <f>IF('Final Calculation Sheet'!$A$10="","",'Final Calculation Sheet'!$A$10)</f>
        <v/>
      </c>
      <c r="F19" s="322">
        <f>IF('Final Calculation Sheet'!$E$10="","",'Final Calculation Sheet'!$E$10)</f>
        <v/>
      </c>
      <c r="G19" s="320">
        <f>IF('Final Calculation Sheet'!$C$10="","",'Final Calculation Sheet'!$C$10)</f>
        <v/>
      </c>
      <c r="H19" s="320">
        <f>IF('Final Calculation Sheet'!$H$10="","",'Final Calculation Sheet'!$H$10)</f>
        <v/>
      </c>
      <c r="I19" s="320">
        <f>IF('Final Calculation Sheet'!$I$10="","",'Final Calculation Sheet'!$I$10)</f>
        <v/>
      </c>
      <c r="J19" s="320">
        <f>IF('Final Calculation Sheet'!$J$10="","",'Final Calculation Sheet'!$J$10)</f>
        <v/>
      </c>
      <c r="K19" s="320">
        <f>IF('Final Calculation Sheet'!$K$10="","",'Final Calculation Sheet'!$K$10)</f>
        <v/>
      </c>
      <c r="L19" s="323">
        <f>IF('Final Calculation Sheet'!$L$10="","",'Final Calculation Sheet'!$L$10)</f>
        <v/>
      </c>
      <c r="M19" s="323">
        <f>IF('Final Calculation Sheet'!$M$10="","",'Final Calculation Sheet'!$M$10)</f>
        <v/>
      </c>
      <c r="N19" s="323">
        <f>IF('Final Calculation Sheet'!$N$10="","",'Final Calculation Sheet'!$N$10)</f>
        <v/>
      </c>
      <c r="O19" s="323">
        <f>IF('Final Calculation Sheet'!$O$10="","",'Final Calculation Sheet'!$O$10)</f>
        <v/>
      </c>
      <c r="P19" s="320">
        <f>IF('Final Calculation Sheet'!$P$10="","",'Final Calculation Sheet'!$P$10)</f>
        <v/>
      </c>
      <c r="Q19" s="324">
        <f>IF('Final Calculation Sheet'!$Q$10="","",'Final Calculation Sheet'!$Q$10)</f>
        <v/>
      </c>
      <c r="R19" s="320">
        <f>IF('Final Calculation Sheet'!$R$10="","",'Final Calculation Sheet'!$R$10)</f>
        <v/>
      </c>
      <c r="S19" s="320">
        <f>IF('Final Calculation Sheet'!$S$10="","",'Final Calculation Sheet'!$S$10)</f>
        <v/>
      </c>
      <c r="T19" s="320">
        <f>IF('Final Calculation Sheet'!$T$10="","",'Final Calculation Sheet'!$T$10)</f>
        <v/>
      </c>
      <c r="U19" s="320">
        <f>IF('Final Calculation Sheet'!$U$10="","",'Final Calculation Sheet'!$U$10)</f>
        <v/>
      </c>
      <c r="V19" s="322">
        <f>IF('Final Calculation Sheet'!$V$10="","",'Final Calculation Sheet'!$V$10)</f>
        <v/>
      </c>
      <c r="W19" s="320">
        <f>IF('Final Calculation Sheet'!$W$10="","",'Final Calculation Sheet'!$W$10)</f>
        <v/>
      </c>
      <c r="X19" s="320">
        <f>IF('Final Calculation Sheet'!$X$10="","",'Final Calculation Sheet'!$X$10)</f>
        <v/>
      </c>
      <c r="Y19" s="322">
        <f>IF('Final Calculation Sheet'!$Y$10="","",'Final Calculation Sheet'!$Y$10)</f>
        <v/>
      </c>
      <c r="Z19" s="320">
        <f>IF('Final Calculation Sheet'!$Z$10="","",'Final Calculation Sheet'!$Z$10)</f>
        <v/>
      </c>
      <c r="AA19" s="320">
        <f>IF('Final Calculation Sheet'!$AA$10="","",'Final Calculation Sheet'!$AA$10)</f>
        <v/>
      </c>
      <c r="AB19" s="322">
        <f>IF('Final Calculation Sheet'!$AB$10="","",'Final Calculation Sheet'!$AB$10)</f>
        <v/>
      </c>
      <c r="AC19" s="320">
        <f>IF('Final Calculation Sheet'!$AC$10="","",'Final Calculation Sheet'!$AC$10)</f>
        <v/>
      </c>
      <c r="AD19" s="320">
        <f>IF('Final Calculation Sheet'!$AD$10="","",'Final Calculation Sheet'!$AD$10)</f>
        <v/>
      </c>
      <c r="AE19" s="322">
        <f>IF('Final Calculation Sheet'!$AD$10="","",IF('Final Calculation Sheet'!$AD$10&lt;=0,"SETTLED","OUTSTANDING"))</f>
        <v/>
      </c>
      <c r="AF19" s="322">
        <f>IF('Final Calculation Sheet'!$AE$10="","",'Final Calculation Sheet'!$AE$10)</f>
        <v/>
      </c>
      <c r="AG19" s="320">
        <f>IF('Final Calculation Sheet'!$AF$10="","",'Final Calculation Sheet'!$AF$10)</f>
        <v/>
      </c>
      <c r="AH19" s="322">
        <f>IF('Final Calculation Sheet'!$AG$10="","",'Final Calculation Sheet'!$AG$10)</f>
        <v/>
      </c>
      <c r="AI19" s="320" t="n">
        <v>10</v>
      </c>
    </row>
    <row r="20" outlineLevel="1" ht="15" customHeight="1">
      <c r="A20" s="313">
        <f>IF('Final Calculation Sheet'!$G$11="","",'Final Calculation Sheet'!$G$11)</f>
        <v/>
      </c>
      <c r="B20" s="314">
        <f>IF('Final Calculation Sheet'!$F$11="","",'Final Calculation Sheet'!$F$11)</f>
        <v/>
      </c>
      <c r="C20" s="313">
        <f>IF('Final Calculation Sheet'!$B$11="","",'Final Calculation Sheet'!$B$11)</f>
        <v/>
      </c>
      <c r="D20" s="314">
        <f>IF('Final Calculation Sheet'!$D$11="","",'Final Calculation Sheet'!$D$11)</f>
        <v/>
      </c>
      <c r="E20" s="315">
        <f>IF('Final Calculation Sheet'!$A$11="","",'Final Calculation Sheet'!$A$11)</f>
        <v/>
      </c>
      <c r="F20" s="316">
        <f>IF('Final Calculation Sheet'!$E$11="","",'Final Calculation Sheet'!$E$11)</f>
        <v/>
      </c>
      <c r="G20" s="314">
        <f>IF('Final Calculation Sheet'!$C$11="","",'Final Calculation Sheet'!$C$11)</f>
        <v/>
      </c>
      <c r="H20" s="314">
        <f>IF('Final Calculation Sheet'!$H$11="","",'Final Calculation Sheet'!$H$11)</f>
        <v/>
      </c>
      <c r="I20" s="314">
        <f>IF('Final Calculation Sheet'!$I$11="","",'Final Calculation Sheet'!$I$11)</f>
        <v/>
      </c>
      <c r="J20" s="314">
        <f>IF('Final Calculation Sheet'!$J$11="","",'Final Calculation Sheet'!$J$11)</f>
        <v/>
      </c>
      <c r="K20" s="314">
        <f>IF('Final Calculation Sheet'!$K$11="","",'Final Calculation Sheet'!$K$11)</f>
        <v/>
      </c>
      <c r="L20" s="317">
        <f>IF('Final Calculation Sheet'!$L$11="","",'Final Calculation Sheet'!$L$11)</f>
        <v/>
      </c>
      <c r="M20" s="317">
        <f>IF('Final Calculation Sheet'!$M$11="","",'Final Calculation Sheet'!$M$11)</f>
        <v/>
      </c>
      <c r="N20" s="317">
        <f>IF('Final Calculation Sheet'!$N$11="","",'Final Calculation Sheet'!$N$11)</f>
        <v/>
      </c>
      <c r="O20" s="317">
        <f>IF('Final Calculation Sheet'!$O$11="","",'Final Calculation Sheet'!$O$11)</f>
        <v/>
      </c>
      <c r="P20" s="314">
        <f>IF('Final Calculation Sheet'!$P$11="","",'Final Calculation Sheet'!$P$11)</f>
        <v/>
      </c>
      <c r="Q20" s="318">
        <f>IF('Final Calculation Sheet'!$Q$11="","",'Final Calculation Sheet'!$Q$11)</f>
        <v/>
      </c>
      <c r="R20" s="314">
        <f>IF('Final Calculation Sheet'!$R$11="","",'Final Calculation Sheet'!$R$11)</f>
        <v/>
      </c>
      <c r="S20" s="314">
        <f>IF('Final Calculation Sheet'!$S$11="","",'Final Calculation Sheet'!$S$11)</f>
        <v/>
      </c>
      <c r="T20" s="314">
        <f>IF('Final Calculation Sheet'!$T$11="","",'Final Calculation Sheet'!$T$11)</f>
        <v/>
      </c>
      <c r="U20" s="314">
        <f>IF('Final Calculation Sheet'!$U$11="","",'Final Calculation Sheet'!$U$11)</f>
        <v/>
      </c>
      <c r="V20" s="316">
        <f>IF('Final Calculation Sheet'!$V$11="","",'Final Calculation Sheet'!$V$11)</f>
        <v/>
      </c>
      <c r="W20" s="314">
        <f>IF('Final Calculation Sheet'!$W$11="","",'Final Calculation Sheet'!$W$11)</f>
        <v/>
      </c>
      <c r="X20" s="314">
        <f>IF('Final Calculation Sheet'!$X$11="","",'Final Calculation Sheet'!$X$11)</f>
        <v/>
      </c>
      <c r="Y20" s="316">
        <f>IF('Final Calculation Sheet'!$Y$11="","",'Final Calculation Sheet'!$Y$11)</f>
        <v/>
      </c>
      <c r="Z20" s="314">
        <f>IF('Final Calculation Sheet'!$Z$11="","",'Final Calculation Sheet'!$Z$11)</f>
        <v/>
      </c>
      <c r="AA20" s="314">
        <f>IF('Final Calculation Sheet'!$AA$11="","",'Final Calculation Sheet'!$AA$11)</f>
        <v/>
      </c>
      <c r="AB20" s="316">
        <f>IF('Final Calculation Sheet'!$AB$11="","",'Final Calculation Sheet'!$AB$11)</f>
        <v/>
      </c>
      <c r="AC20" s="314">
        <f>IF('Final Calculation Sheet'!$AC$11="","",'Final Calculation Sheet'!$AC$11)</f>
        <v/>
      </c>
      <c r="AD20" s="314">
        <f>IF('Final Calculation Sheet'!$AD$11="","",'Final Calculation Sheet'!$AD$11)</f>
        <v/>
      </c>
      <c r="AE20" s="316">
        <f>IF('Final Calculation Sheet'!$AD$11="","",IF('Final Calculation Sheet'!$AD$11&lt;=0,"SETTLED","OUTSTANDING"))</f>
        <v/>
      </c>
      <c r="AF20" s="316">
        <f>IF('Final Calculation Sheet'!$AE$11="","",'Final Calculation Sheet'!$AE$11)</f>
        <v/>
      </c>
      <c r="AG20" s="314">
        <f>IF('Final Calculation Sheet'!$AF$11="","",'Final Calculation Sheet'!$AF$11)</f>
        <v/>
      </c>
      <c r="AH20" s="316">
        <f>IF('Final Calculation Sheet'!$AG$11="","",'Final Calculation Sheet'!$AG$11)</f>
        <v/>
      </c>
      <c r="AI20" s="314" t="n">
        <v>11</v>
      </c>
    </row>
    <row r="21" outlineLevel="1" ht="15" customHeight="1">
      <c r="A21" s="319">
        <f>IF('Final Calculation Sheet'!$G$12="","",'Final Calculation Sheet'!$G$12)</f>
        <v/>
      </c>
      <c r="B21" s="320">
        <f>IF('Final Calculation Sheet'!$F$12="","",'Final Calculation Sheet'!$F$12)</f>
        <v/>
      </c>
      <c r="C21" s="319">
        <f>IF('Final Calculation Sheet'!$B$12="","",'Final Calculation Sheet'!$B$12)</f>
        <v/>
      </c>
      <c r="D21" s="320">
        <f>IF('Final Calculation Sheet'!$D$12="","",'Final Calculation Sheet'!$D$12)</f>
        <v/>
      </c>
      <c r="E21" s="321">
        <f>IF('Final Calculation Sheet'!$A$12="","",'Final Calculation Sheet'!$A$12)</f>
        <v/>
      </c>
      <c r="F21" s="322">
        <f>IF('Final Calculation Sheet'!$E$12="","",'Final Calculation Sheet'!$E$12)</f>
        <v/>
      </c>
      <c r="G21" s="320">
        <f>IF('Final Calculation Sheet'!$C$12="","",'Final Calculation Sheet'!$C$12)</f>
        <v/>
      </c>
      <c r="H21" s="320">
        <f>IF('Final Calculation Sheet'!$H$12="","",'Final Calculation Sheet'!$H$12)</f>
        <v/>
      </c>
      <c r="I21" s="320">
        <f>IF('Final Calculation Sheet'!$I$12="","",'Final Calculation Sheet'!$I$12)</f>
        <v/>
      </c>
      <c r="J21" s="320">
        <f>IF('Final Calculation Sheet'!$J$12="","",'Final Calculation Sheet'!$J$12)</f>
        <v/>
      </c>
      <c r="K21" s="320">
        <f>IF('Final Calculation Sheet'!$K$12="","",'Final Calculation Sheet'!$K$12)</f>
        <v/>
      </c>
      <c r="L21" s="323">
        <f>IF('Final Calculation Sheet'!$L$12="","",'Final Calculation Sheet'!$L$12)</f>
        <v/>
      </c>
      <c r="M21" s="323">
        <f>IF('Final Calculation Sheet'!$M$12="","",'Final Calculation Sheet'!$M$12)</f>
        <v/>
      </c>
      <c r="N21" s="323">
        <f>IF('Final Calculation Sheet'!$N$12="","",'Final Calculation Sheet'!$N$12)</f>
        <v/>
      </c>
      <c r="O21" s="323">
        <f>IF('Final Calculation Sheet'!$O$12="","",'Final Calculation Sheet'!$O$12)</f>
        <v/>
      </c>
      <c r="P21" s="320">
        <f>IF('Final Calculation Sheet'!$P$12="","",'Final Calculation Sheet'!$P$12)</f>
        <v/>
      </c>
      <c r="Q21" s="324">
        <f>IF('Final Calculation Sheet'!$Q$12="","",'Final Calculation Sheet'!$Q$12)</f>
        <v/>
      </c>
      <c r="R21" s="320">
        <f>IF('Final Calculation Sheet'!$R$12="","",'Final Calculation Sheet'!$R$12)</f>
        <v/>
      </c>
      <c r="S21" s="320">
        <f>IF('Final Calculation Sheet'!$S$12="","",'Final Calculation Sheet'!$S$12)</f>
        <v/>
      </c>
      <c r="T21" s="320">
        <f>IF('Final Calculation Sheet'!$T$12="","",'Final Calculation Sheet'!$T$12)</f>
        <v/>
      </c>
      <c r="U21" s="320">
        <f>IF('Final Calculation Sheet'!$U$12="","",'Final Calculation Sheet'!$U$12)</f>
        <v/>
      </c>
      <c r="V21" s="322">
        <f>IF('Final Calculation Sheet'!$V$12="","",'Final Calculation Sheet'!$V$12)</f>
        <v/>
      </c>
      <c r="W21" s="320">
        <f>IF('Final Calculation Sheet'!$W$12="","",'Final Calculation Sheet'!$W$12)</f>
        <v/>
      </c>
      <c r="X21" s="320">
        <f>IF('Final Calculation Sheet'!$X$12="","",'Final Calculation Sheet'!$X$12)</f>
        <v/>
      </c>
      <c r="Y21" s="322">
        <f>IF('Final Calculation Sheet'!$Y$12="","",'Final Calculation Sheet'!$Y$12)</f>
        <v/>
      </c>
      <c r="Z21" s="320">
        <f>IF('Final Calculation Sheet'!$Z$12="","",'Final Calculation Sheet'!$Z$12)</f>
        <v/>
      </c>
      <c r="AA21" s="320">
        <f>IF('Final Calculation Sheet'!$AA$12="","",'Final Calculation Sheet'!$AA$12)</f>
        <v/>
      </c>
      <c r="AB21" s="322">
        <f>IF('Final Calculation Sheet'!$AB$12="","",'Final Calculation Sheet'!$AB$12)</f>
        <v/>
      </c>
      <c r="AC21" s="320">
        <f>IF('Final Calculation Sheet'!$AC$12="","",'Final Calculation Sheet'!$AC$12)</f>
        <v/>
      </c>
      <c r="AD21" s="320">
        <f>IF('Final Calculation Sheet'!$AD$12="","",'Final Calculation Sheet'!$AD$12)</f>
        <v/>
      </c>
      <c r="AE21" s="322">
        <f>IF('Final Calculation Sheet'!$AD$12="","",IF('Final Calculation Sheet'!$AD$12&lt;=0,"SETTLED","OUTSTANDING"))</f>
        <v/>
      </c>
      <c r="AF21" s="322">
        <f>IF('Final Calculation Sheet'!$AE$12="","",'Final Calculation Sheet'!$AE$12)</f>
        <v/>
      </c>
      <c r="AG21" s="320">
        <f>IF('Final Calculation Sheet'!$AF$12="","",'Final Calculation Sheet'!$AF$12)</f>
        <v/>
      </c>
      <c r="AH21" s="322">
        <f>IF('Final Calculation Sheet'!$AG$12="","",'Final Calculation Sheet'!$AG$12)</f>
        <v/>
      </c>
      <c r="AI21" s="320" t="n">
        <v>12</v>
      </c>
    </row>
    <row r="22" outlineLevel="1" ht="15" customHeight="1">
      <c r="A22" s="313">
        <f>IF('Final Calculation Sheet'!$G$18="","",'Final Calculation Sheet'!$G$18)</f>
        <v/>
      </c>
      <c r="B22" s="314">
        <f>IF('Final Calculation Sheet'!$F$18="","",'Final Calculation Sheet'!$F$18)</f>
        <v/>
      </c>
      <c r="C22" s="313">
        <f>IF('Final Calculation Sheet'!$B$18="","",'Final Calculation Sheet'!$B$18)</f>
        <v/>
      </c>
      <c r="D22" s="314">
        <f>IF('Final Calculation Sheet'!$D$18="","",'Final Calculation Sheet'!$D$18)</f>
        <v/>
      </c>
      <c r="E22" s="315">
        <f>IF('Final Calculation Sheet'!$A$18="","",'Final Calculation Sheet'!$A$18)</f>
        <v/>
      </c>
      <c r="F22" s="316">
        <f>IF('Final Calculation Sheet'!$E$18="","",'Final Calculation Sheet'!$E$18)</f>
        <v/>
      </c>
      <c r="G22" s="314">
        <f>IF('Final Calculation Sheet'!$C$18="","",'Final Calculation Sheet'!$C$18)</f>
        <v/>
      </c>
      <c r="H22" s="314">
        <f>IF('Final Calculation Sheet'!$H$18="","",'Final Calculation Sheet'!$H$18)</f>
        <v/>
      </c>
      <c r="I22" s="314">
        <f>IF('Final Calculation Sheet'!$I$18="","",'Final Calculation Sheet'!$I$18)</f>
        <v/>
      </c>
      <c r="J22" s="314">
        <f>IF('Final Calculation Sheet'!$J$18="","",'Final Calculation Sheet'!$J$18)</f>
        <v/>
      </c>
      <c r="K22" s="314">
        <f>IF('Final Calculation Sheet'!$K$18="","",'Final Calculation Sheet'!$K$18)</f>
        <v/>
      </c>
      <c r="L22" s="317">
        <f>IF('Final Calculation Sheet'!$L$18="","",'Final Calculation Sheet'!$L$18)</f>
        <v/>
      </c>
      <c r="M22" s="317">
        <f>IF('Final Calculation Sheet'!$M$18="","",'Final Calculation Sheet'!$M$18)</f>
        <v/>
      </c>
      <c r="N22" s="317">
        <f>IF('Final Calculation Sheet'!$N$18="","",'Final Calculation Sheet'!$N$18)</f>
        <v/>
      </c>
      <c r="O22" s="317">
        <f>IF('Final Calculation Sheet'!$O$18="","",'Final Calculation Sheet'!$O$18)</f>
        <v/>
      </c>
      <c r="P22" s="314">
        <f>IF('Final Calculation Sheet'!$P$18="","",'Final Calculation Sheet'!$P$18)</f>
        <v/>
      </c>
      <c r="Q22" s="318">
        <f>IF('Final Calculation Sheet'!$Q$18="","",'Final Calculation Sheet'!$Q$18)</f>
        <v/>
      </c>
      <c r="R22" s="314">
        <f>IF('Final Calculation Sheet'!$R$18="","",'Final Calculation Sheet'!$R$18)</f>
        <v/>
      </c>
      <c r="S22" s="314">
        <f>IF('Final Calculation Sheet'!$S$18="","",'Final Calculation Sheet'!$S$18)</f>
        <v/>
      </c>
      <c r="T22" s="314">
        <f>IF('Final Calculation Sheet'!$T$18="","",'Final Calculation Sheet'!$T$18)</f>
        <v/>
      </c>
      <c r="U22" s="314">
        <f>IF('Final Calculation Sheet'!$U$18="","",'Final Calculation Sheet'!$U$18)</f>
        <v/>
      </c>
      <c r="V22" s="316">
        <f>IF('Final Calculation Sheet'!$V$18="","",'Final Calculation Sheet'!$V$18)</f>
        <v/>
      </c>
      <c r="W22" s="314">
        <f>IF('Final Calculation Sheet'!$W$18="","",'Final Calculation Sheet'!$W$18)</f>
        <v/>
      </c>
      <c r="X22" s="314">
        <f>IF('Final Calculation Sheet'!$X$18="","",'Final Calculation Sheet'!$X$18)</f>
        <v/>
      </c>
      <c r="Y22" s="316">
        <f>IF('Final Calculation Sheet'!$Y$18="","",'Final Calculation Sheet'!$Y$18)</f>
        <v/>
      </c>
      <c r="Z22" s="314">
        <f>IF('Final Calculation Sheet'!$Z$18="","",'Final Calculation Sheet'!$Z$18)</f>
        <v/>
      </c>
      <c r="AA22" s="314">
        <f>IF('Final Calculation Sheet'!$AA$18="","",'Final Calculation Sheet'!$AA$18)</f>
        <v/>
      </c>
      <c r="AB22" s="316">
        <f>IF('Final Calculation Sheet'!$AB$18="","",'Final Calculation Sheet'!$AB$18)</f>
        <v/>
      </c>
      <c r="AC22" s="314">
        <f>IF('Final Calculation Sheet'!$AC$18="","",'Final Calculation Sheet'!$AC$18)</f>
        <v/>
      </c>
      <c r="AD22" s="314">
        <f>IF('Final Calculation Sheet'!$AD$18="","",'Final Calculation Sheet'!$AD$18)</f>
        <v/>
      </c>
      <c r="AE22" s="316">
        <f>IF('Final Calculation Sheet'!$AD$18="","",IF('Final Calculation Sheet'!$AD$18&lt;=0,"SETTLED","OUTSTANDING"))</f>
        <v/>
      </c>
      <c r="AF22" s="316">
        <f>IF('Final Calculation Sheet'!$AE$18="","",'Final Calculation Sheet'!$AE$18)</f>
        <v/>
      </c>
      <c r="AG22" s="314">
        <f>IF('Final Calculation Sheet'!$AF$18="","",'Final Calculation Sheet'!$AF$18)</f>
        <v/>
      </c>
      <c r="AH22" s="316">
        <f>IF('Final Calculation Sheet'!$AG$18="","",'Final Calculation Sheet'!$AG$18)</f>
        <v/>
      </c>
      <c r="AI22" s="314" t="n">
        <v>18</v>
      </c>
    </row>
    <row r="23" outlineLevel="1" ht="15" customHeight="1">
      <c r="A23" s="319">
        <f>IF('Final Calculation Sheet'!$G$19="","",'Final Calculation Sheet'!$G$19)</f>
        <v/>
      </c>
      <c r="B23" s="320">
        <f>IF('Final Calculation Sheet'!$F$19="","",'Final Calculation Sheet'!$F$19)</f>
        <v/>
      </c>
      <c r="C23" s="319">
        <f>IF('Final Calculation Sheet'!$B$19="","",'Final Calculation Sheet'!$B$19)</f>
        <v/>
      </c>
      <c r="D23" s="320">
        <f>IF('Final Calculation Sheet'!$D$19="","",'Final Calculation Sheet'!$D$19)</f>
        <v/>
      </c>
      <c r="E23" s="321">
        <f>IF('Final Calculation Sheet'!$A$19="","",'Final Calculation Sheet'!$A$19)</f>
        <v/>
      </c>
      <c r="F23" s="322">
        <f>IF('Final Calculation Sheet'!$E$19="","",'Final Calculation Sheet'!$E$19)</f>
        <v/>
      </c>
      <c r="G23" s="320">
        <f>IF('Final Calculation Sheet'!$C$19="","",'Final Calculation Sheet'!$C$19)</f>
        <v/>
      </c>
      <c r="H23" s="320">
        <f>IF('Final Calculation Sheet'!$H$19="","",'Final Calculation Sheet'!$H$19)</f>
        <v/>
      </c>
      <c r="I23" s="320">
        <f>IF('Final Calculation Sheet'!$I$19="","",'Final Calculation Sheet'!$I$19)</f>
        <v/>
      </c>
      <c r="J23" s="320">
        <f>IF('Final Calculation Sheet'!$J$19="","",'Final Calculation Sheet'!$J$19)</f>
        <v/>
      </c>
      <c r="K23" s="320">
        <f>IF('Final Calculation Sheet'!$K$19="","",'Final Calculation Sheet'!$K$19)</f>
        <v/>
      </c>
      <c r="L23" s="323">
        <f>IF('Final Calculation Sheet'!$L$19="","",'Final Calculation Sheet'!$L$19)</f>
        <v/>
      </c>
      <c r="M23" s="323">
        <f>IF('Final Calculation Sheet'!$M$19="","",'Final Calculation Sheet'!$M$19)</f>
        <v/>
      </c>
      <c r="N23" s="323">
        <f>IF('Final Calculation Sheet'!$N$19="","",'Final Calculation Sheet'!$N$19)</f>
        <v/>
      </c>
      <c r="O23" s="323">
        <f>IF('Final Calculation Sheet'!$O$19="","",'Final Calculation Sheet'!$O$19)</f>
        <v/>
      </c>
      <c r="P23" s="320">
        <f>IF('Final Calculation Sheet'!$P$19="","",'Final Calculation Sheet'!$P$19)</f>
        <v/>
      </c>
      <c r="Q23" s="324">
        <f>IF('Final Calculation Sheet'!$Q$19="","",'Final Calculation Sheet'!$Q$19)</f>
        <v/>
      </c>
      <c r="R23" s="320">
        <f>IF('Final Calculation Sheet'!$R$19="","",'Final Calculation Sheet'!$R$19)</f>
        <v/>
      </c>
      <c r="S23" s="320">
        <f>IF('Final Calculation Sheet'!$S$19="","",'Final Calculation Sheet'!$S$19)</f>
        <v/>
      </c>
      <c r="T23" s="320">
        <f>IF('Final Calculation Sheet'!$T$19="","",'Final Calculation Sheet'!$T$19)</f>
        <v/>
      </c>
      <c r="U23" s="320">
        <f>IF('Final Calculation Sheet'!$U$19="","",'Final Calculation Sheet'!$U$19)</f>
        <v/>
      </c>
      <c r="V23" s="322">
        <f>IF('Final Calculation Sheet'!$V$19="","",'Final Calculation Sheet'!$V$19)</f>
        <v/>
      </c>
      <c r="W23" s="320">
        <f>IF('Final Calculation Sheet'!$W$19="","",'Final Calculation Sheet'!$W$19)</f>
        <v/>
      </c>
      <c r="X23" s="320">
        <f>IF('Final Calculation Sheet'!$X$19="","",'Final Calculation Sheet'!$X$19)</f>
        <v/>
      </c>
      <c r="Y23" s="322">
        <f>IF('Final Calculation Sheet'!$Y$19="","",'Final Calculation Sheet'!$Y$19)</f>
        <v/>
      </c>
      <c r="Z23" s="320">
        <f>IF('Final Calculation Sheet'!$Z$19="","",'Final Calculation Sheet'!$Z$19)</f>
        <v/>
      </c>
      <c r="AA23" s="320">
        <f>IF('Final Calculation Sheet'!$AA$19="","",'Final Calculation Sheet'!$AA$19)</f>
        <v/>
      </c>
      <c r="AB23" s="322">
        <f>IF('Final Calculation Sheet'!$AB$19="","",'Final Calculation Sheet'!$AB$19)</f>
        <v/>
      </c>
      <c r="AC23" s="320">
        <f>IF('Final Calculation Sheet'!$AC$19="","",'Final Calculation Sheet'!$AC$19)</f>
        <v/>
      </c>
      <c r="AD23" s="320">
        <f>IF('Final Calculation Sheet'!$AD$19="","",'Final Calculation Sheet'!$AD$19)</f>
        <v/>
      </c>
      <c r="AE23" s="322">
        <f>IF('Final Calculation Sheet'!$AD$19="","",IF('Final Calculation Sheet'!$AD$19&lt;=0,"SETTLED","OUTSTANDING"))</f>
        <v/>
      </c>
      <c r="AF23" s="322">
        <f>IF('Final Calculation Sheet'!$AE$19="","",'Final Calculation Sheet'!$AE$19)</f>
        <v/>
      </c>
      <c r="AG23" s="320">
        <f>IF('Final Calculation Sheet'!$AF$19="","",'Final Calculation Sheet'!$AF$19)</f>
        <v/>
      </c>
      <c r="AH23" s="322">
        <f>IF('Final Calculation Sheet'!$AG$19="","",'Final Calculation Sheet'!$AG$19)</f>
        <v/>
      </c>
      <c r="AI23" s="320" t="n">
        <v>19</v>
      </c>
    </row>
    <row r="24" outlineLevel="1" ht="15" customHeight="1">
      <c r="A24" s="313">
        <f>IF('Final Calculation Sheet'!$G$22="","",'Final Calculation Sheet'!$G$22)</f>
        <v/>
      </c>
      <c r="B24" s="314">
        <f>IF('Final Calculation Sheet'!$F$22="","",'Final Calculation Sheet'!$F$22)</f>
        <v/>
      </c>
      <c r="C24" s="313">
        <f>IF('Final Calculation Sheet'!$B$22="","",'Final Calculation Sheet'!$B$22)</f>
        <v/>
      </c>
      <c r="D24" s="314">
        <f>IF('Final Calculation Sheet'!$D$22="","",'Final Calculation Sheet'!$D$22)</f>
        <v/>
      </c>
      <c r="E24" s="315">
        <f>IF('Final Calculation Sheet'!$A$22="","",'Final Calculation Sheet'!$A$22)</f>
        <v/>
      </c>
      <c r="F24" s="316">
        <f>IF('Final Calculation Sheet'!$E$22="","",'Final Calculation Sheet'!$E$22)</f>
        <v/>
      </c>
      <c r="G24" s="314">
        <f>IF('Final Calculation Sheet'!$C$22="","",'Final Calculation Sheet'!$C$22)</f>
        <v/>
      </c>
      <c r="H24" s="314">
        <f>IF('Final Calculation Sheet'!$H$22="","",'Final Calculation Sheet'!$H$22)</f>
        <v/>
      </c>
      <c r="I24" s="314">
        <f>IF('Final Calculation Sheet'!$I$22="","",'Final Calculation Sheet'!$I$22)</f>
        <v/>
      </c>
      <c r="J24" s="314">
        <f>IF('Final Calculation Sheet'!$J$22="","",'Final Calculation Sheet'!$J$22)</f>
        <v/>
      </c>
      <c r="K24" s="314">
        <f>IF('Final Calculation Sheet'!$K$22="","",'Final Calculation Sheet'!$K$22)</f>
        <v/>
      </c>
      <c r="L24" s="317">
        <f>IF('Final Calculation Sheet'!$L$22="","",'Final Calculation Sheet'!$L$22)</f>
        <v/>
      </c>
      <c r="M24" s="317">
        <f>IF('Final Calculation Sheet'!$M$22="","",'Final Calculation Sheet'!$M$22)</f>
        <v/>
      </c>
      <c r="N24" s="317">
        <f>IF('Final Calculation Sheet'!$N$22="","",'Final Calculation Sheet'!$N$22)</f>
        <v/>
      </c>
      <c r="O24" s="317">
        <f>IF('Final Calculation Sheet'!$O$22="","",'Final Calculation Sheet'!$O$22)</f>
        <v/>
      </c>
      <c r="P24" s="314">
        <f>IF('Final Calculation Sheet'!$P$22="","",'Final Calculation Sheet'!$P$22)</f>
        <v/>
      </c>
      <c r="Q24" s="318">
        <f>IF('Final Calculation Sheet'!$Q$22="","",'Final Calculation Sheet'!$Q$22)</f>
        <v/>
      </c>
      <c r="R24" s="314">
        <f>IF('Final Calculation Sheet'!$R$22="","",'Final Calculation Sheet'!$R$22)</f>
        <v/>
      </c>
      <c r="S24" s="314">
        <f>IF('Final Calculation Sheet'!$S$22="","",'Final Calculation Sheet'!$S$22)</f>
        <v/>
      </c>
      <c r="T24" s="314">
        <f>IF('Final Calculation Sheet'!$T$22="","",'Final Calculation Sheet'!$T$22)</f>
        <v/>
      </c>
      <c r="U24" s="314">
        <f>IF('Final Calculation Sheet'!$U$22="","",'Final Calculation Sheet'!$U$22)</f>
        <v/>
      </c>
      <c r="V24" s="316">
        <f>IF('Final Calculation Sheet'!$V$22="","",'Final Calculation Sheet'!$V$22)</f>
        <v/>
      </c>
      <c r="W24" s="314">
        <f>IF('Final Calculation Sheet'!$W$22="","",'Final Calculation Sheet'!$W$22)</f>
        <v/>
      </c>
      <c r="X24" s="314">
        <f>IF('Final Calculation Sheet'!$X$22="","",'Final Calculation Sheet'!$X$22)</f>
        <v/>
      </c>
      <c r="Y24" s="316">
        <f>IF('Final Calculation Sheet'!$Y$22="","",'Final Calculation Sheet'!$Y$22)</f>
        <v/>
      </c>
      <c r="Z24" s="314">
        <f>IF('Final Calculation Sheet'!$Z$22="","",'Final Calculation Sheet'!$Z$22)</f>
        <v/>
      </c>
      <c r="AA24" s="314">
        <f>IF('Final Calculation Sheet'!$AA$22="","",'Final Calculation Sheet'!$AA$22)</f>
        <v/>
      </c>
      <c r="AB24" s="316">
        <f>IF('Final Calculation Sheet'!$AB$22="","",'Final Calculation Sheet'!$AB$22)</f>
        <v/>
      </c>
      <c r="AC24" s="314">
        <f>IF('Final Calculation Sheet'!$AC$22="","",'Final Calculation Sheet'!$AC$22)</f>
        <v/>
      </c>
      <c r="AD24" s="314">
        <f>IF('Final Calculation Sheet'!$AD$22="","",'Final Calculation Sheet'!$AD$22)</f>
        <v/>
      </c>
      <c r="AE24" s="316">
        <f>IF('Final Calculation Sheet'!$AD$22="","",IF('Final Calculation Sheet'!$AD$22&lt;=0,"SETTLED","OUTSTANDING"))</f>
        <v/>
      </c>
      <c r="AF24" s="316">
        <f>IF('Final Calculation Sheet'!$AE$22="","",'Final Calculation Sheet'!$AE$22)</f>
        <v/>
      </c>
      <c r="AG24" s="314">
        <f>IF('Final Calculation Sheet'!$AF$22="","",'Final Calculation Sheet'!$AF$22)</f>
        <v/>
      </c>
      <c r="AH24" s="316">
        <f>IF('Final Calculation Sheet'!$AG$22="","",'Final Calculation Sheet'!$AG$22)</f>
        <v/>
      </c>
      <c r="AI24" s="314" t="n">
        <v>22</v>
      </c>
    </row>
    <row r="25" outlineLevel="1" ht="15" customHeight="1">
      <c r="A25" s="319">
        <f>IF('Final Calculation Sheet'!$G$24="","",'Final Calculation Sheet'!$G$24)</f>
        <v/>
      </c>
      <c r="B25" s="320">
        <f>IF('Final Calculation Sheet'!$F$24="","",'Final Calculation Sheet'!$F$24)</f>
        <v/>
      </c>
      <c r="C25" s="319">
        <f>IF('Final Calculation Sheet'!$B$24="","",'Final Calculation Sheet'!$B$24)</f>
        <v/>
      </c>
      <c r="D25" s="320">
        <f>IF('Final Calculation Sheet'!$D$24="","",'Final Calculation Sheet'!$D$24)</f>
        <v/>
      </c>
      <c r="E25" s="321">
        <f>IF('Final Calculation Sheet'!$A$24="","",'Final Calculation Sheet'!$A$24)</f>
        <v/>
      </c>
      <c r="F25" s="322">
        <f>IF('Final Calculation Sheet'!$E$24="","",'Final Calculation Sheet'!$E$24)</f>
        <v/>
      </c>
      <c r="G25" s="320">
        <f>IF('Final Calculation Sheet'!$C$24="","",'Final Calculation Sheet'!$C$24)</f>
        <v/>
      </c>
      <c r="H25" s="320">
        <f>IF('Final Calculation Sheet'!$H$24="","",'Final Calculation Sheet'!$H$24)</f>
        <v/>
      </c>
      <c r="I25" s="320">
        <f>IF('Final Calculation Sheet'!$I$24="","",'Final Calculation Sheet'!$I$24)</f>
        <v/>
      </c>
      <c r="J25" s="320">
        <f>IF('Final Calculation Sheet'!$J$24="","",'Final Calculation Sheet'!$J$24)</f>
        <v/>
      </c>
      <c r="K25" s="320">
        <f>IF('Final Calculation Sheet'!$K$24="","",'Final Calculation Sheet'!$K$24)</f>
        <v/>
      </c>
      <c r="L25" s="323">
        <f>IF('Final Calculation Sheet'!$L$24="","",'Final Calculation Sheet'!$L$24)</f>
        <v/>
      </c>
      <c r="M25" s="323">
        <f>IF('Final Calculation Sheet'!$M$24="","",'Final Calculation Sheet'!$M$24)</f>
        <v/>
      </c>
      <c r="N25" s="323">
        <f>IF('Final Calculation Sheet'!$N$24="","",'Final Calculation Sheet'!$N$24)</f>
        <v/>
      </c>
      <c r="O25" s="323">
        <f>IF('Final Calculation Sheet'!$O$24="","",'Final Calculation Sheet'!$O$24)</f>
        <v/>
      </c>
      <c r="P25" s="320">
        <f>IF('Final Calculation Sheet'!$P$24="","",'Final Calculation Sheet'!$P$24)</f>
        <v/>
      </c>
      <c r="Q25" s="324">
        <f>IF('Final Calculation Sheet'!$Q$24="","",'Final Calculation Sheet'!$Q$24)</f>
        <v/>
      </c>
      <c r="R25" s="320">
        <f>IF('Final Calculation Sheet'!$R$24="","",'Final Calculation Sheet'!$R$24)</f>
        <v/>
      </c>
      <c r="S25" s="320">
        <f>IF('Final Calculation Sheet'!$S$24="","",'Final Calculation Sheet'!$S$24)</f>
        <v/>
      </c>
      <c r="T25" s="320">
        <f>IF('Final Calculation Sheet'!$T$24="","",'Final Calculation Sheet'!$T$24)</f>
        <v/>
      </c>
      <c r="U25" s="320">
        <f>IF('Final Calculation Sheet'!$U$24="","",'Final Calculation Sheet'!$U$24)</f>
        <v/>
      </c>
      <c r="V25" s="322">
        <f>IF('Final Calculation Sheet'!$V$24="","",'Final Calculation Sheet'!$V$24)</f>
        <v/>
      </c>
      <c r="W25" s="320">
        <f>IF('Final Calculation Sheet'!$W$24="","",'Final Calculation Sheet'!$W$24)</f>
        <v/>
      </c>
      <c r="X25" s="320">
        <f>IF('Final Calculation Sheet'!$X$24="","",'Final Calculation Sheet'!$X$24)</f>
        <v/>
      </c>
      <c r="Y25" s="322">
        <f>IF('Final Calculation Sheet'!$Y$24="","",'Final Calculation Sheet'!$Y$24)</f>
        <v/>
      </c>
      <c r="Z25" s="320">
        <f>IF('Final Calculation Sheet'!$Z$24="","",'Final Calculation Sheet'!$Z$24)</f>
        <v/>
      </c>
      <c r="AA25" s="320">
        <f>IF('Final Calculation Sheet'!$AA$24="","",'Final Calculation Sheet'!$AA$24)</f>
        <v/>
      </c>
      <c r="AB25" s="322">
        <f>IF('Final Calculation Sheet'!$AB$24="","",'Final Calculation Sheet'!$AB$24)</f>
        <v/>
      </c>
      <c r="AC25" s="320">
        <f>IF('Final Calculation Sheet'!$AC$24="","",'Final Calculation Sheet'!$AC$24)</f>
        <v/>
      </c>
      <c r="AD25" s="320">
        <f>IF('Final Calculation Sheet'!$AD$24="","",'Final Calculation Sheet'!$AD$24)</f>
        <v/>
      </c>
      <c r="AE25" s="322">
        <f>IF('Final Calculation Sheet'!$AD$24="","",IF('Final Calculation Sheet'!$AD$24&lt;=0,"SETTLED","OUTSTANDING"))</f>
        <v/>
      </c>
      <c r="AF25" s="322">
        <f>IF('Final Calculation Sheet'!$AE$24="","",'Final Calculation Sheet'!$AE$24)</f>
        <v/>
      </c>
      <c r="AG25" s="320">
        <f>IF('Final Calculation Sheet'!$AF$24="","",'Final Calculation Sheet'!$AF$24)</f>
        <v/>
      </c>
      <c r="AH25" s="322">
        <f>IF('Final Calculation Sheet'!$AG$24="","",'Final Calculation Sheet'!$AG$24)</f>
        <v/>
      </c>
      <c r="AI25" s="320" t="n">
        <v>24</v>
      </c>
    </row>
    <row r="26" outlineLevel="1" ht="15" customHeight="1">
      <c r="A26" s="313">
        <f>IF('Final Calculation Sheet'!$G$26="","",'Final Calculation Sheet'!$G$26)</f>
        <v/>
      </c>
      <c r="B26" s="314">
        <f>IF('Final Calculation Sheet'!$F$26="","",'Final Calculation Sheet'!$F$26)</f>
        <v/>
      </c>
      <c r="C26" s="313">
        <f>IF('Final Calculation Sheet'!$B$26="","",'Final Calculation Sheet'!$B$26)</f>
        <v/>
      </c>
      <c r="D26" s="314">
        <f>IF('Final Calculation Sheet'!$D$26="","",'Final Calculation Sheet'!$D$26)</f>
        <v/>
      </c>
      <c r="E26" s="315">
        <f>IF('Final Calculation Sheet'!$A$26="","",'Final Calculation Sheet'!$A$26)</f>
        <v/>
      </c>
      <c r="F26" s="316">
        <f>IF('Final Calculation Sheet'!$E$26="","",'Final Calculation Sheet'!$E$26)</f>
        <v/>
      </c>
      <c r="G26" s="314">
        <f>IF('Final Calculation Sheet'!$C$26="","",'Final Calculation Sheet'!$C$26)</f>
        <v/>
      </c>
      <c r="H26" s="314">
        <f>IF('Final Calculation Sheet'!$H$26="","",'Final Calculation Sheet'!$H$26)</f>
        <v/>
      </c>
      <c r="I26" s="314">
        <f>IF('Final Calculation Sheet'!$I$26="","",'Final Calculation Sheet'!$I$26)</f>
        <v/>
      </c>
      <c r="J26" s="314">
        <f>IF('Final Calculation Sheet'!$J$26="","",'Final Calculation Sheet'!$J$26)</f>
        <v/>
      </c>
      <c r="K26" s="314">
        <f>IF('Final Calculation Sheet'!$K$26="","",'Final Calculation Sheet'!$K$26)</f>
        <v/>
      </c>
      <c r="L26" s="317">
        <f>IF('Final Calculation Sheet'!$L$26="","",'Final Calculation Sheet'!$L$26)</f>
        <v/>
      </c>
      <c r="M26" s="317">
        <f>IF('Final Calculation Sheet'!$M$26="","",'Final Calculation Sheet'!$M$26)</f>
        <v/>
      </c>
      <c r="N26" s="317">
        <f>IF('Final Calculation Sheet'!$N$26="","",'Final Calculation Sheet'!$N$26)</f>
        <v/>
      </c>
      <c r="O26" s="317">
        <f>IF('Final Calculation Sheet'!$O$26="","",'Final Calculation Sheet'!$O$26)</f>
        <v/>
      </c>
      <c r="P26" s="314">
        <f>IF('Final Calculation Sheet'!$P$26="","",'Final Calculation Sheet'!$P$26)</f>
        <v/>
      </c>
      <c r="Q26" s="318">
        <f>IF('Final Calculation Sheet'!$Q$26="","",'Final Calculation Sheet'!$Q$26)</f>
        <v/>
      </c>
      <c r="R26" s="314">
        <f>IF('Final Calculation Sheet'!$R$26="","",'Final Calculation Sheet'!$R$26)</f>
        <v/>
      </c>
      <c r="S26" s="314">
        <f>IF('Final Calculation Sheet'!$S$26="","",'Final Calculation Sheet'!$S$26)</f>
        <v/>
      </c>
      <c r="T26" s="314">
        <f>IF('Final Calculation Sheet'!$T$26="","",'Final Calculation Sheet'!$T$26)</f>
        <v/>
      </c>
      <c r="U26" s="314">
        <f>IF('Final Calculation Sheet'!$U$26="","",'Final Calculation Sheet'!$U$26)</f>
        <v/>
      </c>
      <c r="V26" s="316">
        <f>IF('Final Calculation Sheet'!$V$26="","",'Final Calculation Sheet'!$V$26)</f>
        <v/>
      </c>
      <c r="W26" s="314">
        <f>IF('Final Calculation Sheet'!$W$26="","",'Final Calculation Sheet'!$W$26)</f>
        <v/>
      </c>
      <c r="X26" s="314">
        <f>IF('Final Calculation Sheet'!$X$26="","",'Final Calculation Sheet'!$X$26)</f>
        <v/>
      </c>
      <c r="Y26" s="316">
        <f>IF('Final Calculation Sheet'!$Y$26="","",'Final Calculation Sheet'!$Y$26)</f>
        <v/>
      </c>
      <c r="Z26" s="314">
        <f>IF('Final Calculation Sheet'!$Z$26="","",'Final Calculation Sheet'!$Z$26)</f>
        <v/>
      </c>
      <c r="AA26" s="314">
        <f>IF('Final Calculation Sheet'!$AA$26="","",'Final Calculation Sheet'!$AA$26)</f>
        <v/>
      </c>
      <c r="AB26" s="316">
        <f>IF('Final Calculation Sheet'!$AB$26="","",'Final Calculation Sheet'!$AB$26)</f>
        <v/>
      </c>
      <c r="AC26" s="314">
        <f>IF('Final Calculation Sheet'!$AC$26="","",'Final Calculation Sheet'!$AC$26)</f>
        <v/>
      </c>
      <c r="AD26" s="314">
        <f>IF('Final Calculation Sheet'!$AD$26="","",'Final Calculation Sheet'!$AD$26)</f>
        <v/>
      </c>
      <c r="AE26" s="316">
        <f>IF('Final Calculation Sheet'!$AD$26="","",IF('Final Calculation Sheet'!$AD$26&lt;=0,"SETTLED","OUTSTANDING"))</f>
        <v/>
      </c>
      <c r="AF26" s="316">
        <f>IF('Final Calculation Sheet'!$AE$26="","",'Final Calculation Sheet'!$AE$26)</f>
        <v/>
      </c>
      <c r="AG26" s="314">
        <f>IF('Final Calculation Sheet'!$AF$26="","",'Final Calculation Sheet'!$AF$26)</f>
        <v/>
      </c>
      <c r="AH26" s="316">
        <f>IF('Final Calculation Sheet'!$AG$26="","",'Final Calculation Sheet'!$AG$26)</f>
        <v/>
      </c>
      <c r="AI26" s="314" t="n">
        <v>26</v>
      </c>
    </row>
    <row r="27" outlineLevel="1" ht="15" customHeight="1">
      <c r="A27" s="319">
        <f>IF('Final Calculation Sheet'!$G$30="","",'Final Calculation Sheet'!$G$30)</f>
        <v/>
      </c>
      <c r="B27" s="320">
        <f>IF('Final Calculation Sheet'!$F$30="","",'Final Calculation Sheet'!$F$30)</f>
        <v/>
      </c>
      <c r="C27" s="319">
        <f>IF('Final Calculation Sheet'!$B$30="","",'Final Calculation Sheet'!$B$30)</f>
        <v/>
      </c>
      <c r="D27" s="320">
        <f>IF('Final Calculation Sheet'!$D$30="","",'Final Calculation Sheet'!$D$30)</f>
        <v/>
      </c>
      <c r="E27" s="321">
        <f>IF('Final Calculation Sheet'!$A$30="","",'Final Calculation Sheet'!$A$30)</f>
        <v/>
      </c>
      <c r="F27" s="322">
        <f>IF('Final Calculation Sheet'!$E$30="","",'Final Calculation Sheet'!$E$30)</f>
        <v/>
      </c>
      <c r="G27" s="320">
        <f>IF('Final Calculation Sheet'!$C$30="","",'Final Calculation Sheet'!$C$30)</f>
        <v/>
      </c>
      <c r="H27" s="320">
        <f>IF('Final Calculation Sheet'!$H$30="","",'Final Calculation Sheet'!$H$30)</f>
        <v/>
      </c>
      <c r="I27" s="320">
        <f>IF('Final Calculation Sheet'!$I$30="","",'Final Calculation Sheet'!$I$30)</f>
        <v/>
      </c>
      <c r="J27" s="320">
        <f>IF('Final Calculation Sheet'!$J$30="","",'Final Calculation Sheet'!$J$30)</f>
        <v/>
      </c>
      <c r="K27" s="320">
        <f>IF('Final Calculation Sheet'!$K$30="","",'Final Calculation Sheet'!$K$30)</f>
        <v/>
      </c>
      <c r="L27" s="323">
        <f>IF('Final Calculation Sheet'!$L$30="","",'Final Calculation Sheet'!$L$30)</f>
        <v/>
      </c>
      <c r="M27" s="323">
        <f>IF('Final Calculation Sheet'!$M$30="","",'Final Calculation Sheet'!$M$30)</f>
        <v/>
      </c>
      <c r="N27" s="323">
        <f>IF('Final Calculation Sheet'!$N$30="","",'Final Calculation Sheet'!$N$30)</f>
        <v/>
      </c>
      <c r="O27" s="323">
        <f>IF('Final Calculation Sheet'!$O$30="","",'Final Calculation Sheet'!$O$30)</f>
        <v/>
      </c>
      <c r="P27" s="320">
        <f>IF('Final Calculation Sheet'!$P$30="","",'Final Calculation Sheet'!$P$30)</f>
        <v/>
      </c>
      <c r="Q27" s="324">
        <f>IF('Final Calculation Sheet'!$Q$30="","",'Final Calculation Sheet'!$Q$30)</f>
        <v/>
      </c>
      <c r="R27" s="320">
        <f>IF('Final Calculation Sheet'!$R$30="","",'Final Calculation Sheet'!$R$30)</f>
        <v/>
      </c>
      <c r="S27" s="320">
        <f>IF('Final Calculation Sheet'!$S$30="","",'Final Calculation Sheet'!$S$30)</f>
        <v/>
      </c>
      <c r="T27" s="320">
        <f>IF('Final Calculation Sheet'!$T$30="","",'Final Calculation Sheet'!$T$30)</f>
        <v/>
      </c>
      <c r="U27" s="320">
        <f>IF('Final Calculation Sheet'!$U$30="","",'Final Calculation Sheet'!$U$30)</f>
        <v/>
      </c>
      <c r="V27" s="322">
        <f>IF('Final Calculation Sheet'!$V$30="","",'Final Calculation Sheet'!$V$30)</f>
        <v/>
      </c>
      <c r="W27" s="320">
        <f>IF('Final Calculation Sheet'!$W$30="","",'Final Calculation Sheet'!$W$30)</f>
        <v/>
      </c>
      <c r="X27" s="320">
        <f>IF('Final Calculation Sheet'!$X$30="","",'Final Calculation Sheet'!$X$30)</f>
        <v/>
      </c>
      <c r="Y27" s="322">
        <f>IF('Final Calculation Sheet'!$Y$30="","",'Final Calculation Sheet'!$Y$30)</f>
        <v/>
      </c>
      <c r="Z27" s="320">
        <f>IF('Final Calculation Sheet'!$Z$30="","",'Final Calculation Sheet'!$Z$30)</f>
        <v/>
      </c>
      <c r="AA27" s="320">
        <f>IF('Final Calculation Sheet'!$AA$30="","",'Final Calculation Sheet'!$AA$30)</f>
        <v/>
      </c>
      <c r="AB27" s="322">
        <f>IF('Final Calculation Sheet'!$AB$30="","",'Final Calculation Sheet'!$AB$30)</f>
        <v/>
      </c>
      <c r="AC27" s="320">
        <f>IF('Final Calculation Sheet'!$AC$30="","",'Final Calculation Sheet'!$AC$30)</f>
        <v/>
      </c>
      <c r="AD27" s="320">
        <f>IF('Final Calculation Sheet'!$AD$30="","",'Final Calculation Sheet'!$AD$30)</f>
        <v/>
      </c>
      <c r="AE27" s="322">
        <f>IF('Final Calculation Sheet'!$AD$30="","",IF('Final Calculation Sheet'!$AD$30&lt;=0,"SETTLED","OUTSTANDING"))</f>
        <v/>
      </c>
      <c r="AF27" s="322">
        <f>IF('Final Calculation Sheet'!$AE$30="","",'Final Calculation Sheet'!$AE$30)</f>
        <v/>
      </c>
      <c r="AG27" s="320">
        <f>IF('Final Calculation Sheet'!$AF$30="","",'Final Calculation Sheet'!$AF$30)</f>
        <v/>
      </c>
      <c r="AH27" s="322">
        <f>IF('Final Calculation Sheet'!$AG$30="","",'Final Calculation Sheet'!$AG$30)</f>
        <v/>
      </c>
      <c r="AI27" s="320" t="n">
        <v>30</v>
      </c>
    </row>
    <row r="28" outlineLevel="1" ht="15" customHeight="1">
      <c r="A28" s="313">
        <f>IF('Final Calculation Sheet'!$G$32="","",'Final Calculation Sheet'!$G$32)</f>
        <v/>
      </c>
      <c r="B28" s="314">
        <f>IF('Final Calculation Sheet'!$F$32="","",'Final Calculation Sheet'!$F$32)</f>
        <v/>
      </c>
      <c r="C28" s="313">
        <f>IF('Final Calculation Sheet'!$B$32="","",'Final Calculation Sheet'!$B$32)</f>
        <v/>
      </c>
      <c r="D28" s="314">
        <f>IF('Final Calculation Sheet'!$D$32="","",'Final Calculation Sheet'!$D$32)</f>
        <v/>
      </c>
      <c r="E28" s="315">
        <f>IF('Final Calculation Sheet'!$A$32="","",'Final Calculation Sheet'!$A$32)</f>
        <v/>
      </c>
      <c r="F28" s="316">
        <f>IF('Final Calculation Sheet'!$E$32="","",'Final Calculation Sheet'!$E$32)</f>
        <v/>
      </c>
      <c r="G28" s="314">
        <f>IF('Final Calculation Sheet'!$C$32="","",'Final Calculation Sheet'!$C$32)</f>
        <v/>
      </c>
      <c r="H28" s="314">
        <f>IF('Final Calculation Sheet'!$H$32="","",'Final Calculation Sheet'!$H$32)</f>
        <v/>
      </c>
      <c r="I28" s="314">
        <f>IF('Final Calculation Sheet'!$I$32="","",'Final Calculation Sheet'!$I$32)</f>
        <v/>
      </c>
      <c r="J28" s="314">
        <f>IF('Final Calculation Sheet'!$J$32="","",'Final Calculation Sheet'!$J$32)</f>
        <v/>
      </c>
      <c r="K28" s="314">
        <f>IF('Final Calculation Sheet'!$K$32="","",'Final Calculation Sheet'!$K$32)</f>
        <v/>
      </c>
      <c r="L28" s="317">
        <f>IF('Final Calculation Sheet'!$L$32="","",'Final Calculation Sheet'!$L$32)</f>
        <v/>
      </c>
      <c r="M28" s="317">
        <f>IF('Final Calculation Sheet'!$M$32="","",'Final Calculation Sheet'!$M$32)</f>
        <v/>
      </c>
      <c r="N28" s="317">
        <f>IF('Final Calculation Sheet'!$N$32="","",'Final Calculation Sheet'!$N$32)</f>
        <v/>
      </c>
      <c r="O28" s="317">
        <f>IF('Final Calculation Sheet'!$O$32="","",'Final Calculation Sheet'!$O$32)</f>
        <v/>
      </c>
      <c r="P28" s="314">
        <f>IF('Final Calculation Sheet'!$P$32="","",'Final Calculation Sheet'!$P$32)</f>
        <v/>
      </c>
      <c r="Q28" s="318">
        <f>IF('Final Calculation Sheet'!$Q$32="","",'Final Calculation Sheet'!$Q$32)</f>
        <v/>
      </c>
      <c r="R28" s="314">
        <f>IF('Final Calculation Sheet'!$R$32="","",'Final Calculation Sheet'!$R$32)</f>
        <v/>
      </c>
      <c r="S28" s="314">
        <f>IF('Final Calculation Sheet'!$S$32="","",'Final Calculation Sheet'!$S$32)</f>
        <v/>
      </c>
      <c r="T28" s="314">
        <f>IF('Final Calculation Sheet'!$T$32="","",'Final Calculation Sheet'!$T$32)</f>
        <v/>
      </c>
      <c r="U28" s="314">
        <f>IF('Final Calculation Sheet'!$U$32="","",'Final Calculation Sheet'!$U$32)</f>
        <v/>
      </c>
      <c r="V28" s="316">
        <f>IF('Final Calculation Sheet'!$V$32="","",'Final Calculation Sheet'!$V$32)</f>
        <v/>
      </c>
      <c r="W28" s="314">
        <f>IF('Final Calculation Sheet'!$W$32="","",'Final Calculation Sheet'!$W$32)</f>
        <v/>
      </c>
      <c r="X28" s="314">
        <f>IF('Final Calculation Sheet'!$X$32="","",'Final Calculation Sheet'!$X$32)</f>
        <v/>
      </c>
      <c r="Y28" s="316">
        <f>IF('Final Calculation Sheet'!$Y$32="","",'Final Calculation Sheet'!$Y$32)</f>
        <v/>
      </c>
      <c r="Z28" s="314">
        <f>IF('Final Calculation Sheet'!$Z$32="","",'Final Calculation Sheet'!$Z$32)</f>
        <v/>
      </c>
      <c r="AA28" s="314">
        <f>IF('Final Calculation Sheet'!$AA$32="","",'Final Calculation Sheet'!$AA$32)</f>
        <v/>
      </c>
      <c r="AB28" s="316">
        <f>IF('Final Calculation Sheet'!$AB$32="","",'Final Calculation Sheet'!$AB$32)</f>
        <v/>
      </c>
      <c r="AC28" s="314">
        <f>IF('Final Calculation Sheet'!$AC$32="","",'Final Calculation Sheet'!$AC$32)</f>
        <v/>
      </c>
      <c r="AD28" s="314">
        <f>IF('Final Calculation Sheet'!$AD$32="","",'Final Calculation Sheet'!$AD$32)</f>
        <v/>
      </c>
      <c r="AE28" s="316">
        <f>IF('Final Calculation Sheet'!$AD$32="","",IF('Final Calculation Sheet'!$AD$32&lt;=0,"SETTLED","OUTSTANDING"))</f>
        <v/>
      </c>
      <c r="AF28" s="316">
        <f>IF('Final Calculation Sheet'!$AE$32="","",'Final Calculation Sheet'!$AE$32)</f>
        <v/>
      </c>
      <c r="AG28" s="314">
        <f>IF('Final Calculation Sheet'!$AF$32="","",'Final Calculation Sheet'!$AF$32)</f>
        <v/>
      </c>
      <c r="AH28" s="316">
        <f>IF('Final Calculation Sheet'!$AG$32="","",'Final Calculation Sheet'!$AG$32)</f>
        <v/>
      </c>
      <c r="AI28" s="314" t="n">
        <v>32</v>
      </c>
    </row>
    <row r="29" outlineLevel="1" ht="15" customHeight="1">
      <c r="A29" s="319">
        <f>IF('Final Calculation Sheet'!$G$33="","",'Final Calculation Sheet'!$G$33)</f>
        <v/>
      </c>
      <c r="B29" s="320">
        <f>IF('Final Calculation Sheet'!$F$33="","",'Final Calculation Sheet'!$F$33)</f>
        <v/>
      </c>
      <c r="C29" s="319">
        <f>IF('Final Calculation Sheet'!$B$33="","",'Final Calculation Sheet'!$B$33)</f>
        <v/>
      </c>
      <c r="D29" s="320">
        <f>IF('Final Calculation Sheet'!$D$33="","",'Final Calculation Sheet'!$D$33)</f>
        <v/>
      </c>
      <c r="E29" s="321">
        <f>IF('Final Calculation Sheet'!$A$33="","",'Final Calculation Sheet'!$A$33)</f>
        <v/>
      </c>
      <c r="F29" s="322">
        <f>IF('Final Calculation Sheet'!$E$33="","",'Final Calculation Sheet'!$E$33)</f>
        <v/>
      </c>
      <c r="G29" s="320">
        <f>IF('Final Calculation Sheet'!$C$33="","",'Final Calculation Sheet'!$C$33)</f>
        <v/>
      </c>
      <c r="H29" s="320">
        <f>IF('Final Calculation Sheet'!$H$33="","",'Final Calculation Sheet'!$H$33)</f>
        <v/>
      </c>
      <c r="I29" s="320">
        <f>IF('Final Calculation Sheet'!$I$33="","",'Final Calculation Sheet'!$I$33)</f>
        <v/>
      </c>
      <c r="J29" s="320">
        <f>IF('Final Calculation Sheet'!$J$33="","",'Final Calculation Sheet'!$J$33)</f>
        <v/>
      </c>
      <c r="K29" s="320">
        <f>IF('Final Calculation Sheet'!$K$33="","",'Final Calculation Sheet'!$K$33)</f>
        <v/>
      </c>
      <c r="L29" s="323">
        <f>IF('Final Calculation Sheet'!$L$33="","",'Final Calculation Sheet'!$L$33)</f>
        <v/>
      </c>
      <c r="M29" s="323">
        <f>IF('Final Calculation Sheet'!$M$33="","",'Final Calculation Sheet'!$M$33)</f>
        <v/>
      </c>
      <c r="N29" s="323">
        <f>IF('Final Calculation Sheet'!$N$33="","",'Final Calculation Sheet'!$N$33)</f>
        <v/>
      </c>
      <c r="O29" s="323">
        <f>IF('Final Calculation Sheet'!$O$33="","",'Final Calculation Sheet'!$O$33)</f>
        <v/>
      </c>
      <c r="P29" s="320">
        <f>IF('Final Calculation Sheet'!$P$33="","",'Final Calculation Sheet'!$P$33)</f>
        <v/>
      </c>
      <c r="Q29" s="324">
        <f>IF('Final Calculation Sheet'!$Q$33="","",'Final Calculation Sheet'!$Q$33)</f>
        <v/>
      </c>
      <c r="R29" s="320">
        <f>IF('Final Calculation Sheet'!$R$33="","",'Final Calculation Sheet'!$R$33)</f>
        <v/>
      </c>
      <c r="S29" s="320">
        <f>IF('Final Calculation Sheet'!$S$33="","",'Final Calculation Sheet'!$S$33)</f>
        <v/>
      </c>
      <c r="T29" s="320">
        <f>IF('Final Calculation Sheet'!$T$33="","",'Final Calculation Sheet'!$T$33)</f>
        <v/>
      </c>
      <c r="U29" s="320">
        <f>IF('Final Calculation Sheet'!$U$33="","",'Final Calculation Sheet'!$U$33)</f>
        <v/>
      </c>
      <c r="V29" s="322">
        <f>IF('Final Calculation Sheet'!$V$33="","",'Final Calculation Sheet'!$V$33)</f>
        <v/>
      </c>
      <c r="W29" s="320">
        <f>IF('Final Calculation Sheet'!$W$33="","",'Final Calculation Sheet'!$W$33)</f>
        <v/>
      </c>
      <c r="X29" s="320">
        <f>IF('Final Calculation Sheet'!$X$33="","",'Final Calculation Sheet'!$X$33)</f>
        <v/>
      </c>
      <c r="Y29" s="322">
        <f>IF('Final Calculation Sheet'!$Y$33="","",'Final Calculation Sheet'!$Y$33)</f>
        <v/>
      </c>
      <c r="Z29" s="320">
        <f>IF('Final Calculation Sheet'!$Z$33="","",'Final Calculation Sheet'!$Z$33)</f>
        <v/>
      </c>
      <c r="AA29" s="320">
        <f>IF('Final Calculation Sheet'!$AA$33="","",'Final Calculation Sheet'!$AA$33)</f>
        <v/>
      </c>
      <c r="AB29" s="322">
        <f>IF('Final Calculation Sheet'!$AB$33="","",'Final Calculation Sheet'!$AB$33)</f>
        <v/>
      </c>
      <c r="AC29" s="320">
        <f>IF('Final Calculation Sheet'!$AC$33="","",'Final Calculation Sheet'!$AC$33)</f>
        <v/>
      </c>
      <c r="AD29" s="320">
        <f>IF('Final Calculation Sheet'!$AD$33="","",'Final Calculation Sheet'!$AD$33)</f>
        <v/>
      </c>
      <c r="AE29" s="322">
        <f>IF('Final Calculation Sheet'!$AD$33="","",IF('Final Calculation Sheet'!$AD$33&lt;=0,"SETTLED","OUTSTANDING"))</f>
        <v/>
      </c>
      <c r="AF29" s="322">
        <f>IF('Final Calculation Sheet'!$AE$33="","",'Final Calculation Sheet'!$AE$33)</f>
        <v/>
      </c>
      <c r="AG29" s="320">
        <f>IF('Final Calculation Sheet'!$AF$33="","",'Final Calculation Sheet'!$AF$33)</f>
        <v/>
      </c>
      <c r="AH29" s="322">
        <f>IF('Final Calculation Sheet'!$AG$33="","",'Final Calculation Sheet'!$AG$33)</f>
        <v/>
      </c>
      <c r="AI29" s="320" t="n">
        <v>33</v>
      </c>
    </row>
    <row r="30" outlineLevel="1" ht="15" customHeight="1">
      <c r="A30" s="313">
        <f>IF('Final Calculation Sheet'!$G$37="","",'Final Calculation Sheet'!$G$37)</f>
        <v/>
      </c>
      <c r="B30" s="314">
        <f>IF('Final Calculation Sheet'!$F$37="","",'Final Calculation Sheet'!$F$37)</f>
        <v/>
      </c>
      <c r="C30" s="313">
        <f>IF('Final Calculation Sheet'!$B$37="","",'Final Calculation Sheet'!$B$37)</f>
        <v/>
      </c>
      <c r="D30" s="314">
        <f>IF('Final Calculation Sheet'!$D$37="","",'Final Calculation Sheet'!$D$37)</f>
        <v/>
      </c>
      <c r="E30" s="315">
        <f>IF('Final Calculation Sheet'!$A$37="","",'Final Calculation Sheet'!$A$37)</f>
        <v/>
      </c>
      <c r="F30" s="316">
        <f>IF('Final Calculation Sheet'!$E$37="","",'Final Calculation Sheet'!$E$37)</f>
        <v/>
      </c>
      <c r="G30" s="314">
        <f>IF('Final Calculation Sheet'!$C$37="","",'Final Calculation Sheet'!$C$37)</f>
        <v/>
      </c>
      <c r="H30" s="314">
        <f>IF('Final Calculation Sheet'!$H$37="","",'Final Calculation Sheet'!$H$37)</f>
        <v/>
      </c>
      <c r="I30" s="314">
        <f>IF('Final Calculation Sheet'!$I$37="","",'Final Calculation Sheet'!$I$37)</f>
        <v/>
      </c>
      <c r="J30" s="314">
        <f>IF('Final Calculation Sheet'!$J$37="","",'Final Calculation Sheet'!$J$37)</f>
        <v/>
      </c>
      <c r="K30" s="314">
        <f>IF('Final Calculation Sheet'!$K$37="","",'Final Calculation Sheet'!$K$37)</f>
        <v/>
      </c>
      <c r="L30" s="317">
        <f>IF('Final Calculation Sheet'!$L$37="","",'Final Calculation Sheet'!$L$37)</f>
        <v/>
      </c>
      <c r="M30" s="317">
        <f>IF('Final Calculation Sheet'!$M$37="","",'Final Calculation Sheet'!$M$37)</f>
        <v/>
      </c>
      <c r="N30" s="317">
        <f>IF('Final Calculation Sheet'!$N$37="","",'Final Calculation Sheet'!$N$37)</f>
        <v/>
      </c>
      <c r="O30" s="317">
        <f>IF('Final Calculation Sheet'!$O$37="","",'Final Calculation Sheet'!$O$37)</f>
        <v/>
      </c>
      <c r="P30" s="314">
        <f>IF('Final Calculation Sheet'!$P$37="","",'Final Calculation Sheet'!$P$37)</f>
        <v/>
      </c>
      <c r="Q30" s="318">
        <f>IF('Final Calculation Sheet'!$Q$37="","",'Final Calculation Sheet'!$Q$37)</f>
        <v/>
      </c>
      <c r="R30" s="314">
        <f>IF('Final Calculation Sheet'!$R$37="","",'Final Calculation Sheet'!$R$37)</f>
        <v/>
      </c>
      <c r="S30" s="314">
        <f>IF('Final Calculation Sheet'!$S$37="","",'Final Calculation Sheet'!$S$37)</f>
        <v/>
      </c>
      <c r="T30" s="314">
        <f>IF('Final Calculation Sheet'!$T$37="","",'Final Calculation Sheet'!$T$37)</f>
        <v/>
      </c>
      <c r="U30" s="314">
        <f>IF('Final Calculation Sheet'!$U$37="","",'Final Calculation Sheet'!$U$37)</f>
        <v/>
      </c>
      <c r="V30" s="316">
        <f>IF('Final Calculation Sheet'!$V$37="","",'Final Calculation Sheet'!$V$37)</f>
        <v/>
      </c>
      <c r="W30" s="314">
        <f>IF('Final Calculation Sheet'!$W$37="","",'Final Calculation Sheet'!$W$37)</f>
        <v/>
      </c>
      <c r="X30" s="314">
        <f>IF('Final Calculation Sheet'!$X$37="","",'Final Calculation Sheet'!$X$37)</f>
        <v/>
      </c>
      <c r="Y30" s="316">
        <f>IF('Final Calculation Sheet'!$Y$37="","",'Final Calculation Sheet'!$Y$37)</f>
        <v/>
      </c>
      <c r="Z30" s="314">
        <f>IF('Final Calculation Sheet'!$Z$37="","",'Final Calculation Sheet'!$Z$37)</f>
        <v/>
      </c>
      <c r="AA30" s="314">
        <f>IF('Final Calculation Sheet'!$AA$37="","",'Final Calculation Sheet'!$AA$37)</f>
        <v/>
      </c>
      <c r="AB30" s="316">
        <f>IF('Final Calculation Sheet'!$AB$37="","",'Final Calculation Sheet'!$AB$37)</f>
        <v/>
      </c>
      <c r="AC30" s="314">
        <f>IF('Final Calculation Sheet'!$AC$37="","",'Final Calculation Sheet'!$AC$37)</f>
        <v/>
      </c>
      <c r="AD30" s="314">
        <f>IF('Final Calculation Sheet'!$AD$37="","",'Final Calculation Sheet'!$AD$37)</f>
        <v/>
      </c>
      <c r="AE30" s="316">
        <f>IF('Final Calculation Sheet'!$AD$37="","",IF('Final Calculation Sheet'!$AD$37&lt;=0,"SETTLED","OUTSTANDING"))</f>
        <v/>
      </c>
      <c r="AF30" s="316">
        <f>IF('Final Calculation Sheet'!$AE$37="","",'Final Calculation Sheet'!$AE$37)</f>
        <v/>
      </c>
      <c r="AG30" s="314">
        <f>IF('Final Calculation Sheet'!$AF$37="","",'Final Calculation Sheet'!$AF$37)</f>
        <v/>
      </c>
      <c r="AH30" s="316">
        <f>IF('Final Calculation Sheet'!$AG$37="","",'Final Calculation Sheet'!$AG$37)</f>
        <v/>
      </c>
      <c r="AI30" s="314" t="n">
        <v>37</v>
      </c>
    </row>
    <row r="31" ht="20" customHeight="1">
      <c r="A31" s="325" t="inlineStr">
        <is>
          <t>▼  NATIONAL SCRAP AND BUILDING MATERIAL SUPPLIER</t>
        </is>
      </c>
      <c r="B31" s="326" t="n"/>
      <c r="C31" s="327" t="inlineStr">
        <is>
          <t>1 lot  —  click − to fold this buyer</t>
        </is>
      </c>
      <c r="D31" s="326" t="n"/>
      <c r="E31" s="328">
        <f>SUBTOTAL(109,E32:E32)</f>
        <v/>
      </c>
      <c r="F31" s="326" t="n"/>
      <c r="G31" s="326" t="n"/>
      <c r="H31" s="329">
        <f>SUBTOTAL(109,H32:H32)</f>
        <v/>
      </c>
      <c r="I31" s="329">
        <f>SUBTOTAL(109,I32:I32)</f>
        <v/>
      </c>
      <c r="J31" s="329">
        <f>SUBTOTAL(109,J32:J32)</f>
        <v/>
      </c>
      <c r="K31" s="329">
        <f>SUBTOTAL(109,K32:K32)</f>
        <v/>
      </c>
      <c r="L31" s="330">
        <f>SUBTOTAL(109,L32:L32)</f>
        <v/>
      </c>
      <c r="M31" s="330">
        <f>SUBTOTAL(109,M32:M32)</f>
        <v/>
      </c>
      <c r="N31" s="330">
        <f>SUBTOTAL(109,N32:N32)</f>
        <v/>
      </c>
      <c r="O31" s="330">
        <f>SUBTOTAL(109,O32:O32)</f>
        <v/>
      </c>
      <c r="P31" s="329">
        <f>SUBTOTAL(109,P32:P32)</f>
        <v/>
      </c>
      <c r="Q31" s="326" t="n"/>
      <c r="R31" s="329">
        <f>SUBTOTAL(109,R32:R32)</f>
        <v/>
      </c>
      <c r="S31" s="329">
        <f>SUBTOTAL(109,S32:S32)</f>
        <v/>
      </c>
      <c r="T31" s="329">
        <f>SUBTOTAL(109,T32:T32)</f>
        <v/>
      </c>
      <c r="U31" s="329">
        <f>SUBTOTAL(109,U32:U32)</f>
        <v/>
      </c>
      <c r="V31" s="326" t="n"/>
      <c r="W31" s="329">
        <f>SUBTOTAL(109,W32:W32)</f>
        <v/>
      </c>
      <c r="X31" s="329">
        <f>SUBTOTAL(109,X32:X32)</f>
        <v/>
      </c>
      <c r="Y31" s="326" t="n"/>
      <c r="Z31" s="329">
        <f>SUBTOTAL(109,Z32:Z32)</f>
        <v/>
      </c>
      <c r="AA31" s="329">
        <f>SUBTOTAL(109,AA32:AA32)</f>
        <v/>
      </c>
      <c r="AB31" s="326" t="n"/>
      <c r="AC31" s="329">
        <f>SUBTOTAL(109,AC32:AC32)</f>
        <v/>
      </c>
      <c r="AD31" s="329">
        <f>SUBTOTAL(109,AD32:AD32)</f>
        <v/>
      </c>
      <c r="AE31" s="326" t="n"/>
      <c r="AF31" s="326" t="n"/>
      <c r="AG31" s="326" t="n"/>
      <c r="AH31" s="326" t="n"/>
      <c r="AI31" s="326" t="n"/>
    </row>
    <row r="32" outlineLevel="1" ht="15" customHeight="1">
      <c r="A32" s="331">
        <f>IF('Final Calculation Sheet'!$G$21="","",'Final Calculation Sheet'!$G$21)</f>
        <v/>
      </c>
      <c r="B32" s="332">
        <f>IF('Final Calculation Sheet'!$F$21="","",'Final Calculation Sheet'!$F$21)</f>
        <v/>
      </c>
      <c r="C32" s="331">
        <f>IF('Final Calculation Sheet'!$B$21="","",'Final Calculation Sheet'!$B$21)</f>
        <v/>
      </c>
      <c r="D32" s="332">
        <f>IF('Final Calculation Sheet'!$D$21="","",'Final Calculation Sheet'!$D$21)</f>
        <v/>
      </c>
      <c r="E32" s="333">
        <f>IF('Final Calculation Sheet'!$A$21="","",'Final Calculation Sheet'!$A$21)</f>
        <v/>
      </c>
      <c r="F32" s="334">
        <f>IF('Final Calculation Sheet'!$E$21="","",'Final Calculation Sheet'!$E$21)</f>
        <v/>
      </c>
      <c r="G32" s="332">
        <f>IF('Final Calculation Sheet'!$C$21="","",'Final Calculation Sheet'!$C$21)</f>
        <v/>
      </c>
      <c r="H32" s="332">
        <f>IF('Final Calculation Sheet'!$H$21="","",'Final Calculation Sheet'!$H$21)</f>
        <v/>
      </c>
      <c r="I32" s="332">
        <f>IF('Final Calculation Sheet'!$I$21="","",'Final Calculation Sheet'!$I$21)</f>
        <v/>
      </c>
      <c r="J32" s="332">
        <f>IF('Final Calculation Sheet'!$J$21="","",'Final Calculation Sheet'!$J$21)</f>
        <v/>
      </c>
      <c r="K32" s="332">
        <f>IF('Final Calculation Sheet'!$K$21="","",'Final Calculation Sheet'!$K$21)</f>
        <v/>
      </c>
      <c r="L32" s="335">
        <f>IF('Final Calculation Sheet'!$L$21="","",'Final Calculation Sheet'!$L$21)</f>
        <v/>
      </c>
      <c r="M32" s="335">
        <f>IF('Final Calculation Sheet'!$M$21="","",'Final Calculation Sheet'!$M$21)</f>
        <v/>
      </c>
      <c r="N32" s="335">
        <f>IF('Final Calculation Sheet'!$N$21="","",'Final Calculation Sheet'!$N$21)</f>
        <v/>
      </c>
      <c r="O32" s="335">
        <f>IF('Final Calculation Sheet'!$O$21="","",'Final Calculation Sheet'!$O$21)</f>
        <v/>
      </c>
      <c r="P32" s="332">
        <f>IF('Final Calculation Sheet'!$P$21="","",'Final Calculation Sheet'!$P$21)</f>
        <v/>
      </c>
      <c r="Q32" s="336">
        <f>IF('Final Calculation Sheet'!$Q$21="","",'Final Calculation Sheet'!$Q$21)</f>
        <v/>
      </c>
      <c r="R32" s="332">
        <f>IF('Final Calculation Sheet'!$R$21="","",'Final Calculation Sheet'!$R$21)</f>
        <v/>
      </c>
      <c r="S32" s="332">
        <f>IF('Final Calculation Sheet'!$S$21="","",'Final Calculation Sheet'!$S$21)</f>
        <v/>
      </c>
      <c r="T32" s="332">
        <f>IF('Final Calculation Sheet'!$T$21="","",'Final Calculation Sheet'!$T$21)</f>
        <v/>
      </c>
      <c r="U32" s="332">
        <f>IF('Final Calculation Sheet'!$U$21="","",'Final Calculation Sheet'!$U$21)</f>
        <v/>
      </c>
      <c r="V32" s="334">
        <f>IF('Final Calculation Sheet'!$V$21="","",'Final Calculation Sheet'!$V$21)</f>
        <v/>
      </c>
      <c r="W32" s="332">
        <f>IF('Final Calculation Sheet'!$W$21="","",'Final Calculation Sheet'!$W$21)</f>
        <v/>
      </c>
      <c r="X32" s="332">
        <f>IF('Final Calculation Sheet'!$X$21="","",'Final Calculation Sheet'!$X$21)</f>
        <v/>
      </c>
      <c r="Y32" s="334">
        <f>IF('Final Calculation Sheet'!$Y$21="","",'Final Calculation Sheet'!$Y$21)</f>
        <v/>
      </c>
      <c r="Z32" s="332">
        <f>IF('Final Calculation Sheet'!$Z$21="","",'Final Calculation Sheet'!$Z$21)</f>
        <v/>
      </c>
      <c r="AA32" s="332">
        <f>IF('Final Calculation Sheet'!$AA$21="","",'Final Calculation Sheet'!$AA$21)</f>
        <v/>
      </c>
      <c r="AB32" s="334">
        <f>IF('Final Calculation Sheet'!$AB$21="","",'Final Calculation Sheet'!$AB$21)</f>
        <v/>
      </c>
      <c r="AC32" s="332">
        <f>IF('Final Calculation Sheet'!$AC$21="","",'Final Calculation Sheet'!$AC$21)</f>
        <v/>
      </c>
      <c r="AD32" s="332">
        <f>IF('Final Calculation Sheet'!$AD$21="","",'Final Calculation Sheet'!$AD$21)</f>
        <v/>
      </c>
      <c r="AE32" s="334">
        <f>IF('Final Calculation Sheet'!$AD$21="","",IF('Final Calculation Sheet'!$AD$21&lt;=0,"SETTLED","OUTSTANDING"))</f>
        <v/>
      </c>
      <c r="AF32" s="334">
        <f>IF('Final Calculation Sheet'!$AE$21="","",'Final Calculation Sheet'!$AE$21)</f>
        <v/>
      </c>
      <c r="AG32" s="332">
        <f>IF('Final Calculation Sheet'!$AF$21="","",'Final Calculation Sheet'!$AF$21)</f>
        <v/>
      </c>
      <c r="AH32" s="334">
        <f>IF('Final Calculation Sheet'!$AG$21="","",'Final Calculation Sheet'!$AG$21)</f>
        <v/>
      </c>
      <c r="AI32" s="332" t="n">
        <v>21</v>
      </c>
    </row>
    <row r="33" ht="20" customHeight="1">
      <c r="A33" s="337" t="inlineStr">
        <is>
          <t>▼  OMKAR STEELS</t>
        </is>
      </c>
      <c r="B33" s="338" t="n"/>
      <c r="C33" s="339" t="inlineStr">
        <is>
          <t>2 lots  —  click − to fold this buyer</t>
        </is>
      </c>
      <c r="D33" s="338" t="n"/>
      <c r="E33" s="340">
        <f>SUBTOTAL(109,E34:E35)</f>
        <v/>
      </c>
      <c r="F33" s="338" t="n"/>
      <c r="G33" s="338" t="n"/>
      <c r="H33" s="341">
        <f>SUBTOTAL(109,H34:H35)</f>
        <v/>
      </c>
      <c r="I33" s="341">
        <f>SUBTOTAL(109,I34:I35)</f>
        <v/>
      </c>
      <c r="J33" s="341">
        <f>SUBTOTAL(109,J34:J35)</f>
        <v/>
      </c>
      <c r="K33" s="341">
        <f>SUBTOTAL(109,K34:K35)</f>
        <v/>
      </c>
      <c r="L33" s="342">
        <f>SUBTOTAL(109,L34:L35)</f>
        <v/>
      </c>
      <c r="M33" s="342">
        <f>SUBTOTAL(109,M34:M35)</f>
        <v/>
      </c>
      <c r="N33" s="342">
        <f>SUBTOTAL(109,N34:N35)</f>
        <v/>
      </c>
      <c r="O33" s="342">
        <f>SUBTOTAL(109,O34:O35)</f>
        <v/>
      </c>
      <c r="P33" s="341">
        <f>SUBTOTAL(109,P34:P35)</f>
        <v/>
      </c>
      <c r="Q33" s="338" t="n"/>
      <c r="R33" s="341">
        <f>SUBTOTAL(109,R34:R35)</f>
        <v/>
      </c>
      <c r="S33" s="341">
        <f>SUBTOTAL(109,S34:S35)</f>
        <v/>
      </c>
      <c r="T33" s="341">
        <f>SUBTOTAL(109,T34:T35)</f>
        <v/>
      </c>
      <c r="U33" s="341">
        <f>SUBTOTAL(109,U34:U35)</f>
        <v/>
      </c>
      <c r="V33" s="338" t="n"/>
      <c r="W33" s="341">
        <f>SUBTOTAL(109,W34:W35)</f>
        <v/>
      </c>
      <c r="X33" s="341">
        <f>SUBTOTAL(109,X34:X35)</f>
        <v/>
      </c>
      <c r="Y33" s="338" t="n"/>
      <c r="Z33" s="341">
        <f>SUBTOTAL(109,Z34:Z35)</f>
        <v/>
      </c>
      <c r="AA33" s="341">
        <f>SUBTOTAL(109,AA34:AA35)</f>
        <v/>
      </c>
      <c r="AB33" s="338" t="n"/>
      <c r="AC33" s="341">
        <f>SUBTOTAL(109,AC34:AC35)</f>
        <v/>
      </c>
      <c r="AD33" s="341">
        <f>SUBTOTAL(109,AD34:AD35)</f>
        <v/>
      </c>
      <c r="AE33" s="338" t="n"/>
      <c r="AF33" s="338" t="n"/>
      <c r="AG33" s="338" t="n"/>
      <c r="AH33" s="338" t="n"/>
      <c r="AI33" s="338" t="n"/>
    </row>
    <row r="34" outlineLevel="1" ht="15" customHeight="1">
      <c r="A34" s="343">
        <f>IF('Final Calculation Sheet'!$G$8="","",'Final Calculation Sheet'!$G$8)</f>
        <v/>
      </c>
      <c r="B34" s="344">
        <f>IF('Final Calculation Sheet'!$F$8="","",'Final Calculation Sheet'!$F$8)</f>
        <v/>
      </c>
      <c r="C34" s="343">
        <f>IF('Final Calculation Sheet'!$B$8="","",'Final Calculation Sheet'!$B$8)</f>
        <v/>
      </c>
      <c r="D34" s="344">
        <f>IF('Final Calculation Sheet'!$D$8="","",'Final Calculation Sheet'!$D$8)</f>
        <v/>
      </c>
      <c r="E34" s="345">
        <f>IF('Final Calculation Sheet'!$A$8="","",'Final Calculation Sheet'!$A$8)</f>
        <v/>
      </c>
      <c r="F34" s="346">
        <f>IF('Final Calculation Sheet'!$E$8="","",'Final Calculation Sheet'!$E$8)</f>
        <v/>
      </c>
      <c r="G34" s="344">
        <f>IF('Final Calculation Sheet'!$C$8="","",'Final Calculation Sheet'!$C$8)</f>
        <v/>
      </c>
      <c r="H34" s="344">
        <f>IF('Final Calculation Sheet'!$H$8="","",'Final Calculation Sheet'!$H$8)</f>
        <v/>
      </c>
      <c r="I34" s="344">
        <f>IF('Final Calculation Sheet'!$I$8="","",'Final Calculation Sheet'!$I$8)</f>
        <v/>
      </c>
      <c r="J34" s="344">
        <f>IF('Final Calculation Sheet'!$J$8="","",'Final Calculation Sheet'!$J$8)</f>
        <v/>
      </c>
      <c r="K34" s="344">
        <f>IF('Final Calculation Sheet'!$K$8="","",'Final Calculation Sheet'!$K$8)</f>
        <v/>
      </c>
      <c r="L34" s="347">
        <f>IF('Final Calculation Sheet'!$L$8="","",'Final Calculation Sheet'!$L$8)</f>
        <v/>
      </c>
      <c r="M34" s="347">
        <f>IF('Final Calculation Sheet'!$M$8="","",'Final Calculation Sheet'!$M$8)</f>
        <v/>
      </c>
      <c r="N34" s="347">
        <f>IF('Final Calculation Sheet'!$N$8="","",'Final Calculation Sheet'!$N$8)</f>
        <v/>
      </c>
      <c r="O34" s="347">
        <f>IF('Final Calculation Sheet'!$O$8="","",'Final Calculation Sheet'!$O$8)</f>
        <v/>
      </c>
      <c r="P34" s="344">
        <f>IF('Final Calculation Sheet'!$P$8="","",'Final Calculation Sheet'!$P$8)</f>
        <v/>
      </c>
      <c r="Q34" s="348">
        <f>IF('Final Calculation Sheet'!$Q$8="","",'Final Calculation Sheet'!$Q$8)</f>
        <v/>
      </c>
      <c r="R34" s="344">
        <f>IF('Final Calculation Sheet'!$R$8="","",'Final Calculation Sheet'!$R$8)</f>
        <v/>
      </c>
      <c r="S34" s="344">
        <f>IF('Final Calculation Sheet'!$S$8="","",'Final Calculation Sheet'!$S$8)</f>
        <v/>
      </c>
      <c r="T34" s="344">
        <f>IF('Final Calculation Sheet'!$T$8="","",'Final Calculation Sheet'!$T$8)</f>
        <v/>
      </c>
      <c r="U34" s="344">
        <f>IF('Final Calculation Sheet'!$U$8="","",'Final Calculation Sheet'!$U$8)</f>
        <v/>
      </c>
      <c r="V34" s="346">
        <f>IF('Final Calculation Sheet'!$V$8="","",'Final Calculation Sheet'!$V$8)</f>
        <v/>
      </c>
      <c r="W34" s="344">
        <f>IF('Final Calculation Sheet'!$W$8="","",'Final Calculation Sheet'!$W$8)</f>
        <v/>
      </c>
      <c r="X34" s="344">
        <f>IF('Final Calculation Sheet'!$X$8="","",'Final Calculation Sheet'!$X$8)</f>
        <v/>
      </c>
      <c r="Y34" s="346">
        <f>IF('Final Calculation Sheet'!$Y$8="","",'Final Calculation Sheet'!$Y$8)</f>
        <v/>
      </c>
      <c r="Z34" s="344">
        <f>IF('Final Calculation Sheet'!$Z$8="","",'Final Calculation Sheet'!$Z$8)</f>
        <v/>
      </c>
      <c r="AA34" s="344">
        <f>IF('Final Calculation Sheet'!$AA$8="","",'Final Calculation Sheet'!$AA$8)</f>
        <v/>
      </c>
      <c r="AB34" s="346">
        <f>IF('Final Calculation Sheet'!$AB$8="","",'Final Calculation Sheet'!$AB$8)</f>
        <v/>
      </c>
      <c r="AC34" s="344">
        <f>IF('Final Calculation Sheet'!$AC$8="","",'Final Calculation Sheet'!$AC$8)</f>
        <v/>
      </c>
      <c r="AD34" s="344">
        <f>IF('Final Calculation Sheet'!$AD$8="","",'Final Calculation Sheet'!$AD$8)</f>
        <v/>
      </c>
      <c r="AE34" s="346">
        <f>IF('Final Calculation Sheet'!$AD$8="","",IF('Final Calculation Sheet'!$AD$8&lt;=0,"SETTLED","OUTSTANDING"))</f>
        <v/>
      </c>
      <c r="AF34" s="346">
        <f>IF('Final Calculation Sheet'!$AE$8="","",'Final Calculation Sheet'!$AE$8)</f>
        <v/>
      </c>
      <c r="AG34" s="344">
        <f>IF('Final Calculation Sheet'!$AF$8="","",'Final Calculation Sheet'!$AF$8)</f>
        <v/>
      </c>
      <c r="AH34" s="346">
        <f>IF('Final Calculation Sheet'!$AG$8="","",'Final Calculation Sheet'!$AG$8)</f>
        <v/>
      </c>
      <c r="AI34" s="344" t="n">
        <v>8</v>
      </c>
    </row>
    <row r="35" outlineLevel="1" ht="15" customHeight="1">
      <c r="A35" s="349">
        <f>IF('Final Calculation Sheet'!$G$20="","",'Final Calculation Sheet'!$G$20)</f>
        <v/>
      </c>
      <c r="B35" s="350">
        <f>IF('Final Calculation Sheet'!$F$20="","",'Final Calculation Sheet'!$F$20)</f>
        <v/>
      </c>
      <c r="C35" s="349">
        <f>IF('Final Calculation Sheet'!$B$20="","",'Final Calculation Sheet'!$B$20)</f>
        <v/>
      </c>
      <c r="D35" s="350">
        <f>IF('Final Calculation Sheet'!$D$20="","",'Final Calculation Sheet'!$D$20)</f>
        <v/>
      </c>
      <c r="E35" s="351">
        <f>IF('Final Calculation Sheet'!$A$20="","",'Final Calculation Sheet'!$A$20)</f>
        <v/>
      </c>
      <c r="F35" s="352">
        <f>IF('Final Calculation Sheet'!$E$20="","",'Final Calculation Sheet'!$E$20)</f>
        <v/>
      </c>
      <c r="G35" s="350">
        <f>IF('Final Calculation Sheet'!$C$20="","",'Final Calculation Sheet'!$C$20)</f>
        <v/>
      </c>
      <c r="H35" s="350">
        <f>IF('Final Calculation Sheet'!$H$20="","",'Final Calculation Sheet'!$H$20)</f>
        <v/>
      </c>
      <c r="I35" s="350">
        <f>IF('Final Calculation Sheet'!$I$20="","",'Final Calculation Sheet'!$I$20)</f>
        <v/>
      </c>
      <c r="J35" s="350">
        <f>IF('Final Calculation Sheet'!$J$20="","",'Final Calculation Sheet'!$J$20)</f>
        <v/>
      </c>
      <c r="K35" s="350">
        <f>IF('Final Calculation Sheet'!$K$20="","",'Final Calculation Sheet'!$K$20)</f>
        <v/>
      </c>
      <c r="L35" s="353">
        <f>IF('Final Calculation Sheet'!$L$20="","",'Final Calculation Sheet'!$L$20)</f>
        <v/>
      </c>
      <c r="M35" s="353">
        <f>IF('Final Calculation Sheet'!$M$20="","",'Final Calculation Sheet'!$M$20)</f>
        <v/>
      </c>
      <c r="N35" s="353">
        <f>IF('Final Calculation Sheet'!$N$20="","",'Final Calculation Sheet'!$N$20)</f>
        <v/>
      </c>
      <c r="O35" s="353">
        <f>IF('Final Calculation Sheet'!$O$20="","",'Final Calculation Sheet'!$O$20)</f>
        <v/>
      </c>
      <c r="P35" s="350">
        <f>IF('Final Calculation Sheet'!$P$20="","",'Final Calculation Sheet'!$P$20)</f>
        <v/>
      </c>
      <c r="Q35" s="354">
        <f>IF('Final Calculation Sheet'!$Q$20="","",'Final Calculation Sheet'!$Q$20)</f>
        <v/>
      </c>
      <c r="R35" s="350">
        <f>IF('Final Calculation Sheet'!$R$20="","",'Final Calculation Sheet'!$R$20)</f>
        <v/>
      </c>
      <c r="S35" s="350">
        <f>IF('Final Calculation Sheet'!$S$20="","",'Final Calculation Sheet'!$S$20)</f>
        <v/>
      </c>
      <c r="T35" s="350">
        <f>IF('Final Calculation Sheet'!$T$20="","",'Final Calculation Sheet'!$T$20)</f>
        <v/>
      </c>
      <c r="U35" s="350">
        <f>IF('Final Calculation Sheet'!$U$20="","",'Final Calculation Sheet'!$U$20)</f>
        <v/>
      </c>
      <c r="V35" s="352">
        <f>IF('Final Calculation Sheet'!$V$20="","",'Final Calculation Sheet'!$V$20)</f>
        <v/>
      </c>
      <c r="W35" s="350">
        <f>IF('Final Calculation Sheet'!$W$20="","",'Final Calculation Sheet'!$W$20)</f>
        <v/>
      </c>
      <c r="X35" s="350">
        <f>IF('Final Calculation Sheet'!$X$20="","",'Final Calculation Sheet'!$X$20)</f>
        <v/>
      </c>
      <c r="Y35" s="352">
        <f>IF('Final Calculation Sheet'!$Y$20="","",'Final Calculation Sheet'!$Y$20)</f>
        <v/>
      </c>
      <c r="Z35" s="350">
        <f>IF('Final Calculation Sheet'!$Z$20="","",'Final Calculation Sheet'!$Z$20)</f>
        <v/>
      </c>
      <c r="AA35" s="350">
        <f>IF('Final Calculation Sheet'!$AA$20="","",'Final Calculation Sheet'!$AA$20)</f>
        <v/>
      </c>
      <c r="AB35" s="352">
        <f>IF('Final Calculation Sheet'!$AB$20="","",'Final Calculation Sheet'!$AB$20)</f>
        <v/>
      </c>
      <c r="AC35" s="350">
        <f>IF('Final Calculation Sheet'!$AC$20="","",'Final Calculation Sheet'!$AC$20)</f>
        <v/>
      </c>
      <c r="AD35" s="350">
        <f>IF('Final Calculation Sheet'!$AD$20="","",'Final Calculation Sheet'!$AD$20)</f>
        <v/>
      </c>
      <c r="AE35" s="352">
        <f>IF('Final Calculation Sheet'!$AD$20="","",IF('Final Calculation Sheet'!$AD$20&lt;=0,"SETTLED","OUTSTANDING"))</f>
        <v/>
      </c>
      <c r="AF35" s="352">
        <f>IF('Final Calculation Sheet'!$AE$20="","",'Final Calculation Sheet'!$AE$20)</f>
        <v/>
      </c>
      <c r="AG35" s="350">
        <f>IF('Final Calculation Sheet'!$AF$20="","",'Final Calculation Sheet'!$AF$20)</f>
        <v/>
      </c>
      <c r="AH35" s="352">
        <f>IF('Final Calculation Sheet'!$AG$20="","",'Final Calculation Sheet'!$AG$20)</f>
        <v/>
      </c>
      <c r="AI35" s="350" t="n">
        <v>20</v>
      </c>
    </row>
    <row r="36" ht="20" customHeight="1">
      <c r="A36" s="241" t="inlineStr">
        <is>
          <t>▼  S M ENTERPRISES</t>
        </is>
      </c>
      <c r="B36" s="242" t="n"/>
      <c r="C36" s="243" t="inlineStr">
        <is>
          <t>2 lots  —  click − to fold this buyer</t>
        </is>
      </c>
      <c r="D36" s="242" t="n"/>
      <c r="E36" s="244">
        <f>SUBTOTAL(109,E37:E38)</f>
        <v/>
      </c>
      <c r="F36" s="242" t="n"/>
      <c r="G36" s="242" t="n"/>
      <c r="H36" s="245">
        <f>SUBTOTAL(109,H37:H38)</f>
        <v/>
      </c>
      <c r="I36" s="245">
        <f>SUBTOTAL(109,I37:I38)</f>
        <v/>
      </c>
      <c r="J36" s="245">
        <f>SUBTOTAL(109,J37:J38)</f>
        <v/>
      </c>
      <c r="K36" s="245">
        <f>SUBTOTAL(109,K37:K38)</f>
        <v/>
      </c>
      <c r="L36" s="246">
        <f>SUBTOTAL(109,L37:L38)</f>
        <v/>
      </c>
      <c r="M36" s="246">
        <f>SUBTOTAL(109,M37:M38)</f>
        <v/>
      </c>
      <c r="N36" s="246">
        <f>SUBTOTAL(109,N37:N38)</f>
        <v/>
      </c>
      <c r="O36" s="246">
        <f>SUBTOTAL(109,O37:O38)</f>
        <v/>
      </c>
      <c r="P36" s="245">
        <f>SUBTOTAL(109,P37:P38)</f>
        <v/>
      </c>
      <c r="Q36" s="242" t="n"/>
      <c r="R36" s="245">
        <f>SUBTOTAL(109,R37:R38)</f>
        <v/>
      </c>
      <c r="S36" s="245">
        <f>SUBTOTAL(109,S37:S38)</f>
        <v/>
      </c>
      <c r="T36" s="245">
        <f>SUBTOTAL(109,T37:T38)</f>
        <v/>
      </c>
      <c r="U36" s="245">
        <f>SUBTOTAL(109,U37:U38)</f>
        <v/>
      </c>
      <c r="V36" s="242" t="n"/>
      <c r="W36" s="245">
        <f>SUBTOTAL(109,W37:W38)</f>
        <v/>
      </c>
      <c r="X36" s="245">
        <f>SUBTOTAL(109,X37:X38)</f>
        <v/>
      </c>
      <c r="Y36" s="242" t="n"/>
      <c r="Z36" s="245">
        <f>SUBTOTAL(109,Z37:Z38)</f>
        <v/>
      </c>
      <c r="AA36" s="245">
        <f>SUBTOTAL(109,AA37:AA38)</f>
        <v/>
      </c>
      <c r="AB36" s="242" t="n"/>
      <c r="AC36" s="245">
        <f>SUBTOTAL(109,AC37:AC38)</f>
        <v/>
      </c>
      <c r="AD36" s="245">
        <f>SUBTOTAL(109,AD37:AD38)</f>
        <v/>
      </c>
      <c r="AE36" s="242" t="n"/>
      <c r="AF36" s="242" t="n"/>
      <c r="AG36" s="242" t="n"/>
      <c r="AH36" s="242" t="n"/>
      <c r="AI36" s="242" t="n"/>
    </row>
    <row r="37" outlineLevel="1" ht="15" customHeight="1">
      <c r="A37" s="247">
        <f>IF('Final Calculation Sheet'!$G$39="","",'Final Calculation Sheet'!$G$39)</f>
        <v/>
      </c>
      <c r="B37" s="248">
        <f>IF('Final Calculation Sheet'!$F$39="","",'Final Calculation Sheet'!$F$39)</f>
        <v/>
      </c>
      <c r="C37" s="247">
        <f>IF('Final Calculation Sheet'!$B$39="","",'Final Calculation Sheet'!$B$39)</f>
        <v/>
      </c>
      <c r="D37" s="248">
        <f>IF('Final Calculation Sheet'!$D$39="","",'Final Calculation Sheet'!$D$39)</f>
        <v/>
      </c>
      <c r="E37" s="249">
        <f>IF('Final Calculation Sheet'!$A$39="","",'Final Calculation Sheet'!$A$39)</f>
        <v/>
      </c>
      <c r="F37" s="250">
        <f>IF('Final Calculation Sheet'!$E$39="","",'Final Calculation Sheet'!$E$39)</f>
        <v/>
      </c>
      <c r="G37" s="248">
        <f>IF('Final Calculation Sheet'!$C$39="","",'Final Calculation Sheet'!$C$39)</f>
        <v/>
      </c>
      <c r="H37" s="248">
        <f>IF('Final Calculation Sheet'!$H$39="","",'Final Calculation Sheet'!$H$39)</f>
        <v/>
      </c>
      <c r="I37" s="248">
        <f>IF('Final Calculation Sheet'!$I$39="","",'Final Calculation Sheet'!$I$39)</f>
        <v/>
      </c>
      <c r="J37" s="248">
        <f>IF('Final Calculation Sheet'!$J$39="","",'Final Calculation Sheet'!$J$39)</f>
        <v/>
      </c>
      <c r="K37" s="248">
        <f>IF('Final Calculation Sheet'!$K$39="","",'Final Calculation Sheet'!$K$39)</f>
        <v/>
      </c>
      <c r="L37" s="251">
        <f>IF('Final Calculation Sheet'!$L$39="","",'Final Calculation Sheet'!$L$39)</f>
        <v/>
      </c>
      <c r="M37" s="251">
        <f>IF('Final Calculation Sheet'!$M$39="","",'Final Calculation Sheet'!$M$39)</f>
        <v/>
      </c>
      <c r="N37" s="251">
        <f>IF('Final Calculation Sheet'!$N$39="","",'Final Calculation Sheet'!$N$39)</f>
        <v/>
      </c>
      <c r="O37" s="251">
        <f>IF('Final Calculation Sheet'!$O$39="","",'Final Calculation Sheet'!$O$39)</f>
        <v/>
      </c>
      <c r="P37" s="248">
        <f>IF('Final Calculation Sheet'!$P$39="","",'Final Calculation Sheet'!$P$39)</f>
        <v/>
      </c>
      <c r="Q37" s="252">
        <f>IF('Final Calculation Sheet'!$Q$39="","",'Final Calculation Sheet'!$Q$39)</f>
        <v/>
      </c>
      <c r="R37" s="248">
        <f>IF('Final Calculation Sheet'!$R$39="","",'Final Calculation Sheet'!$R$39)</f>
        <v/>
      </c>
      <c r="S37" s="248">
        <f>IF('Final Calculation Sheet'!$S$39="","",'Final Calculation Sheet'!$S$39)</f>
        <v/>
      </c>
      <c r="T37" s="248">
        <f>IF('Final Calculation Sheet'!$T$39="","",'Final Calculation Sheet'!$T$39)</f>
        <v/>
      </c>
      <c r="U37" s="248">
        <f>IF('Final Calculation Sheet'!$U$39="","",'Final Calculation Sheet'!$U$39)</f>
        <v/>
      </c>
      <c r="V37" s="250">
        <f>IF('Final Calculation Sheet'!$V$39="","",'Final Calculation Sheet'!$V$39)</f>
        <v/>
      </c>
      <c r="W37" s="248">
        <f>IF('Final Calculation Sheet'!$W$39="","",'Final Calculation Sheet'!$W$39)</f>
        <v/>
      </c>
      <c r="X37" s="248">
        <f>IF('Final Calculation Sheet'!$X$39="","",'Final Calculation Sheet'!$X$39)</f>
        <v/>
      </c>
      <c r="Y37" s="250">
        <f>IF('Final Calculation Sheet'!$Y$39="","",'Final Calculation Sheet'!$Y$39)</f>
        <v/>
      </c>
      <c r="Z37" s="248">
        <f>IF('Final Calculation Sheet'!$Z$39="","",'Final Calculation Sheet'!$Z$39)</f>
        <v/>
      </c>
      <c r="AA37" s="248">
        <f>IF('Final Calculation Sheet'!$AA$39="","",'Final Calculation Sheet'!$AA$39)</f>
        <v/>
      </c>
      <c r="AB37" s="250">
        <f>IF('Final Calculation Sheet'!$AB$39="","",'Final Calculation Sheet'!$AB$39)</f>
        <v/>
      </c>
      <c r="AC37" s="248">
        <f>IF('Final Calculation Sheet'!$AC$39="","",'Final Calculation Sheet'!$AC$39)</f>
        <v/>
      </c>
      <c r="AD37" s="248">
        <f>IF('Final Calculation Sheet'!$AD$39="","",'Final Calculation Sheet'!$AD$39)</f>
        <v/>
      </c>
      <c r="AE37" s="250">
        <f>IF('Final Calculation Sheet'!$AD$39="","",IF('Final Calculation Sheet'!$AD$39&lt;=0,"SETTLED","OUTSTANDING"))</f>
        <v/>
      </c>
      <c r="AF37" s="250">
        <f>IF('Final Calculation Sheet'!$AE$39="","",'Final Calculation Sheet'!$AE$39)</f>
        <v/>
      </c>
      <c r="AG37" s="248">
        <f>IF('Final Calculation Sheet'!$AF$39="","",'Final Calculation Sheet'!$AF$39)</f>
        <v/>
      </c>
      <c r="AH37" s="250">
        <f>IF('Final Calculation Sheet'!$AG$39="","",'Final Calculation Sheet'!$AG$39)</f>
        <v/>
      </c>
      <c r="AI37" s="248" t="n">
        <v>39</v>
      </c>
    </row>
    <row r="38" outlineLevel="1" ht="15" customHeight="1">
      <c r="A38" s="355">
        <f>IF('Final Calculation Sheet'!$G$40="","",'Final Calculation Sheet'!$G$40)</f>
        <v/>
      </c>
      <c r="B38" s="356">
        <f>IF('Final Calculation Sheet'!$F$40="","",'Final Calculation Sheet'!$F$40)</f>
        <v/>
      </c>
      <c r="C38" s="355">
        <f>IF('Final Calculation Sheet'!$B$40="","",'Final Calculation Sheet'!$B$40)</f>
        <v/>
      </c>
      <c r="D38" s="356">
        <f>IF('Final Calculation Sheet'!$D$40="","",'Final Calculation Sheet'!$D$40)</f>
        <v/>
      </c>
      <c r="E38" s="357">
        <f>IF('Final Calculation Sheet'!$A$40="","",'Final Calculation Sheet'!$A$40)</f>
        <v/>
      </c>
      <c r="F38" s="358">
        <f>IF('Final Calculation Sheet'!$E$40="","",'Final Calculation Sheet'!$E$40)</f>
        <v/>
      </c>
      <c r="G38" s="356">
        <f>IF('Final Calculation Sheet'!$C$40="","",'Final Calculation Sheet'!$C$40)</f>
        <v/>
      </c>
      <c r="H38" s="356">
        <f>IF('Final Calculation Sheet'!$H$40="","",'Final Calculation Sheet'!$H$40)</f>
        <v/>
      </c>
      <c r="I38" s="356">
        <f>IF('Final Calculation Sheet'!$I$40="","",'Final Calculation Sheet'!$I$40)</f>
        <v/>
      </c>
      <c r="J38" s="356">
        <f>IF('Final Calculation Sheet'!$J$40="","",'Final Calculation Sheet'!$J$40)</f>
        <v/>
      </c>
      <c r="K38" s="356">
        <f>IF('Final Calculation Sheet'!$K$40="","",'Final Calculation Sheet'!$K$40)</f>
        <v/>
      </c>
      <c r="L38" s="359">
        <f>IF('Final Calculation Sheet'!$L$40="","",'Final Calculation Sheet'!$L$40)</f>
        <v/>
      </c>
      <c r="M38" s="359">
        <f>IF('Final Calculation Sheet'!$M$40="","",'Final Calculation Sheet'!$M$40)</f>
        <v/>
      </c>
      <c r="N38" s="359">
        <f>IF('Final Calculation Sheet'!$N$40="","",'Final Calculation Sheet'!$N$40)</f>
        <v/>
      </c>
      <c r="O38" s="359">
        <f>IF('Final Calculation Sheet'!$O$40="","",'Final Calculation Sheet'!$O$40)</f>
        <v/>
      </c>
      <c r="P38" s="356">
        <f>IF('Final Calculation Sheet'!$P$40="","",'Final Calculation Sheet'!$P$40)</f>
        <v/>
      </c>
      <c r="Q38" s="360">
        <f>IF('Final Calculation Sheet'!$Q$40="","",'Final Calculation Sheet'!$Q$40)</f>
        <v/>
      </c>
      <c r="R38" s="356">
        <f>IF('Final Calculation Sheet'!$R$40="","",'Final Calculation Sheet'!$R$40)</f>
        <v/>
      </c>
      <c r="S38" s="356">
        <f>IF('Final Calculation Sheet'!$S$40="","",'Final Calculation Sheet'!$S$40)</f>
        <v/>
      </c>
      <c r="T38" s="356">
        <f>IF('Final Calculation Sheet'!$T$40="","",'Final Calculation Sheet'!$T$40)</f>
        <v/>
      </c>
      <c r="U38" s="356">
        <f>IF('Final Calculation Sheet'!$U$40="","",'Final Calculation Sheet'!$U$40)</f>
        <v/>
      </c>
      <c r="V38" s="358">
        <f>IF('Final Calculation Sheet'!$V$40="","",'Final Calculation Sheet'!$V$40)</f>
        <v/>
      </c>
      <c r="W38" s="356">
        <f>IF('Final Calculation Sheet'!$W$40="","",'Final Calculation Sheet'!$W$40)</f>
        <v/>
      </c>
      <c r="X38" s="356">
        <f>IF('Final Calculation Sheet'!$X$40="","",'Final Calculation Sheet'!$X$40)</f>
        <v/>
      </c>
      <c r="Y38" s="358">
        <f>IF('Final Calculation Sheet'!$Y$40="","",'Final Calculation Sheet'!$Y$40)</f>
        <v/>
      </c>
      <c r="Z38" s="356">
        <f>IF('Final Calculation Sheet'!$Z$40="","",'Final Calculation Sheet'!$Z$40)</f>
        <v/>
      </c>
      <c r="AA38" s="356">
        <f>IF('Final Calculation Sheet'!$AA$40="","",'Final Calculation Sheet'!$AA$40)</f>
        <v/>
      </c>
      <c r="AB38" s="358">
        <f>IF('Final Calculation Sheet'!$AB$40="","",'Final Calculation Sheet'!$AB$40)</f>
        <v/>
      </c>
      <c r="AC38" s="356">
        <f>IF('Final Calculation Sheet'!$AC$40="","",'Final Calculation Sheet'!$AC$40)</f>
        <v/>
      </c>
      <c r="AD38" s="356">
        <f>IF('Final Calculation Sheet'!$AD$40="","",'Final Calculation Sheet'!$AD$40)</f>
        <v/>
      </c>
      <c r="AE38" s="358">
        <f>IF('Final Calculation Sheet'!$AD$40="","",IF('Final Calculation Sheet'!$AD$40&lt;=0,"SETTLED","OUTSTANDING"))</f>
        <v/>
      </c>
      <c r="AF38" s="358">
        <f>IF('Final Calculation Sheet'!$AE$40="","",'Final Calculation Sheet'!$AE$40)</f>
        <v/>
      </c>
      <c r="AG38" s="356">
        <f>IF('Final Calculation Sheet'!$AF$40="","",'Final Calculation Sheet'!$AF$40)</f>
        <v/>
      </c>
      <c r="AH38" s="358">
        <f>IF('Final Calculation Sheet'!$AG$40="","",'Final Calculation Sheet'!$AG$40)</f>
        <v/>
      </c>
      <c r="AI38" s="356" t="n">
        <v>40</v>
      </c>
    </row>
    <row r="39" ht="20" customHeight="1">
      <c r="A39" s="253" t="inlineStr">
        <is>
          <t>▼  SAHARA ENTERPRISES</t>
        </is>
      </c>
      <c r="B39" s="254" t="n"/>
      <c r="C39" s="255" t="inlineStr">
        <is>
          <t>1 lot  —  click − to fold this buyer</t>
        </is>
      </c>
      <c r="D39" s="254" t="n"/>
      <c r="E39" s="256">
        <f>SUBTOTAL(109,E40:E40)</f>
        <v/>
      </c>
      <c r="F39" s="254" t="n"/>
      <c r="G39" s="254" t="n"/>
      <c r="H39" s="257">
        <f>SUBTOTAL(109,H40:H40)</f>
        <v/>
      </c>
      <c r="I39" s="257">
        <f>SUBTOTAL(109,I40:I40)</f>
        <v/>
      </c>
      <c r="J39" s="257">
        <f>SUBTOTAL(109,J40:J40)</f>
        <v/>
      </c>
      <c r="K39" s="257">
        <f>SUBTOTAL(109,K40:K40)</f>
        <v/>
      </c>
      <c r="L39" s="258">
        <f>SUBTOTAL(109,L40:L40)</f>
        <v/>
      </c>
      <c r="M39" s="258">
        <f>SUBTOTAL(109,M40:M40)</f>
        <v/>
      </c>
      <c r="N39" s="258">
        <f>SUBTOTAL(109,N40:N40)</f>
        <v/>
      </c>
      <c r="O39" s="258">
        <f>SUBTOTAL(109,O40:O40)</f>
        <v/>
      </c>
      <c r="P39" s="257">
        <f>SUBTOTAL(109,P40:P40)</f>
        <v/>
      </c>
      <c r="Q39" s="254" t="n"/>
      <c r="R39" s="257">
        <f>SUBTOTAL(109,R40:R40)</f>
        <v/>
      </c>
      <c r="S39" s="257">
        <f>SUBTOTAL(109,S40:S40)</f>
        <v/>
      </c>
      <c r="T39" s="257">
        <f>SUBTOTAL(109,T40:T40)</f>
        <v/>
      </c>
      <c r="U39" s="257">
        <f>SUBTOTAL(109,U40:U40)</f>
        <v/>
      </c>
      <c r="V39" s="254" t="n"/>
      <c r="W39" s="257">
        <f>SUBTOTAL(109,W40:W40)</f>
        <v/>
      </c>
      <c r="X39" s="257">
        <f>SUBTOTAL(109,X40:X40)</f>
        <v/>
      </c>
      <c r="Y39" s="254" t="n"/>
      <c r="Z39" s="257">
        <f>SUBTOTAL(109,Z40:Z40)</f>
        <v/>
      </c>
      <c r="AA39" s="257">
        <f>SUBTOTAL(109,AA40:AA40)</f>
        <v/>
      </c>
      <c r="AB39" s="254" t="n"/>
      <c r="AC39" s="257">
        <f>SUBTOTAL(109,AC40:AC40)</f>
        <v/>
      </c>
      <c r="AD39" s="257">
        <f>SUBTOTAL(109,AD40:AD40)</f>
        <v/>
      </c>
      <c r="AE39" s="254" t="n"/>
      <c r="AF39" s="254" t="n"/>
      <c r="AG39" s="254" t="n"/>
      <c r="AH39" s="254" t="n"/>
      <c r="AI39" s="254" t="n"/>
    </row>
    <row r="40" outlineLevel="1" ht="15" customHeight="1">
      <c r="A40" s="259">
        <f>IF('Final Calculation Sheet'!$G$31="","",'Final Calculation Sheet'!$G$31)</f>
        <v/>
      </c>
      <c r="B40" s="260">
        <f>IF('Final Calculation Sheet'!$F$31="","",'Final Calculation Sheet'!$F$31)</f>
        <v/>
      </c>
      <c r="C40" s="259">
        <f>IF('Final Calculation Sheet'!$B$31="","",'Final Calculation Sheet'!$B$31)</f>
        <v/>
      </c>
      <c r="D40" s="260">
        <f>IF('Final Calculation Sheet'!$D$31="","",'Final Calculation Sheet'!$D$31)</f>
        <v/>
      </c>
      <c r="E40" s="261">
        <f>IF('Final Calculation Sheet'!$A$31="","",'Final Calculation Sheet'!$A$31)</f>
        <v/>
      </c>
      <c r="F40" s="262">
        <f>IF('Final Calculation Sheet'!$E$31="","",'Final Calculation Sheet'!$E$31)</f>
        <v/>
      </c>
      <c r="G40" s="260">
        <f>IF('Final Calculation Sheet'!$C$31="","",'Final Calculation Sheet'!$C$31)</f>
        <v/>
      </c>
      <c r="H40" s="260">
        <f>IF('Final Calculation Sheet'!$H$31="","",'Final Calculation Sheet'!$H$31)</f>
        <v/>
      </c>
      <c r="I40" s="260">
        <f>IF('Final Calculation Sheet'!$I$31="","",'Final Calculation Sheet'!$I$31)</f>
        <v/>
      </c>
      <c r="J40" s="260">
        <f>IF('Final Calculation Sheet'!$J$31="","",'Final Calculation Sheet'!$J$31)</f>
        <v/>
      </c>
      <c r="K40" s="260">
        <f>IF('Final Calculation Sheet'!$K$31="","",'Final Calculation Sheet'!$K$31)</f>
        <v/>
      </c>
      <c r="L40" s="263">
        <f>IF('Final Calculation Sheet'!$L$31="","",'Final Calculation Sheet'!$L$31)</f>
        <v/>
      </c>
      <c r="M40" s="263">
        <f>IF('Final Calculation Sheet'!$M$31="","",'Final Calculation Sheet'!$M$31)</f>
        <v/>
      </c>
      <c r="N40" s="263">
        <f>IF('Final Calculation Sheet'!$N$31="","",'Final Calculation Sheet'!$N$31)</f>
        <v/>
      </c>
      <c r="O40" s="263">
        <f>IF('Final Calculation Sheet'!$O$31="","",'Final Calculation Sheet'!$O$31)</f>
        <v/>
      </c>
      <c r="P40" s="260">
        <f>IF('Final Calculation Sheet'!$P$31="","",'Final Calculation Sheet'!$P$31)</f>
        <v/>
      </c>
      <c r="Q40" s="264">
        <f>IF('Final Calculation Sheet'!$Q$31="","",'Final Calculation Sheet'!$Q$31)</f>
        <v/>
      </c>
      <c r="R40" s="260">
        <f>IF('Final Calculation Sheet'!$R$31="","",'Final Calculation Sheet'!$R$31)</f>
        <v/>
      </c>
      <c r="S40" s="260">
        <f>IF('Final Calculation Sheet'!$S$31="","",'Final Calculation Sheet'!$S$31)</f>
        <v/>
      </c>
      <c r="T40" s="260">
        <f>IF('Final Calculation Sheet'!$T$31="","",'Final Calculation Sheet'!$T$31)</f>
        <v/>
      </c>
      <c r="U40" s="260">
        <f>IF('Final Calculation Sheet'!$U$31="","",'Final Calculation Sheet'!$U$31)</f>
        <v/>
      </c>
      <c r="V40" s="262">
        <f>IF('Final Calculation Sheet'!$V$31="","",'Final Calculation Sheet'!$V$31)</f>
        <v/>
      </c>
      <c r="W40" s="260">
        <f>IF('Final Calculation Sheet'!$W$31="","",'Final Calculation Sheet'!$W$31)</f>
        <v/>
      </c>
      <c r="X40" s="260">
        <f>IF('Final Calculation Sheet'!$X$31="","",'Final Calculation Sheet'!$X$31)</f>
        <v/>
      </c>
      <c r="Y40" s="262">
        <f>IF('Final Calculation Sheet'!$Y$31="","",'Final Calculation Sheet'!$Y$31)</f>
        <v/>
      </c>
      <c r="Z40" s="260">
        <f>IF('Final Calculation Sheet'!$Z$31="","",'Final Calculation Sheet'!$Z$31)</f>
        <v/>
      </c>
      <c r="AA40" s="260">
        <f>IF('Final Calculation Sheet'!$AA$31="","",'Final Calculation Sheet'!$AA$31)</f>
        <v/>
      </c>
      <c r="AB40" s="262">
        <f>IF('Final Calculation Sheet'!$AB$31="","",'Final Calculation Sheet'!$AB$31)</f>
        <v/>
      </c>
      <c r="AC40" s="260">
        <f>IF('Final Calculation Sheet'!$AC$31="","",'Final Calculation Sheet'!$AC$31)</f>
        <v/>
      </c>
      <c r="AD40" s="260">
        <f>IF('Final Calculation Sheet'!$AD$31="","",'Final Calculation Sheet'!$AD$31)</f>
        <v/>
      </c>
      <c r="AE40" s="262">
        <f>IF('Final Calculation Sheet'!$AD$31="","",IF('Final Calculation Sheet'!$AD$31&lt;=0,"SETTLED","OUTSTANDING"))</f>
        <v/>
      </c>
      <c r="AF40" s="262">
        <f>IF('Final Calculation Sheet'!$AE$31="","",'Final Calculation Sheet'!$AE$31)</f>
        <v/>
      </c>
      <c r="AG40" s="260">
        <f>IF('Final Calculation Sheet'!$AF$31="","",'Final Calculation Sheet'!$AF$31)</f>
        <v/>
      </c>
      <c r="AH40" s="262">
        <f>IF('Final Calculation Sheet'!$AG$31="","",'Final Calculation Sheet'!$AG$31)</f>
        <v/>
      </c>
      <c r="AI40" s="260" t="n">
        <v>31</v>
      </c>
    </row>
    <row r="41" ht="20" customHeight="1">
      <c r="A41" s="271" t="inlineStr">
        <is>
          <t>▼  SHAR JAHAN TRADERS</t>
        </is>
      </c>
      <c r="B41" s="272" t="n"/>
      <c r="C41" s="273" t="inlineStr">
        <is>
          <t>2 lots  —  click − to fold this buyer</t>
        </is>
      </c>
      <c r="D41" s="272" t="n"/>
      <c r="E41" s="274">
        <f>SUBTOTAL(109,E42:E43)</f>
        <v/>
      </c>
      <c r="F41" s="272" t="n"/>
      <c r="G41" s="272" t="n"/>
      <c r="H41" s="275">
        <f>SUBTOTAL(109,H42:H43)</f>
        <v/>
      </c>
      <c r="I41" s="275">
        <f>SUBTOTAL(109,I42:I43)</f>
        <v/>
      </c>
      <c r="J41" s="275">
        <f>SUBTOTAL(109,J42:J43)</f>
        <v/>
      </c>
      <c r="K41" s="275">
        <f>SUBTOTAL(109,K42:K43)</f>
        <v/>
      </c>
      <c r="L41" s="276">
        <f>SUBTOTAL(109,L42:L43)</f>
        <v/>
      </c>
      <c r="M41" s="276">
        <f>SUBTOTAL(109,M42:M43)</f>
        <v/>
      </c>
      <c r="N41" s="276">
        <f>SUBTOTAL(109,N42:N43)</f>
        <v/>
      </c>
      <c r="O41" s="276">
        <f>SUBTOTAL(109,O42:O43)</f>
        <v/>
      </c>
      <c r="P41" s="275">
        <f>SUBTOTAL(109,P42:P43)</f>
        <v/>
      </c>
      <c r="Q41" s="272" t="n"/>
      <c r="R41" s="275">
        <f>SUBTOTAL(109,R42:R43)</f>
        <v/>
      </c>
      <c r="S41" s="275">
        <f>SUBTOTAL(109,S42:S43)</f>
        <v/>
      </c>
      <c r="T41" s="275">
        <f>SUBTOTAL(109,T42:T43)</f>
        <v/>
      </c>
      <c r="U41" s="275">
        <f>SUBTOTAL(109,U42:U43)</f>
        <v/>
      </c>
      <c r="V41" s="272" t="n"/>
      <c r="W41" s="275">
        <f>SUBTOTAL(109,W42:W43)</f>
        <v/>
      </c>
      <c r="X41" s="275">
        <f>SUBTOTAL(109,X42:X43)</f>
        <v/>
      </c>
      <c r="Y41" s="272" t="n"/>
      <c r="Z41" s="275">
        <f>SUBTOTAL(109,Z42:Z43)</f>
        <v/>
      </c>
      <c r="AA41" s="275">
        <f>SUBTOTAL(109,AA42:AA43)</f>
        <v/>
      </c>
      <c r="AB41" s="272" t="n"/>
      <c r="AC41" s="275">
        <f>SUBTOTAL(109,AC42:AC43)</f>
        <v/>
      </c>
      <c r="AD41" s="275">
        <f>SUBTOTAL(109,AD42:AD43)</f>
        <v/>
      </c>
      <c r="AE41" s="272" t="n"/>
      <c r="AF41" s="272" t="n"/>
      <c r="AG41" s="272" t="n"/>
      <c r="AH41" s="272" t="n"/>
      <c r="AI41" s="272" t="n"/>
    </row>
    <row r="42" outlineLevel="1" ht="15" customHeight="1">
      <c r="A42" s="277">
        <f>IF('Final Calculation Sheet'!$G$9="","",'Final Calculation Sheet'!$G$9)</f>
        <v/>
      </c>
      <c r="B42" s="278">
        <f>IF('Final Calculation Sheet'!$F$9="","",'Final Calculation Sheet'!$F$9)</f>
        <v/>
      </c>
      <c r="C42" s="277">
        <f>IF('Final Calculation Sheet'!$B$9="","",'Final Calculation Sheet'!$B$9)</f>
        <v/>
      </c>
      <c r="D42" s="278">
        <f>IF('Final Calculation Sheet'!$D$9="","",'Final Calculation Sheet'!$D$9)</f>
        <v/>
      </c>
      <c r="E42" s="279">
        <f>IF('Final Calculation Sheet'!$A$9="","",'Final Calculation Sheet'!$A$9)</f>
        <v/>
      </c>
      <c r="F42" s="280">
        <f>IF('Final Calculation Sheet'!$E$9="","",'Final Calculation Sheet'!$E$9)</f>
        <v/>
      </c>
      <c r="G42" s="278">
        <f>IF('Final Calculation Sheet'!$C$9="","",'Final Calculation Sheet'!$C$9)</f>
        <v/>
      </c>
      <c r="H42" s="278">
        <f>IF('Final Calculation Sheet'!$H$9="","",'Final Calculation Sheet'!$H$9)</f>
        <v/>
      </c>
      <c r="I42" s="278">
        <f>IF('Final Calculation Sheet'!$I$9="","",'Final Calculation Sheet'!$I$9)</f>
        <v/>
      </c>
      <c r="J42" s="278">
        <f>IF('Final Calculation Sheet'!$J$9="","",'Final Calculation Sheet'!$J$9)</f>
        <v/>
      </c>
      <c r="K42" s="278">
        <f>IF('Final Calculation Sheet'!$K$9="","",'Final Calculation Sheet'!$K$9)</f>
        <v/>
      </c>
      <c r="L42" s="281">
        <f>IF('Final Calculation Sheet'!$L$9="","",'Final Calculation Sheet'!$L$9)</f>
        <v/>
      </c>
      <c r="M42" s="281">
        <f>IF('Final Calculation Sheet'!$M$9="","",'Final Calculation Sheet'!$M$9)</f>
        <v/>
      </c>
      <c r="N42" s="281">
        <f>IF('Final Calculation Sheet'!$N$9="","",'Final Calculation Sheet'!$N$9)</f>
        <v/>
      </c>
      <c r="O42" s="281">
        <f>IF('Final Calculation Sheet'!$O$9="","",'Final Calculation Sheet'!$O$9)</f>
        <v/>
      </c>
      <c r="P42" s="278">
        <f>IF('Final Calculation Sheet'!$P$9="","",'Final Calculation Sheet'!$P$9)</f>
        <v/>
      </c>
      <c r="Q42" s="282">
        <f>IF('Final Calculation Sheet'!$Q$9="","",'Final Calculation Sheet'!$Q$9)</f>
        <v/>
      </c>
      <c r="R42" s="278">
        <f>IF('Final Calculation Sheet'!$R$9="","",'Final Calculation Sheet'!$R$9)</f>
        <v/>
      </c>
      <c r="S42" s="278">
        <f>IF('Final Calculation Sheet'!$S$9="","",'Final Calculation Sheet'!$S$9)</f>
        <v/>
      </c>
      <c r="T42" s="278">
        <f>IF('Final Calculation Sheet'!$T$9="","",'Final Calculation Sheet'!$T$9)</f>
        <v/>
      </c>
      <c r="U42" s="278">
        <f>IF('Final Calculation Sheet'!$U$9="","",'Final Calculation Sheet'!$U$9)</f>
        <v/>
      </c>
      <c r="V42" s="280">
        <f>IF('Final Calculation Sheet'!$V$9="","",'Final Calculation Sheet'!$V$9)</f>
        <v/>
      </c>
      <c r="W42" s="278">
        <f>IF('Final Calculation Sheet'!$W$9="","",'Final Calculation Sheet'!$W$9)</f>
        <v/>
      </c>
      <c r="X42" s="278">
        <f>IF('Final Calculation Sheet'!$X$9="","",'Final Calculation Sheet'!$X$9)</f>
        <v/>
      </c>
      <c r="Y42" s="280">
        <f>IF('Final Calculation Sheet'!$Y$9="","",'Final Calculation Sheet'!$Y$9)</f>
        <v/>
      </c>
      <c r="Z42" s="278">
        <f>IF('Final Calculation Sheet'!$Z$9="","",'Final Calculation Sheet'!$Z$9)</f>
        <v/>
      </c>
      <c r="AA42" s="278">
        <f>IF('Final Calculation Sheet'!$AA$9="","",'Final Calculation Sheet'!$AA$9)</f>
        <v/>
      </c>
      <c r="AB42" s="280">
        <f>IF('Final Calculation Sheet'!$AB$9="","",'Final Calculation Sheet'!$AB$9)</f>
        <v/>
      </c>
      <c r="AC42" s="278">
        <f>IF('Final Calculation Sheet'!$AC$9="","",'Final Calculation Sheet'!$AC$9)</f>
        <v/>
      </c>
      <c r="AD42" s="278">
        <f>IF('Final Calculation Sheet'!$AD$9="","",'Final Calculation Sheet'!$AD$9)</f>
        <v/>
      </c>
      <c r="AE42" s="280">
        <f>IF('Final Calculation Sheet'!$AD$9="","",IF('Final Calculation Sheet'!$AD$9&lt;=0,"SETTLED","OUTSTANDING"))</f>
        <v/>
      </c>
      <c r="AF42" s="280">
        <f>IF('Final Calculation Sheet'!$AE$9="","",'Final Calculation Sheet'!$AE$9)</f>
        <v/>
      </c>
      <c r="AG42" s="278">
        <f>IF('Final Calculation Sheet'!$AF$9="","",'Final Calculation Sheet'!$AF$9)</f>
        <v/>
      </c>
      <c r="AH42" s="280">
        <f>IF('Final Calculation Sheet'!$AG$9="","",'Final Calculation Sheet'!$AG$9)</f>
        <v/>
      </c>
      <c r="AI42" s="278" t="n">
        <v>9</v>
      </c>
    </row>
    <row r="43" outlineLevel="1" ht="15" customHeight="1">
      <c r="A43" s="361">
        <f>IF('Final Calculation Sheet'!$G$14="","",'Final Calculation Sheet'!$G$14)</f>
        <v/>
      </c>
      <c r="B43" s="362">
        <f>IF('Final Calculation Sheet'!$F$14="","",'Final Calculation Sheet'!$F$14)</f>
        <v/>
      </c>
      <c r="C43" s="361">
        <f>IF('Final Calculation Sheet'!$B$14="","",'Final Calculation Sheet'!$B$14)</f>
        <v/>
      </c>
      <c r="D43" s="362">
        <f>IF('Final Calculation Sheet'!$D$14="","",'Final Calculation Sheet'!$D$14)</f>
        <v/>
      </c>
      <c r="E43" s="363">
        <f>IF('Final Calculation Sheet'!$A$14="","",'Final Calculation Sheet'!$A$14)</f>
        <v/>
      </c>
      <c r="F43" s="364">
        <f>IF('Final Calculation Sheet'!$E$14="","",'Final Calculation Sheet'!$E$14)</f>
        <v/>
      </c>
      <c r="G43" s="362">
        <f>IF('Final Calculation Sheet'!$C$14="","",'Final Calculation Sheet'!$C$14)</f>
        <v/>
      </c>
      <c r="H43" s="362">
        <f>IF('Final Calculation Sheet'!$H$14="","",'Final Calculation Sheet'!$H$14)</f>
        <v/>
      </c>
      <c r="I43" s="362">
        <f>IF('Final Calculation Sheet'!$I$14="","",'Final Calculation Sheet'!$I$14)</f>
        <v/>
      </c>
      <c r="J43" s="362">
        <f>IF('Final Calculation Sheet'!$J$14="","",'Final Calculation Sheet'!$J$14)</f>
        <v/>
      </c>
      <c r="K43" s="362">
        <f>IF('Final Calculation Sheet'!$K$14="","",'Final Calculation Sheet'!$K$14)</f>
        <v/>
      </c>
      <c r="L43" s="365">
        <f>IF('Final Calculation Sheet'!$L$14="","",'Final Calculation Sheet'!$L$14)</f>
        <v/>
      </c>
      <c r="M43" s="365">
        <f>IF('Final Calculation Sheet'!$M$14="","",'Final Calculation Sheet'!$M$14)</f>
        <v/>
      </c>
      <c r="N43" s="365">
        <f>IF('Final Calculation Sheet'!$N$14="","",'Final Calculation Sheet'!$N$14)</f>
        <v/>
      </c>
      <c r="O43" s="365">
        <f>IF('Final Calculation Sheet'!$O$14="","",'Final Calculation Sheet'!$O$14)</f>
        <v/>
      </c>
      <c r="P43" s="362">
        <f>IF('Final Calculation Sheet'!$P$14="","",'Final Calculation Sheet'!$P$14)</f>
        <v/>
      </c>
      <c r="Q43" s="366">
        <f>IF('Final Calculation Sheet'!$Q$14="","",'Final Calculation Sheet'!$Q$14)</f>
        <v/>
      </c>
      <c r="R43" s="362">
        <f>IF('Final Calculation Sheet'!$R$14="","",'Final Calculation Sheet'!$R$14)</f>
        <v/>
      </c>
      <c r="S43" s="362">
        <f>IF('Final Calculation Sheet'!$S$14="","",'Final Calculation Sheet'!$S$14)</f>
        <v/>
      </c>
      <c r="T43" s="362">
        <f>IF('Final Calculation Sheet'!$T$14="","",'Final Calculation Sheet'!$T$14)</f>
        <v/>
      </c>
      <c r="U43" s="362">
        <f>IF('Final Calculation Sheet'!$U$14="","",'Final Calculation Sheet'!$U$14)</f>
        <v/>
      </c>
      <c r="V43" s="364">
        <f>IF('Final Calculation Sheet'!$V$14="","",'Final Calculation Sheet'!$V$14)</f>
        <v/>
      </c>
      <c r="W43" s="362">
        <f>IF('Final Calculation Sheet'!$W$14="","",'Final Calculation Sheet'!$W$14)</f>
        <v/>
      </c>
      <c r="X43" s="362">
        <f>IF('Final Calculation Sheet'!$X$14="","",'Final Calculation Sheet'!$X$14)</f>
        <v/>
      </c>
      <c r="Y43" s="364">
        <f>IF('Final Calculation Sheet'!$Y$14="","",'Final Calculation Sheet'!$Y$14)</f>
        <v/>
      </c>
      <c r="Z43" s="362">
        <f>IF('Final Calculation Sheet'!$Z$14="","",'Final Calculation Sheet'!$Z$14)</f>
        <v/>
      </c>
      <c r="AA43" s="362">
        <f>IF('Final Calculation Sheet'!$AA$14="","",'Final Calculation Sheet'!$AA$14)</f>
        <v/>
      </c>
      <c r="AB43" s="364">
        <f>IF('Final Calculation Sheet'!$AB$14="","",'Final Calculation Sheet'!$AB$14)</f>
        <v/>
      </c>
      <c r="AC43" s="362">
        <f>IF('Final Calculation Sheet'!$AC$14="","",'Final Calculation Sheet'!$AC$14)</f>
        <v/>
      </c>
      <c r="AD43" s="362">
        <f>IF('Final Calculation Sheet'!$AD$14="","",'Final Calculation Sheet'!$AD$14)</f>
        <v/>
      </c>
      <c r="AE43" s="364">
        <f>IF('Final Calculation Sheet'!$AD$14="","",IF('Final Calculation Sheet'!$AD$14&lt;=0,"SETTLED","OUTSTANDING"))</f>
        <v/>
      </c>
      <c r="AF43" s="364">
        <f>IF('Final Calculation Sheet'!$AE$14="","",'Final Calculation Sheet'!$AE$14)</f>
        <v/>
      </c>
      <c r="AG43" s="362">
        <f>IF('Final Calculation Sheet'!$AF$14="","",'Final Calculation Sheet'!$AF$14)</f>
        <v/>
      </c>
      <c r="AH43" s="364">
        <f>IF('Final Calculation Sheet'!$AG$14="","",'Final Calculation Sheet'!$AG$14)</f>
        <v/>
      </c>
      <c r="AI43" s="362" t="n">
        <v>14</v>
      </c>
    </row>
    <row r="44" ht="20" customHeight="1">
      <c r="A44" s="283" t="inlineStr">
        <is>
          <t>▼  STERLING ENTERPRISES</t>
        </is>
      </c>
      <c r="B44" s="284" t="n"/>
      <c r="C44" s="285" t="inlineStr">
        <is>
          <t>7 lots  —  click − to fold this buyer</t>
        </is>
      </c>
      <c r="D44" s="284" t="n"/>
      <c r="E44" s="286">
        <f>SUBTOTAL(109,E45:E51)</f>
        <v/>
      </c>
      <c r="F44" s="284" t="n"/>
      <c r="G44" s="284" t="n"/>
      <c r="H44" s="287">
        <f>SUBTOTAL(109,H45:H51)</f>
        <v/>
      </c>
      <c r="I44" s="287">
        <f>SUBTOTAL(109,I45:I51)</f>
        <v/>
      </c>
      <c r="J44" s="287">
        <f>SUBTOTAL(109,J45:J51)</f>
        <v/>
      </c>
      <c r="K44" s="287">
        <f>SUBTOTAL(109,K45:K51)</f>
        <v/>
      </c>
      <c r="L44" s="288">
        <f>SUBTOTAL(109,L45:L51)</f>
        <v/>
      </c>
      <c r="M44" s="288">
        <f>SUBTOTAL(109,M45:M51)</f>
        <v/>
      </c>
      <c r="N44" s="288">
        <f>SUBTOTAL(109,N45:N51)</f>
        <v/>
      </c>
      <c r="O44" s="288">
        <f>SUBTOTAL(109,O45:O51)</f>
        <v/>
      </c>
      <c r="P44" s="287">
        <f>SUBTOTAL(109,P45:P51)</f>
        <v/>
      </c>
      <c r="Q44" s="284" t="n"/>
      <c r="R44" s="287">
        <f>SUBTOTAL(109,R45:R51)</f>
        <v/>
      </c>
      <c r="S44" s="287">
        <f>SUBTOTAL(109,S45:S51)</f>
        <v/>
      </c>
      <c r="T44" s="287">
        <f>SUBTOTAL(109,T45:T51)</f>
        <v/>
      </c>
      <c r="U44" s="287">
        <f>SUBTOTAL(109,U45:U51)</f>
        <v/>
      </c>
      <c r="V44" s="284" t="n"/>
      <c r="W44" s="287">
        <f>SUBTOTAL(109,W45:W51)</f>
        <v/>
      </c>
      <c r="X44" s="287">
        <f>SUBTOTAL(109,X45:X51)</f>
        <v/>
      </c>
      <c r="Y44" s="284" t="n"/>
      <c r="Z44" s="287">
        <f>SUBTOTAL(109,Z45:Z51)</f>
        <v/>
      </c>
      <c r="AA44" s="287">
        <f>SUBTOTAL(109,AA45:AA51)</f>
        <v/>
      </c>
      <c r="AB44" s="284" t="n"/>
      <c r="AC44" s="287">
        <f>SUBTOTAL(109,AC45:AC51)</f>
        <v/>
      </c>
      <c r="AD44" s="287">
        <f>SUBTOTAL(109,AD45:AD51)</f>
        <v/>
      </c>
      <c r="AE44" s="284" t="n"/>
      <c r="AF44" s="284" t="n"/>
      <c r="AG44" s="284" t="n"/>
      <c r="AH44" s="284" t="n"/>
      <c r="AI44" s="284" t="n"/>
    </row>
    <row r="45" outlineLevel="1" ht="15" customHeight="1">
      <c r="A45" s="289">
        <f>IF('Final Calculation Sheet'!$G$13="","",'Final Calculation Sheet'!$G$13)</f>
        <v/>
      </c>
      <c r="B45" s="290">
        <f>IF('Final Calculation Sheet'!$F$13="","",'Final Calculation Sheet'!$F$13)</f>
        <v/>
      </c>
      <c r="C45" s="289">
        <f>IF('Final Calculation Sheet'!$B$13="","",'Final Calculation Sheet'!$B$13)</f>
        <v/>
      </c>
      <c r="D45" s="290">
        <f>IF('Final Calculation Sheet'!$D$13="","",'Final Calculation Sheet'!$D$13)</f>
        <v/>
      </c>
      <c r="E45" s="291">
        <f>IF('Final Calculation Sheet'!$A$13="","",'Final Calculation Sheet'!$A$13)</f>
        <v/>
      </c>
      <c r="F45" s="292">
        <f>IF('Final Calculation Sheet'!$E$13="","",'Final Calculation Sheet'!$E$13)</f>
        <v/>
      </c>
      <c r="G45" s="290">
        <f>IF('Final Calculation Sheet'!$C$13="","",'Final Calculation Sheet'!$C$13)</f>
        <v/>
      </c>
      <c r="H45" s="290">
        <f>IF('Final Calculation Sheet'!$H$13="","",'Final Calculation Sheet'!$H$13)</f>
        <v/>
      </c>
      <c r="I45" s="290">
        <f>IF('Final Calculation Sheet'!$I$13="","",'Final Calculation Sheet'!$I$13)</f>
        <v/>
      </c>
      <c r="J45" s="290">
        <f>IF('Final Calculation Sheet'!$J$13="","",'Final Calculation Sheet'!$J$13)</f>
        <v/>
      </c>
      <c r="K45" s="290">
        <f>IF('Final Calculation Sheet'!$K$13="","",'Final Calculation Sheet'!$K$13)</f>
        <v/>
      </c>
      <c r="L45" s="293">
        <f>IF('Final Calculation Sheet'!$L$13="","",'Final Calculation Sheet'!$L$13)</f>
        <v/>
      </c>
      <c r="M45" s="293">
        <f>IF('Final Calculation Sheet'!$M$13="","",'Final Calculation Sheet'!$M$13)</f>
        <v/>
      </c>
      <c r="N45" s="293">
        <f>IF('Final Calculation Sheet'!$N$13="","",'Final Calculation Sheet'!$N$13)</f>
        <v/>
      </c>
      <c r="O45" s="293">
        <f>IF('Final Calculation Sheet'!$O$13="","",'Final Calculation Sheet'!$O$13)</f>
        <v/>
      </c>
      <c r="P45" s="290">
        <f>IF('Final Calculation Sheet'!$P$13="","",'Final Calculation Sheet'!$P$13)</f>
        <v/>
      </c>
      <c r="Q45" s="294">
        <f>IF('Final Calculation Sheet'!$Q$13="","",'Final Calculation Sheet'!$Q$13)</f>
        <v/>
      </c>
      <c r="R45" s="290">
        <f>IF('Final Calculation Sheet'!$R$13="","",'Final Calculation Sheet'!$R$13)</f>
        <v/>
      </c>
      <c r="S45" s="290">
        <f>IF('Final Calculation Sheet'!$S$13="","",'Final Calculation Sheet'!$S$13)</f>
        <v/>
      </c>
      <c r="T45" s="290">
        <f>IF('Final Calculation Sheet'!$T$13="","",'Final Calculation Sheet'!$T$13)</f>
        <v/>
      </c>
      <c r="U45" s="290">
        <f>IF('Final Calculation Sheet'!$U$13="","",'Final Calculation Sheet'!$U$13)</f>
        <v/>
      </c>
      <c r="V45" s="292">
        <f>IF('Final Calculation Sheet'!$V$13="","",'Final Calculation Sheet'!$V$13)</f>
        <v/>
      </c>
      <c r="W45" s="290">
        <f>IF('Final Calculation Sheet'!$W$13="","",'Final Calculation Sheet'!$W$13)</f>
        <v/>
      </c>
      <c r="X45" s="290">
        <f>IF('Final Calculation Sheet'!$X$13="","",'Final Calculation Sheet'!$X$13)</f>
        <v/>
      </c>
      <c r="Y45" s="292">
        <f>IF('Final Calculation Sheet'!$Y$13="","",'Final Calculation Sheet'!$Y$13)</f>
        <v/>
      </c>
      <c r="Z45" s="290">
        <f>IF('Final Calculation Sheet'!$Z$13="","",'Final Calculation Sheet'!$Z$13)</f>
        <v/>
      </c>
      <c r="AA45" s="290">
        <f>IF('Final Calculation Sheet'!$AA$13="","",'Final Calculation Sheet'!$AA$13)</f>
        <v/>
      </c>
      <c r="AB45" s="292">
        <f>IF('Final Calculation Sheet'!$AB$13="","",'Final Calculation Sheet'!$AB$13)</f>
        <v/>
      </c>
      <c r="AC45" s="290">
        <f>IF('Final Calculation Sheet'!$AC$13="","",'Final Calculation Sheet'!$AC$13)</f>
        <v/>
      </c>
      <c r="AD45" s="290">
        <f>IF('Final Calculation Sheet'!$AD$13="","",'Final Calculation Sheet'!$AD$13)</f>
        <v/>
      </c>
      <c r="AE45" s="292">
        <f>IF('Final Calculation Sheet'!$AD$13="","",IF('Final Calculation Sheet'!$AD$13&lt;=0,"SETTLED","OUTSTANDING"))</f>
        <v/>
      </c>
      <c r="AF45" s="292">
        <f>IF('Final Calculation Sheet'!$AE$13="","",'Final Calculation Sheet'!$AE$13)</f>
        <v/>
      </c>
      <c r="AG45" s="290">
        <f>IF('Final Calculation Sheet'!$AF$13="","",'Final Calculation Sheet'!$AF$13)</f>
        <v/>
      </c>
      <c r="AH45" s="292">
        <f>IF('Final Calculation Sheet'!$AG$13="","",'Final Calculation Sheet'!$AG$13)</f>
        <v/>
      </c>
      <c r="AI45" s="290" t="n">
        <v>13</v>
      </c>
    </row>
    <row r="46" outlineLevel="1" ht="15" customHeight="1">
      <c r="A46" s="367">
        <f>IF('Final Calculation Sheet'!$G$16="","",'Final Calculation Sheet'!$G$16)</f>
        <v/>
      </c>
      <c r="B46" s="368">
        <f>IF('Final Calculation Sheet'!$F$16="","",'Final Calculation Sheet'!$F$16)</f>
        <v/>
      </c>
      <c r="C46" s="367">
        <f>IF('Final Calculation Sheet'!$B$16="","",'Final Calculation Sheet'!$B$16)</f>
        <v/>
      </c>
      <c r="D46" s="368">
        <f>IF('Final Calculation Sheet'!$D$16="","",'Final Calculation Sheet'!$D$16)</f>
        <v/>
      </c>
      <c r="E46" s="369">
        <f>IF('Final Calculation Sheet'!$A$16="","",'Final Calculation Sheet'!$A$16)</f>
        <v/>
      </c>
      <c r="F46" s="370">
        <f>IF('Final Calculation Sheet'!$E$16="","",'Final Calculation Sheet'!$E$16)</f>
        <v/>
      </c>
      <c r="G46" s="368">
        <f>IF('Final Calculation Sheet'!$C$16="","",'Final Calculation Sheet'!$C$16)</f>
        <v/>
      </c>
      <c r="H46" s="368">
        <f>IF('Final Calculation Sheet'!$H$16="","",'Final Calculation Sheet'!$H$16)</f>
        <v/>
      </c>
      <c r="I46" s="368">
        <f>IF('Final Calculation Sheet'!$I$16="","",'Final Calculation Sheet'!$I$16)</f>
        <v/>
      </c>
      <c r="J46" s="368">
        <f>IF('Final Calculation Sheet'!$J$16="","",'Final Calculation Sheet'!$J$16)</f>
        <v/>
      </c>
      <c r="K46" s="368">
        <f>IF('Final Calculation Sheet'!$K$16="","",'Final Calculation Sheet'!$K$16)</f>
        <v/>
      </c>
      <c r="L46" s="371">
        <f>IF('Final Calculation Sheet'!$L$16="","",'Final Calculation Sheet'!$L$16)</f>
        <v/>
      </c>
      <c r="M46" s="371">
        <f>IF('Final Calculation Sheet'!$M$16="","",'Final Calculation Sheet'!$M$16)</f>
        <v/>
      </c>
      <c r="N46" s="371">
        <f>IF('Final Calculation Sheet'!$N$16="","",'Final Calculation Sheet'!$N$16)</f>
        <v/>
      </c>
      <c r="O46" s="371">
        <f>IF('Final Calculation Sheet'!$O$16="","",'Final Calculation Sheet'!$O$16)</f>
        <v/>
      </c>
      <c r="P46" s="368">
        <f>IF('Final Calculation Sheet'!$P$16="","",'Final Calculation Sheet'!$P$16)</f>
        <v/>
      </c>
      <c r="Q46" s="372">
        <f>IF('Final Calculation Sheet'!$Q$16="","",'Final Calculation Sheet'!$Q$16)</f>
        <v/>
      </c>
      <c r="R46" s="368">
        <f>IF('Final Calculation Sheet'!$R$16="","",'Final Calculation Sheet'!$R$16)</f>
        <v/>
      </c>
      <c r="S46" s="368">
        <f>IF('Final Calculation Sheet'!$S$16="","",'Final Calculation Sheet'!$S$16)</f>
        <v/>
      </c>
      <c r="T46" s="368">
        <f>IF('Final Calculation Sheet'!$T$16="","",'Final Calculation Sheet'!$T$16)</f>
        <v/>
      </c>
      <c r="U46" s="368">
        <f>IF('Final Calculation Sheet'!$U$16="","",'Final Calculation Sheet'!$U$16)</f>
        <v/>
      </c>
      <c r="V46" s="370">
        <f>IF('Final Calculation Sheet'!$V$16="","",'Final Calculation Sheet'!$V$16)</f>
        <v/>
      </c>
      <c r="W46" s="368">
        <f>IF('Final Calculation Sheet'!$W$16="","",'Final Calculation Sheet'!$W$16)</f>
        <v/>
      </c>
      <c r="X46" s="368">
        <f>IF('Final Calculation Sheet'!$X$16="","",'Final Calculation Sheet'!$X$16)</f>
        <v/>
      </c>
      <c r="Y46" s="370">
        <f>IF('Final Calculation Sheet'!$Y$16="","",'Final Calculation Sheet'!$Y$16)</f>
        <v/>
      </c>
      <c r="Z46" s="368">
        <f>IF('Final Calculation Sheet'!$Z$16="","",'Final Calculation Sheet'!$Z$16)</f>
        <v/>
      </c>
      <c r="AA46" s="368">
        <f>IF('Final Calculation Sheet'!$AA$16="","",'Final Calculation Sheet'!$AA$16)</f>
        <v/>
      </c>
      <c r="AB46" s="370">
        <f>IF('Final Calculation Sheet'!$AB$16="","",'Final Calculation Sheet'!$AB$16)</f>
        <v/>
      </c>
      <c r="AC46" s="368">
        <f>IF('Final Calculation Sheet'!$AC$16="","",'Final Calculation Sheet'!$AC$16)</f>
        <v/>
      </c>
      <c r="AD46" s="368">
        <f>IF('Final Calculation Sheet'!$AD$16="","",'Final Calculation Sheet'!$AD$16)</f>
        <v/>
      </c>
      <c r="AE46" s="370">
        <f>IF('Final Calculation Sheet'!$AD$16="","",IF('Final Calculation Sheet'!$AD$16&lt;=0,"SETTLED","OUTSTANDING"))</f>
        <v/>
      </c>
      <c r="AF46" s="370">
        <f>IF('Final Calculation Sheet'!$AE$16="","",'Final Calculation Sheet'!$AE$16)</f>
        <v/>
      </c>
      <c r="AG46" s="368">
        <f>IF('Final Calculation Sheet'!$AF$16="","",'Final Calculation Sheet'!$AF$16)</f>
        <v/>
      </c>
      <c r="AH46" s="370">
        <f>IF('Final Calculation Sheet'!$AG$16="","",'Final Calculation Sheet'!$AG$16)</f>
        <v/>
      </c>
      <c r="AI46" s="368" t="n">
        <v>16</v>
      </c>
    </row>
    <row r="47" outlineLevel="1" ht="15" customHeight="1">
      <c r="A47" s="289">
        <f>IF('Final Calculation Sheet'!$G$17="","",'Final Calculation Sheet'!$G$17)</f>
        <v/>
      </c>
      <c r="B47" s="290">
        <f>IF('Final Calculation Sheet'!$F$17="","",'Final Calculation Sheet'!$F$17)</f>
        <v/>
      </c>
      <c r="C47" s="289">
        <f>IF('Final Calculation Sheet'!$B$17="","",'Final Calculation Sheet'!$B$17)</f>
        <v/>
      </c>
      <c r="D47" s="290">
        <f>IF('Final Calculation Sheet'!$D$17="","",'Final Calculation Sheet'!$D$17)</f>
        <v/>
      </c>
      <c r="E47" s="291">
        <f>IF('Final Calculation Sheet'!$A$17="","",'Final Calculation Sheet'!$A$17)</f>
        <v/>
      </c>
      <c r="F47" s="292">
        <f>IF('Final Calculation Sheet'!$E$17="","",'Final Calculation Sheet'!$E$17)</f>
        <v/>
      </c>
      <c r="G47" s="290">
        <f>IF('Final Calculation Sheet'!$C$17="","",'Final Calculation Sheet'!$C$17)</f>
        <v/>
      </c>
      <c r="H47" s="290">
        <f>IF('Final Calculation Sheet'!$H$17="","",'Final Calculation Sheet'!$H$17)</f>
        <v/>
      </c>
      <c r="I47" s="290">
        <f>IF('Final Calculation Sheet'!$I$17="","",'Final Calculation Sheet'!$I$17)</f>
        <v/>
      </c>
      <c r="J47" s="290">
        <f>IF('Final Calculation Sheet'!$J$17="","",'Final Calculation Sheet'!$J$17)</f>
        <v/>
      </c>
      <c r="K47" s="290">
        <f>IF('Final Calculation Sheet'!$K$17="","",'Final Calculation Sheet'!$K$17)</f>
        <v/>
      </c>
      <c r="L47" s="293">
        <f>IF('Final Calculation Sheet'!$L$17="","",'Final Calculation Sheet'!$L$17)</f>
        <v/>
      </c>
      <c r="M47" s="293">
        <f>IF('Final Calculation Sheet'!$M$17="","",'Final Calculation Sheet'!$M$17)</f>
        <v/>
      </c>
      <c r="N47" s="293">
        <f>IF('Final Calculation Sheet'!$N$17="","",'Final Calculation Sheet'!$N$17)</f>
        <v/>
      </c>
      <c r="O47" s="293">
        <f>IF('Final Calculation Sheet'!$O$17="","",'Final Calculation Sheet'!$O$17)</f>
        <v/>
      </c>
      <c r="P47" s="290">
        <f>IF('Final Calculation Sheet'!$P$17="","",'Final Calculation Sheet'!$P$17)</f>
        <v/>
      </c>
      <c r="Q47" s="294">
        <f>IF('Final Calculation Sheet'!$Q$17="","",'Final Calculation Sheet'!$Q$17)</f>
        <v/>
      </c>
      <c r="R47" s="290">
        <f>IF('Final Calculation Sheet'!$R$17="","",'Final Calculation Sheet'!$R$17)</f>
        <v/>
      </c>
      <c r="S47" s="290">
        <f>IF('Final Calculation Sheet'!$S$17="","",'Final Calculation Sheet'!$S$17)</f>
        <v/>
      </c>
      <c r="T47" s="290">
        <f>IF('Final Calculation Sheet'!$T$17="","",'Final Calculation Sheet'!$T$17)</f>
        <v/>
      </c>
      <c r="U47" s="290">
        <f>IF('Final Calculation Sheet'!$U$17="","",'Final Calculation Sheet'!$U$17)</f>
        <v/>
      </c>
      <c r="V47" s="292">
        <f>IF('Final Calculation Sheet'!$V$17="","",'Final Calculation Sheet'!$V$17)</f>
        <v/>
      </c>
      <c r="W47" s="290">
        <f>IF('Final Calculation Sheet'!$W$17="","",'Final Calculation Sheet'!$W$17)</f>
        <v/>
      </c>
      <c r="X47" s="290">
        <f>IF('Final Calculation Sheet'!$X$17="","",'Final Calculation Sheet'!$X$17)</f>
        <v/>
      </c>
      <c r="Y47" s="292">
        <f>IF('Final Calculation Sheet'!$Y$17="","",'Final Calculation Sheet'!$Y$17)</f>
        <v/>
      </c>
      <c r="Z47" s="290">
        <f>IF('Final Calculation Sheet'!$Z$17="","",'Final Calculation Sheet'!$Z$17)</f>
        <v/>
      </c>
      <c r="AA47" s="290">
        <f>IF('Final Calculation Sheet'!$AA$17="","",'Final Calculation Sheet'!$AA$17)</f>
        <v/>
      </c>
      <c r="AB47" s="292">
        <f>IF('Final Calculation Sheet'!$AB$17="","",'Final Calculation Sheet'!$AB$17)</f>
        <v/>
      </c>
      <c r="AC47" s="290">
        <f>IF('Final Calculation Sheet'!$AC$17="","",'Final Calculation Sheet'!$AC$17)</f>
        <v/>
      </c>
      <c r="AD47" s="290">
        <f>IF('Final Calculation Sheet'!$AD$17="","",'Final Calculation Sheet'!$AD$17)</f>
        <v/>
      </c>
      <c r="AE47" s="292">
        <f>IF('Final Calculation Sheet'!$AD$17="","",IF('Final Calculation Sheet'!$AD$17&lt;=0,"SETTLED","OUTSTANDING"))</f>
        <v/>
      </c>
      <c r="AF47" s="292">
        <f>IF('Final Calculation Sheet'!$AE$17="","",'Final Calculation Sheet'!$AE$17)</f>
        <v/>
      </c>
      <c r="AG47" s="290">
        <f>IF('Final Calculation Sheet'!$AF$17="","",'Final Calculation Sheet'!$AF$17)</f>
        <v/>
      </c>
      <c r="AH47" s="292">
        <f>IF('Final Calculation Sheet'!$AG$17="","",'Final Calculation Sheet'!$AG$17)</f>
        <v/>
      </c>
      <c r="AI47" s="290" t="n">
        <v>17</v>
      </c>
    </row>
    <row r="48" outlineLevel="1" ht="15" customHeight="1">
      <c r="A48" s="367">
        <f>IF('Final Calculation Sheet'!$G$23="","",'Final Calculation Sheet'!$G$23)</f>
        <v/>
      </c>
      <c r="B48" s="368">
        <f>IF('Final Calculation Sheet'!$F$23="","",'Final Calculation Sheet'!$F$23)</f>
        <v/>
      </c>
      <c r="C48" s="367">
        <f>IF('Final Calculation Sheet'!$B$23="","",'Final Calculation Sheet'!$B$23)</f>
        <v/>
      </c>
      <c r="D48" s="368">
        <f>IF('Final Calculation Sheet'!$D$23="","",'Final Calculation Sheet'!$D$23)</f>
        <v/>
      </c>
      <c r="E48" s="369">
        <f>IF('Final Calculation Sheet'!$A$23="","",'Final Calculation Sheet'!$A$23)</f>
        <v/>
      </c>
      <c r="F48" s="370">
        <f>IF('Final Calculation Sheet'!$E$23="","",'Final Calculation Sheet'!$E$23)</f>
        <v/>
      </c>
      <c r="G48" s="368">
        <f>IF('Final Calculation Sheet'!$C$23="","",'Final Calculation Sheet'!$C$23)</f>
        <v/>
      </c>
      <c r="H48" s="368">
        <f>IF('Final Calculation Sheet'!$H$23="","",'Final Calculation Sheet'!$H$23)</f>
        <v/>
      </c>
      <c r="I48" s="368">
        <f>IF('Final Calculation Sheet'!$I$23="","",'Final Calculation Sheet'!$I$23)</f>
        <v/>
      </c>
      <c r="J48" s="368">
        <f>IF('Final Calculation Sheet'!$J$23="","",'Final Calculation Sheet'!$J$23)</f>
        <v/>
      </c>
      <c r="K48" s="368">
        <f>IF('Final Calculation Sheet'!$K$23="","",'Final Calculation Sheet'!$K$23)</f>
        <v/>
      </c>
      <c r="L48" s="371">
        <f>IF('Final Calculation Sheet'!$L$23="","",'Final Calculation Sheet'!$L$23)</f>
        <v/>
      </c>
      <c r="M48" s="371">
        <f>IF('Final Calculation Sheet'!$M$23="","",'Final Calculation Sheet'!$M$23)</f>
        <v/>
      </c>
      <c r="N48" s="371">
        <f>IF('Final Calculation Sheet'!$N$23="","",'Final Calculation Sheet'!$N$23)</f>
        <v/>
      </c>
      <c r="O48" s="371">
        <f>IF('Final Calculation Sheet'!$O$23="","",'Final Calculation Sheet'!$O$23)</f>
        <v/>
      </c>
      <c r="P48" s="368">
        <f>IF('Final Calculation Sheet'!$P$23="","",'Final Calculation Sheet'!$P$23)</f>
        <v/>
      </c>
      <c r="Q48" s="372">
        <f>IF('Final Calculation Sheet'!$Q$23="","",'Final Calculation Sheet'!$Q$23)</f>
        <v/>
      </c>
      <c r="R48" s="368">
        <f>IF('Final Calculation Sheet'!$R$23="","",'Final Calculation Sheet'!$R$23)</f>
        <v/>
      </c>
      <c r="S48" s="368">
        <f>IF('Final Calculation Sheet'!$S$23="","",'Final Calculation Sheet'!$S$23)</f>
        <v/>
      </c>
      <c r="T48" s="368">
        <f>IF('Final Calculation Sheet'!$T$23="","",'Final Calculation Sheet'!$T$23)</f>
        <v/>
      </c>
      <c r="U48" s="368">
        <f>IF('Final Calculation Sheet'!$U$23="","",'Final Calculation Sheet'!$U$23)</f>
        <v/>
      </c>
      <c r="V48" s="370">
        <f>IF('Final Calculation Sheet'!$V$23="","",'Final Calculation Sheet'!$V$23)</f>
        <v/>
      </c>
      <c r="W48" s="368">
        <f>IF('Final Calculation Sheet'!$W$23="","",'Final Calculation Sheet'!$W$23)</f>
        <v/>
      </c>
      <c r="X48" s="368">
        <f>IF('Final Calculation Sheet'!$X$23="","",'Final Calculation Sheet'!$X$23)</f>
        <v/>
      </c>
      <c r="Y48" s="370">
        <f>IF('Final Calculation Sheet'!$Y$23="","",'Final Calculation Sheet'!$Y$23)</f>
        <v/>
      </c>
      <c r="Z48" s="368">
        <f>IF('Final Calculation Sheet'!$Z$23="","",'Final Calculation Sheet'!$Z$23)</f>
        <v/>
      </c>
      <c r="AA48" s="368">
        <f>IF('Final Calculation Sheet'!$AA$23="","",'Final Calculation Sheet'!$AA$23)</f>
        <v/>
      </c>
      <c r="AB48" s="370">
        <f>IF('Final Calculation Sheet'!$AB$23="","",'Final Calculation Sheet'!$AB$23)</f>
        <v/>
      </c>
      <c r="AC48" s="368">
        <f>IF('Final Calculation Sheet'!$AC$23="","",'Final Calculation Sheet'!$AC$23)</f>
        <v/>
      </c>
      <c r="AD48" s="368">
        <f>IF('Final Calculation Sheet'!$AD$23="","",'Final Calculation Sheet'!$AD$23)</f>
        <v/>
      </c>
      <c r="AE48" s="370">
        <f>IF('Final Calculation Sheet'!$AD$23="","",IF('Final Calculation Sheet'!$AD$23&lt;=0,"SETTLED","OUTSTANDING"))</f>
        <v/>
      </c>
      <c r="AF48" s="370">
        <f>IF('Final Calculation Sheet'!$AE$23="","",'Final Calculation Sheet'!$AE$23)</f>
        <v/>
      </c>
      <c r="AG48" s="368">
        <f>IF('Final Calculation Sheet'!$AF$23="","",'Final Calculation Sheet'!$AF$23)</f>
        <v/>
      </c>
      <c r="AH48" s="370">
        <f>IF('Final Calculation Sheet'!$AG$23="","",'Final Calculation Sheet'!$AG$23)</f>
        <v/>
      </c>
      <c r="AI48" s="368" t="n">
        <v>23</v>
      </c>
    </row>
    <row r="49" outlineLevel="1" ht="15" customHeight="1">
      <c r="A49" s="289">
        <f>IF('Final Calculation Sheet'!$G$29="","",'Final Calculation Sheet'!$G$29)</f>
        <v/>
      </c>
      <c r="B49" s="290">
        <f>IF('Final Calculation Sheet'!$F$29="","",'Final Calculation Sheet'!$F$29)</f>
        <v/>
      </c>
      <c r="C49" s="289">
        <f>IF('Final Calculation Sheet'!$B$29="","",'Final Calculation Sheet'!$B$29)</f>
        <v/>
      </c>
      <c r="D49" s="290">
        <f>IF('Final Calculation Sheet'!$D$29="","",'Final Calculation Sheet'!$D$29)</f>
        <v/>
      </c>
      <c r="E49" s="291">
        <f>IF('Final Calculation Sheet'!$A$29="","",'Final Calculation Sheet'!$A$29)</f>
        <v/>
      </c>
      <c r="F49" s="292">
        <f>IF('Final Calculation Sheet'!$E$29="","",'Final Calculation Sheet'!$E$29)</f>
        <v/>
      </c>
      <c r="G49" s="290">
        <f>IF('Final Calculation Sheet'!$C$29="","",'Final Calculation Sheet'!$C$29)</f>
        <v/>
      </c>
      <c r="H49" s="290">
        <f>IF('Final Calculation Sheet'!$H$29="","",'Final Calculation Sheet'!$H$29)</f>
        <v/>
      </c>
      <c r="I49" s="290">
        <f>IF('Final Calculation Sheet'!$I$29="","",'Final Calculation Sheet'!$I$29)</f>
        <v/>
      </c>
      <c r="J49" s="290">
        <f>IF('Final Calculation Sheet'!$J$29="","",'Final Calculation Sheet'!$J$29)</f>
        <v/>
      </c>
      <c r="K49" s="290">
        <f>IF('Final Calculation Sheet'!$K$29="","",'Final Calculation Sheet'!$K$29)</f>
        <v/>
      </c>
      <c r="L49" s="293">
        <f>IF('Final Calculation Sheet'!$L$29="","",'Final Calculation Sheet'!$L$29)</f>
        <v/>
      </c>
      <c r="M49" s="293">
        <f>IF('Final Calculation Sheet'!$M$29="","",'Final Calculation Sheet'!$M$29)</f>
        <v/>
      </c>
      <c r="N49" s="293">
        <f>IF('Final Calculation Sheet'!$N$29="","",'Final Calculation Sheet'!$N$29)</f>
        <v/>
      </c>
      <c r="O49" s="293">
        <f>IF('Final Calculation Sheet'!$O$29="","",'Final Calculation Sheet'!$O$29)</f>
        <v/>
      </c>
      <c r="P49" s="290">
        <f>IF('Final Calculation Sheet'!$P$29="","",'Final Calculation Sheet'!$P$29)</f>
        <v/>
      </c>
      <c r="Q49" s="294">
        <f>IF('Final Calculation Sheet'!$Q$29="","",'Final Calculation Sheet'!$Q$29)</f>
        <v/>
      </c>
      <c r="R49" s="290">
        <f>IF('Final Calculation Sheet'!$R$29="","",'Final Calculation Sheet'!$R$29)</f>
        <v/>
      </c>
      <c r="S49" s="290">
        <f>IF('Final Calculation Sheet'!$S$29="","",'Final Calculation Sheet'!$S$29)</f>
        <v/>
      </c>
      <c r="T49" s="290">
        <f>IF('Final Calculation Sheet'!$T$29="","",'Final Calculation Sheet'!$T$29)</f>
        <v/>
      </c>
      <c r="U49" s="290">
        <f>IF('Final Calculation Sheet'!$U$29="","",'Final Calculation Sheet'!$U$29)</f>
        <v/>
      </c>
      <c r="V49" s="292">
        <f>IF('Final Calculation Sheet'!$V$29="","",'Final Calculation Sheet'!$V$29)</f>
        <v/>
      </c>
      <c r="W49" s="290">
        <f>IF('Final Calculation Sheet'!$W$29="","",'Final Calculation Sheet'!$W$29)</f>
        <v/>
      </c>
      <c r="X49" s="290">
        <f>IF('Final Calculation Sheet'!$X$29="","",'Final Calculation Sheet'!$X$29)</f>
        <v/>
      </c>
      <c r="Y49" s="292">
        <f>IF('Final Calculation Sheet'!$Y$29="","",'Final Calculation Sheet'!$Y$29)</f>
        <v/>
      </c>
      <c r="Z49" s="290">
        <f>IF('Final Calculation Sheet'!$Z$29="","",'Final Calculation Sheet'!$Z$29)</f>
        <v/>
      </c>
      <c r="AA49" s="290">
        <f>IF('Final Calculation Sheet'!$AA$29="","",'Final Calculation Sheet'!$AA$29)</f>
        <v/>
      </c>
      <c r="AB49" s="292">
        <f>IF('Final Calculation Sheet'!$AB$29="","",'Final Calculation Sheet'!$AB$29)</f>
        <v/>
      </c>
      <c r="AC49" s="290">
        <f>IF('Final Calculation Sheet'!$AC$29="","",'Final Calculation Sheet'!$AC$29)</f>
        <v/>
      </c>
      <c r="AD49" s="290">
        <f>IF('Final Calculation Sheet'!$AD$29="","",'Final Calculation Sheet'!$AD$29)</f>
        <v/>
      </c>
      <c r="AE49" s="292">
        <f>IF('Final Calculation Sheet'!$AD$29="","",IF('Final Calculation Sheet'!$AD$29&lt;=0,"SETTLED","OUTSTANDING"))</f>
        <v/>
      </c>
      <c r="AF49" s="292">
        <f>IF('Final Calculation Sheet'!$AE$29="","",'Final Calculation Sheet'!$AE$29)</f>
        <v/>
      </c>
      <c r="AG49" s="290">
        <f>IF('Final Calculation Sheet'!$AF$29="","",'Final Calculation Sheet'!$AF$29)</f>
        <v/>
      </c>
      <c r="AH49" s="292">
        <f>IF('Final Calculation Sheet'!$AG$29="","",'Final Calculation Sheet'!$AG$29)</f>
        <v/>
      </c>
      <c r="AI49" s="290" t="n">
        <v>29</v>
      </c>
    </row>
    <row r="50" outlineLevel="1" ht="15" customHeight="1">
      <c r="A50" s="367">
        <f>IF('Final Calculation Sheet'!$G$34="","",'Final Calculation Sheet'!$G$34)</f>
        <v/>
      </c>
      <c r="B50" s="368">
        <f>IF('Final Calculation Sheet'!$F$34="","",'Final Calculation Sheet'!$F$34)</f>
        <v/>
      </c>
      <c r="C50" s="367">
        <f>IF('Final Calculation Sheet'!$B$34="","",'Final Calculation Sheet'!$B$34)</f>
        <v/>
      </c>
      <c r="D50" s="368">
        <f>IF('Final Calculation Sheet'!$D$34="","",'Final Calculation Sheet'!$D$34)</f>
        <v/>
      </c>
      <c r="E50" s="369">
        <f>IF('Final Calculation Sheet'!$A$34="","",'Final Calculation Sheet'!$A$34)</f>
        <v/>
      </c>
      <c r="F50" s="370">
        <f>IF('Final Calculation Sheet'!$E$34="","",'Final Calculation Sheet'!$E$34)</f>
        <v/>
      </c>
      <c r="G50" s="368">
        <f>IF('Final Calculation Sheet'!$C$34="","",'Final Calculation Sheet'!$C$34)</f>
        <v/>
      </c>
      <c r="H50" s="368">
        <f>IF('Final Calculation Sheet'!$H$34="","",'Final Calculation Sheet'!$H$34)</f>
        <v/>
      </c>
      <c r="I50" s="368">
        <f>IF('Final Calculation Sheet'!$I$34="","",'Final Calculation Sheet'!$I$34)</f>
        <v/>
      </c>
      <c r="J50" s="368">
        <f>IF('Final Calculation Sheet'!$J$34="","",'Final Calculation Sheet'!$J$34)</f>
        <v/>
      </c>
      <c r="K50" s="368">
        <f>IF('Final Calculation Sheet'!$K$34="","",'Final Calculation Sheet'!$K$34)</f>
        <v/>
      </c>
      <c r="L50" s="371">
        <f>IF('Final Calculation Sheet'!$L$34="","",'Final Calculation Sheet'!$L$34)</f>
        <v/>
      </c>
      <c r="M50" s="371">
        <f>IF('Final Calculation Sheet'!$M$34="","",'Final Calculation Sheet'!$M$34)</f>
        <v/>
      </c>
      <c r="N50" s="371">
        <f>IF('Final Calculation Sheet'!$N$34="","",'Final Calculation Sheet'!$N$34)</f>
        <v/>
      </c>
      <c r="O50" s="371">
        <f>IF('Final Calculation Sheet'!$O$34="","",'Final Calculation Sheet'!$O$34)</f>
        <v/>
      </c>
      <c r="P50" s="368">
        <f>IF('Final Calculation Sheet'!$P$34="","",'Final Calculation Sheet'!$P$34)</f>
        <v/>
      </c>
      <c r="Q50" s="372">
        <f>IF('Final Calculation Sheet'!$Q$34="","",'Final Calculation Sheet'!$Q$34)</f>
        <v/>
      </c>
      <c r="R50" s="368">
        <f>IF('Final Calculation Sheet'!$R$34="","",'Final Calculation Sheet'!$R$34)</f>
        <v/>
      </c>
      <c r="S50" s="368">
        <f>IF('Final Calculation Sheet'!$S$34="","",'Final Calculation Sheet'!$S$34)</f>
        <v/>
      </c>
      <c r="T50" s="368">
        <f>IF('Final Calculation Sheet'!$T$34="","",'Final Calculation Sheet'!$T$34)</f>
        <v/>
      </c>
      <c r="U50" s="368">
        <f>IF('Final Calculation Sheet'!$U$34="","",'Final Calculation Sheet'!$U$34)</f>
        <v/>
      </c>
      <c r="V50" s="370">
        <f>IF('Final Calculation Sheet'!$V$34="","",'Final Calculation Sheet'!$V$34)</f>
        <v/>
      </c>
      <c r="W50" s="368">
        <f>IF('Final Calculation Sheet'!$W$34="","",'Final Calculation Sheet'!$W$34)</f>
        <v/>
      </c>
      <c r="X50" s="368">
        <f>IF('Final Calculation Sheet'!$X$34="","",'Final Calculation Sheet'!$X$34)</f>
        <v/>
      </c>
      <c r="Y50" s="370">
        <f>IF('Final Calculation Sheet'!$Y$34="","",'Final Calculation Sheet'!$Y$34)</f>
        <v/>
      </c>
      <c r="Z50" s="368">
        <f>IF('Final Calculation Sheet'!$Z$34="","",'Final Calculation Sheet'!$Z$34)</f>
        <v/>
      </c>
      <c r="AA50" s="368">
        <f>IF('Final Calculation Sheet'!$AA$34="","",'Final Calculation Sheet'!$AA$34)</f>
        <v/>
      </c>
      <c r="AB50" s="370">
        <f>IF('Final Calculation Sheet'!$AB$34="","",'Final Calculation Sheet'!$AB$34)</f>
        <v/>
      </c>
      <c r="AC50" s="368">
        <f>IF('Final Calculation Sheet'!$AC$34="","",'Final Calculation Sheet'!$AC$34)</f>
        <v/>
      </c>
      <c r="AD50" s="368">
        <f>IF('Final Calculation Sheet'!$AD$34="","",'Final Calculation Sheet'!$AD$34)</f>
        <v/>
      </c>
      <c r="AE50" s="370">
        <f>IF('Final Calculation Sheet'!$AD$34="","",IF('Final Calculation Sheet'!$AD$34&lt;=0,"SETTLED","OUTSTANDING"))</f>
        <v/>
      </c>
      <c r="AF50" s="370">
        <f>IF('Final Calculation Sheet'!$AE$34="","",'Final Calculation Sheet'!$AE$34)</f>
        <v/>
      </c>
      <c r="AG50" s="368">
        <f>IF('Final Calculation Sheet'!$AF$34="","",'Final Calculation Sheet'!$AF$34)</f>
        <v/>
      </c>
      <c r="AH50" s="370">
        <f>IF('Final Calculation Sheet'!$AG$34="","",'Final Calculation Sheet'!$AG$34)</f>
        <v/>
      </c>
      <c r="AI50" s="368" t="n">
        <v>34</v>
      </c>
    </row>
    <row r="51" outlineLevel="1" ht="15" customHeight="1">
      <c r="A51" s="289">
        <f>IF('Final Calculation Sheet'!$G$36="","",'Final Calculation Sheet'!$G$36)</f>
        <v/>
      </c>
      <c r="B51" s="290">
        <f>IF('Final Calculation Sheet'!$F$36="","",'Final Calculation Sheet'!$F$36)</f>
        <v/>
      </c>
      <c r="C51" s="289">
        <f>IF('Final Calculation Sheet'!$B$36="","",'Final Calculation Sheet'!$B$36)</f>
        <v/>
      </c>
      <c r="D51" s="290">
        <f>IF('Final Calculation Sheet'!$D$36="","",'Final Calculation Sheet'!$D$36)</f>
        <v/>
      </c>
      <c r="E51" s="291">
        <f>IF('Final Calculation Sheet'!$A$36="","",'Final Calculation Sheet'!$A$36)</f>
        <v/>
      </c>
      <c r="F51" s="292">
        <f>IF('Final Calculation Sheet'!$E$36="","",'Final Calculation Sheet'!$E$36)</f>
        <v/>
      </c>
      <c r="G51" s="290">
        <f>IF('Final Calculation Sheet'!$C$36="","",'Final Calculation Sheet'!$C$36)</f>
        <v/>
      </c>
      <c r="H51" s="290">
        <f>IF('Final Calculation Sheet'!$H$36="","",'Final Calculation Sheet'!$H$36)</f>
        <v/>
      </c>
      <c r="I51" s="290">
        <f>IF('Final Calculation Sheet'!$I$36="","",'Final Calculation Sheet'!$I$36)</f>
        <v/>
      </c>
      <c r="J51" s="290">
        <f>IF('Final Calculation Sheet'!$J$36="","",'Final Calculation Sheet'!$J$36)</f>
        <v/>
      </c>
      <c r="K51" s="290">
        <f>IF('Final Calculation Sheet'!$K$36="","",'Final Calculation Sheet'!$K$36)</f>
        <v/>
      </c>
      <c r="L51" s="293">
        <f>IF('Final Calculation Sheet'!$L$36="","",'Final Calculation Sheet'!$L$36)</f>
        <v/>
      </c>
      <c r="M51" s="293">
        <f>IF('Final Calculation Sheet'!$M$36="","",'Final Calculation Sheet'!$M$36)</f>
        <v/>
      </c>
      <c r="N51" s="293">
        <f>IF('Final Calculation Sheet'!$N$36="","",'Final Calculation Sheet'!$N$36)</f>
        <v/>
      </c>
      <c r="O51" s="293">
        <f>IF('Final Calculation Sheet'!$O$36="","",'Final Calculation Sheet'!$O$36)</f>
        <v/>
      </c>
      <c r="P51" s="290">
        <f>IF('Final Calculation Sheet'!$P$36="","",'Final Calculation Sheet'!$P$36)</f>
        <v/>
      </c>
      <c r="Q51" s="294">
        <f>IF('Final Calculation Sheet'!$Q$36="","",'Final Calculation Sheet'!$Q$36)</f>
        <v/>
      </c>
      <c r="R51" s="290">
        <f>IF('Final Calculation Sheet'!$R$36="","",'Final Calculation Sheet'!$R$36)</f>
        <v/>
      </c>
      <c r="S51" s="290">
        <f>IF('Final Calculation Sheet'!$S$36="","",'Final Calculation Sheet'!$S$36)</f>
        <v/>
      </c>
      <c r="T51" s="290">
        <f>IF('Final Calculation Sheet'!$T$36="","",'Final Calculation Sheet'!$T$36)</f>
        <v/>
      </c>
      <c r="U51" s="290">
        <f>IF('Final Calculation Sheet'!$U$36="","",'Final Calculation Sheet'!$U$36)</f>
        <v/>
      </c>
      <c r="V51" s="292">
        <f>IF('Final Calculation Sheet'!$V$36="","",'Final Calculation Sheet'!$V$36)</f>
        <v/>
      </c>
      <c r="W51" s="290">
        <f>IF('Final Calculation Sheet'!$W$36="","",'Final Calculation Sheet'!$W$36)</f>
        <v/>
      </c>
      <c r="X51" s="290">
        <f>IF('Final Calculation Sheet'!$X$36="","",'Final Calculation Sheet'!$X$36)</f>
        <v/>
      </c>
      <c r="Y51" s="292">
        <f>IF('Final Calculation Sheet'!$Y$36="","",'Final Calculation Sheet'!$Y$36)</f>
        <v/>
      </c>
      <c r="Z51" s="290">
        <f>IF('Final Calculation Sheet'!$Z$36="","",'Final Calculation Sheet'!$Z$36)</f>
        <v/>
      </c>
      <c r="AA51" s="290">
        <f>IF('Final Calculation Sheet'!$AA$36="","",'Final Calculation Sheet'!$AA$36)</f>
        <v/>
      </c>
      <c r="AB51" s="292">
        <f>IF('Final Calculation Sheet'!$AB$36="","",'Final Calculation Sheet'!$AB$36)</f>
        <v/>
      </c>
      <c r="AC51" s="290">
        <f>IF('Final Calculation Sheet'!$AC$36="","",'Final Calculation Sheet'!$AC$36)</f>
        <v/>
      </c>
      <c r="AD51" s="290">
        <f>IF('Final Calculation Sheet'!$AD$36="","",'Final Calculation Sheet'!$AD$36)</f>
        <v/>
      </c>
      <c r="AE51" s="292">
        <f>IF('Final Calculation Sheet'!$AD$36="","",IF('Final Calculation Sheet'!$AD$36&lt;=0,"SETTLED","OUTSTANDING"))</f>
        <v/>
      </c>
      <c r="AF51" s="292">
        <f>IF('Final Calculation Sheet'!$AE$36="","",'Final Calculation Sheet'!$AE$36)</f>
        <v/>
      </c>
      <c r="AG51" s="290">
        <f>IF('Final Calculation Sheet'!$AF$36="","",'Final Calculation Sheet'!$AF$36)</f>
        <v/>
      </c>
      <c r="AH51" s="292">
        <f>IF('Final Calculation Sheet'!$AG$36="","",'Final Calculation Sheet'!$AG$36)</f>
        <v/>
      </c>
      <c r="AI51" s="290" t="n">
        <v>36</v>
      </c>
    </row>
    <row r="52" ht="20" customHeight="1">
      <c r="A52" s="295" t="inlineStr">
        <is>
          <t>▼  WATAN SCRAP TRADERS</t>
        </is>
      </c>
      <c r="B52" s="296" t="n"/>
      <c r="C52" s="297" t="inlineStr">
        <is>
          <t>3 lots  —  click − to fold this buyer</t>
        </is>
      </c>
      <c r="D52" s="296" t="n"/>
      <c r="E52" s="298">
        <f>SUBTOTAL(109,E53:E55)</f>
        <v/>
      </c>
      <c r="F52" s="296" t="n"/>
      <c r="G52" s="296" t="n"/>
      <c r="H52" s="299">
        <f>SUBTOTAL(109,H53:H55)</f>
        <v/>
      </c>
      <c r="I52" s="299">
        <f>SUBTOTAL(109,I53:I55)</f>
        <v/>
      </c>
      <c r="J52" s="299">
        <f>SUBTOTAL(109,J53:J55)</f>
        <v/>
      </c>
      <c r="K52" s="299">
        <f>SUBTOTAL(109,K53:K55)</f>
        <v/>
      </c>
      <c r="L52" s="300">
        <f>SUBTOTAL(109,L53:L55)</f>
        <v/>
      </c>
      <c r="M52" s="300">
        <f>SUBTOTAL(109,M53:M55)</f>
        <v/>
      </c>
      <c r="N52" s="300">
        <f>SUBTOTAL(109,N53:N55)</f>
        <v/>
      </c>
      <c r="O52" s="300">
        <f>SUBTOTAL(109,O53:O55)</f>
        <v/>
      </c>
      <c r="P52" s="299">
        <f>SUBTOTAL(109,P53:P55)</f>
        <v/>
      </c>
      <c r="Q52" s="296" t="n"/>
      <c r="R52" s="299">
        <f>SUBTOTAL(109,R53:R55)</f>
        <v/>
      </c>
      <c r="S52" s="299">
        <f>SUBTOTAL(109,S53:S55)</f>
        <v/>
      </c>
      <c r="T52" s="299">
        <f>SUBTOTAL(109,T53:T55)</f>
        <v/>
      </c>
      <c r="U52" s="299">
        <f>SUBTOTAL(109,U53:U55)</f>
        <v/>
      </c>
      <c r="V52" s="296" t="n"/>
      <c r="W52" s="299">
        <f>SUBTOTAL(109,W53:W55)</f>
        <v/>
      </c>
      <c r="X52" s="299">
        <f>SUBTOTAL(109,X53:X55)</f>
        <v/>
      </c>
      <c r="Y52" s="296" t="n"/>
      <c r="Z52" s="299">
        <f>SUBTOTAL(109,Z53:Z55)</f>
        <v/>
      </c>
      <c r="AA52" s="299">
        <f>SUBTOTAL(109,AA53:AA55)</f>
        <v/>
      </c>
      <c r="AB52" s="296" t="n"/>
      <c r="AC52" s="299">
        <f>SUBTOTAL(109,AC53:AC55)</f>
        <v/>
      </c>
      <c r="AD52" s="299">
        <f>SUBTOTAL(109,AD53:AD55)</f>
        <v/>
      </c>
      <c r="AE52" s="296" t="n"/>
      <c r="AF52" s="296" t="n"/>
      <c r="AG52" s="296" t="n"/>
      <c r="AH52" s="296" t="n"/>
      <c r="AI52" s="296" t="n"/>
    </row>
    <row r="53" outlineLevel="1" ht="15" customHeight="1">
      <c r="A53" s="301">
        <f>IF('Final Calculation Sheet'!$G$25="","",'Final Calculation Sheet'!$G$25)</f>
        <v/>
      </c>
      <c r="B53" s="302">
        <f>IF('Final Calculation Sheet'!$F$25="","",'Final Calculation Sheet'!$F$25)</f>
        <v/>
      </c>
      <c r="C53" s="301">
        <f>IF('Final Calculation Sheet'!$B$25="","",'Final Calculation Sheet'!$B$25)</f>
        <v/>
      </c>
      <c r="D53" s="302">
        <f>IF('Final Calculation Sheet'!$D$25="","",'Final Calculation Sheet'!$D$25)</f>
        <v/>
      </c>
      <c r="E53" s="303">
        <f>IF('Final Calculation Sheet'!$A$25="","",'Final Calculation Sheet'!$A$25)</f>
        <v/>
      </c>
      <c r="F53" s="304">
        <f>IF('Final Calculation Sheet'!$E$25="","",'Final Calculation Sheet'!$E$25)</f>
        <v/>
      </c>
      <c r="G53" s="302">
        <f>IF('Final Calculation Sheet'!$C$25="","",'Final Calculation Sheet'!$C$25)</f>
        <v/>
      </c>
      <c r="H53" s="302">
        <f>IF('Final Calculation Sheet'!$H$25="","",'Final Calculation Sheet'!$H$25)</f>
        <v/>
      </c>
      <c r="I53" s="302">
        <f>IF('Final Calculation Sheet'!$I$25="","",'Final Calculation Sheet'!$I$25)</f>
        <v/>
      </c>
      <c r="J53" s="302">
        <f>IF('Final Calculation Sheet'!$J$25="","",'Final Calculation Sheet'!$J$25)</f>
        <v/>
      </c>
      <c r="K53" s="302">
        <f>IF('Final Calculation Sheet'!$K$25="","",'Final Calculation Sheet'!$K$25)</f>
        <v/>
      </c>
      <c r="L53" s="305">
        <f>IF('Final Calculation Sheet'!$L$25="","",'Final Calculation Sheet'!$L$25)</f>
        <v/>
      </c>
      <c r="M53" s="305">
        <f>IF('Final Calculation Sheet'!$M$25="","",'Final Calculation Sheet'!$M$25)</f>
        <v/>
      </c>
      <c r="N53" s="305">
        <f>IF('Final Calculation Sheet'!$N$25="","",'Final Calculation Sheet'!$N$25)</f>
        <v/>
      </c>
      <c r="O53" s="305">
        <f>IF('Final Calculation Sheet'!$O$25="","",'Final Calculation Sheet'!$O$25)</f>
        <v/>
      </c>
      <c r="P53" s="302">
        <f>IF('Final Calculation Sheet'!$P$25="","",'Final Calculation Sheet'!$P$25)</f>
        <v/>
      </c>
      <c r="Q53" s="306">
        <f>IF('Final Calculation Sheet'!$Q$25="","",'Final Calculation Sheet'!$Q$25)</f>
        <v/>
      </c>
      <c r="R53" s="302">
        <f>IF('Final Calculation Sheet'!$R$25="","",'Final Calculation Sheet'!$R$25)</f>
        <v/>
      </c>
      <c r="S53" s="302">
        <f>IF('Final Calculation Sheet'!$S$25="","",'Final Calculation Sheet'!$S$25)</f>
        <v/>
      </c>
      <c r="T53" s="302">
        <f>IF('Final Calculation Sheet'!$T$25="","",'Final Calculation Sheet'!$T$25)</f>
        <v/>
      </c>
      <c r="U53" s="302">
        <f>IF('Final Calculation Sheet'!$U$25="","",'Final Calculation Sheet'!$U$25)</f>
        <v/>
      </c>
      <c r="V53" s="304">
        <f>IF('Final Calculation Sheet'!$V$25="","",'Final Calculation Sheet'!$V$25)</f>
        <v/>
      </c>
      <c r="W53" s="302">
        <f>IF('Final Calculation Sheet'!$W$25="","",'Final Calculation Sheet'!$W$25)</f>
        <v/>
      </c>
      <c r="X53" s="302">
        <f>IF('Final Calculation Sheet'!$X$25="","",'Final Calculation Sheet'!$X$25)</f>
        <v/>
      </c>
      <c r="Y53" s="304">
        <f>IF('Final Calculation Sheet'!$Y$25="","",'Final Calculation Sheet'!$Y$25)</f>
        <v/>
      </c>
      <c r="Z53" s="302">
        <f>IF('Final Calculation Sheet'!$Z$25="","",'Final Calculation Sheet'!$Z$25)</f>
        <v/>
      </c>
      <c r="AA53" s="302">
        <f>IF('Final Calculation Sheet'!$AA$25="","",'Final Calculation Sheet'!$AA$25)</f>
        <v/>
      </c>
      <c r="AB53" s="304">
        <f>IF('Final Calculation Sheet'!$AB$25="","",'Final Calculation Sheet'!$AB$25)</f>
        <v/>
      </c>
      <c r="AC53" s="302">
        <f>IF('Final Calculation Sheet'!$AC$25="","",'Final Calculation Sheet'!$AC$25)</f>
        <v/>
      </c>
      <c r="AD53" s="302">
        <f>IF('Final Calculation Sheet'!$AD$25="","",'Final Calculation Sheet'!$AD$25)</f>
        <v/>
      </c>
      <c r="AE53" s="304">
        <f>IF('Final Calculation Sheet'!$AD$25="","",IF('Final Calculation Sheet'!$AD$25&lt;=0,"SETTLED","OUTSTANDING"))</f>
        <v/>
      </c>
      <c r="AF53" s="304">
        <f>IF('Final Calculation Sheet'!$AE$25="","",'Final Calculation Sheet'!$AE$25)</f>
        <v/>
      </c>
      <c r="AG53" s="302">
        <f>IF('Final Calculation Sheet'!$AF$25="","",'Final Calculation Sheet'!$AF$25)</f>
        <v/>
      </c>
      <c r="AH53" s="304">
        <f>IF('Final Calculation Sheet'!$AG$25="","",'Final Calculation Sheet'!$AG$25)</f>
        <v/>
      </c>
      <c r="AI53" s="302" t="n">
        <v>25</v>
      </c>
    </row>
    <row r="54" outlineLevel="1" ht="15" customHeight="1">
      <c r="A54" s="373">
        <f>IF('Final Calculation Sheet'!$G$28="","",'Final Calculation Sheet'!$G$28)</f>
        <v/>
      </c>
      <c r="B54" s="374">
        <f>IF('Final Calculation Sheet'!$F$28="","",'Final Calculation Sheet'!$F$28)</f>
        <v/>
      </c>
      <c r="C54" s="373">
        <f>IF('Final Calculation Sheet'!$B$28="","",'Final Calculation Sheet'!$B$28)</f>
        <v/>
      </c>
      <c r="D54" s="374">
        <f>IF('Final Calculation Sheet'!$D$28="","",'Final Calculation Sheet'!$D$28)</f>
        <v/>
      </c>
      <c r="E54" s="375">
        <f>IF('Final Calculation Sheet'!$A$28="","",'Final Calculation Sheet'!$A$28)</f>
        <v/>
      </c>
      <c r="F54" s="376">
        <f>IF('Final Calculation Sheet'!$E$28="","",'Final Calculation Sheet'!$E$28)</f>
        <v/>
      </c>
      <c r="G54" s="374">
        <f>IF('Final Calculation Sheet'!$C$28="","",'Final Calculation Sheet'!$C$28)</f>
        <v/>
      </c>
      <c r="H54" s="374">
        <f>IF('Final Calculation Sheet'!$H$28="","",'Final Calculation Sheet'!$H$28)</f>
        <v/>
      </c>
      <c r="I54" s="374">
        <f>IF('Final Calculation Sheet'!$I$28="","",'Final Calculation Sheet'!$I$28)</f>
        <v/>
      </c>
      <c r="J54" s="374">
        <f>IF('Final Calculation Sheet'!$J$28="","",'Final Calculation Sheet'!$J$28)</f>
        <v/>
      </c>
      <c r="K54" s="374">
        <f>IF('Final Calculation Sheet'!$K$28="","",'Final Calculation Sheet'!$K$28)</f>
        <v/>
      </c>
      <c r="L54" s="377">
        <f>IF('Final Calculation Sheet'!$L$28="","",'Final Calculation Sheet'!$L$28)</f>
        <v/>
      </c>
      <c r="M54" s="377">
        <f>IF('Final Calculation Sheet'!$M$28="","",'Final Calculation Sheet'!$M$28)</f>
        <v/>
      </c>
      <c r="N54" s="377">
        <f>IF('Final Calculation Sheet'!$N$28="","",'Final Calculation Sheet'!$N$28)</f>
        <v/>
      </c>
      <c r="O54" s="377">
        <f>IF('Final Calculation Sheet'!$O$28="","",'Final Calculation Sheet'!$O$28)</f>
        <v/>
      </c>
      <c r="P54" s="374">
        <f>IF('Final Calculation Sheet'!$P$28="","",'Final Calculation Sheet'!$P$28)</f>
        <v/>
      </c>
      <c r="Q54" s="378">
        <f>IF('Final Calculation Sheet'!$Q$28="","",'Final Calculation Sheet'!$Q$28)</f>
        <v/>
      </c>
      <c r="R54" s="374">
        <f>IF('Final Calculation Sheet'!$R$28="","",'Final Calculation Sheet'!$R$28)</f>
        <v/>
      </c>
      <c r="S54" s="374">
        <f>IF('Final Calculation Sheet'!$S$28="","",'Final Calculation Sheet'!$S$28)</f>
        <v/>
      </c>
      <c r="T54" s="374">
        <f>IF('Final Calculation Sheet'!$T$28="","",'Final Calculation Sheet'!$T$28)</f>
        <v/>
      </c>
      <c r="U54" s="374">
        <f>IF('Final Calculation Sheet'!$U$28="","",'Final Calculation Sheet'!$U$28)</f>
        <v/>
      </c>
      <c r="V54" s="376">
        <f>IF('Final Calculation Sheet'!$V$28="","",'Final Calculation Sheet'!$V$28)</f>
        <v/>
      </c>
      <c r="W54" s="374">
        <f>IF('Final Calculation Sheet'!$W$28="","",'Final Calculation Sheet'!$W$28)</f>
        <v/>
      </c>
      <c r="X54" s="374">
        <f>IF('Final Calculation Sheet'!$X$28="","",'Final Calculation Sheet'!$X$28)</f>
        <v/>
      </c>
      <c r="Y54" s="376">
        <f>IF('Final Calculation Sheet'!$Y$28="","",'Final Calculation Sheet'!$Y$28)</f>
        <v/>
      </c>
      <c r="Z54" s="374">
        <f>IF('Final Calculation Sheet'!$Z$28="","",'Final Calculation Sheet'!$Z$28)</f>
        <v/>
      </c>
      <c r="AA54" s="374">
        <f>IF('Final Calculation Sheet'!$AA$28="","",'Final Calculation Sheet'!$AA$28)</f>
        <v/>
      </c>
      <c r="AB54" s="376">
        <f>IF('Final Calculation Sheet'!$AB$28="","",'Final Calculation Sheet'!$AB$28)</f>
        <v/>
      </c>
      <c r="AC54" s="374">
        <f>IF('Final Calculation Sheet'!$AC$28="","",'Final Calculation Sheet'!$AC$28)</f>
        <v/>
      </c>
      <c r="AD54" s="374">
        <f>IF('Final Calculation Sheet'!$AD$28="","",'Final Calculation Sheet'!$AD$28)</f>
        <v/>
      </c>
      <c r="AE54" s="376">
        <f>IF('Final Calculation Sheet'!$AD$28="","",IF('Final Calculation Sheet'!$AD$28&lt;=0,"SETTLED","OUTSTANDING"))</f>
        <v/>
      </c>
      <c r="AF54" s="376">
        <f>IF('Final Calculation Sheet'!$AE$28="","",'Final Calculation Sheet'!$AE$28)</f>
        <v/>
      </c>
      <c r="AG54" s="374">
        <f>IF('Final Calculation Sheet'!$AF$28="","",'Final Calculation Sheet'!$AF$28)</f>
        <v/>
      </c>
      <c r="AH54" s="376">
        <f>IF('Final Calculation Sheet'!$AG$28="","",'Final Calculation Sheet'!$AG$28)</f>
        <v/>
      </c>
      <c r="AI54" s="374" t="n">
        <v>28</v>
      </c>
    </row>
    <row r="55" outlineLevel="1" ht="15" customHeight="1">
      <c r="A55" s="301">
        <f>IF('Final Calculation Sheet'!$G$35="","",'Final Calculation Sheet'!$G$35)</f>
        <v/>
      </c>
      <c r="B55" s="302">
        <f>IF('Final Calculation Sheet'!$F$35="","",'Final Calculation Sheet'!$F$35)</f>
        <v/>
      </c>
      <c r="C55" s="301">
        <f>IF('Final Calculation Sheet'!$B$35="","",'Final Calculation Sheet'!$B$35)</f>
        <v/>
      </c>
      <c r="D55" s="302">
        <f>IF('Final Calculation Sheet'!$D$35="","",'Final Calculation Sheet'!$D$35)</f>
        <v/>
      </c>
      <c r="E55" s="303">
        <f>IF('Final Calculation Sheet'!$A$35="","",'Final Calculation Sheet'!$A$35)</f>
        <v/>
      </c>
      <c r="F55" s="304">
        <f>IF('Final Calculation Sheet'!$E$35="","",'Final Calculation Sheet'!$E$35)</f>
        <v/>
      </c>
      <c r="G55" s="302">
        <f>IF('Final Calculation Sheet'!$C$35="","",'Final Calculation Sheet'!$C$35)</f>
        <v/>
      </c>
      <c r="H55" s="302">
        <f>IF('Final Calculation Sheet'!$H$35="","",'Final Calculation Sheet'!$H$35)</f>
        <v/>
      </c>
      <c r="I55" s="302">
        <f>IF('Final Calculation Sheet'!$I$35="","",'Final Calculation Sheet'!$I$35)</f>
        <v/>
      </c>
      <c r="J55" s="302">
        <f>IF('Final Calculation Sheet'!$J$35="","",'Final Calculation Sheet'!$J$35)</f>
        <v/>
      </c>
      <c r="K55" s="302">
        <f>IF('Final Calculation Sheet'!$K$35="","",'Final Calculation Sheet'!$K$35)</f>
        <v/>
      </c>
      <c r="L55" s="305">
        <f>IF('Final Calculation Sheet'!$L$35="","",'Final Calculation Sheet'!$L$35)</f>
        <v/>
      </c>
      <c r="M55" s="305">
        <f>IF('Final Calculation Sheet'!$M$35="","",'Final Calculation Sheet'!$M$35)</f>
        <v/>
      </c>
      <c r="N55" s="305">
        <f>IF('Final Calculation Sheet'!$N$35="","",'Final Calculation Sheet'!$N$35)</f>
        <v/>
      </c>
      <c r="O55" s="305">
        <f>IF('Final Calculation Sheet'!$O$35="","",'Final Calculation Sheet'!$O$35)</f>
        <v/>
      </c>
      <c r="P55" s="302">
        <f>IF('Final Calculation Sheet'!$P$35="","",'Final Calculation Sheet'!$P$35)</f>
        <v/>
      </c>
      <c r="Q55" s="306">
        <f>IF('Final Calculation Sheet'!$Q$35="","",'Final Calculation Sheet'!$Q$35)</f>
        <v/>
      </c>
      <c r="R55" s="302">
        <f>IF('Final Calculation Sheet'!$R$35="","",'Final Calculation Sheet'!$R$35)</f>
        <v/>
      </c>
      <c r="S55" s="302">
        <f>IF('Final Calculation Sheet'!$S$35="","",'Final Calculation Sheet'!$S$35)</f>
        <v/>
      </c>
      <c r="T55" s="302">
        <f>IF('Final Calculation Sheet'!$T$35="","",'Final Calculation Sheet'!$T$35)</f>
        <v/>
      </c>
      <c r="U55" s="302">
        <f>IF('Final Calculation Sheet'!$U$35="","",'Final Calculation Sheet'!$U$35)</f>
        <v/>
      </c>
      <c r="V55" s="304">
        <f>IF('Final Calculation Sheet'!$V$35="","",'Final Calculation Sheet'!$V$35)</f>
        <v/>
      </c>
      <c r="W55" s="302">
        <f>IF('Final Calculation Sheet'!$W$35="","",'Final Calculation Sheet'!$W$35)</f>
        <v/>
      </c>
      <c r="X55" s="302">
        <f>IF('Final Calculation Sheet'!$X$35="","",'Final Calculation Sheet'!$X$35)</f>
        <v/>
      </c>
      <c r="Y55" s="304">
        <f>IF('Final Calculation Sheet'!$Y$35="","",'Final Calculation Sheet'!$Y$35)</f>
        <v/>
      </c>
      <c r="Z55" s="302">
        <f>IF('Final Calculation Sheet'!$Z$35="","",'Final Calculation Sheet'!$Z$35)</f>
        <v/>
      </c>
      <c r="AA55" s="302">
        <f>IF('Final Calculation Sheet'!$AA$35="","",'Final Calculation Sheet'!$AA$35)</f>
        <v/>
      </c>
      <c r="AB55" s="304">
        <f>IF('Final Calculation Sheet'!$AB$35="","",'Final Calculation Sheet'!$AB$35)</f>
        <v/>
      </c>
      <c r="AC55" s="302">
        <f>IF('Final Calculation Sheet'!$AC$35="","",'Final Calculation Sheet'!$AC$35)</f>
        <v/>
      </c>
      <c r="AD55" s="302">
        <f>IF('Final Calculation Sheet'!$AD$35="","",'Final Calculation Sheet'!$AD$35)</f>
        <v/>
      </c>
      <c r="AE55" s="304">
        <f>IF('Final Calculation Sheet'!$AD$35="","",IF('Final Calculation Sheet'!$AD$35&lt;=0,"SETTLED","OUTSTANDING"))</f>
        <v/>
      </c>
      <c r="AF55" s="304">
        <f>IF('Final Calculation Sheet'!$AE$35="","",'Final Calculation Sheet'!$AE$35)</f>
        <v/>
      </c>
      <c r="AG55" s="302">
        <f>IF('Final Calculation Sheet'!$AF$35="","",'Final Calculation Sheet'!$AF$35)</f>
        <v/>
      </c>
      <c r="AH55" s="304">
        <f>IF('Final Calculation Sheet'!$AG$35="","",'Final Calculation Sheet'!$AG$35)</f>
        <v/>
      </c>
      <c r="AI55" s="302" t="n">
        <v>35</v>
      </c>
    </row>
    <row r="56" ht="20" customHeight="1">
      <c r="A56" s="379" t="inlineStr">
        <is>
          <t>∑  GRAND TOTAL (follows the filter)</t>
        </is>
      </c>
      <c r="B56" s="380" t="n"/>
      <c r="C56" s="380" t="n"/>
      <c r="D56" s="380" t="n"/>
      <c r="E56" s="381">
        <f>SUBTOTAL(109,E7:E55)</f>
        <v/>
      </c>
      <c r="F56" s="380" t="n"/>
      <c r="G56" s="380" t="n"/>
      <c r="H56" s="382">
        <f>SUBTOTAL(109,H7:H55)</f>
        <v/>
      </c>
      <c r="I56" s="382">
        <f>SUBTOTAL(109,I7:I55)</f>
        <v/>
      </c>
      <c r="J56" s="382">
        <f>SUBTOTAL(109,J7:J55)</f>
        <v/>
      </c>
      <c r="K56" s="382">
        <f>SUBTOTAL(109,K7:K55)</f>
        <v/>
      </c>
      <c r="L56" s="383">
        <f>SUBTOTAL(109,L7:L55)</f>
        <v/>
      </c>
      <c r="M56" s="383">
        <f>SUBTOTAL(109,M7:M55)</f>
        <v/>
      </c>
      <c r="N56" s="383">
        <f>SUBTOTAL(109,N7:N55)</f>
        <v/>
      </c>
      <c r="O56" s="383">
        <f>SUBTOTAL(109,O7:O55)</f>
        <v/>
      </c>
      <c r="P56" s="382">
        <f>SUBTOTAL(109,P7:P55)</f>
        <v/>
      </c>
      <c r="Q56" s="380" t="n"/>
      <c r="R56" s="382">
        <f>SUBTOTAL(109,R7:R55)</f>
        <v/>
      </c>
      <c r="S56" s="382">
        <f>SUBTOTAL(109,S7:S55)</f>
        <v/>
      </c>
      <c r="T56" s="382">
        <f>SUBTOTAL(109,T7:T55)</f>
        <v/>
      </c>
      <c r="U56" s="382">
        <f>SUBTOTAL(109,U7:U55)</f>
        <v/>
      </c>
      <c r="V56" s="380" t="n"/>
      <c r="W56" s="382">
        <f>SUBTOTAL(109,W7:W55)</f>
        <v/>
      </c>
      <c r="X56" s="382">
        <f>SUBTOTAL(109,X7:X55)</f>
        <v/>
      </c>
      <c r="Y56" s="380" t="n"/>
      <c r="Z56" s="382">
        <f>SUBTOTAL(109,Z7:Z55)</f>
        <v/>
      </c>
      <c r="AA56" s="382">
        <f>SUBTOTAL(109,AA7:AA55)</f>
        <v/>
      </c>
      <c r="AB56" s="380" t="n"/>
      <c r="AC56" s="382">
        <f>SUBTOTAL(109,AC7:AC55)</f>
        <v/>
      </c>
      <c r="AD56" s="382">
        <f>SUBTOTAL(109,AD7:AD55)</f>
        <v/>
      </c>
      <c r="AE56" s="380" t="n"/>
      <c r="AF56" s="380" t="n"/>
      <c r="AG56" s="380" t="n"/>
      <c r="AH56" s="380" t="n"/>
      <c r="AI56" s="380" t="n"/>
    </row>
  </sheetData>
  <autoFilter ref="A5:AI55"/>
  <mergeCells count="24">
    <mergeCell ref="O3:P3"/>
    <mergeCell ref="Q3:R3"/>
    <mergeCell ref="Y3:Z3"/>
    <mergeCell ref="AC4:AE4"/>
    <mergeCell ref="S3:T3"/>
    <mergeCell ref="C4:G4"/>
    <mergeCell ref="A1:AI1"/>
    <mergeCell ref="Z4:AB4"/>
    <mergeCell ref="W3:X3"/>
    <mergeCell ref="A3:B3"/>
    <mergeCell ref="G3:H3"/>
    <mergeCell ref="I3:J3"/>
    <mergeCell ref="AF4:AH4"/>
    <mergeCell ref="U3:V3"/>
    <mergeCell ref="W4:Y4"/>
    <mergeCell ref="M3:N3"/>
    <mergeCell ref="A4:B4"/>
    <mergeCell ref="A2:AI2"/>
    <mergeCell ref="AA3:AB3"/>
    <mergeCell ref="T4:V4"/>
    <mergeCell ref="H4:S4"/>
    <mergeCell ref="C3:D3"/>
    <mergeCell ref="E3:F3"/>
    <mergeCell ref="K3:L3"/>
  </mergeCells>
  <conditionalFormatting sqref="AD7:AD55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AE7:AE55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A7:AI55">
    <cfRule type="expression" priority="5" dxfId="3">
      <formula>AND(ISNUMBER($B7),$AF7="")</formula>
    </cfRule>
  </conditionalFormatting>
  <conditionalFormatting sqref="H7:H55">
    <cfRule type="dataBar" priority="6">
      <dataBar showValue="1">
        <cfvo type="num" val="0"/>
        <cfvo type="max"/>
        <color rgb="00638EC6"/>
      </dataBar>
    </cfRule>
  </conditionalFormatting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00B0F0"/>
    <outlinePr summaryBelow="0" summaryRight="1"/>
    <pageSetUpPr fitToPage="1"/>
  </sheetPr>
  <dimension ref="A1:AM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4" customWidth="1" min="1" max="1"/>
    <col outlineLevel="1" width="14" customWidth="1" min="2" max="2"/>
    <col outlineLevel="1" width="14" customWidth="1" min="3" max="3"/>
    <col outlineLevel="1" width="14" customWidth="1" min="4" max="4"/>
    <col outlineLevel="1" width="14" customWidth="1" min="5" max="5"/>
    <col outlineLevel="1" width="14" customWidth="1" min="6" max="6"/>
    <col outlineLevel="1" width="14" customWidth="1" min="7" max="7"/>
    <col outlineLevel="1" width="14" customWidth="1" min="8" max="8"/>
    <col outlineLevel="1" width="14" customWidth="1" min="9" max="9"/>
    <col outlineLevel="1" width="14" customWidth="1" min="10" max="10"/>
    <col outlineLevel="1" width="14" customWidth="1" min="11" max="11"/>
    <col outlineLevel="1" width="14" customWidth="1" min="12" max="12"/>
    <col outlineLevel="1" width="14" customWidth="1" min="13" max="13"/>
    <col outlineLevel="1" width="14" customWidth="1" min="14" max="14"/>
    <col outlineLevel="1" width="14" customWidth="1" min="15" max="15"/>
    <col outlineLevel="1" width="14" customWidth="1" min="16" max="16"/>
    <col outlineLevel="1" width="14" customWidth="1" min="17" max="17"/>
    <col outlineLevel="1" width="14" customWidth="1" min="18" max="18"/>
    <col outlineLevel="1" width="14" customWidth="1" min="19" max="19"/>
    <col outlineLevel="1" width="14" customWidth="1" min="20" max="20"/>
    <col outlineLevel="1" width="14" customWidth="1" min="21" max="21"/>
    <col outlineLevel="1" width="14" customWidth="1" min="22" max="22"/>
    <col outlineLevel="1" width="14" customWidth="1" min="23" max="23"/>
    <col outlineLevel="1" width="14" customWidth="1" min="24" max="24"/>
    <col outlineLevel="1" width="14" customWidth="1" min="25" max="25"/>
    <col outlineLevel="1" width="14" customWidth="1" min="26" max="26"/>
    <col outlineLevel="1" width="14" customWidth="1" min="27" max="27"/>
    <col outlineLevel="1" width="14" customWidth="1" min="28" max="28"/>
    <col outlineLevel="1" width="14" customWidth="1" min="29" max="29"/>
    <col outlineLevel="1" width="14" customWidth="1" min="30" max="30"/>
    <col outlineLevel="1" width="14" customWidth="1" min="31" max="31"/>
    <col outlineLevel="1" width="14" customWidth="1" min="32" max="32"/>
    <col outlineLevel="1" width="14" customWidth="1" min="33" max="33"/>
    <col outlineLevel="1" width="14" customWidth="1" min="34" max="34"/>
    <col outlineLevel="1" width="14" customWidth="1" min="35" max="35"/>
    <col outlineLevel="1" width="14" customWidth="1" min="36" max="36"/>
    <col outlineLevel="1" width="14" customWidth="1" min="37" max="37"/>
    <col outlineLevel="1" width="14" customWidth="1" min="38" max="38"/>
    <col width="17" customWidth="1" min="39" max="39"/>
  </cols>
  <sheetData>
    <row r="1" ht="30" customHeight="1">
      <c r="A1" s="59" t="inlineStr">
        <is>
          <t>MSTC LIMITED  •  BUYER &amp; LOT LEDGER  (filter + fold)   (fields ↓ rows  |  lots → columns)</t>
        </is>
      </c>
    </row>
    <row r="2" ht="30" customHeight="1">
      <c r="A2" s="61" t="inlineStr">
        <is>
          <t>HOW TO USE  ▶  filter with the ▼ arrow on the FIELD column in row 5 to keep only the lines you need   •   the − / + in the left margin folds a whole field category   •   the − / + above column AM folds all 37 lot columns away and keeps the totals   •   every figure is a live link to 'Final Calculation Sheet'</t>
        </is>
      </c>
    </row>
    <row r="3" ht="18" customHeight="1">
      <c r="A3" s="399" t="inlineStr">
        <is>
          <t>BUYER  →</t>
        </is>
      </c>
      <c r="B3" s="233" t="inlineStr">
        <is>
          <t>AL HAMD TRADE CORPORATION  (1)</t>
        </is>
      </c>
      <c r="C3" s="234" t="inlineStr">
        <is>
          <t>F R KHANS ENTERPRISES  (2)</t>
        </is>
      </c>
      <c r="D3" s="385" t="n"/>
      <c r="E3" s="235" t="inlineStr">
        <is>
          <t>HIND TRADERS  (1)</t>
        </is>
      </c>
      <c r="F3" s="236" t="inlineStr">
        <is>
          <t>KASHYAP TRADING CO  (1)</t>
        </is>
      </c>
      <c r="G3" s="238" t="inlineStr">
        <is>
          <t>M I SCRAP TRADERS  (1)</t>
        </is>
      </c>
      <c r="H3" s="237" t="inlineStr">
        <is>
          <t>NATIONAL ENTERPRISES  (13)</t>
        </is>
      </c>
      <c r="I3" s="388" t="n"/>
      <c r="J3" s="388" t="n"/>
      <c r="K3" s="388" t="n"/>
      <c r="L3" s="388" t="n"/>
      <c r="M3" s="388" t="n"/>
      <c r="N3" s="388" t="n"/>
      <c r="O3" s="388" t="n"/>
      <c r="P3" s="388" t="n"/>
      <c r="Q3" s="388" t="n"/>
      <c r="R3" s="388" t="n"/>
      <c r="S3" s="388" t="n"/>
      <c r="T3" s="388" t="n"/>
      <c r="U3" s="239" t="inlineStr">
        <is>
          <t>NATIONAL SCRAP AND BUILDING MATERIAL SUPPLIER  (1)</t>
        </is>
      </c>
      <c r="V3" s="400" t="inlineStr">
        <is>
          <t>OMKAR STEELS  (2)</t>
        </is>
      </c>
      <c r="W3" s="401" t="n"/>
      <c r="X3" s="233" t="inlineStr">
        <is>
          <t>S M ENTERPRISES  (2)</t>
        </is>
      </c>
      <c r="Y3" s="384" t="n"/>
      <c r="Z3" s="234" t="inlineStr">
        <is>
          <t>SAHARA ENTERPRISES  (1)</t>
        </is>
      </c>
      <c r="AA3" s="235" t="inlineStr">
        <is>
          <t>SHAR JAHAN TRADERS  (2)</t>
        </is>
      </c>
      <c r="AB3" s="386" t="n"/>
      <c r="AC3" s="236" t="inlineStr">
        <is>
          <t>STERLING ENTERPRISES  (7)</t>
        </is>
      </c>
      <c r="AD3" s="387" t="n"/>
      <c r="AE3" s="387" t="n"/>
      <c r="AF3" s="387" t="n"/>
      <c r="AG3" s="387" t="n"/>
      <c r="AH3" s="387" t="n"/>
      <c r="AI3" s="387" t="n"/>
      <c r="AJ3" s="238" t="inlineStr">
        <is>
          <t>WATAN SCRAP TRADERS  (3)</t>
        </is>
      </c>
      <c r="AK3" s="389" t="n"/>
      <c r="AL3" s="389" t="n"/>
      <c r="AM3" s="402" t="n"/>
    </row>
    <row r="4" ht="18" customHeight="1">
      <c r="A4" s="403" t="inlineStr">
        <is>
          <t>LOT NO.  →</t>
        </is>
      </c>
      <c r="B4" s="404">
        <f>IF('Final Calculation Sheet'!$F$4="","",'Final Calculation Sheet'!$F$4)</f>
        <v/>
      </c>
      <c r="C4" s="404">
        <f>IF('Final Calculation Sheet'!$F$6="","",'Final Calculation Sheet'!$F$6)</f>
        <v/>
      </c>
      <c r="D4" s="404">
        <f>IF('Final Calculation Sheet'!$F$7="","",'Final Calculation Sheet'!$F$7)</f>
        <v/>
      </c>
      <c r="E4" s="404">
        <f>IF('Final Calculation Sheet'!$F$15="","",'Final Calculation Sheet'!$F$15)</f>
        <v/>
      </c>
      <c r="F4" s="404">
        <f>IF('Final Calculation Sheet'!$F$38="","",'Final Calculation Sheet'!$F$38)</f>
        <v/>
      </c>
      <c r="G4" s="404">
        <f>IF('Final Calculation Sheet'!$F$27="","",'Final Calculation Sheet'!$F$27)</f>
        <v/>
      </c>
      <c r="H4" s="404">
        <f>IF('Final Calculation Sheet'!$F$5="","",'Final Calculation Sheet'!$F$5)</f>
        <v/>
      </c>
      <c r="I4" s="404">
        <f>IF('Final Calculation Sheet'!$F$10="","",'Final Calculation Sheet'!$F$10)</f>
        <v/>
      </c>
      <c r="J4" s="404">
        <f>IF('Final Calculation Sheet'!$F$11="","",'Final Calculation Sheet'!$F$11)</f>
        <v/>
      </c>
      <c r="K4" s="404">
        <f>IF('Final Calculation Sheet'!$F$12="","",'Final Calculation Sheet'!$F$12)</f>
        <v/>
      </c>
      <c r="L4" s="404">
        <f>IF('Final Calculation Sheet'!$F$18="","",'Final Calculation Sheet'!$F$18)</f>
        <v/>
      </c>
      <c r="M4" s="404">
        <f>IF('Final Calculation Sheet'!$F$19="","",'Final Calculation Sheet'!$F$19)</f>
        <v/>
      </c>
      <c r="N4" s="404">
        <f>IF('Final Calculation Sheet'!$F$22="","",'Final Calculation Sheet'!$F$22)</f>
        <v/>
      </c>
      <c r="O4" s="404">
        <f>IF('Final Calculation Sheet'!$F$24="","",'Final Calculation Sheet'!$F$24)</f>
        <v/>
      </c>
      <c r="P4" s="404">
        <f>IF('Final Calculation Sheet'!$F$26="","",'Final Calculation Sheet'!$F$26)</f>
        <v/>
      </c>
      <c r="Q4" s="404">
        <f>IF('Final Calculation Sheet'!$F$30="","",'Final Calculation Sheet'!$F$30)</f>
        <v/>
      </c>
      <c r="R4" s="404">
        <f>IF('Final Calculation Sheet'!$F$32="","",'Final Calculation Sheet'!$F$32)</f>
        <v/>
      </c>
      <c r="S4" s="404">
        <f>IF('Final Calculation Sheet'!$F$33="","",'Final Calculation Sheet'!$F$33)</f>
        <v/>
      </c>
      <c r="T4" s="404">
        <f>IF('Final Calculation Sheet'!$F$37="","",'Final Calculation Sheet'!$F$37)</f>
        <v/>
      </c>
      <c r="U4" s="404">
        <f>IF('Final Calculation Sheet'!$F$21="","",'Final Calculation Sheet'!$F$21)</f>
        <v/>
      </c>
      <c r="V4" s="404">
        <f>IF('Final Calculation Sheet'!$F$8="","",'Final Calculation Sheet'!$F$8)</f>
        <v/>
      </c>
      <c r="W4" s="404">
        <f>IF('Final Calculation Sheet'!$F$20="","",'Final Calculation Sheet'!$F$20)</f>
        <v/>
      </c>
      <c r="X4" s="404">
        <f>IF('Final Calculation Sheet'!$F$39="","",'Final Calculation Sheet'!$F$39)</f>
        <v/>
      </c>
      <c r="Y4" s="404">
        <f>IF('Final Calculation Sheet'!$F$40="","",'Final Calculation Sheet'!$F$40)</f>
        <v/>
      </c>
      <c r="Z4" s="404">
        <f>IF('Final Calculation Sheet'!$F$31="","",'Final Calculation Sheet'!$F$31)</f>
        <v/>
      </c>
      <c r="AA4" s="404">
        <f>IF('Final Calculation Sheet'!$F$9="","",'Final Calculation Sheet'!$F$9)</f>
        <v/>
      </c>
      <c r="AB4" s="404">
        <f>IF('Final Calculation Sheet'!$F$14="","",'Final Calculation Sheet'!$F$14)</f>
        <v/>
      </c>
      <c r="AC4" s="404">
        <f>IF('Final Calculation Sheet'!$F$13="","",'Final Calculation Sheet'!$F$13)</f>
        <v/>
      </c>
      <c r="AD4" s="404">
        <f>IF('Final Calculation Sheet'!$F$16="","",'Final Calculation Sheet'!$F$16)</f>
        <v/>
      </c>
      <c r="AE4" s="404">
        <f>IF('Final Calculation Sheet'!$F$17="","",'Final Calculation Sheet'!$F$17)</f>
        <v/>
      </c>
      <c r="AF4" s="404">
        <f>IF('Final Calculation Sheet'!$F$23="","",'Final Calculation Sheet'!$F$23)</f>
        <v/>
      </c>
      <c r="AG4" s="404">
        <f>IF('Final Calculation Sheet'!$F$29="","",'Final Calculation Sheet'!$F$29)</f>
        <v/>
      </c>
      <c r="AH4" s="404">
        <f>IF('Final Calculation Sheet'!$F$34="","",'Final Calculation Sheet'!$F$34)</f>
        <v/>
      </c>
      <c r="AI4" s="404">
        <f>IF('Final Calculation Sheet'!$F$36="","",'Final Calculation Sheet'!$F$36)</f>
        <v/>
      </c>
      <c r="AJ4" s="404">
        <f>IF('Final Calculation Sheet'!$F$25="","",'Final Calculation Sheet'!$F$25)</f>
        <v/>
      </c>
      <c r="AK4" s="404">
        <f>IF('Final Calculation Sheet'!$F$28="","",'Final Calculation Sheet'!$F$28)</f>
        <v/>
      </c>
      <c r="AL4" s="404">
        <f>IF('Final Calculation Sheet'!$F$35="","",'Final Calculation Sheet'!$F$35)</f>
        <v/>
      </c>
      <c r="AM4" s="405" t="inlineStr">
        <is>
          <t>∑ ALL</t>
        </is>
      </c>
    </row>
    <row r="5" ht="26" customHeight="1">
      <c r="A5" s="406" t="inlineStr">
        <is>
          <t>FIELD  ▸</t>
        </is>
      </c>
      <c r="B5" s="406" t="inlineStr">
        <is>
          <t>LOT 1</t>
        </is>
      </c>
      <c r="C5" s="406" t="inlineStr">
        <is>
          <t>LOT 2</t>
        </is>
      </c>
      <c r="D5" s="406" t="inlineStr">
        <is>
          <t>LOT 3</t>
        </is>
      </c>
      <c r="E5" s="406" t="inlineStr">
        <is>
          <t>LOT 4</t>
        </is>
      </c>
      <c r="F5" s="406" t="inlineStr">
        <is>
          <t>LOT 5</t>
        </is>
      </c>
      <c r="G5" s="406" t="inlineStr">
        <is>
          <t>LOT 6</t>
        </is>
      </c>
      <c r="H5" s="406" t="inlineStr">
        <is>
          <t>LOT 7</t>
        </is>
      </c>
      <c r="I5" s="406" t="inlineStr">
        <is>
          <t>LOT 8</t>
        </is>
      </c>
      <c r="J5" s="406" t="inlineStr">
        <is>
          <t>LOT 9</t>
        </is>
      </c>
      <c r="K5" s="406" t="inlineStr">
        <is>
          <t>LOT 10</t>
        </is>
      </c>
      <c r="L5" s="406" t="inlineStr">
        <is>
          <t>LOT 11</t>
        </is>
      </c>
      <c r="M5" s="406" t="inlineStr">
        <is>
          <t>LOT 12</t>
        </is>
      </c>
      <c r="N5" s="406" t="inlineStr">
        <is>
          <t>LOT 13</t>
        </is>
      </c>
      <c r="O5" s="406" t="inlineStr">
        <is>
          <t>LOT 14</t>
        </is>
      </c>
      <c r="P5" s="406" t="inlineStr">
        <is>
          <t>LOT 15</t>
        </is>
      </c>
      <c r="Q5" s="406" t="inlineStr">
        <is>
          <t>LOT 16</t>
        </is>
      </c>
      <c r="R5" s="406" t="inlineStr">
        <is>
          <t>LOT 17</t>
        </is>
      </c>
      <c r="S5" s="406" t="inlineStr">
        <is>
          <t>LOT 18</t>
        </is>
      </c>
      <c r="T5" s="406" t="inlineStr">
        <is>
          <t>LOT 19</t>
        </is>
      </c>
      <c r="U5" s="406" t="inlineStr">
        <is>
          <t>LOT 20</t>
        </is>
      </c>
      <c r="V5" s="406" t="inlineStr">
        <is>
          <t>LOT 21</t>
        </is>
      </c>
      <c r="W5" s="406" t="inlineStr">
        <is>
          <t>LOT 22</t>
        </is>
      </c>
      <c r="X5" s="406" t="inlineStr">
        <is>
          <t>LOT 23</t>
        </is>
      </c>
      <c r="Y5" s="406" t="inlineStr">
        <is>
          <t>LOT 24</t>
        </is>
      </c>
      <c r="Z5" s="406" t="inlineStr">
        <is>
          <t>LOT 25</t>
        </is>
      </c>
      <c r="AA5" s="406" t="inlineStr">
        <is>
          <t>LOT 26</t>
        </is>
      </c>
      <c r="AB5" s="406" t="inlineStr">
        <is>
          <t>LOT 27</t>
        </is>
      </c>
      <c r="AC5" s="406" t="inlineStr">
        <is>
          <t>LOT 28</t>
        </is>
      </c>
      <c r="AD5" s="406" t="inlineStr">
        <is>
          <t>LOT 29</t>
        </is>
      </c>
      <c r="AE5" s="406" t="inlineStr">
        <is>
          <t>LOT 30</t>
        </is>
      </c>
      <c r="AF5" s="406" t="inlineStr">
        <is>
          <t>LOT 31</t>
        </is>
      </c>
      <c r="AG5" s="406" t="inlineStr">
        <is>
          <t>LOT 32</t>
        </is>
      </c>
      <c r="AH5" s="406" t="inlineStr">
        <is>
          <t>LOT 33</t>
        </is>
      </c>
      <c r="AI5" s="406" t="inlineStr">
        <is>
          <t>LOT 34</t>
        </is>
      </c>
      <c r="AJ5" s="406" t="inlineStr">
        <is>
          <t>LOT 35</t>
        </is>
      </c>
      <c r="AK5" s="406" t="inlineStr">
        <is>
          <t>LOT 36</t>
        </is>
      </c>
      <c r="AL5" s="406" t="inlineStr">
        <is>
          <t>LOT 37</t>
        </is>
      </c>
      <c r="AM5" s="406" t="inlineStr">
        <is>
          <t>TOTAL</t>
        </is>
      </c>
    </row>
    <row r="6" ht="17" customHeight="1">
      <c r="A6" s="407" t="inlineStr">
        <is>
          <t xml:space="preserve">  ▸ LOT INFORMATION</t>
        </is>
      </c>
      <c r="B6" s="384" t="n"/>
      <c r="C6" s="384" t="n"/>
      <c r="D6" s="384" t="n"/>
      <c r="E6" s="384" t="n"/>
      <c r="F6" s="384" t="n"/>
      <c r="G6" s="384" t="n"/>
      <c r="H6" s="384" t="n"/>
      <c r="I6" s="384" t="n"/>
      <c r="J6" s="384" t="n"/>
      <c r="K6" s="384" t="n"/>
      <c r="L6" s="384" t="n"/>
      <c r="M6" s="384" t="n"/>
      <c r="N6" s="384" t="n"/>
      <c r="O6" s="384" t="n"/>
      <c r="P6" s="384" t="n"/>
      <c r="Q6" s="384" t="n"/>
      <c r="R6" s="384" t="n"/>
      <c r="S6" s="384" t="n"/>
      <c r="T6" s="384" t="n"/>
      <c r="U6" s="384" t="n"/>
      <c r="V6" s="384" t="n"/>
      <c r="W6" s="384" t="n"/>
      <c r="X6" s="384" t="n"/>
      <c r="Y6" s="384" t="n"/>
      <c r="Z6" s="384" t="n"/>
      <c r="AA6" s="384" t="n"/>
      <c r="AB6" s="384" t="n"/>
      <c r="AC6" s="384" t="n"/>
      <c r="AD6" s="384" t="n"/>
      <c r="AE6" s="384" t="n"/>
      <c r="AF6" s="384" t="n"/>
      <c r="AG6" s="384" t="n"/>
      <c r="AH6" s="384" t="n"/>
      <c r="AI6" s="384" t="n"/>
      <c r="AJ6" s="384" t="n"/>
      <c r="AK6" s="384" t="n"/>
      <c r="AL6" s="384" t="n"/>
      <c r="AM6" s="384" t="n"/>
    </row>
    <row r="7" outlineLevel="1" ht="15" customHeight="1">
      <c r="A7" s="69" t="inlineStr">
        <is>
          <t xml:space="preserve">      Lot No.</t>
        </is>
      </c>
      <c r="B7" s="70">
        <f>IF('Final Calculation Sheet'!$F$4="","",'Final Calculation Sheet'!$F$4)</f>
        <v/>
      </c>
      <c r="C7" s="408">
        <f>IF('Final Calculation Sheet'!$F$6="","",'Final Calculation Sheet'!$F$6)</f>
        <v/>
      </c>
      <c r="D7" s="70">
        <f>IF('Final Calculation Sheet'!$F$7="","",'Final Calculation Sheet'!$F$7)</f>
        <v/>
      </c>
      <c r="E7" s="408">
        <f>IF('Final Calculation Sheet'!$F$15="","",'Final Calculation Sheet'!$F$15)</f>
        <v/>
      </c>
      <c r="F7" s="70">
        <f>IF('Final Calculation Sheet'!$F$38="","",'Final Calculation Sheet'!$F$38)</f>
        <v/>
      </c>
      <c r="G7" s="408">
        <f>IF('Final Calculation Sheet'!$F$27="","",'Final Calculation Sheet'!$F$27)</f>
        <v/>
      </c>
      <c r="H7" s="70">
        <f>IF('Final Calculation Sheet'!$F$5="","",'Final Calculation Sheet'!$F$5)</f>
        <v/>
      </c>
      <c r="I7" s="408">
        <f>IF('Final Calculation Sheet'!$F$10="","",'Final Calculation Sheet'!$F$10)</f>
        <v/>
      </c>
      <c r="J7" s="70">
        <f>IF('Final Calculation Sheet'!$F$11="","",'Final Calculation Sheet'!$F$11)</f>
        <v/>
      </c>
      <c r="K7" s="408">
        <f>IF('Final Calculation Sheet'!$F$12="","",'Final Calculation Sheet'!$F$12)</f>
        <v/>
      </c>
      <c r="L7" s="70">
        <f>IF('Final Calculation Sheet'!$F$18="","",'Final Calculation Sheet'!$F$18)</f>
        <v/>
      </c>
      <c r="M7" s="408">
        <f>IF('Final Calculation Sheet'!$F$19="","",'Final Calculation Sheet'!$F$19)</f>
        <v/>
      </c>
      <c r="N7" s="70">
        <f>IF('Final Calculation Sheet'!$F$22="","",'Final Calculation Sheet'!$F$22)</f>
        <v/>
      </c>
      <c r="O7" s="408">
        <f>IF('Final Calculation Sheet'!$F$24="","",'Final Calculation Sheet'!$F$24)</f>
        <v/>
      </c>
      <c r="P7" s="70">
        <f>IF('Final Calculation Sheet'!$F$26="","",'Final Calculation Sheet'!$F$26)</f>
        <v/>
      </c>
      <c r="Q7" s="408">
        <f>IF('Final Calculation Sheet'!$F$30="","",'Final Calculation Sheet'!$F$30)</f>
        <v/>
      </c>
      <c r="R7" s="70">
        <f>IF('Final Calculation Sheet'!$F$32="","",'Final Calculation Sheet'!$F$32)</f>
        <v/>
      </c>
      <c r="S7" s="408">
        <f>IF('Final Calculation Sheet'!$F$33="","",'Final Calculation Sheet'!$F$33)</f>
        <v/>
      </c>
      <c r="T7" s="70">
        <f>IF('Final Calculation Sheet'!$F$37="","",'Final Calculation Sheet'!$F$37)</f>
        <v/>
      </c>
      <c r="U7" s="408">
        <f>IF('Final Calculation Sheet'!$F$21="","",'Final Calculation Sheet'!$F$21)</f>
        <v/>
      </c>
      <c r="V7" s="70">
        <f>IF('Final Calculation Sheet'!$F$8="","",'Final Calculation Sheet'!$F$8)</f>
        <v/>
      </c>
      <c r="W7" s="408">
        <f>IF('Final Calculation Sheet'!$F$20="","",'Final Calculation Sheet'!$F$20)</f>
        <v/>
      </c>
      <c r="X7" s="70">
        <f>IF('Final Calculation Sheet'!$F$39="","",'Final Calculation Sheet'!$F$39)</f>
        <v/>
      </c>
      <c r="Y7" s="408">
        <f>IF('Final Calculation Sheet'!$F$40="","",'Final Calculation Sheet'!$F$40)</f>
        <v/>
      </c>
      <c r="Z7" s="70">
        <f>IF('Final Calculation Sheet'!$F$31="","",'Final Calculation Sheet'!$F$31)</f>
        <v/>
      </c>
      <c r="AA7" s="408">
        <f>IF('Final Calculation Sheet'!$F$9="","",'Final Calculation Sheet'!$F$9)</f>
        <v/>
      </c>
      <c r="AB7" s="70">
        <f>IF('Final Calculation Sheet'!$F$14="","",'Final Calculation Sheet'!$F$14)</f>
        <v/>
      </c>
      <c r="AC7" s="408">
        <f>IF('Final Calculation Sheet'!$F$13="","",'Final Calculation Sheet'!$F$13)</f>
        <v/>
      </c>
      <c r="AD7" s="70">
        <f>IF('Final Calculation Sheet'!$F$16="","",'Final Calculation Sheet'!$F$16)</f>
        <v/>
      </c>
      <c r="AE7" s="408">
        <f>IF('Final Calculation Sheet'!$F$17="","",'Final Calculation Sheet'!$F$17)</f>
        <v/>
      </c>
      <c r="AF7" s="70">
        <f>IF('Final Calculation Sheet'!$F$23="","",'Final Calculation Sheet'!$F$23)</f>
        <v/>
      </c>
      <c r="AG7" s="408">
        <f>IF('Final Calculation Sheet'!$F$29="","",'Final Calculation Sheet'!$F$29)</f>
        <v/>
      </c>
      <c r="AH7" s="70">
        <f>IF('Final Calculation Sheet'!$F$34="","",'Final Calculation Sheet'!$F$34)</f>
        <v/>
      </c>
      <c r="AI7" s="408">
        <f>IF('Final Calculation Sheet'!$F$36="","",'Final Calculation Sheet'!$F$36)</f>
        <v/>
      </c>
      <c r="AJ7" s="70">
        <f>IF('Final Calculation Sheet'!$F$25="","",'Final Calculation Sheet'!$F$25)</f>
        <v/>
      </c>
      <c r="AK7" s="408">
        <f>IF('Final Calculation Sheet'!$F$28="","",'Final Calculation Sheet'!$F$28)</f>
        <v/>
      </c>
      <c r="AL7" s="70">
        <f>IF('Final Calculation Sheet'!$F$35="","",'Final Calculation Sheet'!$F$35)</f>
        <v/>
      </c>
      <c r="AM7" s="72" t="inlineStr">
        <is>
          <t>–</t>
        </is>
      </c>
    </row>
    <row r="8" outlineLevel="1" ht="44" customHeight="1">
      <c r="A8" s="69" t="inlineStr">
        <is>
          <t xml:space="preserve">      Lot Name</t>
        </is>
      </c>
      <c r="B8" s="73">
        <f>IF('Final Calculation Sheet'!$B$4="","",'Final Calculation Sheet'!$B$4)</f>
        <v/>
      </c>
      <c r="C8" s="409">
        <f>IF('Final Calculation Sheet'!$B$6="","",'Final Calculation Sheet'!$B$6)</f>
        <v/>
      </c>
      <c r="D8" s="73">
        <f>IF('Final Calculation Sheet'!$B$7="","",'Final Calculation Sheet'!$B$7)</f>
        <v/>
      </c>
      <c r="E8" s="409">
        <f>IF('Final Calculation Sheet'!$B$15="","",'Final Calculation Sheet'!$B$15)</f>
        <v/>
      </c>
      <c r="F8" s="73">
        <f>IF('Final Calculation Sheet'!$B$38="","",'Final Calculation Sheet'!$B$38)</f>
        <v/>
      </c>
      <c r="G8" s="409">
        <f>IF('Final Calculation Sheet'!$B$27="","",'Final Calculation Sheet'!$B$27)</f>
        <v/>
      </c>
      <c r="H8" s="73">
        <f>IF('Final Calculation Sheet'!$B$5="","",'Final Calculation Sheet'!$B$5)</f>
        <v/>
      </c>
      <c r="I8" s="409">
        <f>IF('Final Calculation Sheet'!$B$10="","",'Final Calculation Sheet'!$B$10)</f>
        <v/>
      </c>
      <c r="J8" s="73">
        <f>IF('Final Calculation Sheet'!$B$11="","",'Final Calculation Sheet'!$B$11)</f>
        <v/>
      </c>
      <c r="K8" s="409">
        <f>IF('Final Calculation Sheet'!$B$12="","",'Final Calculation Sheet'!$B$12)</f>
        <v/>
      </c>
      <c r="L8" s="73">
        <f>IF('Final Calculation Sheet'!$B$18="","",'Final Calculation Sheet'!$B$18)</f>
        <v/>
      </c>
      <c r="M8" s="409">
        <f>IF('Final Calculation Sheet'!$B$19="","",'Final Calculation Sheet'!$B$19)</f>
        <v/>
      </c>
      <c r="N8" s="73">
        <f>IF('Final Calculation Sheet'!$B$22="","",'Final Calculation Sheet'!$B$22)</f>
        <v/>
      </c>
      <c r="O8" s="409">
        <f>IF('Final Calculation Sheet'!$B$24="","",'Final Calculation Sheet'!$B$24)</f>
        <v/>
      </c>
      <c r="P8" s="73">
        <f>IF('Final Calculation Sheet'!$B$26="","",'Final Calculation Sheet'!$B$26)</f>
        <v/>
      </c>
      <c r="Q8" s="409">
        <f>IF('Final Calculation Sheet'!$B$30="","",'Final Calculation Sheet'!$B$30)</f>
        <v/>
      </c>
      <c r="R8" s="73">
        <f>IF('Final Calculation Sheet'!$B$32="","",'Final Calculation Sheet'!$B$32)</f>
        <v/>
      </c>
      <c r="S8" s="409">
        <f>IF('Final Calculation Sheet'!$B$33="","",'Final Calculation Sheet'!$B$33)</f>
        <v/>
      </c>
      <c r="T8" s="73">
        <f>IF('Final Calculation Sheet'!$B$37="","",'Final Calculation Sheet'!$B$37)</f>
        <v/>
      </c>
      <c r="U8" s="409">
        <f>IF('Final Calculation Sheet'!$B$21="","",'Final Calculation Sheet'!$B$21)</f>
        <v/>
      </c>
      <c r="V8" s="73">
        <f>IF('Final Calculation Sheet'!$B$8="","",'Final Calculation Sheet'!$B$8)</f>
        <v/>
      </c>
      <c r="W8" s="409">
        <f>IF('Final Calculation Sheet'!$B$20="","",'Final Calculation Sheet'!$B$20)</f>
        <v/>
      </c>
      <c r="X8" s="73">
        <f>IF('Final Calculation Sheet'!$B$39="","",'Final Calculation Sheet'!$B$39)</f>
        <v/>
      </c>
      <c r="Y8" s="409">
        <f>IF('Final Calculation Sheet'!$B$40="","",'Final Calculation Sheet'!$B$40)</f>
        <v/>
      </c>
      <c r="Z8" s="73">
        <f>IF('Final Calculation Sheet'!$B$31="","",'Final Calculation Sheet'!$B$31)</f>
        <v/>
      </c>
      <c r="AA8" s="409">
        <f>IF('Final Calculation Sheet'!$B$9="","",'Final Calculation Sheet'!$B$9)</f>
        <v/>
      </c>
      <c r="AB8" s="73">
        <f>IF('Final Calculation Sheet'!$B$14="","",'Final Calculation Sheet'!$B$14)</f>
        <v/>
      </c>
      <c r="AC8" s="409">
        <f>IF('Final Calculation Sheet'!$B$13="","",'Final Calculation Sheet'!$B$13)</f>
        <v/>
      </c>
      <c r="AD8" s="73">
        <f>IF('Final Calculation Sheet'!$B$16="","",'Final Calculation Sheet'!$B$16)</f>
        <v/>
      </c>
      <c r="AE8" s="409">
        <f>IF('Final Calculation Sheet'!$B$17="","",'Final Calculation Sheet'!$B$17)</f>
        <v/>
      </c>
      <c r="AF8" s="73">
        <f>IF('Final Calculation Sheet'!$B$23="","",'Final Calculation Sheet'!$B$23)</f>
        <v/>
      </c>
      <c r="AG8" s="409">
        <f>IF('Final Calculation Sheet'!$B$29="","",'Final Calculation Sheet'!$B$29)</f>
        <v/>
      </c>
      <c r="AH8" s="73">
        <f>IF('Final Calculation Sheet'!$B$34="","",'Final Calculation Sheet'!$B$34)</f>
        <v/>
      </c>
      <c r="AI8" s="409">
        <f>IF('Final Calculation Sheet'!$B$36="","",'Final Calculation Sheet'!$B$36)</f>
        <v/>
      </c>
      <c r="AJ8" s="73">
        <f>IF('Final Calculation Sheet'!$B$25="","",'Final Calculation Sheet'!$B$25)</f>
        <v/>
      </c>
      <c r="AK8" s="409">
        <f>IF('Final Calculation Sheet'!$B$28="","",'Final Calculation Sheet'!$B$28)</f>
        <v/>
      </c>
      <c r="AL8" s="73">
        <f>IF('Final Calculation Sheet'!$B$35="","",'Final Calculation Sheet'!$B$35)</f>
        <v/>
      </c>
      <c r="AM8" s="72" t="inlineStr">
        <is>
          <t>–</t>
        </is>
      </c>
    </row>
    <row r="9" outlineLevel="1" ht="15" customHeight="1">
      <c r="A9" s="69" t="inlineStr">
        <is>
          <t xml:space="preserve">      Bid Sheet / Auction</t>
        </is>
      </c>
      <c r="B9" s="70">
        <f>IF('Final Calculation Sheet'!$D$4="","",'Final Calculation Sheet'!$D$4)</f>
        <v/>
      </c>
      <c r="C9" s="408">
        <f>IF('Final Calculation Sheet'!$D$6="","",'Final Calculation Sheet'!$D$6)</f>
        <v/>
      </c>
      <c r="D9" s="70">
        <f>IF('Final Calculation Sheet'!$D$7="","",'Final Calculation Sheet'!$D$7)</f>
        <v/>
      </c>
      <c r="E9" s="408">
        <f>IF('Final Calculation Sheet'!$D$15="","",'Final Calculation Sheet'!$D$15)</f>
        <v/>
      </c>
      <c r="F9" s="70">
        <f>IF('Final Calculation Sheet'!$D$38="","",'Final Calculation Sheet'!$D$38)</f>
        <v/>
      </c>
      <c r="G9" s="408">
        <f>IF('Final Calculation Sheet'!$D$27="","",'Final Calculation Sheet'!$D$27)</f>
        <v/>
      </c>
      <c r="H9" s="70">
        <f>IF('Final Calculation Sheet'!$D$5="","",'Final Calculation Sheet'!$D$5)</f>
        <v/>
      </c>
      <c r="I9" s="408">
        <f>IF('Final Calculation Sheet'!$D$10="","",'Final Calculation Sheet'!$D$10)</f>
        <v/>
      </c>
      <c r="J9" s="70">
        <f>IF('Final Calculation Sheet'!$D$11="","",'Final Calculation Sheet'!$D$11)</f>
        <v/>
      </c>
      <c r="K9" s="408">
        <f>IF('Final Calculation Sheet'!$D$12="","",'Final Calculation Sheet'!$D$12)</f>
        <v/>
      </c>
      <c r="L9" s="70">
        <f>IF('Final Calculation Sheet'!$D$18="","",'Final Calculation Sheet'!$D$18)</f>
        <v/>
      </c>
      <c r="M9" s="408">
        <f>IF('Final Calculation Sheet'!$D$19="","",'Final Calculation Sheet'!$D$19)</f>
        <v/>
      </c>
      <c r="N9" s="70">
        <f>IF('Final Calculation Sheet'!$D$22="","",'Final Calculation Sheet'!$D$22)</f>
        <v/>
      </c>
      <c r="O9" s="408">
        <f>IF('Final Calculation Sheet'!$D$24="","",'Final Calculation Sheet'!$D$24)</f>
        <v/>
      </c>
      <c r="P9" s="70">
        <f>IF('Final Calculation Sheet'!$D$26="","",'Final Calculation Sheet'!$D$26)</f>
        <v/>
      </c>
      <c r="Q9" s="408">
        <f>IF('Final Calculation Sheet'!$D$30="","",'Final Calculation Sheet'!$D$30)</f>
        <v/>
      </c>
      <c r="R9" s="70">
        <f>IF('Final Calculation Sheet'!$D$32="","",'Final Calculation Sheet'!$D$32)</f>
        <v/>
      </c>
      <c r="S9" s="408">
        <f>IF('Final Calculation Sheet'!$D$33="","",'Final Calculation Sheet'!$D$33)</f>
        <v/>
      </c>
      <c r="T9" s="70">
        <f>IF('Final Calculation Sheet'!$D$37="","",'Final Calculation Sheet'!$D$37)</f>
        <v/>
      </c>
      <c r="U9" s="408">
        <f>IF('Final Calculation Sheet'!$D$21="","",'Final Calculation Sheet'!$D$21)</f>
        <v/>
      </c>
      <c r="V9" s="70">
        <f>IF('Final Calculation Sheet'!$D$8="","",'Final Calculation Sheet'!$D$8)</f>
        <v/>
      </c>
      <c r="W9" s="408">
        <f>IF('Final Calculation Sheet'!$D$20="","",'Final Calculation Sheet'!$D$20)</f>
        <v/>
      </c>
      <c r="X9" s="70">
        <f>IF('Final Calculation Sheet'!$D$39="","",'Final Calculation Sheet'!$D$39)</f>
        <v/>
      </c>
      <c r="Y9" s="408">
        <f>IF('Final Calculation Sheet'!$D$40="","",'Final Calculation Sheet'!$D$40)</f>
        <v/>
      </c>
      <c r="Z9" s="70">
        <f>IF('Final Calculation Sheet'!$D$31="","",'Final Calculation Sheet'!$D$31)</f>
        <v/>
      </c>
      <c r="AA9" s="408">
        <f>IF('Final Calculation Sheet'!$D$9="","",'Final Calculation Sheet'!$D$9)</f>
        <v/>
      </c>
      <c r="AB9" s="70">
        <f>IF('Final Calculation Sheet'!$D$14="","",'Final Calculation Sheet'!$D$14)</f>
        <v/>
      </c>
      <c r="AC9" s="408">
        <f>IF('Final Calculation Sheet'!$D$13="","",'Final Calculation Sheet'!$D$13)</f>
        <v/>
      </c>
      <c r="AD9" s="70">
        <f>IF('Final Calculation Sheet'!$D$16="","",'Final Calculation Sheet'!$D$16)</f>
        <v/>
      </c>
      <c r="AE9" s="408">
        <f>IF('Final Calculation Sheet'!$D$17="","",'Final Calculation Sheet'!$D$17)</f>
        <v/>
      </c>
      <c r="AF9" s="70">
        <f>IF('Final Calculation Sheet'!$D$23="","",'Final Calculation Sheet'!$D$23)</f>
        <v/>
      </c>
      <c r="AG9" s="408">
        <f>IF('Final Calculation Sheet'!$D$29="","",'Final Calculation Sheet'!$D$29)</f>
        <v/>
      </c>
      <c r="AH9" s="70">
        <f>IF('Final Calculation Sheet'!$D$34="","",'Final Calculation Sheet'!$D$34)</f>
        <v/>
      </c>
      <c r="AI9" s="408">
        <f>IF('Final Calculation Sheet'!$D$36="","",'Final Calculation Sheet'!$D$36)</f>
        <v/>
      </c>
      <c r="AJ9" s="70">
        <f>IF('Final Calculation Sheet'!$D$25="","",'Final Calculation Sheet'!$D$25)</f>
        <v/>
      </c>
      <c r="AK9" s="408">
        <f>IF('Final Calculation Sheet'!$D$28="","",'Final Calculation Sheet'!$D$28)</f>
        <v/>
      </c>
      <c r="AL9" s="70">
        <f>IF('Final Calculation Sheet'!$D$35="","",'Final Calculation Sheet'!$D$35)</f>
        <v/>
      </c>
      <c r="AM9" s="72" t="inlineStr">
        <is>
          <t>–</t>
        </is>
      </c>
    </row>
    <row r="10" outlineLevel="1" ht="15" customHeight="1">
      <c r="A10" s="69" t="inlineStr">
        <is>
          <t xml:space="preserve">      Quantity</t>
        </is>
      </c>
      <c r="B10" s="74">
        <f>IF('Final Calculation Sheet'!$A$4="","",'Final Calculation Sheet'!$A$4)</f>
        <v/>
      </c>
      <c r="C10" s="410">
        <f>IF('Final Calculation Sheet'!$A$6="","",'Final Calculation Sheet'!$A$6)</f>
        <v/>
      </c>
      <c r="D10" s="74">
        <f>IF('Final Calculation Sheet'!$A$7="","",'Final Calculation Sheet'!$A$7)</f>
        <v/>
      </c>
      <c r="E10" s="410">
        <f>IF('Final Calculation Sheet'!$A$15="","",'Final Calculation Sheet'!$A$15)</f>
        <v/>
      </c>
      <c r="F10" s="74">
        <f>IF('Final Calculation Sheet'!$A$38="","",'Final Calculation Sheet'!$A$38)</f>
        <v/>
      </c>
      <c r="G10" s="410">
        <f>IF('Final Calculation Sheet'!$A$27="","",'Final Calculation Sheet'!$A$27)</f>
        <v/>
      </c>
      <c r="H10" s="74">
        <f>IF('Final Calculation Sheet'!$A$5="","",'Final Calculation Sheet'!$A$5)</f>
        <v/>
      </c>
      <c r="I10" s="410">
        <f>IF('Final Calculation Sheet'!$A$10="","",'Final Calculation Sheet'!$A$10)</f>
        <v/>
      </c>
      <c r="J10" s="74">
        <f>IF('Final Calculation Sheet'!$A$11="","",'Final Calculation Sheet'!$A$11)</f>
        <v/>
      </c>
      <c r="K10" s="410">
        <f>IF('Final Calculation Sheet'!$A$12="","",'Final Calculation Sheet'!$A$12)</f>
        <v/>
      </c>
      <c r="L10" s="74">
        <f>IF('Final Calculation Sheet'!$A$18="","",'Final Calculation Sheet'!$A$18)</f>
        <v/>
      </c>
      <c r="M10" s="410">
        <f>IF('Final Calculation Sheet'!$A$19="","",'Final Calculation Sheet'!$A$19)</f>
        <v/>
      </c>
      <c r="N10" s="74">
        <f>IF('Final Calculation Sheet'!$A$22="","",'Final Calculation Sheet'!$A$22)</f>
        <v/>
      </c>
      <c r="O10" s="410">
        <f>IF('Final Calculation Sheet'!$A$24="","",'Final Calculation Sheet'!$A$24)</f>
        <v/>
      </c>
      <c r="P10" s="74">
        <f>IF('Final Calculation Sheet'!$A$26="","",'Final Calculation Sheet'!$A$26)</f>
        <v/>
      </c>
      <c r="Q10" s="410">
        <f>IF('Final Calculation Sheet'!$A$30="","",'Final Calculation Sheet'!$A$30)</f>
        <v/>
      </c>
      <c r="R10" s="74">
        <f>IF('Final Calculation Sheet'!$A$32="","",'Final Calculation Sheet'!$A$32)</f>
        <v/>
      </c>
      <c r="S10" s="410">
        <f>IF('Final Calculation Sheet'!$A$33="","",'Final Calculation Sheet'!$A$33)</f>
        <v/>
      </c>
      <c r="T10" s="74">
        <f>IF('Final Calculation Sheet'!$A$37="","",'Final Calculation Sheet'!$A$37)</f>
        <v/>
      </c>
      <c r="U10" s="410">
        <f>IF('Final Calculation Sheet'!$A$21="","",'Final Calculation Sheet'!$A$21)</f>
        <v/>
      </c>
      <c r="V10" s="74">
        <f>IF('Final Calculation Sheet'!$A$8="","",'Final Calculation Sheet'!$A$8)</f>
        <v/>
      </c>
      <c r="W10" s="410">
        <f>IF('Final Calculation Sheet'!$A$20="","",'Final Calculation Sheet'!$A$20)</f>
        <v/>
      </c>
      <c r="X10" s="74">
        <f>IF('Final Calculation Sheet'!$A$39="","",'Final Calculation Sheet'!$A$39)</f>
        <v/>
      </c>
      <c r="Y10" s="410">
        <f>IF('Final Calculation Sheet'!$A$40="","",'Final Calculation Sheet'!$A$40)</f>
        <v/>
      </c>
      <c r="Z10" s="74">
        <f>IF('Final Calculation Sheet'!$A$31="","",'Final Calculation Sheet'!$A$31)</f>
        <v/>
      </c>
      <c r="AA10" s="410">
        <f>IF('Final Calculation Sheet'!$A$9="","",'Final Calculation Sheet'!$A$9)</f>
        <v/>
      </c>
      <c r="AB10" s="74">
        <f>IF('Final Calculation Sheet'!$A$14="","",'Final Calculation Sheet'!$A$14)</f>
        <v/>
      </c>
      <c r="AC10" s="410">
        <f>IF('Final Calculation Sheet'!$A$13="","",'Final Calculation Sheet'!$A$13)</f>
        <v/>
      </c>
      <c r="AD10" s="74">
        <f>IF('Final Calculation Sheet'!$A$16="","",'Final Calculation Sheet'!$A$16)</f>
        <v/>
      </c>
      <c r="AE10" s="410">
        <f>IF('Final Calculation Sheet'!$A$17="","",'Final Calculation Sheet'!$A$17)</f>
        <v/>
      </c>
      <c r="AF10" s="74">
        <f>IF('Final Calculation Sheet'!$A$23="","",'Final Calculation Sheet'!$A$23)</f>
        <v/>
      </c>
      <c r="AG10" s="410">
        <f>IF('Final Calculation Sheet'!$A$29="","",'Final Calculation Sheet'!$A$29)</f>
        <v/>
      </c>
      <c r="AH10" s="74">
        <f>IF('Final Calculation Sheet'!$A$34="","",'Final Calculation Sheet'!$A$34)</f>
        <v/>
      </c>
      <c r="AI10" s="410">
        <f>IF('Final Calculation Sheet'!$A$36="","",'Final Calculation Sheet'!$A$36)</f>
        <v/>
      </c>
      <c r="AJ10" s="74">
        <f>IF('Final Calculation Sheet'!$A$25="","",'Final Calculation Sheet'!$A$25)</f>
        <v/>
      </c>
      <c r="AK10" s="410">
        <f>IF('Final Calculation Sheet'!$A$28="","",'Final Calculation Sheet'!$A$28)</f>
        <v/>
      </c>
      <c r="AL10" s="74">
        <f>IF('Final Calculation Sheet'!$A$35="","",'Final Calculation Sheet'!$A$35)</f>
        <v/>
      </c>
      <c r="AM10" s="411">
        <f>SUM(B10:AL10)</f>
        <v/>
      </c>
    </row>
    <row r="11" outlineLevel="1" ht="15" customHeight="1">
      <c r="A11" s="69" t="inlineStr">
        <is>
          <t xml:space="preserve">      Unit</t>
        </is>
      </c>
      <c r="B11" s="76">
        <f>IF('Final Calculation Sheet'!$E$4="","",'Final Calculation Sheet'!$E$4)</f>
        <v/>
      </c>
      <c r="C11" s="412">
        <f>IF('Final Calculation Sheet'!$E$6="","",'Final Calculation Sheet'!$E$6)</f>
        <v/>
      </c>
      <c r="D11" s="76">
        <f>IF('Final Calculation Sheet'!$E$7="","",'Final Calculation Sheet'!$E$7)</f>
        <v/>
      </c>
      <c r="E11" s="412">
        <f>IF('Final Calculation Sheet'!$E$15="","",'Final Calculation Sheet'!$E$15)</f>
        <v/>
      </c>
      <c r="F11" s="76">
        <f>IF('Final Calculation Sheet'!$E$38="","",'Final Calculation Sheet'!$E$38)</f>
        <v/>
      </c>
      <c r="G11" s="412">
        <f>IF('Final Calculation Sheet'!$E$27="","",'Final Calculation Sheet'!$E$27)</f>
        <v/>
      </c>
      <c r="H11" s="76">
        <f>IF('Final Calculation Sheet'!$E$5="","",'Final Calculation Sheet'!$E$5)</f>
        <v/>
      </c>
      <c r="I11" s="412">
        <f>IF('Final Calculation Sheet'!$E$10="","",'Final Calculation Sheet'!$E$10)</f>
        <v/>
      </c>
      <c r="J11" s="76">
        <f>IF('Final Calculation Sheet'!$E$11="","",'Final Calculation Sheet'!$E$11)</f>
        <v/>
      </c>
      <c r="K11" s="412">
        <f>IF('Final Calculation Sheet'!$E$12="","",'Final Calculation Sheet'!$E$12)</f>
        <v/>
      </c>
      <c r="L11" s="76">
        <f>IF('Final Calculation Sheet'!$E$18="","",'Final Calculation Sheet'!$E$18)</f>
        <v/>
      </c>
      <c r="M11" s="412">
        <f>IF('Final Calculation Sheet'!$E$19="","",'Final Calculation Sheet'!$E$19)</f>
        <v/>
      </c>
      <c r="N11" s="76">
        <f>IF('Final Calculation Sheet'!$E$22="","",'Final Calculation Sheet'!$E$22)</f>
        <v/>
      </c>
      <c r="O11" s="412">
        <f>IF('Final Calculation Sheet'!$E$24="","",'Final Calculation Sheet'!$E$24)</f>
        <v/>
      </c>
      <c r="P11" s="76">
        <f>IF('Final Calculation Sheet'!$E$26="","",'Final Calculation Sheet'!$E$26)</f>
        <v/>
      </c>
      <c r="Q11" s="412">
        <f>IF('Final Calculation Sheet'!$E$30="","",'Final Calculation Sheet'!$E$30)</f>
        <v/>
      </c>
      <c r="R11" s="76">
        <f>IF('Final Calculation Sheet'!$E$32="","",'Final Calculation Sheet'!$E$32)</f>
        <v/>
      </c>
      <c r="S11" s="412">
        <f>IF('Final Calculation Sheet'!$E$33="","",'Final Calculation Sheet'!$E$33)</f>
        <v/>
      </c>
      <c r="T11" s="76">
        <f>IF('Final Calculation Sheet'!$E$37="","",'Final Calculation Sheet'!$E$37)</f>
        <v/>
      </c>
      <c r="U11" s="412">
        <f>IF('Final Calculation Sheet'!$E$21="","",'Final Calculation Sheet'!$E$21)</f>
        <v/>
      </c>
      <c r="V11" s="76">
        <f>IF('Final Calculation Sheet'!$E$8="","",'Final Calculation Sheet'!$E$8)</f>
        <v/>
      </c>
      <c r="W11" s="412">
        <f>IF('Final Calculation Sheet'!$E$20="","",'Final Calculation Sheet'!$E$20)</f>
        <v/>
      </c>
      <c r="X11" s="76">
        <f>IF('Final Calculation Sheet'!$E$39="","",'Final Calculation Sheet'!$E$39)</f>
        <v/>
      </c>
      <c r="Y11" s="412">
        <f>IF('Final Calculation Sheet'!$E$40="","",'Final Calculation Sheet'!$E$40)</f>
        <v/>
      </c>
      <c r="Z11" s="76">
        <f>IF('Final Calculation Sheet'!$E$31="","",'Final Calculation Sheet'!$E$31)</f>
        <v/>
      </c>
      <c r="AA11" s="412">
        <f>IF('Final Calculation Sheet'!$E$9="","",'Final Calculation Sheet'!$E$9)</f>
        <v/>
      </c>
      <c r="AB11" s="76">
        <f>IF('Final Calculation Sheet'!$E$14="","",'Final Calculation Sheet'!$E$14)</f>
        <v/>
      </c>
      <c r="AC11" s="412">
        <f>IF('Final Calculation Sheet'!$E$13="","",'Final Calculation Sheet'!$E$13)</f>
        <v/>
      </c>
      <c r="AD11" s="76">
        <f>IF('Final Calculation Sheet'!$E$16="","",'Final Calculation Sheet'!$E$16)</f>
        <v/>
      </c>
      <c r="AE11" s="412">
        <f>IF('Final Calculation Sheet'!$E$17="","",'Final Calculation Sheet'!$E$17)</f>
        <v/>
      </c>
      <c r="AF11" s="76">
        <f>IF('Final Calculation Sheet'!$E$23="","",'Final Calculation Sheet'!$E$23)</f>
        <v/>
      </c>
      <c r="AG11" s="412">
        <f>IF('Final Calculation Sheet'!$E$29="","",'Final Calculation Sheet'!$E$29)</f>
        <v/>
      </c>
      <c r="AH11" s="76">
        <f>IF('Final Calculation Sheet'!$E$34="","",'Final Calculation Sheet'!$E$34)</f>
        <v/>
      </c>
      <c r="AI11" s="412">
        <f>IF('Final Calculation Sheet'!$E$36="","",'Final Calculation Sheet'!$E$36)</f>
        <v/>
      </c>
      <c r="AJ11" s="76">
        <f>IF('Final Calculation Sheet'!$E$25="","",'Final Calculation Sheet'!$E$25)</f>
        <v/>
      </c>
      <c r="AK11" s="412">
        <f>IF('Final Calculation Sheet'!$E$28="","",'Final Calculation Sheet'!$E$28)</f>
        <v/>
      </c>
      <c r="AL11" s="76">
        <f>IF('Final Calculation Sheet'!$E$35="","",'Final Calculation Sheet'!$E$35)</f>
        <v/>
      </c>
      <c r="AM11" s="72" t="inlineStr">
        <is>
          <t>–</t>
        </is>
      </c>
    </row>
    <row r="12" outlineLevel="1" ht="15" customHeight="1">
      <c r="A12" s="69" t="inlineStr">
        <is>
          <t xml:space="preserve">      Rate (₹)</t>
        </is>
      </c>
      <c r="B12" s="70">
        <f>IF('Final Calculation Sheet'!$C$4="","",'Final Calculation Sheet'!$C$4)</f>
        <v/>
      </c>
      <c r="C12" s="408">
        <f>IF('Final Calculation Sheet'!$C$6="","",'Final Calculation Sheet'!$C$6)</f>
        <v/>
      </c>
      <c r="D12" s="70">
        <f>IF('Final Calculation Sheet'!$C$7="","",'Final Calculation Sheet'!$C$7)</f>
        <v/>
      </c>
      <c r="E12" s="408">
        <f>IF('Final Calculation Sheet'!$C$15="","",'Final Calculation Sheet'!$C$15)</f>
        <v/>
      </c>
      <c r="F12" s="70">
        <f>IF('Final Calculation Sheet'!$C$38="","",'Final Calculation Sheet'!$C$38)</f>
        <v/>
      </c>
      <c r="G12" s="408">
        <f>IF('Final Calculation Sheet'!$C$27="","",'Final Calculation Sheet'!$C$27)</f>
        <v/>
      </c>
      <c r="H12" s="70">
        <f>IF('Final Calculation Sheet'!$C$5="","",'Final Calculation Sheet'!$C$5)</f>
        <v/>
      </c>
      <c r="I12" s="408">
        <f>IF('Final Calculation Sheet'!$C$10="","",'Final Calculation Sheet'!$C$10)</f>
        <v/>
      </c>
      <c r="J12" s="70">
        <f>IF('Final Calculation Sheet'!$C$11="","",'Final Calculation Sheet'!$C$11)</f>
        <v/>
      </c>
      <c r="K12" s="408">
        <f>IF('Final Calculation Sheet'!$C$12="","",'Final Calculation Sheet'!$C$12)</f>
        <v/>
      </c>
      <c r="L12" s="70">
        <f>IF('Final Calculation Sheet'!$C$18="","",'Final Calculation Sheet'!$C$18)</f>
        <v/>
      </c>
      <c r="M12" s="408">
        <f>IF('Final Calculation Sheet'!$C$19="","",'Final Calculation Sheet'!$C$19)</f>
        <v/>
      </c>
      <c r="N12" s="70">
        <f>IF('Final Calculation Sheet'!$C$22="","",'Final Calculation Sheet'!$C$22)</f>
        <v/>
      </c>
      <c r="O12" s="408">
        <f>IF('Final Calculation Sheet'!$C$24="","",'Final Calculation Sheet'!$C$24)</f>
        <v/>
      </c>
      <c r="P12" s="70">
        <f>IF('Final Calculation Sheet'!$C$26="","",'Final Calculation Sheet'!$C$26)</f>
        <v/>
      </c>
      <c r="Q12" s="408">
        <f>IF('Final Calculation Sheet'!$C$30="","",'Final Calculation Sheet'!$C$30)</f>
        <v/>
      </c>
      <c r="R12" s="70">
        <f>IF('Final Calculation Sheet'!$C$32="","",'Final Calculation Sheet'!$C$32)</f>
        <v/>
      </c>
      <c r="S12" s="408">
        <f>IF('Final Calculation Sheet'!$C$33="","",'Final Calculation Sheet'!$C$33)</f>
        <v/>
      </c>
      <c r="T12" s="70">
        <f>IF('Final Calculation Sheet'!$C$37="","",'Final Calculation Sheet'!$C$37)</f>
        <v/>
      </c>
      <c r="U12" s="408">
        <f>IF('Final Calculation Sheet'!$C$21="","",'Final Calculation Sheet'!$C$21)</f>
        <v/>
      </c>
      <c r="V12" s="70">
        <f>IF('Final Calculation Sheet'!$C$8="","",'Final Calculation Sheet'!$C$8)</f>
        <v/>
      </c>
      <c r="W12" s="408">
        <f>IF('Final Calculation Sheet'!$C$20="","",'Final Calculation Sheet'!$C$20)</f>
        <v/>
      </c>
      <c r="X12" s="70">
        <f>IF('Final Calculation Sheet'!$C$39="","",'Final Calculation Sheet'!$C$39)</f>
        <v/>
      </c>
      <c r="Y12" s="408">
        <f>IF('Final Calculation Sheet'!$C$40="","",'Final Calculation Sheet'!$C$40)</f>
        <v/>
      </c>
      <c r="Z12" s="70">
        <f>IF('Final Calculation Sheet'!$C$31="","",'Final Calculation Sheet'!$C$31)</f>
        <v/>
      </c>
      <c r="AA12" s="408">
        <f>IF('Final Calculation Sheet'!$C$9="","",'Final Calculation Sheet'!$C$9)</f>
        <v/>
      </c>
      <c r="AB12" s="70">
        <f>IF('Final Calculation Sheet'!$C$14="","",'Final Calculation Sheet'!$C$14)</f>
        <v/>
      </c>
      <c r="AC12" s="408">
        <f>IF('Final Calculation Sheet'!$C$13="","",'Final Calculation Sheet'!$C$13)</f>
        <v/>
      </c>
      <c r="AD12" s="70">
        <f>IF('Final Calculation Sheet'!$C$16="","",'Final Calculation Sheet'!$C$16)</f>
        <v/>
      </c>
      <c r="AE12" s="408">
        <f>IF('Final Calculation Sheet'!$C$17="","",'Final Calculation Sheet'!$C$17)</f>
        <v/>
      </c>
      <c r="AF12" s="70">
        <f>IF('Final Calculation Sheet'!$C$23="","",'Final Calculation Sheet'!$C$23)</f>
        <v/>
      </c>
      <c r="AG12" s="408">
        <f>IF('Final Calculation Sheet'!$C$29="","",'Final Calculation Sheet'!$C$29)</f>
        <v/>
      </c>
      <c r="AH12" s="70">
        <f>IF('Final Calculation Sheet'!$C$34="","",'Final Calculation Sheet'!$C$34)</f>
        <v/>
      </c>
      <c r="AI12" s="408">
        <f>IF('Final Calculation Sheet'!$C$36="","",'Final Calculation Sheet'!$C$36)</f>
        <v/>
      </c>
      <c r="AJ12" s="70">
        <f>IF('Final Calculation Sheet'!$C$25="","",'Final Calculation Sheet'!$C$25)</f>
        <v/>
      </c>
      <c r="AK12" s="408">
        <f>IF('Final Calculation Sheet'!$C$28="","",'Final Calculation Sheet'!$C$28)</f>
        <v/>
      </c>
      <c r="AL12" s="70">
        <f>IF('Final Calculation Sheet'!$C$35="","",'Final Calculation Sheet'!$C$35)</f>
        <v/>
      </c>
      <c r="AM12" s="72" t="inlineStr">
        <is>
          <t>–</t>
        </is>
      </c>
    </row>
    <row r="13" ht="17" customHeight="1">
      <c r="A13" s="413" t="inlineStr">
        <is>
          <t xml:space="preserve">  ▸ FINANCIALS</t>
        </is>
      </c>
      <c r="B13" s="385" t="n"/>
      <c r="C13" s="385" t="n"/>
      <c r="D13" s="385" t="n"/>
      <c r="E13" s="385" t="n"/>
      <c r="F13" s="385" t="n"/>
      <c r="G13" s="385" t="n"/>
      <c r="H13" s="385" t="n"/>
      <c r="I13" s="385" t="n"/>
      <c r="J13" s="385" t="n"/>
      <c r="K13" s="385" t="n"/>
      <c r="L13" s="385" t="n"/>
      <c r="M13" s="385" t="n"/>
      <c r="N13" s="385" t="n"/>
      <c r="O13" s="385" t="n"/>
      <c r="P13" s="385" t="n"/>
      <c r="Q13" s="385" t="n"/>
      <c r="R13" s="385" t="n"/>
      <c r="S13" s="385" t="n"/>
      <c r="T13" s="385" t="n"/>
      <c r="U13" s="385" t="n"/>
      <c r="V13" s="385" t="n"/>
      <c r="W13" s="385" t="n"/>
      <c r="X13" s="385" t="n"/>
      <c r="Y13" s="385" t="n"/>
      <c r="Z13" s="385" t="n"/>
      <c r="AA13" s="385" t="n"/>
      <c r="AB13" s="385" t="n"/>
      <c r="AC13" s="385" t="n"/>
      <c r="AD13" s="385" t="n"/>
      <c r="AE13" s="385" t="n"/>
      <c r="AF13" s="385" t="n"/>
      <c r="AG13" s="385" t="n"/>
      <c r="AH13" s="385" t="n"/>
      <c r="AI13" s="385" t="n"/>
      <c r="AJ13" s="385" t="n"/>
      <c r="AK13" s="385" t="n"/>
      <c r="AL13" s="385" t="n"/>
      <c r="AM13" s="385" t="n"/>
    </row>
    <row r="14" outlineLevel="1" ht="15" customHeight="1">
      <c r="A14" s="69" t="inlineStr">
        <is>
          <t xml:space="preserve">      Mat. Value (₹)</t>
        </is>
      </c>
      <c r="B14" s="70">
        <f>IF('Final Calculation Sheet'!$H$4="","",'Final Calculation Sheet'!$H$4)</f>
        <v/>
      </c>
      <c r="C14" s="408">
        <f>IF('Final Calculation Sheet'!$H$6="","",'Final Calculation Sheet'!$H$6)</f>
        <v/>
      </c>
      <c r="D14" s="70">
        <f>IF('Final Calculation Sheet'!$H$7="","",'Final Calculation Sheet'!$H$7)</f>
        <v/>
      </c>
      <c r="E14" s="408">
        <f>IF('Final Calculation Sheet'!$H$15="","",'Final Calculation Sheet'!$H$15)</f>
        <v/>
      </c>
      <c r="F14" s="70">
        <f>IF('Final Calculation Sheet'!$H$38="","",'Final Calculation Sheet'!$H$38)</f>
        <v/>
      </c>
      <c r="G14" s="408">
        <f>IF('Final Calculation Sheet'!$H$27="","",'Final Calculation Sheet'!$H$27)</f>
        <v/>
      </c>
      <c r="H14" s="70">
        <f>IF('Final Calculation Sheet'!$H$5="","",'Final Calculation Sheet'!$H$5)</f>
        <v/>
      </c>
      <c r="I14" s="408">
        <f>IF('Final Calculation Sheet'!$H$10="","",'Final Calculation Sheet'!$H$10)</f>
        <v/>
      </c>
      <c r="J14" s="70">
        <f>IF('Final Calculation Sheet'!$H$11="","",'Final Calculation Sheet'!$H$11)</f>
        <v/>
      </c>
      <c r="K14" s="408">
        <f>IF('Final Calculation Sheet'!$H$12="","",'Final Calculation Sheet'!$H$12)</f>
        <v/>
      </c>
      <c r="L14" s="70">
        <f>IF('Final Calculation Sheet'!$H$18="","",'Final Calculation Sheet'!$H$18)</f>
        <v/>
      </c>
      <c r="M14" s="408">
        <f>IF('Final Calculation Sheet'!$H$19="","",'Final Calculation Sheet'!$H$19)</f>
        <v/>
      </c>
      <c r="N14" s="70">
        <f>IF('Final Calculation Sheet'!$H$22="","",'Final Calculation Sheet'!$H$22)</f>
        <v/>
      </c>
      <c r="O14" s="408">
        <f>IF('Final Calculation Sheet'!$H$24="","",'Final Calculation Sheet'!$H$24)</f>
        <v/>
      </c>
      <c r="P14" s="70">
        <f>IF('Final Calculation Sheet'!$H$26="","",'Final Calculation Sheet'!$H$26)</f>
        <v/>
      </c>
      <c r="Q14" s="408">
        <f>IF('Final Calculation Sheet'!$H$30="","",'Final Calculation Sheet'!$H$30)</f>
        <v/>
      </c>
      <c r="R14" s="70">
        <f>IF('Final Calculation Sheet'!$H$32="","",'Final Calculation Sheet'!$H$32)</f>
        <v/>
      </c>
      <c r="S14" s="408">
        <f>IF('Final Calculation Sheet'!$H$33="","",'Final Calculation Sheet'!$H$33)</f>
        <v/>
      </c>
      <c r="T14" s="70">
        <f>IF('Final Calculation Sheet'!$H$37="","",'Final Calculation Sheet'!$H$37)</f>
        <v/>
      </c>
      <c r="U14" s="408">
        <f>IF('Final Calculation Sheet'!$H$21="","",'Final Calculation Sheet'!$H$21)</f>
        <v/>
      </c>
      <c r="V14" s="70">
        <f>IF('Final Calculation Sheet'!$H$8="","",'Final Calculation Sheet'!$H$8)</f>
        <v/>
      </c>
      <c r="W14" s="408">
        <f>IF('Final Calculation Sheet'!$H$20="","",'Final Calculation Sheet'!$H$20)</f>
        <v/>
      </c>
      <c r="X14" s="70">
        <f>IF('Final Calculation Sheet'!$H$39="","",'Final Calculation Sheet'!$H$39)</f>
        <v/>
      </c>
      <c r="Y14" s="408">
        <f>IF('Final Calculation Sheet'!$H$40="","",'Final Calculation Sheet'!$H$40)</f>
        <v/>
      </c>
      <c r="Z14" s="70">
        <f>IF('Final Calculation Sheet'!$H$31="","",'Final Calculation Sheet'!$H$31)</f>
        <v/>
      </c>
      <c r="AA14" s="408">
        <f>IF('Final Calculation Sheet'!$H$9="","",'Final Calculation Sheet'!$H$9)</f>
        <v/>
      </c>
      <c r="AB14" s="70">
        <f>IF('Final Calculation Sheet'!$H$14="","",'Final Calculation Sheet'!$H$14)</f>
        <v/>
      </c>
      <c r="AC14" s="408">
        <f>IF('Final Calculation Sheet'!$H$13="","",'Final Calculation Sheet'!$H$13)</f>
        <v/>
      </c>
      <c r="AD14" s="70">
        <f>IF('Final Calculation Sheet'!$H$16="","",'Final Calculation Sheet'!$H$16)</f>
        <v/>
      </c>
      <c r="AE14" s="408">
        <f>IF('Final Calculation Sheet'!$H$17="","",'Final Calculation Sheet'!$H$17)</f>
        <v/>
      </c>
      <c r="AF14" s="70">
        <f>IF('Final Calculation Sheet'!$H$23="","",'Final Calculation Sheet'!$H$23)</f>
        <v/>
      </c>
      <c r="AG14" s="408">
        <f>IF('Final Calculation Sheet'!$H$29="","",'Final Calculation Sheet'!$H$29)</f>
        <v/>
      </c>
      <c r="AH14" s="70">
        <f>IF('Final Calculation Sheet'!$H$34="","",'Final Calculation Sheet'!$H$34)</f>
        <v/>
      </c>
      <c r="AI14" s="408">
        <f>IF('Final Calculation Sheet'!$H$36="","",'Final Calculation Sheet'!$H$36)</f>
        <v/>
      </c>
      <c r="AJ14" s="70">
        <f>IF('Final Calculation Sheet'!$H$25="","",'Final Calculation Sheet'!$H$25)</f>
        <v/>
      </c>
      <c r="AK14" s="408">
        <f>IF('Final Calculation Sheet'!$H$28="","",'Final Calculation Sheet'!$H$28)</f>
        <v/>
      </c>
      <c r="AL14" s="70">
        <f>IF('Final Calculation Sheet'!$H$35="","",'Final Calculation Sheet'!$H$35)</f>
        <v/>
      </c>
      <c r="AM14" s="414">
        <f>SUM(B14:AL14)</f>
        <v/>
      </c>
    </row>
    <row r="15" outlineLevel="1" ht="15" customHeight="1">
      <c r="A15" s="69" t="inlineStr">
        <is>
          <t xml:space="preserve">      GST @ 18% (₹)</t>
        </is>
      </c>
      <c r="B15" s="70">
        <f>IF('Final Calculation Sheet'!$I$4="","",'Final Calculation Sheet'!$I$4)</f>
        <v/>
      </c>
      <c r="C15" s="408">
        <f>IF('Final Calculation Sheet'!$I$6="","",'Final Calculation Sheet'!$I$6)</f>
        <v/>
      </c>
      <c r="D15" s="70">
        <f>IF('Final Calculation Sheet'!$I$7="","",'Final Calculation Sheet'!$I$7)</f>
        <v/>
      </c>
      <c r="E15" s="408">
        <f>IF('Final Calculation Sheet'!$I$15="","",'Final Calculation Sheet'!$I$15)</f>
        <v/>
      </c>
      <c r="F15" s="70">
        <f>IF('Final Calculation Sheet'!$I$38="","",'Final Calculation Sheet'!$I$38)</f>
        <v/>
      </c>
      <c r="G15" s="408">
        <f>IF('Final Calculation Sheet'!$I$27="","",'Final Calculation Sheet'!$I$27)</f>
        <v/>
      </c>
      <c r="H15" s="70">
        <f>IF('Final Calculation Sheet'!$I$5="","",'Final Calculation Sheet'!$I$5)</f>
        <v/>
      </c>
      <c r="I15" s="408">
        <f>IF('Final Calculation Sheet'!$I$10="","",'Final Calculation Sheet'!$I$10)</f>
        <v/>
      </c>
      <c r="J15" s="70">
        <f>IF('Final Calculation Sheet'!$I$11="","",'Final Calculation Sheet'!$I$11)</f>
        <v/>
      </c>
      <c r="K15" s="408">
        <f>IF('Final Calculation Sheet'!$I$12="","",'Final Calculation Sheet'!$I$12)</f>
        <v/>
      </c>
      <c r="L15" s="70">
        <f>IF('Final Calculation Sheet'!$I$18="","",'Final Calculation Sheet'!$I$18)</f>
        <v/>
      </c>
      <c r="M15" s="408">
        <f>IF('Final Calculation Sheet'!$I$19="","",'Final Calculation Sheet'!$I$19)</f>
        <v/>
      </c>
      <c r="N15" s="70">
        <f>IF('Final Calculation Sheet'!$I$22="","",'Final Calculation Sheet'!$I$22)</f>
        <v/>
      </c>
      <c r="O15" s="408">
        <f>IF('Final Calculation Sheet'!$I$24="","",'Final Calculation Sheet'!$I$24)</f>
        <v/>
      </c>
      <c r="P15" s="70">
        <f>IF('Final Calculation Sheet'!$I$26="","",'Final Calculation Sheet'!$I$26)</f>
        <v/>
      </c>
      <c r="Q15" s="408">
        <f>IF('Final Calculation Sheet'!$I$30="","",'Final Calculation Sheet'!$I$30)</f>
        <v/>
      </c>
      <c r="R15" s="70">
        <f>IF('Final Calculation Sheet'!$I$32="","",'Final Calculation Sheet'!$I$32)</f>
        <v/>
      </c>
      <c r="S15" s="408">
        <f>IF('Final Calculation Sheet'!$I$33="","",'Final Calculation Sheet'!$I$33)</f>
        <v/>
      </c>
      <c r="T15" s="70">
        <f>IF('Final Calculation Sheet'!$I$37="","",'Final Calculation Sheet'!$I$37)</f>
        <v/>
      </c>
      <c r="U15" s="408">
        <f>IF('Final Calculation Sheet'!$I$21="","",'Final Calculation Sheet'!$I$21)</f>
        <v/>
      </c>
      <c r="V15" s="70">
        <f>IF('Final Calculation Sheet'!$I$8="","",'Final Calculation Sheet'!$I$8)</f>
        <v/>
      </c>
      <c r="W15" s="408">
        <f>IF('Final Calculation Sheet'!$I$20="","",'Final Calculation Sheet'!$I$20)</f>
        <v/>
      </c>
      <c r="X15" s="70">
        <f>IF('Final Calculation Sheet'!$I$39="","",'Final Calculation Sheet'!$I$39)</f>
        <v/>
      </c>
      <c r="Y15" s="408">
        <f>IF('Final Calculation Sheet'!$I$40="","",'Final Calculation Sheet'!$I$40)</f>
        <v/>
      </c>
      <c r="Z15" s="70">
        <f>IF('Final Calculation Sheet'!$I$31="","",'Final Calculation Sheet'!$I$31)</f>
        <v/>
      </c>
      <c r="AA15" s="408">
        <f>IF('Final Calculation Sheet'!$I$9="","",'Final Calculation Sheet'!$I$9)</f>
        <v/>
      </c>
      <c r="AB15" s="70">
        <f>IF('Final Calculation Sheet'!$I$14="","",'Final Calculation Sheet'!$I$14)</f>
        <v/>
      </c>
      <c r="AC15" s="408">
        <f>IF('Final Calculation Sheet'!$I$13="","",'Final Calculation Sheet'!$I$13)</f>
        <v/>
      </c>
      <c r="AD15" s="70">
        <f>IF('Final Calculation Sheet'!$I$16="","",'Final Calculation Sheet'!$I$16)</f>
        <v/>
      </c>
      <c r="AE15" s="408">
        <f>IF('Final Calculation Sheet'!$I$17="","",'Final Calculation Sheet'!$I$17)</f>
        <v/>
      </c>
      <c r="AF15" s="70">
        <f>IF('Final Calculation Sheet'!$I$23="","",'Final Calculation Sheet'!$I$23)</f>
        <v/>
      </c>
      <c r="AG15" s="408">
        <f>IF('Final Calculation Sheet'!$I$29="","",'Final Calculation Sheet'!$I$29)</f>
        <v/>
      </c>
      <c r="AH15" s="70">
        <f>IF('Final Calculation Sheet'!$I$34="","",'Final Calculation Sheet'!$I$34)</f>
        <v/>
      </c>
      <c r="AI15" s="408">
        <f>IF('Final Calculation Sheet'!$I$36="","",'Final Calculation Sheet'!$I$36)</f>
        <v/>
      </c>
      <c r="AJ15" s="70">
        <f>IF('Final Calculation Sheet'!$I$25="","",'Final Calculation Sheet'!$I$25)</f>
        <v/>
      </c>
      <c r="AK15" s="408">
        <f>IF('Final Calculation Sheet'!$I$28="","",'Final Calculation Sheet'!$I$28)</f>
        <v/>
      </c>
      <c r="AL15" s="70">
        <f>IF('Final Calculation Sheet'!$I$35="","",'Final Calculation Sheet'!$I$35)</f>
        <v/>
      </c>
      <c r="AM15" s="414">
        <f>SUM(B15:AL15)</f>
        <v/>
      </c>
    </row>
    <row r="16" outlineLevel="1" ht="15" customHeight="1">
      <c r="A16" s="69" t="inlineStr">
        <is>
          <t xml:space="preserve">      Mat. Value + GST (₹)</t>
        </is>
      </c>
      <c r="B16" s="70">
        <f>IF('Final Calculation Sheet'!$J$4="","",'Final Calculation Sheet'!$J$4)</f>
        <v/>
      </c>
      <c r="C16" s="408">
        <f>IF('Final Calculation Sheet'!$J$6="","",'Final Calculation Sheet'!$J$6)</f>
        <v/>
      </c>
      <c r="D16" s="70">
        <f>IF('Final Calculation Sheet'!$J$7="","",'Final Calculation Sheet'!$J$7)</f>
        <v/>
      </c>
      <c r="E16" s="408">
        <f>IF('Final Calculation Sheet'!$J$15="","",'Final Calculation Sheet'!$J$15)</f>
        <v/>
      </c>
      <c r="F16" s="70">
        <f>IF('Final Calculation Sheet'!$J$38="","",'Final Calculation Sheet'!$J$38)</f>
        <v/>
      </c>
      <c r="G16" s="408">
        <f>IF('Final Calculation Sheet'!$J$27="","",'Final Calculation Sheet'!$J$27)</f>
        <v/>
      </c>
      <c r="H16" s="70">
        <f>IF('Final Calculation Sheet'!$J$5="","",'Final Calculation Sheet'!$J$5)</f>
        <v/>
      </c>
      <c r="I16" s="408">
        <f>IF('Final Calculation Sheet'!$J$10="","",'Final Calculation Sheet'!$J$10)</f>
        <v/>
      </c>
      <c r="J16" s="70">
        <f>IF('Final Calculation Sheet'!$J$11="","",'Final Calculation Sheet'!$J$11)</f>
        <v/>
      </c>
      <c r="K16" s="408">
        <f>IF('Final Calculation Sheet'!$J$12="","",'Final Calculation Sheet'!$J$12)</f>
        <v/>
      </c>
      <c r="L16" s="70">
        <f>IF('Final Calculation Sheet'!$J$18="","",'Final Calculation Sheet'!$J$18)</f>
        <v/>
      </c>
      <c r="M16" s="408">
        <f>IF('Final Calculation Sheet'!$J$19="","",'Final Calculation Sheet'!$J$19)</f>
        <v/>
      </c>
      <c r="N16" s="70">
        <f>IF('Final Calculation Sheet'!$J$22="","",'Final Calculation Sheet'!$J$22)</f>
        <v/>
      </c>
      <c r="O16" s="408">
        <f>IF('Final Calculation Sheet'!$J$24="","",'Final Calculation Sheet'!$J$24)</f>
        <v/>
      </c>
      <c r="P16" s="70">
        <f>IF('Final Calculation Sheet'!$J$26="","",'Final Calculation Sheet'!$J$26)</f>
        <v/>
      </c>
      <c r="Q16" s="408">
        <f>IF('Final Calculation Sheet'!$J$30="","",'Final Calculation Sheet'!$J$30)</f>
        <v/>
      </c>
      <c r="R16" s="70">
        <f>IF('Final Calculation Sheet'!$J$32="","",'Final Calculation Sheet'!$J$32)</f>
        <v/>
      </c>
      <c r="S16" s="408">
        <f>IF('Final Calculation Sheet'!$J$33="","",'Final Calculation Sheet'!$J$33)</f>
        <v/>
      </c>
      <c r="T16" s="70">
        <f>IF('Final Calculation Sheet'!$J$37="","",'Final Calculation Sheet'!$J$37)</f>
        <v/>
      </c>
      <c r="U16" s="408">
        <f>IF('Final Calculation Sheet'!$J$21="","",'Final Calculation Sheet'!$J$21)</f>
        <v/>
      </c>
      <c r="V16" s="70">
        <f>IF('Final Calculation Sheet'!$J$8="","",'Final Calculation Sheet'!$J$8)</f>
        <v/>
      </c>
      <c r="W16" s="408">
        <f>IF('Final Calculation Sheet'!$J$20="","",'Final Calculation Sheet'!$J$20)</f>
        <v/>
      </c>
      <c r="X16" s="70">
        <f>IF('Final Calculation Sheet'!$J$39="","",'Final Calculation Sheet'!$J$39)</f>
        <v/>
      </c>
      <c r="Y16" s="408">
        <f>IF('Final Calculation Sheet'!$J$40="","",'Final Calculation Sheet'!$J$40)</f>
        <v/>
      </c>
      <c r="Z16" s="70">
        <f>IF('Final Calculation Sheet'!$J$31="","",'Final Calculation Sheet'!$J$31)</f>
        <v/>
      </c>
      <c r="AA16" s="408">
        <f>IF('Final Calculation Sheet'!$J$9="","",'Final Calculation Sheet'!$J$9)</f>
        <v/>
      </c>
      <c r="AB16" s="70">
        <f>IF('Final Calculation Sheet'!$J$14="","",'Final Calculation Sheet'!$J$14)</f>
        <v/>
      </c>
      <c r="AC16" s="408">
        <f>IF('Final Calculation Sheet'!$J$13="","",'Final Calculation Sheet'!$J$13)</f>
        <v/>
      </c>
      <c r="AD16" s="70">
        <f>IF('Final Calculation Sheet'!$J$16="","",'Final Calculation Sheet'!$J$16)</f>
        <v/>
      </c>
      <c r="AE16" s="408">
        <f>IF('Final Calculation Sheet'!$J$17="","",'Final Calculation Sheet'!$J$17)</f>
        <v/>
      </c>
      <c r="AF16" s="70">
        <f>IF('Final Calculation Sheet'!$J$23="","",'Final Calculation Sheet'!$J$23)</f>
        <v/>
      </c>
      <c r="AG16" s="408">
        <f>IF('Final Calculation Sheet'!$J$29="","",'Final Calculation Sheet'!$J$29)</f>
        <v/>
      </c>
      <c r="AH16" s="70">
        <f>IF('Final Calculation Sheet'!$J$34="","",'Final Calculation Sheet'!$J$34)</f>
        <v/>
      </c>
      <c r="AI16" s="408">
        <f>IF('Final Calculation Sheet'!$J$36="","",'Final Calculation Sheet'!$J$36)</f>
        <v/>
      </c>
      <c r="AJ16" s="70">
        <f>IF('Final Calculation Sheet'!$J$25="","",'Final Calculation Sheet'!$J$25)</f>
        <v/>
      </c>
      <c r="AK16" s="408">
        <f>IF('Final Calculation Sheet'!$J$28="","",'Final Calculation Sheet'!$J$28)</f>
        <v/>
      </c>
      <c r="AL16" s="70">
        <f>IF('Final Calculation Sheet'!$J$35="","",'Final Calculation Sheet'!$J$35)</f>
        <v/>
      </c>
      <c r="AM16" s="414">
        <f>SUM(B16:AL16)</f>
        <v/>
      </c>
    </row>
    <row r="17" outlineLevel="1" ht="15" customHeight="1">
      <c r="A17" s="69" t="inlineStr">
        <is>
          <t xml:space="preserve">      TCS @ 2% (₹)</t>
        </is>
      </c>
      <c r="B17" s="70">
        <f>IF('Final Calculation Sheet'!$K$4="","",'Final Calculation Sheet'!$K$4)</f>
        <v/>
      </c>
      <c r="C17" s="408">
        <f>IF('Final Calculation Sheet'!$K$6="","",'Final Calculation Sheet'!$K$6)</f>
        <v/>
      </c>
      <c r="D17" s="70">
        <f>IF('Final Calculation Sheet'!$K$7="","",'Final Calculation Sheet'!$K$7)</f>
        <v/>
      </c>
      <c r="E17" s="408">
        <f>IF('Final Calculation Sheet'!$K$15="","",'Final Calculation Sheet'!$K$15)</f>
        <v/>
      </c>
      <c r="F17" s="70">
        <f>IF('Final Calculation Sheet'!$K$38="","",'Final Calculation Sheet'!$K$38)</f>
        <v/>
      </c>
      <c r="G17" s="408">
        <f>IF('Final Calculation Sheet'!$K$27="","",'Final Calculation Sheet'!$K$27)</f>
        <v/>
      </c>
      <c r="H17" s="70">
        <f>IF('Final Calculation Sheet'!$K$5="","",'Final Calculation Sheet'!$K$5)</f>
        <v/>
      </c>
      <c r="I17" s="408">
        <f>IF('Final Calculation Sheet'!$K$10="","",'Final Calculation Sheet'!$K$10)</f>
        <v/>
      </c>
      <c r="J17" s="70">
        <f>IF('Final Calculation Sheet'!$K$11="","",'Final Calculation Sheet'!$K$11)</f>
        <v/>
      </c>
      <c r="K17" s="408">
        <f>IF('Final Calculation Sheet'!$K$12="","",'Final Calculation Sheet'!$K$12)</f>
        <v/>
      </c>
      <c r="L17" s="70">
        <f>IF('Final Calculation Sheet'!$K$18="","",'Final Calculation Sheet'!$K$18)</f>
        <v/>
      </c>
      <c r="M17" s="408">
        <f>IF('Final Calculation Sheet'!$K$19="","",'Final Calculation Sheet'!$K$19)</f>
        <v/>
      </c>
      <c r="N17" s="70">
        <f>IF('Final Calculation Sheet'!$K$22="","",'Final Calculation Sheet'!$K$22)</f>
        <v/>
      </c>
      <c r="O17" s="408">
        <f>IF('Final Calculation Sheet'!$K$24="","",'Final Calculation Sheet'!$K$24)</f>
        <v/>
      </c>
      <c r="P17" s="70">
        <f>IF('Final Calculation Sheet'!$K$26="","",'Final Calculation Sheet'!$K$26)</f>
        <v/>
      </c>
      <c r="Q17" s="408">
        <f>IF('Final Calculation Sheet'!$K$30="","",'Final Calculation Sheet'!$K$30)</f>
        <v/>
      </c>
      <c r="R17" s="70">
        <f>IF('Final Calculation Sheet'!$K$32="","",'Final Calculation Sheet'!$K$32)</f>
        <v/>
      </c>
      <c r="S17" s="408">
        <f>IF('Final Calculation Sheet'!$K$33="","",'Final Calculation Sheet'!$K$33)</f>
        <v/>
      </c>
      <c r="T17" s="70">
        <f>IF('Final Calculation Sheet'!$K$37="","",'Final Calculation Sheet'!$K$37)</f>
        <v/>
      </c>
      <c r="U17" s="408">
        <f>IF('Final Calculation Sheet'!$K$21="","",'Final Calculation Sheet'!$K$21)</f>
        <v/>
      </c>
      <c r="V17" s="70">
        <f>IF('Final Calculation Sheet'!$K$8="","",'Final Calculation Sheet'!$K$8)</f>
        <v/>
      </c>
      <c r="W17" s="408">
        <f>IF('Final Calculation Sheet'!$K$20="","",'Final Calculation Sheet'!$K$20)</f>
        <v/>
      </c>
      <c r="X17" s="70">
        <f>IF('Final Calculation Sheet'!$K$39="","",'Final Calculation Sheet'!$K$39)</f>
        <v/>
      </c>
      <c r="Y17" s="408">
        <f>IF('Final Calculation Sheet'!$K$40="","",'Final Calculation Sheet'!$K$40)</f>
        <v/>
      </c>
      <c r="Z17" s="70">
        <f>IF('Final Calculation Sheet'!$K$31="","",'Final Calculation Sheet'!$K$31)</f>
        <v/>
      </c>
      <c r="AA17" s="408">
        <f>IF('Final Calculation Sheet'!$K$9="","",'Final Calculation Sheet'!$K$9)</f>
        <v/>
      </c>
      <c r="AB17" s="70">
        <f>IF('Final Calculation Sheet'!$K$14="","",'Final Calculation Sheet'!$K$14)</f>
        <v/>
      </c>
      <c r="AC17" s="408">
        <f>IF('Final Calculation Sheet'!$K$13="","",'Final Calculation Sheet'!$K$13)</f>
        <v/>
      </c>
      <c r="AD17" s="70">
        <f>IF('Final Calculation Sheet'!$K$16="","",'Final Calculation Sheet'!$K$16)</f>
        <v/>
      </c>
      <c r="AE17" s="408">
        <f>IF('Final Calculation Sheet'!$K$17="","",'Final Calculation Sheet'!$K$17)</f>
        <v/>
      </c>
      <c r="AF17" s="70">
        <f>IF('Final Calculation Sheet'!$K$23="","",'Final Calculation Sheet'!$K$23)</f>
        <v/>
      </c>
      <c r="AG17" s="408">
        <f>IF('Final Calculation Sheet'!$K$29="","",'Final Calculation Sheet'!$K$29)</f>
        <v/>
      </c>
      <c r="AH17" s="70">
        <f>IF('Final Calculation Sheet'!$K$34="","",'Final Calculation Sheet'!$K$34)</f>
        <v/>
      </c>
      <c r="AI17" s="408">
        <f>IF('Final Calculation Sheet'!$K$36="","",'Final Calculation Sheet'!$K$36)</f>
        <v/>
      </c>
      <c r="AJ17" s="70">
        <f>IF('Final Calculation Sheet'!$K$25="","",'Final Calculation Sheet'!$K$25)</f>
        <v/>
      </c>
      <c r="AK17" s="408">
        <f>IF('Final Calculation Sheet'!$K$28="","",'Final Calculation Sheet'!$K$28)</f>
        <v/>
      </c>
      <c r="AL17" s="70">
        <f>IF('Final Calculation Sheet'!$K$35="","",'Final Calculation Sheet'!$K$35)</f>
        <v/>
      </c>
      <c r="AM17" s="414">
        <f>SUM(B17:AL17)</f>
        <v/>
      </c>
    </row>
    <row r="18" outlineLevel="1" ht="15" customHeight="1">
      <c r="A18" s="69" t="inlineStr">
        <is>
          <t xml:space="preserve">      TDS u/s 194(O) (₹)</t>
        </is>
      </c>
      <c r="B18" s="78">
        <f>IF('Final Calculation Sheet'!$L$4="","",'Final Calculation Sheet'!$L$4)</f>
        <v/>
      </c>
      <c r="C18" s="415">
        <f>IF('Final Calculation Sheet'!$L$6="","",'Final Calculation Sheet'!$L$6)</f>
        <v/>
      </c>
      <c r="D18" s="78">
        <f>IF('Final Calculation Sheet'!$L$7="","",'Final Calculation Sheet'!$L$7)</f>
        <v/>
      </c>
      <c r="E18" s="415">
        <f>IF('Final Calculation Sheet'!$L$15="","",'Final Calculation Sheet'!$L$15)</f>
        <v/>
      </c>
      <c r="F18" s="78">
        <f>IF('Final Calculation Sheet'!$L$38="","",'Final Calculation Sheet'!$L$38)</f>
        <v/>
      </c>
      <c r="G18" s="415">
        <f>IF('Final Calculation Sheet'!$L$27="","",'Final Calculation Sheet'!$L$27)</f>
        <v/>
      </c>
      <c r="H18" s="78">
        <f>IF('Final Calculation Sheet'!$L$5="","",'Final Calculation Sheet'!$L$5)</f>
        <v/>
      </c>
      <c r="I18" s="415">
        <f>IF('Final Calculation Sheet'!$L$10="","",'Final Calculation Sheet'!$L$10)</f>
        <v/>
      </c>
      <c r="J18" s="78">
        <f>IF('Final Calculation Sheet'!$L$11="","",'Final Calculation Sheet'!$L$11)</f>
        <v/>
      </c>
      <c r="K18" s="415">
        <f>IF('Final Calculation Sheet'!$L$12="","",'Final Calculation Sheet'!$L$12)</f>
        <v/>
      </c>
      <c r="L18" s="78">
        <f>IF('Final Calculation Sheet'!$L$18="","",'Final Calculation Sheet'!$L$18)</f>
        <v/>
      </c>
      <c r="M18" s="415">
        <f>IF('Final Calculation Sheet'!$L$19="","",'Final Calculation Sheet'!$L$19)</f>
        <v/>
      </c>
      <c r="N18" s="78">
        <f>IF('Final Calculation Sheet'!$L$22="","",'Final Calculation Sheet'!$L$22)</f>
        <v/>
      </c>
      <c r="O18" s="415">
        <f>IF('Final Calculation Sheet'!$L$24="","",'Final Calculation Sheet'!$L$24)</f>
        <v/>
      </c>
      <c r="P18" s="78">
        <f>IF('Final Calculation Sheet'!$L$26="","",'Final Calculation Sheet'!$L$26)</f>
        <v/>
      </c>
      <c r="Q18" s="415">
        <f>IF('Final Calculation Sheet'!$L$30="","",'Final Calculation Sheet'!$L$30)</f>
        <v/>
      </c>
      <c r="R18" s="78">
        <f>IF('Final Calculation Sheet'!$L$32="","",'Final Calculation Sheet'!$L$32)</f>
        <v/>
      </c>
      <c r="S18" s="415">
        <f>IF('Final Calculation Sheet'!$L$33="","",'Final Calculation Sheet'!$L$33)</f>
        <v/>
      </c>
      <c r="T18" s="78">
        <f>IF('Final Calculation Sheet'!$L$37="","",'Final Calculation Sheet'!$L$37)</f>
        <v/>
      </c>
      <c r="U18" s="415">
        <f>IF('Final Calculation Sheet'!$L$21="","",'Final Calculation Sheet'!$L$21)</f>
        <v/>
      </c>
      <c r="V18" s="78">
        <f>IF('Final Calculation Sheet'!$L$8="","",'Final Calculation Sheet'!$L$8)</f>
        <v/>
      </c>
      <c r="W18" s="415">
        <f>IF('Final Calculation Sheet'!$L$20="","",'Final Calculation Sheet'!$L$20)</f>
        <v/>
      </c>
      <c r="X18" s="78">
        <f>IF('Final Calculation Sheet'!$L$39="","",'Final Calculation Sheet'!$L$39)</f>
        <v/>
      </c>
      <c r="Y18" s="415">
        <f>IF('Final Calculation Sheet'!$L$40="","",'Final Calculation Sheet'!$L$40)</f>
        <v/>
      </c>
      <c r="Z18" s="78">
        <f>IF('Final Calculation Sheet'!$L$31="","",'Final Calculation Sheet'!$L$31)</f>
        <v/>
      </c>
      <c r="AA18" s="415">
        <f>IF('Final Calculation Sheet'!$L$9="","",'Final Calculation Sheet'!$L$9)</f>
        <v/>
      </c>
      <c r="AB18" s="78">
        <f>IF('Final Calculation Sheet'!$L$14="","",'Final Calculation Sheet'!$L$14)</f>
        <v/>
      </c>
      <c r="AC18" s="415">
        <f>IF('Final Calculation Sheet'!$L$13="","",'Final Calculation Sheet'!$L$13)</f>
        <v/>
      </c>
      <c r="AD18" s="78">
        <f>IF('Final Calculation Sheet'!$L$16="","",'Final Calculation Sheet'!$L$16)</f>
        <v/>
      </c>
      <c r="AE18" s="415">
        <f>IF('Final Calculation Sheet'!$L$17="","",'Final Calculation Sheet'!$L$17)</f>
        <v/>
      </c>
      <c r="AF18" s="78">
        <f>IF('Final Calculation Sheet'!$L$23="","",'Final Calculation Sheet'!$L$23)</f>
        <v/>
      </c>
      <c r="AG18" s="415">
        <f>IF('Final Calculation Sheet'!$L$29="","",'Final Calculation Sheet'!$L$29)</f>
        <v/>
      </c>
      <c r="AH18" s="78">
        <f>IF('Final Calculation Sheet'!$L$34="","",'Final Calculation Sheet'!$L$34)</f>
        <v/>
      </c>
      <c r="AI18" s="415">
        <f>IF('Final Calculation Sheet'!$L$36="","",'Final Calculation Sheet'!$L$36)</f>
        <v/>
      </c>
      <c r="AJ18" s="78">
        <f>IF('Final Calculation Sheet'!$L$25="","",'Final Calculation Sheet'!$L$25)</f>
        <v/>
      </c>
      <c r="AK18" s="415">
        <f>IF('Final Calculation Sheet'!$L$28="","",'Final Calculation Sheet'!$L$28)</f>
        <v/>
      </c>
      <c r="AL18" s="78">
        <f>IF('Final Calculation Sheet'!$L$35="","",'Final Calculation Sheet'!$L$35)</f>
        <v/>
      </c>
      <c r="AM18" s="416">
        <f>SUM(B18:AL18)</f>
        <v/>
      </c>
    </row>
    <row r="19" outlineLevel="1" ht="15" customHeight="1">
      <c r="A19" s="69" t="inlineStr">
        <is>
          <t xml:space="preserve">      Service Charge gross (₹)</t>
        </is>
      </c>
      <c r="B19" s="78">
        <f>IF('Final Calculation Sheet'!$M$4="","",'Final Calculation Sheet'!$M$4)</f>
        <v/>
      </c>
      <c r="C19" s="415">
        <f>IF('Final Calculation Sheet'!$M$6="","",'Final Calculation Sheet'!$M$6)</f>
        <v/>
      </c>
      <c r="D19" s="78">
        <f>IF('Final Calculation Sheet'!$M$7="","",'Final Calculation Sheet'!$M$7)</f>
        <v/>
      </c>
      <c r="E19" s="415">
        <f>IF('Final Calculation Sheet'!$M$15="","",'Final Calculation Sheet'!$M$15)</f>
        <v/>
      </c>
      <c r="F19" s="78">
        <f>IF('Final Calculation Sheet'!$M$38="","",'Final Calculation Sheet'!$M$38)</f>
        <v/>
      </c>
      <c r="G19" s="415">
        <f>IF('Final Calculation Sheet'!$M$27="","",'Final Calculation Sheet'!$M$27)</f>
        <v/>
      </c>
      <c r="H19" s="78">
        <f>IF('Final Calculation Sheet'!$M$5="","",'Final Calculation Sheet'!$M$5)</f>
        <v/>
      </c>
      <c r="I19" s="415">
        <f>IF('Final Calculation Sheet'!$M$10="","",'Final Calculation Sheet'!$M$10)</f>
        <v/>
      </c>
      <c r="J19" s="78">
        <f>IF('Final Calculation Sheet'!$M$11="","",'Final Calculation Sheet'!$M$11)</f>
        <v/>
      </c>
      <c r="K19" s="415">
        <f>IF('Final Calculation Sheet'!$M$12="","",'Final Calculation Sheet'!$M$12)</f>
        <v/>
      </c>
      <c r="L19" s="78">
        <f>IF('Final Calculation Sheet'!$M$18="","",'Final Calculation Sheet'!$M$18)</f>
        <v/>
      </c>
      <c r="M19" s="415">
        <f>IF('Final Calculation Sheet'!$M$19="","",'Final Calculation Sheet'!$M$19)</f>
        <v/>
      </c>
      <c r="N19" s="78">
        <f>IF('Final Calculation Sheet'!$M$22="","",'Final Calculation Sheet'!$M$22)</f>
        <v/>
      </c>
      <c r="O19" s="415">
        <f>IF('Final Calculation Sheet'!$M$24="","",'Final Calculation Sheet'!$M$24)</f>
        <v/>
      </c>
      <c r="P19" s="78">
        <f>IF('Final Calculation Sheet'!$M$26="","",'Final Calculation Sheet'!$M$26)</f>
        <v/>
      </c>
      <c r="Q19" s="415">
        <f>IF('Final Calculation Sheet'!$M$30="","",'Final Calculation Sheet'!$M$30)</f>
        <v/>
      </c>
      <c r="R19" s="78">
        <f>IF('Final Calculation Sheet'!$M$32="","",'Final Calculation Sheet'!$M$32)</f>
        <v/>
      </c>
      <c r="S19" s="415">
        <f>IF('Final Calculation Sheet'!$M$33="","",'Final Calculation Sheet'!$M$33)</f>
        <v/>
      </c>
      <c r="T19" s="78">
        <f>IF('Final Calculation Sheet'!$M$37="","",'Final Calculation Sheet'!$M$37)</f>
        <v/>
      </c>
      <c r="U19" s="415">
        <f>IF('Final Calculation Sheet'!$M$21="","",'Final Calculation Sheet'!$M$21)</f>
        <v/>
      </c>
      <c r="V19" s="78">
        <f>IF('Final Calculation Sheet'!$M$8="","",'Final Calculation Sheet'!$M$8)</f>
        <v/>
      </c>
      <c r="W19" s="415">
        <f>IF('Final Calculation Sheet'!$M$20="","",'Final Calculation Sheet'!$M$20)</f>
        <v/>
      </c>
      <c r="X19" s="78">
        <f>IF('Final Calculation Sheet'!$M$39="","",'Final Calculation Sheet'!$M$39)</f>
        <v/>
      </c>
      <c r="Y19" s="415">
        <f>IF('Final Calculation Sheet'!$M$40="","",'Final Calculation Sheet'!$M$40)</f>
        <v/>
      </c>
      <c r="Z19" s="78">
        <f>IF('Final Calculation Sheet'!$M$31="","",'Final Calculation Sheet'!$M$31)</f>
        <v/>
      </c>
      <c r="AA19" s="415">
        <f>IF('Final Calculation Sheet'!$M$9="","",'Final Calculation Sheet'!$M$9)</f>
        <v/>
      </c>
      <c r="AB19" s="78">
        <f>IF('Final Calculation Sheet'!$M$14="","",'Final Calculation Sheet'!$M$14)</f>
        <v/>
      </c>
      <c r="AC19" s="415">
        <f>IF('Final Calculation Sheet'!$M$13="","",'Final Calculation Sheet'!$M$13)</f>
        <v/>
      </c>
      <c r="AD19" s="78">
        <f>IF('Final Calculation Sheet'!$M$16="","",'Final Calculation Sheet'!$M$16)</f>
        <v/>
      </c>
      <c r="AE19" s="415">
        <f>IF('Final Calculation Sheet'!$M$17="","",'Final Calculation Sheet'!$M$17)</f>
        <v/>
      </c>
      <c r="AF19" s="78">
        <f>IF('Final Calculation Sheet'!$M$23="","",'Final Calculation Sheet'!$M$23)</f>
        <v/>
      </c>
      <c r="AG19" s="415">
        <f>IF('Final Calculation Sheet'!$M$29="","",'Final Calculation Sheet'!$M$29)</f>
        <v/>
      </c>
      <c r="AH19" s="78">
        <f>IF('Final Calculation Sheet'!$M$34="","",'Final Calculation Sheet'!$M$34)</f>
        <v/>
      </c>
      <c r="AI19" s="415">
        <f>IF('Final Calculation Sheet'!$M$36="","",'Final Calculation Sheet'!$M$36)</f>
        <v/>
      </c>
      <c r="AJ19" s="78">
        <f>IF('Final Calculation Sheet'!$M$25="","",'Final Calculation Sheet'!$M$25)</f>
        <v/>
      </c>
      <c r="AK19" s="415">
        <f>IF('Final Calculation Sheet'!$M$28="","",'Final Calculation Sheet'!$M$28)</f>
        <v/>
      </c>
      <c r="AL19" s="78">
        <f>IF('Final Calculation Sheet'!$M$35="","",'Final Calculation Sheet'!$M$35)</f>
        <v/>
      </c>
      <c r="AM19" s="416">
        <f>SUM(B19:AL19)</f>
        <v/>
      </c>
    </row>
    <row r="20" outlineLevel="1" ht="15" customHeight="1">
      <c r="A20" s="69" t="inlineStr">
        <is>
          <t xml:space="preserve">      TDS u/s 194(H) (₹)</t>
        </is>
      </c>
      <c r="B20" s="78">
        <f>IF('Final Calculation Sheet'!$N$4="","",'Final Calculation Sheet'!$N$4)</f>
        <v/>
      </c>
      <c r="C20" s="415">
        <f>IF('Final Calculation Sheet'!$N$6="","",'Final Calculation Sheet'!$N$6)</f>
        <v/>
      </c>
      <c r="D20" s="78">
        <f>IF('Final Calculation Sheet'!$N$7="","",'Final Calculation Sheet'!$N$7)</f>
        <v/>
      </c>
      <c r="E20" s="415">
        <f>IF('Final Calculation Sheet'!$N$15="","",'Final Calculation Sheet'!$N$15)</f>
        <v/>
      </c>
      <c r="F20" s="78">
        <f>IF('Final Calculation Sheet'!$N$38="","",'Final Calculation Sheet'!$N$38)</f>
        <v/>
      </c>
      <c r="G20" s="415">
        <f>IF('Final Calculation Sheet'!$N$27="","",'Final Calculation Sheet'!$N$27)</f>
        <v/>
      </c>
      <c r="H20" s="78">
        <f>IF('Final Calculation Sheet'!$N$5="","",'Final Calculation Sheet'!$N$5)</f>
        <v/>
      </c>
      <c r="I20" s="415">
        <f>IF('Final Calculation Sheet'!$N$10="","",'Final Calculation Sheet'!$N$10)</f>
        <v/>
      </c>
      <c r="J20" s="78">
        <f>IF('Final Calculation Sheet'!$N$11="","",'Final Calculation Sheet'!$N$11)</f>
        <v/>
      </c>
      <c r="K20" s="415">
        <f>IF('Final Calculation Sheet'!$N$12="","",'Final Calculation Sheet'!$N$12)</f>
        <v/>
      </c>
      <c r="L20" s="78">
        <f>IF('Final Calculation Sheet'!$N$18="","",'Final Calculation Sheet'!$N$18)</f>
        <v/>
      </c>
      <c r="M20" s="415">
        <f>IF('Final Calculation Sheet'!$N$19="","",'Final Calculation Sheet'!$N$19)</f>
        <v/>
      </c>
      <c r="N20" s="78">
        <f>IF('Final Calculation Sheet'!$N$22="","",'Final Calculation Sheet'!$N$22)</f>
        <v/>
      </c>
      <c r="O20" s="415">
        <f>IF('Final Calculation Sheet'!$N$24="","",'Final Calculation Sheet'!$N$24)</f>
        <v/>
      </c>
      <c r="P20" s="78">
        <f>IF('Final Calculation Sheet'!$N$26="","",'Final Calculation Sheet'!$N$26)</f>
        <v/>
      </c>
      <c r="Q20" s="415">
        <f>IF('Final Calculation Sheet'!$N$30="","",'Final Calculation Sheet'!$N$30)</f>
        <v/>
      </c>
      <c r="R20" s="78">
        <f>IF('Final Calculation Sheet'!$N$32="","",'Final Calculation Sheet'!$N$32)</f>
        <v/>
      </c>
      <c r="S20" s="415">
        <f>IF('Final Calculation Sheet'!$N$33="","",'Final Calculation Sheet'!$N$33)</f>
        <v/>
      </c>
      <c r="T20" s="78">
        <f>IF('Final Calculation Sheet'!$N$37="","",'Final Calculation Sheet'!$N$37)</f>
        <v/>
      </c>
      <c r="U20" s="415">
        <f>IF('Final Calculation Sheet'!$N$21="","",'Final Calculation Sheet'!$N$21)</f>
        <v/>
      </c>
      <c r="V20" s="78">
        <f>IF('Final Calculation Sheet'!$N$8="","",'Final Calculation Sheet'!$N$8)</f>
        <v/>
      </c>
      <c r="W20" s="415">
        <f>IF('Final Calculation Sheet'!$N$20="","",'Final Calculation Sheet'!$N$20)</f>
        <v/>
      </c>
      <c r="X20" s="78">
        <f>IF('Final Calculation Sheet'!$N$39="","",'Final Calculation Sheet'!$N$39)</f>
        <v/>
      </c>
      <c r="Y20" s="415">
        <f>IF('Final Calculation Sheet'!$N$40="","",'Final Calculation Sheet'!$N$40)</f>
        <v/>
      </c>
      <c r="Z20" s="78">
        <f>IF('Final Calculation Sheet'!$N$31="","",'Final Calculation Sheet'!$N$31)</f>
        <v/>
      </c>
      <c r="AA20" s="415">
        <f>IF('Final Calculation Sheet'!$N$9="","",'Final Calculation Sheet'!$N$9)</f>
        <v/>
      </c>
      <c r="AB20" s="78">
        <f>IF('Final Calculation Sheet'!$N$14="","",'Final Calculation Sheet'!$N$14)</f>
        <v/>
      </c>
      <c r="AC20" s="415">
        <f>IF('Final Calculation Sheet'!$N$13="","",'Final Calculation Sheet'!$N$13)</f>
        <v/>
      </c>
      <c r="AD20" s="78">
        <f>IF('Final Calculation Sheet'!$N$16="","",'Final Calculation Sheet'!$N$16)</f>
        <v/>
      </c>
      <c r="AE20" s="415">
        <f>IF('Final Calculation Sheet'!$N$17="","",'Final Calculation Sheet'!$N$17)</f>
        <v/>
      </c>
      <c r="AF20" s="78">
        <f>IF('Final Calculation Sheet'!$N$23="","",'Final Calculation Sheet'!$N$23)</f>
        <v/>
      </c>
      <c r="AG20" s="415">
        <f>IF('Final Calculation Sheet'!$N$29="","",'Final Calculation Sheet'!$N$29)</f>
        <v/>
      </c>
      <c r="AH20" s="78">
        <f>IF('Final Calculation Sheet'!$N$34="","",'Final Calculation Sheet'!$N$34)</f>
        <v/>
      </c>
      <c r="AI20" s="415">
        <f>IF('Final Calculation Sheet'!$N$36="","",'Final Calculation Sheet'!$N$36)</f>
        <v/>
      </c>
      <c r="AJ20" s="78">
        <f>IF('Final Calculation Sheet'!$N$25="","",'Final Calculation Sheet'!$N$25)</f>
        <v/>
      </c>
      <c r="AK20" s="415">
        <f>IF('Final Calculation Sheet'!$N$28="","",'Final Calculation Sheet'!$N$28)</f>
        <v/>
      </c>
      <c r="AL20" s="78">
        <f>IF('Final Calculation Sheet'!$N$35="","",'Final Calculation Sheet'!$N$35)</f>
        <v/>
      </c>
      <c r="AM20" s="416">
        <f>SUM(B20:AL20)</f>
        <v/>
      </c>
    </row>
    <row r="21" outlineLevel="1" ht="15" customHeight="1">
      <c r="A21" s="69" t="inlineStr">
        <is>
          <t xml:space="preserve">      Net Service Charge (₹)</t>
        </is>
      </c>
      <c r="B21" s="78">
        <f>IF('Final Calculation Sheet'!$O$4="","",'Final Calculation Sheet'!$O$4)</f>
        <v/>
      </c>
      <c r="C21" s="415">
        <f>IF('Final Calculation Sheet'!$O$6="","",'Final Calculation Sheet'!$O$6)</f>
        <v/>
      </c>
      <c r="D21" s="78">
        <f>IF('Final Calculation Sheet'!$O$7="","",'Final Calculation Sheet'!$O$7)</f>
        <v/>
      </c>
      <c r="E21" s="415">
        <f>IF('Final Calculation Sheet'!$O$15="","",'Final Calculation Sheet'!$O$15)</f>
        <v/>
      </c>
      <c r="F21" s="78">
        <f>IF('Final Calculation Sheet'!$O$38="","",'Final Calculation Sheet'!$O$38)</f>
        <v/>
      </c>
      <c r="G21" s="415">
        <f>IF('Final Calculation Sheet'!$O$27="","",'Final Calculation Sheet'!$O$27)</f>
        <v/>
      </c>
      <c r="H21" s="78">
        <f>IF('Final Calculation Sheet'!$O$5="","",'Final Calculation Sheet'!$O$5)</f>
        <v/>
      </c>
      <c r="I21" s="415">
        <f>IF('Final Calculation Sheet'!$O$10="","",'Final Calculation Sheet'!$O$10)</f>
        <v/>
      </c>
      <c r="J21" s="78">
        <f>IF('Final Calculation Sheet'!$O$11="","",'Final Calculation Sheet'!$O$11)</f>
        <v/>
      </c>
      <c r="K21" s="415">
        <f>IF('Final Calculation Sheet'!$O$12="","",'Final Calculation Sheet'!$O$12)</f>
        <v/>
      </c>
      <c r="L21" s="78">
        <f>IF('Final Calculation Sheet'!$O$18="","",'Final Calculation Sheet'!$O$18)</f>
        <v/>
      </c>
      <c r="M21" s="415">
        <f>IF('Final Calculation Sheet'!$O$19="","",'Final Calculation Sheet'!$O$19)</f>
        <v/>
      </c>
      <c r="N21" s="78">
        <f>IF('Final Calculation Sheet'!$O$22="","",'Final Calculation Sheet'!$O$22)</f>
        <v/>
      </c>
      <c r="O21" s="415">
        <f>IF('Final Calculation Sheet'!$O$24="","",'Final Calculation Sheet'!$O$24)</f>
        <v/>
      </c>
      <c r="P21" s="78">
        <f>IF('Final Calculation Sheet'!$O$26="","",'Final Calculation Sheet'!$O$26)</f>
        <v/>
      </c>
      <c r="Q21" s="415">
        <f>IF('Final Calculation Sheet'!$O$30="","",'Final Calculation Sheet'!$O$30)</f>
        <v/>
      </c>
      <c r="R21" s="78">
        <f>IF('Final Calculation Sheet'!$O$32="","",'Final Calculation Sheet'!$O$32)</f>
        <v/>
      </c>
      <c r="S21" s="415">
        <f>IF('Final Calculation Sheet'!$O$33="","",'Final Calculation Sheet'!$O$33)</f>
        <v/>
      </c>
      <c r="T21" s="78">
        <f>IF('Final Calculation Sheet'!$O$37="","",'Final Calculation Sheet'!$O$37)</f>
        <v/>
      </c>
      <c r="U21" s="415">
        <f>IF('Final Calculation Sheet'!$O$21="","",'Final Calculation Sheet'!$O$21)</f>
        <v/>
      </c>
      <c r="V21" s="78">
        <f>IF('Final Calculation Sheet'!$O$8="","",'Final Calculation Sheet'!$O$8)</f>
        <v/>
      </c>
      <c r="W21" s="415">
        <f>IF('Final Calculation Sheet'!$O$20="","",'Final Calculation Sheet'!$O$20)</f>
        <v/>
      </c>
      <c r="X21" s="78">
        <f>IF('Final Calculation Sheet'!$O$39="","",'Final Calculation Sheet'!$O$39)</f>
        <v/>
      </c>
      <c r="Y21" s="415">
        <f>IF('Final Calculation Sheet'!$O$40="","",'Final Calculation Sheet'!$O$40)</f>
        <v/>
      </c>
      <c r="Z21" s="78">
        <f>IF('Final Calculation Sheet'!$O$31="","",'Final Calculation Sheet'!$O$31)</f>
        <v/>
      </c>
      <c r="AA21" s="415">
        <f>IF('Final Calculation Sheet'!$O$9="","",'Final Calculation Sheet'!$O$9)</f>
        <v/>
      </c>
      <c r="AB21" s="78">
        <f>IF('Final Calculation Sheet'!$O$14="","",'Final Calculation Sheet'!$O$14)</f>
        <v/>
      </c>
      <c r="AC21" s="415">
        <f>IF('Final Calculation Sheet'!$O$13="","",'Final Calculation Sheet'!$O$13)</f>
        <v/>
      </c>
      <c r="AD21" s="78">
        <f>IF('Final Calculation Sheet'!$O$16="","",'Final Calculation Sheet'!$O$16)</f>
        <v/>
      </c>
      <c r="AE21" s="415">
        <f>IF('Final Calculation Sheet'!$O$17="","",'Final Calculation Sheet'!$O$17)</f>
        <v/>
      </c>
      <c r="AF21" s="78">
        <f>IF('Final Calculation Sheet'!$O$23="","",'Final Calculation Sheet'!$O$23)</f>
        <v/>
      </c>
      <c r="AG21" s="415">
        <f>IF('Final Calculation Sheet'!$O$29="","",'Final Calculation Sheet'!$O$29)</f>
        <v/>
      </c>
      <c r="AH21" s="78">
        <f>IF('Final Calculation Sheet'!$O$34="","",'Final Calculation Sheet'!$O$34)</f>
        <v/>
      </c>
      <c r="AI21" s="415">
        <f>IF('Final Calculation Sheet'!$O$36="","",'Final Calculation Sheet'!$O$36)</f>
        <v/>
      </c>
      <c r="AJ21" s="78">
        <f>IF('Final Calculation Sheet'!$O$25="","",'Final Calculation Sheet'!$O$25)</f>
        <v/>
      </c>
      <c r="AK21" s="415">
        <f>IF('Final Calculation Sheet'!$O$28="","",'Final Calculation Sheet'!$O$28)</f>
        <v/>
      </c>
      <c r="AL21" s="78">
        <f>IF('Final Calculation Sheet'!$O$35="","",'Final Calculation Sheet'!$O$35)</f>
        <v/>
      </c>
      <c r="AM21" s="416">
        <f>SUM(B21:AL21)</f>
        <v/>
      </c>
    </row>
    <row r="22" outlineLevel="1" ht="15" customHeight="1">
      <c r="A22" s="69" t="inlineStr">
        <is>
          <t xml:space="preserve">      Svc Charge to MSTC (₹)</t>
        </is>
      </c>
      <c r="B22" s="70">
        <f>IF('Final Calculation Sheet'!$P$4="","",'Final Calculation Sheet'!$P$4)</f>
        <v/>
      </c>
      <c r="C22" s="408">
        <f>IF('Final Calculation Sheet'!$P$6="","",'Final Calculation Sheet'!$P$6)</f>
        <v/>
      </c>
      <c r="D22" s="70">
        <f>IF('Final Calculation Sheet'!$P$7="","",'Final Calculation Sheet'!$P$7)</f>
        <v/>
      </c>
      <c r="E22" s="408">
        <f>IF('Final Calculation Sheet'!$P$15="","",'Final Calculation Sheet'!$P$15)</f>
        <v/>
      </c>
      <c r="F22" s="70">
        <f>IF('Final Calculation Sheet'!$P$38="","",'Final Calculation Sheet'!$P$38)</f>
        <v/>
      </c>
      <c r="G22" s="408">
        <f>IF('Final Calculation Sheet'!$P$27="","",'Final Calculation Sheet'!$P$27)</f>
        <v/>
      </c>
      <c r="H22" s="70">
        <f>IF('Final Calculation Sheet'!$P$5="","",'Final Calculation Sheet'!$P$5)</f>
        <v/>
      </c>
      <c r="I22" s="408">
        <f>IF('Final Calculation Sheet'!$P$10="","",'Final Calculation Sheet'!$P$10)</f>
        <v/>
      </c>
      <c r="J22" s="70">
        <f>IF('Final Calculation Sheet'!$P$11="","",'Final Calculation Sheet'!$P$11)</f>
        <v/>
      </c>
      <c r="K22" s="408">
        <f>IF('Final Calculation Sheet'!$P$12="","",'Final Calculation Sheet'!$P$12)</f>
        <v/>
      </c>
      <c r="L22" s="70">
        <f>IF('Final Calculation Sheet'!$P$18="","",'Final Calculation Sheet'!$P$18)</f>
        <v/>
      </c>
      <c r="M22" s="408">
        <f>IF('Final Calculation Sheet'!$P$19="","",'Final Calculation Sheet'!$P$19)</f>
        <v/>
      </c>
      <c r="N22" s="70">
        <f>IF('Final Calculation Sheet'!$P$22="","",'Final Calculation Sheet'!$P$22)</f>
        <v/>
      </c>
      <c r="O22" s="408">
        <f>IF('Final Calculation Sheet'!$P$24="","",'Final Calculation Sheet'!$P$24)</f>
        <v/>
      </c>
      <c r="P22" s="70">
        <f>IF('Final Calculation Sheet'!$P$26="","",'Final Calculation Sheet'!$P$26)</f>
        <v/>
      </c>
      <c r="Q22" s="408">
        <f>IF('Final Calculation Sheet'!$P$30="","",'Final Calculation Sheet'!$P$30)</f>
        <v/>
      </c>
      <c r="R22" s="70">
        <f>IF('Final Calculation Sheet'!$P$32="","",'Final Calculation Sheet'!$P$32)</f>
        <v/>
      </c>
      <c r="S22" s="408">
        <f>IF('Final Calculation Sheet'!$P$33="","",'Final Calculation Sheet'!$P$33)</f>
        <v/>
      </c>
      <c r="T22" s="70">
        <f>IF('Final Calculation Sheet'!$P$37="","",'Final Calculation Sheet'!$P$37)</f>
        <v/>
      </c>
      <c r="U22" s="408">
        <f>IF('Final Calculation Sheet'!$P$21="","",'Final Calculation Sheet'!$P$21)</f>
        <v/>
      </c>
      <c r="V22" s="70">
        <f>IF('Final Calculation Sheet'!$P$8="","",'Final Calculation Sheet'!$P$8)</f>
        <v/>
      </c>
      <c r="W22" s="408">
        <f>IF('Final Calculation Sheet'!$P$20="","",'Final Calculation Sheet'!$P$20)</f>
        <v/>
      </c>
      <c r="X22" s="70">
        <f>IF('Final Calculation Sheet'!$P$39="","",'Final Calculation Sheet'!$P$39)</f>
        <v/>
      </c>
      <c r="Y22" s="408">
        <f>IF('Final Calculation Sheet'!$P$40="","",'Final Calculation Sheet'!$P$40)</f>
        <v/>
      </c>
      <c r="Z22" s="70">
        <f>IF('Final Calculation Sheet'!$P$31="","",'Final Calculation Sheet'!$P$31)</f>
        <v/>
      </c>
      <c r="AA22" s="408">
        <f>IF('Final Calculation Sheet'!$P$9="","",'Final Calculation Sheet'!$P$9)</f>
        <v/>
      </c>
      <c r="AB22" s="70">
        <f>IF('Final Calculation Sheet'!$P$14="","",'Final Calculation Sheet'!$P$14)</f>
        <v/>
      </c>
      <c r="AC22" s="408">
        <f>IF('Final Calculation Sheet'!$P$13="","",'Final Calculation Sheet'!$P$13)</f>
        <v/>
      </c>
      <c r="AD22" s="70">
        <f>IF('Final Calculation Sheet'!$P$16="","",'Final Calculation Sheet'!$P$16)</f>
        <v/>
      </c>
      <c r="AE22" s="408">
        <f>IF('Final Calculation Sheet'!$P$17="","",'Final Calculation Sheet'!$P$17)</f>
        <v/>
      </c>
      <c r="AF22" s="70">
        <f>IF('Final Calculation Sheet'!$P$23="","",'Final Calculation Sheet'!$P$23)</f>
        <v/>
      </c>
      <c r="AG22" s="408">
        <f>IF('Final Calculation Sheet'!$P$29="","",'Final Calculation Sheet'!$P$29)</f>
        <v/>
      </c>
      <c r="AH22" s="70">
        <f>IF('Final Calculation Sheet'!$P$34="","",'Final Calculation Sheet'!$P$34)</f>
        <v/>
      </c>
      <c r="AI22" s="408">
        <f>IF('Final Calculation Sheet'!$P$36="","",'Final Calculation Sheet'!$P$36)</f>
        <v/>
      </c>
      <c r="AJ22" s="70">
        <f>IF('Final Calculation Sheet'!$P$25="","",'Final Calculation Sheet'!$P$25)</f>
        <v/>
      </c>
      <c r="AK22" s="408">
        <f>IF('Final Calculation Sheet'!$P$28="","",'Final Calculation Sheet'!$P$28)</f>
        <v/>
      </c>
      <c r="AL22" s="70">
        <f>IF('Final Calculation Sheet'!$P$35="","",'Final Calculation Sheet'!$P$35)</f>
        <v/>
      </c>
      <c r="AM22" s="414">
        <f>SUM(B22:AL22)</f>
        <v/>
      </c>
    </row>
    <row r="23" outlineLevel="1" ht="15" customHeight="1">
      <c r="A23" s="69" t="inlineStr">
        <is>
          <t xml:space="preserve">      GST TDS Rate</t>
        </is>
      </c>
      <c r="B23" s="80">
        <f>IF('Final Calculation Sheet'!$Q$4="","",'Final Calculation Sheet'!$Q$4)</f>
        <v/>
      </c>
      <c r="C23" s="417">
        <f>IF('Final Calculation Sheet'!$Q$6="","",'Final Calculation Sheet'!$Q$6)</f>
        <v/>
      </c>
      <c r="D23" s="80">
        <f>IF('Final Calculation Sheet'!$Q$7="","",'Final Calculation Sheet'!$Q$7)</f>
        <v/>
      </c>
      <c r="E23" s="417">
        <f>IF('Final Calculation Sheet'!$Q$15="","",'Final Calculation Sheet'!$Q$15)</f>
        <v/>
      </c>
      <c r="F23" s="80">
        <f>IF('Final Calculation Sheet'!$Q$38="","",'Final Calculation Sheet'!$Q$38)</f>
        <v/>
      </c>
      <c r="G23" s="417">
        <f>IF('Final Calculation Sheet'!$Q$27="","",'Final Calculation Sheet'!$Q$27)</f>
        <v/>
      </c>
      <c r="H23" s="80">
        <f>IF('Final Calculation Sheet'!$Q$5="","",'Final Calculation Sheet'!$Q$5)</f>
        <v/>
      </c>
      <c r="I23" s="417">
        <f>IF('Final Calculation Sheet'!$Q$10="","",'Final Calculation Sheet'!$Q$10)</f>
        <v/>
      </c>
      <c r="J23" s="80">
        <f>IF('Final Calculation Sheet'!$Q$11="","",'Final Calculation Sheet'!$Q$11)</f>
        <v/>
      </c>
      <c r="K23" s="417">
        <f>IF('Final Calculation Sheet'!$Q$12="","",'Final Calculation Sheet'!$Q$12)</f>
        <v/>
      </c>
      <c r="L23" s="80">
        <f>IF('Final Calculation Sheet'!$Q$18="","",'Final Calculation Sheet'!$Q$18)</f>
        <v/>
      </c>
      <c r="M23" s="417">
        <f>IF('Final Calculation Sheet'!$Q$19="","",'Final Calculation Sheet'!$Q$19)</f>
        <v/>
      </c>
      <c r="N23" s="80">
        <f>IF('Final Calculation Sheet'!$Q$22="","",'Final Calculation Sheet'!$Q$22)</f>
        <v/>
      </c>
      <c r="O23" s="417">
        <f>IF('Final Calculation Sheet'!$Q$24="","",'Final Calculation Sheet'!$Q$24)</f>
        <v/>
      </c>
      <c r="P23" s="80">
        <f>IF('Final Calculation Sheet'!$Q$26="","",'Final Calculation Sheet'!$Q$26)</f>
        <v/>
      </c>
      <c r="Q23" s="417">
        <f>IF('Final Calculation Sheet'!$Q$30="","",'Final Calculation Sheet'!$Q$30)</f>
        <v/>
      </c>
      <c r="R23" s="80">
        <f>IF('Final Calculation Sheet'!$Q$32="","",'Final Calculation Sheet'!$Q$32)</f>
        <v/>
      </c>
      <c r="S23" s="417">
        <f>IF('Final Calculation Sheet'!$Q$33="","",'Final Calculation Sheet'!$Q$33)</f>
        <v/>
      </c>
      <c r="T23" s="80">
        <f>IF('Final Calculation Sheet'!$Q$37="","",'Final Calculation Sheet'!$Q$37)</f>
        <v/>
      </c>
      <c r="U23" s="417">
        <f>IF('Final Calculation Sheet'!$Q$21="","",'Final Calculation Sheet'!$Q$21)</f>
        <v/>
      </c>
      <c r="V23" s="80">
        <f>IF('Final Calculation Sheet'!$Q$8="","",'Final Calculation Sheet'!$Q$8)</f>
        <v/>
      </c>
      <c r="W23" s="417">
        <f>IF('Final Calculation Sheet'!$Q$20="","",'Final Calculation Sheet'!$Q$20)</f>
        <v/>
      </c>
      <c r="X23" s="80">
        <f>IF('Final Calculation Sheet'!$Q$39="","",'Final Calculation Sheet'!$Q$39)</f>
        <v/>
      </c>
      <c r="Y23" s="417">
        <f>IF('Final Calculation Sheet'!$Q$40="","",'Final Calculation Sheet'!$Q$40)</f>
        <v/>
      </c>
      <c r="Z23" s="80">
        <f>IF('Final Calculation Sheet'!$Q$31="","",'Final Calculation Sheet'!$Q$31)</f>
        <v/>
      </c>
      <c r="AA23" s="417">
        <f>IF('Final Calculation Sheet'!$Q$9="","",'Final Calculation Sheet'!$Q$9)</f>
        <v/>
      </c>
      <c r="AB23" s="80">
        <f>IF('Final Calculation Sheet'!$Q$14="","",'Final Calculation Sheet'!$Q$14)</f>
        <v/>
      </c>
      <c r="AC23" s="417">
        <f>IF('Final Calculation Sheet'!$Q$13="","",'Final Calculation Sheet'!$Q$13)</f>
        <v/>
      </c>
      <c r="AD23" s="80">
        <f>IF('Final Calculation Sheet'!$Q$16="","",'Final Calculation Sheet'!$Q$16)</f>
        <v/>
      </c>
      <c r="AE23" s="417">
        <f>IF('Final Calculation Sheet'!$Q$17="","",'Final Calculation Sheet'!$Q$17)</f>
        <v/>
      </c>
      <c r="AF23" s="80">
        <f>IF('Final Calculation Sheet'!$Q$23="","",'Final Calculation Sheet'!$Q$23)</f>
        <v/>
      </c>
      <c r="AG23" s="417">
        <f>IF('Final Calculation Sheet'!$Q$29="","",'Final Calculation Sheet'!$Q$29)</f>
        <v/>
      </c>
      <c r="AH23" s="80">
        <f>IF('Final Calculation Sheet'!$Q$34="","",'Final Calculation Sheet'!$Q$34)</f>
        <v/>
      </c>
      <c r="AI23" s="417">
        <f>IF('Final Calculation Sheet'!$Q$36="","",'Final Calculation Sheet'!$Q$36)</f>
        <v/>
      </c>
      <c r="AJ23" s="80">
        <f>IF('Final Calculation Sheet'!$Q$25="","",'Final Calculation Sheet'!$Q$25)</f>
        <v/>
      </c>
      <c r="AK23" s="417">
        <f>IF('Final Calculation Sheet'!$Q$28="","",'Final Calculation Sheet'!$Q$28)</f>
        <v/>
      </c>
      <c r="AL23" s="80">
        <f>IF('Final Calculation Sheet'!$Q$35="","",'Final Calculation Sheet'!$Q$35)</f>
        <v/>
      </c>
      <c r="AM23" s="72" t="inlineStr">
        <is>
          <t>–</t>
        </is>
      </c>
    </row>
    <row r="24" outlineLevel="1" ht="15" customHeight="1">
      <c r="A24" s="69" t="inlineStr">
        <is>
          <t xml:space="preserve">      GST TDS (₹)</t>
        </is>
      </c>
      <c r="B24" s="70">
        <f>IF('Final Calculation Sheet'!$R$4="","",'Final Calculation Sheet'!$R$4)</f>
        <v/>
      </c>
      <c r="C24" s="408">
        <f>IF('Final Calculation Sheet'!$R$6="","",'Final Calculation Sheet'!$R$6)</f>
        <v/>
      </c>
      <c r="D24" s="70">
        <f>IF('Final Calculation Sheet'!$R$7="","",'Final Calculation Sheet'!$R$7)</f>
        <v/>
      </c>
      <c r="E24" s="408">
        <f>IF('Final Calculation Sheet'!$R$15="","",'Final Calculation Sheet'!$R$15)</f>
        <v/>
      </c>
      <c r="F24" s="70">
        <f>IF('Final Calculation Sheet'!$R$38="","",'Final Calculation Sheet'!$R$38)</f>
        <v/>
      </c>
      <c r="G24" s="408">
        <f>IF('Final Calculation Sheet'!$R$27="","",'Final Calculation Sheet'!$R$27)</f>
        <v/>
      </c>
      <c r="H24" s="70">
        <f>IF('Final Calculation Sheet'!$R$5="","",'Final Calculation Sheet'!$R$5)</f>
        <v/>
      </c>
      <c r="I24" s="408">
        <f>IF('Final Calculation Sheet'!$R$10="","",'Final Calculation Sheet'!$R$10)</f>
        <v/>
      </c>
      <c r="J24" s="70">
        <f>IF('Final Calculation Sheet'!$R$11="","",'Final Calculation Sheet'!$R$11)</f>
        <v/>
      </c>
      <c r="K24" s="408">
        <f>IF('Final Calculation Sheet'!$R$12="","",'Final Calculation Sheet'!$R$12)</f>
        <v/>
      </c>
      <c r="L24" s="70">
        <f>IF('Final Calculation Sheet'!$R$18="","",'Final Calculation Sheet'!$R$18)</f>
        <v/>
      </c>
      <c r="M24" s="408">
        <f>IF('Final Calculation Sheet'!$R$19="","",'Final Calculation Sheet'!$R$19)</f>
        <v/>
      </c>
      <c r="N24" s="70">
        <f>IF('Final Calculation Sheet'!$R$22="","",'Final Calculation Sheet'!$R$22)</f>
        <v/>
      </c>
      <c r="O24" s="408">
        <f>IF('Final Calculation Sheet'!$R$24="","",'Final Calculation Sheet'!$R$24)</f>
        <v/>
      </c>
      <c r="P24" s="70">
        <f>IF('Final Calculation Sheet'!$R$26="","",'Final Calculation Sheet'!$R$26)</f>
        <v/>
      </c>
      <c r="Q24" s="408">
        <f>IF('Final Calculation Sheet'!$R$30="","",'Final Calculation Sheet'!$R$30)</f>
        <v/>
      </c>
      <c r="R24" s="70">
        <f>IF('Final Calculation Sheet'!$R$32="","",'Final Calculation Sheet'!$R$32)</f>
        <v/>
      </c>
      <c r="S24" s="408">
        <f>IF('Final Calculation Sheet'!$R$33="","",'Final Calculation Sheet'!$R$33)</f>
        <v/>
      </c>
      <c r="T24" s="70">
        <f>IF('Final Calculation Sheet'!$R$37="","",'Final Calculation Sheet'!$R$37)</f>
        <v/>
      </c>
      <c r="U24" s="408">
        <f>IF('Final Calculation Sheet'!$R$21="","",'Final Calculation Sheet'!$R$21)</f>
        <v/>
      </c>
      <c r="V24" s="70">
        <f>IF('Final Calculation Sheet'!$R$8="","",'Final Calculation Sheet'!$R$8)</f>
        <v/>
      </c>
      <c r="W24" s="408">
        <f>IF('Final Calculation Sheet'!$R$20="","",'Final Calculation Sheet'!$R$20)</f>
        <v/>
      </c>
      <c r="X24" s="70">
        <f>IF('Final Calculation Sheet'!$R$39="","",'Final Calculation Sheet'!$R$39)</f>
        <v/>
      </c>
      <c r="Y24" s="408">
        <f>IF('Final Calculation Sheet'!$R$40="","",'Final Calculation Sheet'!$R$40)</f>
        <v/>
      </c>
      <c r="Z24" s="70">
        <f>IF('Final Calculation Sheet'!$R$31="","",'Final Calculation Sheet'!$R$31)</f>
        <v/>
      </c>
      <c r="AA24" s="408">
        <f>IF('Final Calculation Sheet'!$R$9="","",'Final Calculation Sheet'!$R$9)</f>
        <v/>
      </c>
      <c r="AB24" s="70">
        <f>IF('Final Calculation Sheet'!$R$14="","",'Final Calculation Sheet'!$R$14)</f>
        <v/>
      </c>
      <c r="AC24" s="408">
        <f>IF('Final Calculation Sheet'!$R$13="","",'Final Calculation Sheet'!$R$13)</f>
        <v/>
      </c>
      <c r="AD24" s="70">
        <f>IF('Final Calculation Sheet'!$R$16="","",'Final Calculation Sheet'!$R$16)</f>
        <v/>
      </c>
      <c r="AE24" s="408">
        <f>IF('Final Calculation Sheet'!$R$17="","",'Final Calculation Sheet'!$R$17)</f>
        <v/>
      </c>
      <c r="AF24" s="70">
        <f>IF('Final Calculation Sheet'!$R$23="","",'Final Calculation Sheet'!$R$23)</f>
        <v/>
      </c>
      <c r="AG24" s="408">
        <f>IF('Final Calculation Sheet'!$R$29="","",'Final Calculation Sheet'!$R$29)</f>
        <v/>
      </c>
      <c r="AH24" s="70">
        <f>IF('Final Calculation Sheet'!$R$34="","",'Final Calculation Sheet'!$R$34)</f>
        <v/>
      </c>
      <c r="AI24" s="408">
        <f>IF('Final Calculation Sheet'!$R$36="","",'Final Calculation Sheet'!$R$36)</f>
        <v/>
      </c>
      <c r="AJ24" s="70">
        <f>IF('Final Calculation Sheet'!$R$25="","",'Final Calculation Sheet'!$R$25)</f>
        <v/>
      </c>
      <c r="AK24" s="408">
        <f>IF('Final Calculation Sheet'!$R$28="","",'Final Calculation Sheet'!$R$28)</f>
        <v/>
      </c>
      <c r="AL24" s="70">
        <f>IF('Final Calculation Sheet'!$R$35="","",'Final Calculation Sheet'!$R$35)</f>
        <v/>
      </c>
      <c r="AM24" s="414">
        <f>SUM(B24:AL24)</f>
        <v/>
      </c>
    </row>
    <row r="25" outlineLevel="1" ht="15" customHeight="1">
      <c r="A25" s="69" t="inlineStr">
        <is>
          <t xml:space="preserve">      Total Receivables (₹)</t>
        </is>
      </c>
      <c r="B25" s="70">
        <f>IF('Final Calculation Sheet'!$S$4="","",'Final Calculation Sheet'!$S$4)</f>
        <v/>
      </c>
      <c r="C25" s="408">
        <f>IF('Final Calculation Sheet'!$S$6="","",'Final Calculation Sheet'!$S$6)</f>
        <v/>
      </c>
      <c r="D25" s="70">
        <f>IF('Final Calculation Sheet'!$S$7="","",'Final Calculation Sheet'!$S$7)</f>
        <v/>
      </c>
      <c r="E25" s="408">
        <f>IF('Final Calculation Sheet'!$S$15="","",'Final Calculation Sheet'!$S$15)</f>
        <v/>
      </c>
      <c r="F25" s="70">
        <f>IF('Final Calculation Sheet'!$S$38="","",'Final Calculation Sheet'!$S$38)</f>
        <v/>
      </c>
      <c r="G25" s="408">
        <f>IF('Final Calculation Sheet'!$S$27="","",'Final Calculation Sheet'!$S$27)</f>
        <v/>
      </c>
      <c r="H25" s="70">
        <f>IF('Final Calculation Sheet'!$S$5="","",'Final Calculation Sheet'!$S$5)</f>
        <v/>
      </c>
      <c r="I25" s="408">
        <f>IF('Final Calculation Sheet'!$S$10="","",'Final Calculation Sheet'!$S$10)</f>
        <v/>
      </c>
      <c r="J25" s="70">
        <f>IF('Final Calculation Sheet'!$S$11="","",'Final Calculation Sheet'!$S$11)</f>
        <v/>
      </c>
      <c r="K25" s="408">
        <f>IF('Final Calculation Sheet'!$S$12="","",'Final Calculation Sheet'!$S$12)</f>
        <v/>
      </c>
      <c r="L25" s="70">
        <f>IF('Final Calculation Sheet'!$S$18="","",'Final Calculation Sheet'!$S$18)</f>
        <v/>
      </c>
      <c r="M25" s="408">
        <f>IF('Final Calculation Sheet'!$S$19="","",'Final Calculation Sheet'!$S$19)</f>
        <v/>
      </c>
      <c r="N25" s="70">
        <f>IF('Final Calculation Sheet'!$S$22="","",'Final Calculation Sheet'!$S$22)</f>
        <v/>
      </c>
      <c r="O25" s="408">
        <f>IF('Final Calculation Sheet'!$S$24="","",'Final Calculation Sheet'!$S$24)</f>
        <v/>
      </c>
      <c r="P25" s="70">
        <f>IF('Final Calculation Sheet'!$S$26="","",'Final Calculation Sheet'!$S$26)</f>
        <v/>
      </c>
      <c r="Q25" s="408">
        <f>IF('Final Calculation Sheet'!$S$30="","",'Final Calculation Sheet'!$S$30)</f>
        <v/>
      </c>
      <c r="R25" s="70">
        <f>IF('Final Calculation Sheet'!$S$32="","",'Final Calculation Sheet'!$S$32)</f>
        <v/>
      </c>
      <c r="S25" s="408">
        <f>IF('Final Calculation Sheet'!$S$33="","",'Final Calculation Sheet'!$S$33)</f>
        <v/>
      </c>
      <c r="T25" s="70">
        <f>IF('Final Calculation Sheet'!$S$37="","",'Final Calculation Sheet'!$S$37)</f>
        <v/>
      </c>
      <c r="U25" s="408">
        <f>IF('Final Calculation Sheet'!$S$21="","",'Final Calculation Sheet'!$S$21)</f>
        <v/>
      </c>
      <c r="V25" s="70">
        <f>IF('Final Calculation Sheet'!$S$8="","",'Final Calculation Sheet'!$S$8)</f>
        <v/>
      </c>
      <c r="W25" s="408">
        <f>IF('Final Calculation Sheet'!$S$20="","",'Final Calculation Sheet'!$S$20)</f>
        <v/>
      </c>
      <c r="X25" s="70">
        <f>IF('Final Calculation Sheet'!$S$39="","",'Final Calculation Sheet'!$S$39)</f>
        <v/>
      </c>
      <c r="Y25" s="408">
        <f>IF('Final Calculation Sheet'!$S$40="","",'Final Calculation Sheet'!$S$40)</f>
        <v/>
      </c>
      <c r="Z25" s="70">
        <f>IF('Final Calculation Sheet'!$S$31="","",'Final Calculation Sheet'!$S$31)</f>
        <v/>
      </c>
      <c r="AA25" s="408">
        <f>IF('Final Calculation Sheet'!$S$9="","",'Final Calculation Sheet'!$S$9)</f>
        <v/>
      </c>
      <c r="AB25" s="70">
        <f>IF('Final Calculation Sheet'!$S$14="","",'Final Calculation Sheet'!$S$14)</f>
        <v/>
      </c>
      <c r="AC25" s="408">
        <f>IF('Final Calculation Sheet'!$S$13="","",'Final Calculation Sheet'!$S$13)</f>
        <v/>
      </c>
      <c r="AD25" s="70">
        <f>IF('Final Calculation Sheet'!$S$16="","",'Final Calculation Sheet'!$S$16)</f>
        <v/>
      </c>
      <c r="AE25" s="408">
        <f>IF('Final Calculation Sheet'!$S$17="","",'Final Calculation Sheet'!$S$17)</f>
        <v/>
      </c>
      <c r="AF25" s="70">
        <f>IF('Final Calculation Sheet'!$S$23="","",'Final Calculation Sheet'!$S$23)</f>
        <v/>
      </c>
      <c r="AG25" s="408">
        <f>IF('Final Calculation Sheet'!$S$29="","",'Final Calculation Sheet'!$S$29)</f>
        <v/>
      </c>
      <c r="AH25" s="70">
        <f>IF('Final Calculation Sheet'!$S$34="","",'Final Calculation Sheet'!$S$34)</f>
        <v/>
      </c>
      <c r="AI25" s="408">
        <f>IF('Final Calculation Sheet'!$S$36="","",'Final Calculation Sheet'!$S$36)</f>
        <v/>
      </c>
      <c r="AJ25" s="70">
        <f>IF('Final Calculation Sheet'!$S$25="","",'Final Calculation Sheet'!$S$25)</f>
        <v/>
      </c>
      <c r="AK25" s="408">
        <f>IF('Final Calculation Sheet'!$S$28="","",'Final Calculation Sheet'!$S$28)</f>
        <v/>
      </c>
      <c r="AL25" s="70">
        <f>IF('Final Calculation Sheet'!$S$35="","",'Final Calculation Sheet'!$S$35)</f>
        <v/>
      </c>
      <c r="AM25" s="414">
        <f>SUM(B25:AL25)</f>
        <v/>
      </c>
    </row>
    <row r="26" ht="17" customHeight="1">
      <c r="A26" s="418" t="inlineStr">
        <is>
          <t xml:space="preserve">  ▸ SECURITY DEPOSIT</t>
        </is>
      </c>
      <c r="B26" s="386" t="n"/>
      <c r="C26" s="386" t="n"/>
      <c r="D26" s="386" t="n"/>
      <c r="E26" s="386" t="n"/>
      <c r="F26" s="386" t="n"/>
      <c r="G26" s="386" t="n"/>
      <c r="H26" s="386" t="n"/>
      <c r="I26" s="386" t="n"/>
      <c r="J26" s="386" t="n"/>
      <c r="K26" s="386" t="n"/>
      <c r="L26" s="386" t="n"/>
      <c r="M26" s="386" t="n"/>
      <c r="N26" s="386" t="n"/>
      <c r="O26" s="386" t="n"/>
      <c r="P26" s="386" t="n"/>
      <c r="Q26" s="386" t="n"/>
      <c r="R26" s="386" t="n"/>
      <c r="S26" s="386" t="n"/>
      <c r="T26" s="386" t="n"/>
      <c r="U26" s="386" t="n"/>
      <c r="V26" s="386" t="n"/>
      <c r="W26" s="386" t="n"/>
      <c r="X26" s="386" t="n"/>
      <c r="Y26" s="386" t="n"/>
      <c r="Z26" s="386" t="n"/>
      <c r="AA26" s="386" t="n"/>
      <c r="AB26" s="386" t="n"/>
      <c r="AC26" s="386" t="n"/>
      <c r="AD26" s="386" t="n"/>
      <c r="AE26" s="386" t="n"/>
      <c r="AF26" s="386" t="n"/>
      <c r="AG26" s="386" t="n"/>
      <c r="AH26" s="386" t="n"/>
      <c r="AI26" s="386" t="n"/>
      <c r="AJ26" s="386" t="n"/>
      <c r="AK26" s="386" t="n"/>
      <c r="AL26" s="386" t="n"/>
      <c r="AM26" s="386" t="n"/>
    </row>
    <row r="27" outlineLevel="1" ht="15" customHeight="1">
      <c r="A27" s="69" t="inlineStr">
        <is>
          <t xml:space="preserve">      SD Expected (₹)</t>
        </is>
      </c>
      <c r="B27" s="70">
        <f>IF('Final Calculation Sheet'!$T$4="","",'Final Calculation Sheet'!$T$4)</f>
        <v/>
      </c>
      <c r="C27" s="408">
        <f>IF('Final Calculation Sheet'!$T$6="","",'Final Calculation Sheet'!$T$6)</f>
        <v/>
      </c>
      <c r="D27" s="70">
        <f>IF('Final Calculation Sheet'!$T$7="","",'Final Calculation Sheet'!$T$7)</f>
        <v/>
      </c>
      <c r="E27" s="408">
        <f>IF('Final Calculation Sheet'!$T$15="","",'Final Calculation Sheet'!$T$15)</f>
        <v/>
      </c>
      <c r="F27" s="70">
        <f>IF('Final Calculation Sheet'!$T$38="","",'Final Calculation Sheet'!$T$38)</f>
        <v/>
      </c>
      <c r="G27" s="408">
        <f>IF('Final Calculation Sheet'!$T$27="","",'Final Calculation Sheet'!$T$27)</f>
        <v/>
      </c>
      <c r="H27" s="70">
        <f>IF('Final Calculation Sheet'!$T$5="","",'Final Calculation Sheet'!$T$5)</f>
        <v/>
      </c>
      <c r="I27" s="408">
        <f>IF('Final Calculation Sheet'!$T$10="","",'Final Calculation Sheet'!$T$10)</f>
        <v/>
      </c>
      <c r="J27" s="70">
        <f>IF('Final Calculation Sheet'!$T$11="","",'Final Calculation Sheet'!$T$11)</f>
        <v/>
      </c>
      <c r="K27" s="408">
        <f>IF('Final Calculation Sheet'!$T$12="","",'Final Calculation Sheet'!$T$12)</f>
        <v/>
      </c>
      <c r="L27" s="70">
        <f>IF('Final Calculation Sheet'!$T$18="","",'Final Calculation Sheet'!$T$18)</f>
        <v/>
      </c>
      <c r="M27" s="408">
        <f>IF('Final Calculation Sheet'!$T$19="","",'Final Calculation Sheet'!$T$19)</f>
        <v/>
      </c>
      <c r="N27" s="70">
        <f>IF('Final Calculation Sheet'!$T$22="","",'Final Calculation Sheet'!$T$22)</f>
        <v/>
      </c>
      <c r="O27" s="408">
        <f>IF('Final Calculation Sheet'!$T$24="","",'Final Calculation Sheet'!$T$24)</f>
        <v/>
      </c>
      <c r="P27" s="70">
        <f>IF('Final Calculation Sheet'!$T$26="","",'Final Calculation Sheet'!$T$26)</f>
        <v/>
      </c>
      <c r="Q27" s="408">
        <f>IF('Final Calculation Sheet'!$T$30="","",'Final Calculation Sheet'!$T$30)</f>
        <v/>
      </c>
      <c r="R27" s="70">
        <f>IF('Final Calculation Sheet'!$T$32="","",'Final Calculation Sheet'!$T$32)</f>
        <v/>
      </c>
      <c r="S27" s="408">
        <f>IF('Final Calculation Sheet'!$T$33="","",'Final Calculation Sheet'!$T$33)</f>
        <v/>
      </c>
      <c r="T27" s="70">
        <f>IF('Final Calculation Sheet'!$T$37="","",'Final Calculation Sheet'!$T$37)</f>
        <v/>
      </c>
      <c r="U27" s="408">
        <f>IF('Final Calculation Sheet'!$T$21="","",'Final Calculation Sheet'!$T$21)</f>
        <v/>
      </c>
      <c r="V27" s="70">
        <f>IF('Final Calculation Sheet'!$T$8="","",'Final Calculation Sheet'!$T$8)</f>
        <v/>
      </c>
      <c r="W27" s="408">
        <f>IF('Final Calculation Sheet'!$T$20="","",'Final Calculation Sheet'!$T$20)</f>
        <v/>
      </c>
      <c r="X27" s="70">
        <f>IF('Final Calculation Sheet'!$T$39="","",'Final Calculation Sheet'!$T$39)</f>
        <v/>
      </c>
      <c r="Y27" s="408">
        <f>IF('Final Calculation Sheet'!$T$40="","",'Final Calculation Sheet'!$T$40)</f>
        <v/>
      </c>
      <c r="Z27" s="70">
        <f>IF('Final Calculation Sheet'!$T$31="","",'Final Calculation Sheet'!$T$31)</f>
        <v/>
      </c>
      <c r="AA27" s="408">
        <f>IF('Final Calculation Sheet'!$T$9="","",'Final Calculation Sheet'!$T$9)</f>
        <v/>
      </c>
      <c r="AB27" s="70">
        <f>IF('Final Calculation Sheet'!$T$14="","",'Final Calculation Sheet'!$T$14)</f>
        <v/>
      </c>
      <c r="AC27" s="408">
        <f>IF('Final Calculation Sheet'!$T$13="","",'Final Calculation Sheet'!$T$13)</f>
        <v/>
      </c>
      <c r="AD27" s="70">
        <f>IF('Final Calculation Sheet'!$T$16="","",'Final Calculation Sheet'!$T$16)</f>
        <v/>
      </c>
      <c r="AE27" s="408">
        <f>IF('Final Calculation Sheet'!$T$17="","",'Final Calculation Sheet'!$T$17)</f>
        <v/>
      </c>
      <c r="AF27" s="70">
        <f>IF('Final Calculation Sheet'!$T$23="","",'Final Calculation Sheet'!$T$23)</f>
        <v/>
      </c>
      <c r="AG27" s="408">
        <f>IF('Final Calculation Sheet'!$T$29="","",'Final Calculation Sheet'!$T$29)</f>
        <v/>
      </c>
      <c r="AH27" s="70">
        <f>IF('Final Calculation Sheet'!$T$34="","",'Final Calculation Sheet'!$T$34)</f>
        <v/>
      </c>
      <c r="AI27" s="408">
        <f>IF('Final Calculation Sheet'!$T$36="","",'Final Calculation Sheet'!$T$36)</f>
        <v/>
      </c>
      <c r="AJ27" s="70">
        <f>IF('Final Calculation Sheet'!$T$25="","",'Final Calculation Sheet'!$T$25)</f>
        <v/>
      </c>
      <c r="AK27" s="408">
        <f>IF('Final Calculation Sheet'!$T$28="","",'Final Calculation Sheet'!$T$28)</f>
        <v/>
      </c>
      <c r="AL27" s="70">
        <f>IF('Final Calculation Sheet'!$T$35="","",'Final Calculation Sheet'!$T$35)</f>
        <v/>
      </c>
      <c r="AM27" s="414">
        <f>SUM(B27:AL27)</f>
        <v/>
      </c>
    </row>
    <row r="28" outlineLevel="1" ht="15" customHeight="1">
      <c r="A28" s="69" t="inlineStr">
        <is>
          <t xml:space="preserve">      SD Received (₹)</t>
        </is>
      </c>
      <c r="B28" s="70">
        <f>IF('Final Calculation Sheet'!$U$4="","",'Final Calculation Sheet'!$U$4)</f>
        <v/>
      </c>
      <c r="C28" s="408">
        <f>IF('Final Calculation Sheet'!$U$6="","",'Final Calculation Sheet'!$U$6)</f>
        <v/>
      </c>
      <c r="D28" s="70">
        <f>IF('Final Calculation Sheet'!$U$7="","",'Final Calculation Sheet'!$U$7)</f>
        <v/>
      </c>
      <c r="E28" s="408">
        <f>IF('Final Calculation Sheet'!$U$15="","",'Final Calculation Sheet'!$U$15)</f>
        <v/>
      </c>
      <c r="F28" s="70">
        <f>IF('Final Calculation Sheet'!$U$38="","",'Final Calculation Sheet'!$U$38)</f>
        <v/>
      </c>
      <c r="G28" s="408">
        <f>IF('Final Calculation Sheet'!$U$27="","",'Final Calculation Sheet'!$U$27)</f>
        <v/>
      </c>
      <c r="H28" s="70">
        <f>IF('Final Calculation Sheet'!$U$5="","",'Final Calculation Sheet'!$U$5)</f>
        <v/>
      </c>
      <c r="I28" s="408">
        <f>IF('Final Calculation Sheet'!$U$10="","",'Final Calculation Sheet'!$U$10)</f>
        <v/>
      </c>
      <c r="J28" s="70">
        <f>IF('Final Calculation Sheet'!$U$11="","",'Final Calculation Sheet'!$U$11)</f>
        <v/>
      </c>
      <c r="K28" s="408">
        <f>IF('Final Calculation Sheet'!$U$12="","",'Final Calculation Sheet'!$U$12)</f>
        <v/>
      </c>
      <c r="L28" s="70">
        <f>IF('Final Calculation Sheet'!$U$18="","",'Final Calculation Sheet'!$U$18)</f>
        <v/>
      </c>
      <c r="M28" s="408">
        <f>IF('Final Calculation Sheet'!$U$19="","",'Final Calculation Sheet'!$U$19)</f>
        <v/>
      </c>
      <c r="N28" s="70">
        <f>IF('Final Calculation Sheet'!$U$22="","",'Final Calculation Sheet'!$U$22)</f>
        <v/>
      </c>
      <c r="O28" s="408">
        <f>IF('Final Calculation Sheet'!$U$24="","",'Final Calculation Sheet'!$U$24)</f>
        <v/>
      </c>
      <c r="P28" s="70">
        <f>IF('Final Calculation Sheet'!$U$26="","",'Final Calculation Sheet'!$U$26)</f>
        <v/>
      </c>
      <c r="Q28" s="408">
        <f>IF('Final Calculation Sheet'!$U$30="","",'Final Calculation Sheet'!$U$30)</f>
        <v/>
      </c>
      <c r="R28" s="70">
        <f>IF('Final Calculation Sheet'!$U$32="","",'Final Calculation Sheet'!$U$32)</f>
        <v/>
      </c>
      <c r="S28" s="408">
        <f>IF('Final Calculation Sheet'!$U$33="","",'Final Calculation Sheet'!$U$33)</f>
        <v/>
      </c>
      <c r="T28" s="70">
        <f>IF('Final Calculation Sheet'!$U$37="","",'Final Calculation Sheet'!$U$37)</f>
        <v/>
      </c>
      <c r="U28" s="408">
        <f>IF('Final Calculation Sheet'!$U$21="","",'Final Calculation Sheet'!$U$21)</f>
        <v/>
      </c>
      <c r="V28" s="70">
        <f>IF('Final Calculation Sheet'!$U$8="","",'Final Calculation Sheet'!$U$8)</f>
        <v/>
      </c>
      <c r="W28" s="408">
        <f>IF('Final Calculation Sheet'!$U$20="","",'Final Calculation Sheet'!$U$20)</f>
        <v/>
      </c>
      <c r="X28" s="70">
        <f>IF('Final Calculation Sheet'!$U$39="","",'Final Calculation Sheet'!$U$39)</f>
        <v/>
      </c>
      <c r="Y28" s="408">
        <f>IF('Final Calculation Sheet'!$U$40="","",'Final Calculation Sheet'!$U$40)</f>
        <v/>
      </c>
      <c r="Z28" s="70">
        <f>IF('Final Calculation Sheet'!$U$31="","",'Final Calculation Sheet'!$U$31)</f>
        <v/>
      </c>
      <c r="AA28" s="408">
        <f>IF('Final Calculation Sheet'!$U$9="","",'Final Calculation Sheet'!$U$9)</f>
        <v/>
      </c>
      <c r="AB28" s="70">
        <f>IF('Final Calculation Sheet'!$U$14="","",'Final Calculation Sheet'!$U$14)</f>
        <v/>
      </c>
      <c r="AC28" s="408">
        <f>IF('Final Calculation Sheet'!$U$13="","",'Final Calculation Sheet'!$U$13)</f>
        <v/>
      </c>
      <c r="AD28" s="70">
        <f>IF('Final Calculation Sheet'!$U$16="","",'Final Calculation Sheet'!$U$16)</f>
        <v/>
      </c>
      <c r="AE28" s="408">
        <f>IF('Final Calculation Sheet'!$U$17="","",'Final Calculation Sheet'!$U$17)</f>
        <v/>
      </c>
      <c r="AF28" s="70">
        <f>IF('Final Calculation Sheet'!$U$23="","",'Final Calculation Sheet'!$U$23)</f>
        <v/>
      </c>
      <c r="AG28" s="408">
        <f>IF('Final Calculation Sheet'!$U$29="","",'Final Calculation Sheet'!$U$29)</f>
        <v/>
      </c>
      <c r="AH28" s="70">
        <f>IF('Final Calculation Sheet'!$U$34="","",'Final Calculation Sheet'!$U$34)</f>
        <v/>
      </c>
      <c r="AI28" s="408">
        <f>IF('Final Calculation Sheet'!$U$36="","",'Final Calculation Sheet'!$U$36)</f>
        <v/>
      </c>
      <c r="AJ28" s="70">
        <f>IF('Final Calculation Sheet'!$U$25="","",'Final Calculation Sheet'!$U$25)</f>
        <v/>
      </c>
      <c r="AK28" s="408">
        <f>IF('Final Calculation Sheet'!$U$28="","",'Final Calculation Sheet'!$U$28)</f>
        <v/>
      </c>
      <c r="AL28" s="70">
        <f>IF('Final Calculation Sheet'!$U$35="","",'Final Calculation Sheet'!$U$35)</f>
        <v/>
      </c>
      <c r="AM28" s="414">
        <f>SUM(B28:AL28)</f>
        <v/>
      </c>
    </row>
    <row r="29" outlineLevel="1" ht="15" customHeight="1">
      <c r="A29" s="69" t="inlineStr">
        <is>
          <t xml:space="preserve">      SD Receipt Date</t>
        </is>
      </c>
      <c r="B29" s="76">
        <f>IF('Final Calculation Sheet'!$V$4="","",'Final Calculation Sheet'!$V$4)</f>
        <v/>
      </c>
      <c r="C29" s="412">
        <f>IF('Final Calculation Sheet'!$V$6="","",'Final Calculation Sheet'!$V$6)</f>
        <v/>
      </c>
      <c r="D29" s="76">
        <f>IF('Final Calculation Sheet'!$V$7="","",'Final Calculation Sheet'!$V$7)</f>
        <v/>
      </c>
      <c r="E29" s="412">
        <f>IF('Final Calculation Sheet'!$V$15="","",'Final Calculation Sheet'!$V$15)</f>
        <v/>
      </c>
      <c r="F29" s="76">
        <f>IF('Final Calculation Sheet'!$V$38="","",'Final Calculation Sheet'!$V$38)</f>
        <v/>
      </c>
      <c r="G29" s="412">
        <f>IF('Final Calculation Sheet'!$V$27="","",'Final Calculation Sheet'!$V$27)</f>
        <v/>
      </c>
      <c r="H29" s="76">
        <f>IF('Final Calculation Sheet'!$V$5="","",'Final Calculation Sheet'!$V$5)</f>
        <v/>
      </c>
      <c r="I29" s="412">
        <f>IF('Final Calculation Sheet'!$V$10="","",'Final Calculation Sheet'!$V$10)</f>
        <v/>
      </c>
      <c r="J29" s="76">
        <f>IF('Final Calculation Sheet'!$V$11="","",'Final Calculation Sheet'!$V$11)</f>
        <v/>
      </c>
      <c r="K29" s="412">
        <f>IF('Final Calculation Sheet'!$V$12="","",'Final Calculation Sheet'!$V$12)</f>
        <v/>
      </c>
      <c r="L29" s="76">
        <f>IF('Final Calculation Sheet'!$V$18="","",'Final Calculation Sheet'!$V$18)</f>
        <v/>
      </c>
      <c r="M29" s="412">
        <f>IF('Final Calculation Sheet'!$V$19="","",'Final Calculation Sheet'!$V$19)</f>
        <v/>
      </c>
      <c r="N29" s="76">
        <f>IF('Final Calculation Sheet'!$V$22="","",'Final Calculation Sheet'!$V$22)</f>
        <v/>
      </c>
      <c r="O29" s="412">
        <f>IF('Final Calculation Sheet'!$V$24="","",'Final Calculation Sheet'!$V$24)</f>
        <v/>
      </c>
      <c r="P29" s="76">
        <f>IF('Final Calculation Sheet'!$V$26="","",'Final Calculation Sheet'!$V$26)</f>
        <v/>
      </c>
      <c r="Q29" s="412">
        <f>IF('Final Calculation Sheet'!$V$30="","",'Final Calculation Sheet'!$V$30)</f>
        <v/>
      </c>
      <c r="R29" s="76">
        <f>IF('Final Calculation Sheet'!$V$32="","",'Final Calculation Sheet'!$V$32)</f>
        <v/>
      </c>
      <c r="S29" s="412">
        <f>IF('Final Calculation Sheet'!$V$33="","",'Final Calculation Sheet'!$V$33)</f>
        <v/>
      </c>
      <c r="T29" s="76">
        <f>IF('Final Calculation Sheet'!$V$37="","",'Final Calculation Sheet'!$V$37)</f>
        <v/>
      </c>
      <c r="U29" s="412">
        <f>IF('Final Calculation Sheet'!$V$21="","",'Final Calculation Sheet'!$V$21)</f>
        <v/>
      </c>
      <c r="V29" s="76">
        <f>IF('Final Calculation Sheet'!$V$8="","",'Final Calculation Sheet'!$V$8)</f>
        <v/>
      </c>
      <c r="W29" s="412">
        <f>IF('Final Calculation Sheet'!$V$20="","",'Final Calculation Sheet'!$V$20)</f>
        <v/>
      </c>
      <c r="X29" s="76">
        <f>IF('Final Calculation Sheet'!$V$39="","",'Final Calculation Sheet'!$V$39)</f>
        <v/>
      </c>
      <c r="Y29" s="412">
        <f>IF('Final Calculation Sheet'!$V$40="","",'Final Calculation Sheet'!$V$40)</f>
        <v/>
      </c>
      <c r="Z29" s="76">
        <f>IF('Final Calculation Sheet'!$V$31="","",'Final Calculation Sheet'!$V$31)</f>
        <v/>
      </c>
      <c r="AA29" s="412">
        <f>IF('Final Calculation Sheet'!$V$9="","",'Final Calculation Sheet'!$V$9)</f>
        <v/>
      </c>
      <c r="AB29" s="76">
        <f>IF('Final Calculation Sheet'!$V$14="","",'Final Calculation Sheet'!$V$14)</f>
        <v/>
      </c>
      <c r="AC29" s="412">
        <f>IF('Final Calculation Sheet'!$V$13="","",'Final Calculation Sheet'!$V$13)</f>
        <v/>
      </c>
      <c r="AD29" s="76">
        <f>IF('Final Calculation Sheet'!$V$16="","",'Final Calculation Sheet'!$V$16)</f>
        <v/>
      </c>
      <c r="AE29" s="412">
        <f>IF('Final Calculation Sheet'!$V$17="","",'Final Calculation Sheet'!$V$17)</f>
        <v/>
      </c>
      <c r="AF29" s="76">
        <f>IF('Final Calculation Sheet'!$V$23="","",'Final Calculation Sheet'!$V$23)</f>
        <v/>
      </c>
      <c r="AG29" s="412">
        <f>IF('Final Calculation Sheet'!$V$29="","",'Final Calculation Sheet'!$V$29)</f>
        <v/>
      </c>
      <c r="AH29" s="76">
        <f>IF('Final Calculation Sheet'!$V$34="","",'Final Calculation Sheet'!$V$34)</f>
        <v/>
      </c>
      <c r="AI29" s="412">
        <f>IF('Final Calculation Sheet'!$V$36="","",'Final Calculation Sheet'!$V$36)</f>
        <v/>
      </c>
      <c r="AJ29" s="76">
        <f>IF('Final Calculation Sheet'!$V$25="","",'Final Calculation Sheet'!$V$25)</f>
        <v/>
      </c>
      <c r="AK29" s="412">
        <f>IF('Final Calculation Sheet'!$V$28="","",'Final Calculation Sheet'!$V$28)</f>
        <v/>
      </c>
      <c r="AL29" s="76">
        <f>IF('Final Calculation Sheet'!$V$35="","",'Final Calculation Sheet'!$V$35)</f>
        <v/>
      </c>
      <c r="AM29" s="72" t="inlineStr">
        <is>
          <t>–</t>
        </is>
      </c>
    </row>
    <row r="30" ht="17" customHeight="1">
      <c r="A30" s="419" t="inlineStr">
        <is>
          <t xml:space="preserve">  ▸ FINAL PAYMENT</t>
        </is>
      </c>
      <c r="B30" s="387" t="n"/>
      <c r="C30" s="387" t="n"/>
      <c r="D30" s="387" t="n"/>
      <c r="E30" s="387" t="n"/>
      <c r="F30" s="387" t="n"/>
      <c r="G30" s="387" t="n"/>
      <c r="H30" s="387" t="n"/>
      <c r="I30" s="387" t="n"/>
      <c r="J30" s="387" t="n"/>
      <c r="K30" s="387" t="n"/>
      <c r="L30" s="387" t="n"/>
      <c r="M30" s="387" t="n"/>
      <c r="N30" s="387" t="n"/>
      <c r="O30" s="387" t="n"/>
      <c r="P30" s="387" t="n"/>
      <c r="Q30" s="387" t="n"/>
      <c r="R30" s="387" t="n"/>
      <c r="S30" s="387" t="n"/>
      <c r="T30" s="387" t="n"/>
      <c r="U30" s="387" t="n"/>
      <c r="V30" s="387" t="n"/>
      <c r="W30" s="387" t="n"/>
      <c r="X30" s="387" t="n"/>
      <c r="Y30" s="387" t="n"/>
      <c r="Z30" s="387" t="n"/>
      <c r="AA30" s="387" t="n"/>
      <c r="AB30" s="387" t="n"/>
      <c r="AC30" s="387" t="n"/>
      <c r="AD30" s="387" t="n"/>
      <c r="AE30" s="387" t="n"/>
      <c r="AF30" s="387" t="n"/>
      <c r="AG30" s="387" t="n"/>
      <c r="AH30" s="387" t="n"/>
      <c r="AI30" s="387" t="n"/>
      <c r="AJ30" s="387" t="n"/>
      <c r="AK30" s="387" t="n"/>
      <c r="AL30" s="387" t="n"/>
      <c r="AM30" s="387" t="n"/>
    </row>
    <row r="31" outlineLevel="1" ht="15" customHeight="1">
      <c r="A31" s="69" t="inlineStr">
        <is>
          <t xml:space="preserve">      FP Expected (₹)</t>
        </is>
      </c>
      <c r="B31" s="70">
        <f>IF('Final Calculation Sheet'!$W$4="","",'Final Calculation Sheet'!$W$4)</f>
        <v/>
      </c>
      <c r="C31" s="408">
        <f>IF('Final Calculation Sheet'!$W$6="","",'Final Calculation Sheet'!$W$6)</f>
        <v/>
      </c>
      <c r="D31" s="70">
        <f>IF('Final Calculation Sheet'!$W$7="","",'Final Calculation Sheet'!$W$7)</f>
        <v/>
      </c>
      <c r="E31" s="408">
        <f>IF('Final Calculation Sheet'!$W$15="","",'Final Calculation Sheet'!$W$15)</f>
        <v/>
      </c>
      <c r="F31" s="70">
        <f>IF('Final Calculation Sheet'!$W$38="","",'Final Calculation Sheet'!$W$38)</f>
        <v/>
      </c>
      <c r="G31" s="408">
        <f>IF('Final Calculation Sheet'!$W$27="","",'Final Calculation Sheet'!$W$27)</f>
        <v/>
      </c>
      <c r="H31" s="70">
        <f>IF('Final Calculation Sheet'!$W$5="","",'Final Calculation Sheet'!$W$5)</f>
        <v/>
      </c>
      <c r="I31" s="408">
        <f>IF('Final Calculation Sheet'!$W$10="","",'Final Calculation Sheet'!$W$10)</f>
        <v/>
      </c>
      <c r="J31" s="70">
        <f>IF('Final Calculation Sheet'!$W$11="","",'Final Calculation Sheet'!$W$11)</f>
        <v/>
      </c>
      <c r="K31" s="408">
        <f>IF('Final Calculation Sheet'!$W$12="","",'Final Calculation Sheet'!$W$12)</f>
        <v/>
      </c>
      <c r="L31" s="70">
        <f>IF('Final Calculation Sheet'!$W$18="","",'Final Calculation Sheet'!$W$18)</f>
        <v/>
      </c>
      <c r="M31" s="408">
        <f>IF('Final Calculation Sheet'!$W$19="","",'Final Calculation Sheet'!$W$19)</f>
        <v/>
      </c>
      <c r="N31" s="70">
        <f>IF('Final Calculation Sheet'!$W$22="","",'Final Calculation Sheet'!$W$22)</f>
        <v/>
      </c>
      <c r="O31" s="408">
        <f>IF('Final Calculation Sheet'!$W$24="","",'Final Calculation Sheet'!$W$24)</f>
        <v/>
      </c>
      <c r="P31" s="70">
        <f>IF('Final Calculation Sheet'!$W$26="","",'Final Calculation Sheet'!$W$26)</f>
        <v/>
      </c>
      <c r="Q31" s="408">
        <f>IF('Final Calculation Sheet'!$W$30="","",'Final Calculation Sheet'!$W$30)</f>
        <v/>
      </c>
      <c r="R31" s="70">
        <f>IF('Final Calculation Sheet'!$W$32="","",'Final Calculation Sheet'!$W$32)</f>
        <v/>
      </c>
      <c r="S31" s="408">
        <f>IF('Final Calculation Sheet'!$W$33="","",'Final Calculation Sheet'!$W$33)</f>
        <v/>
      </c>
      <c r="T31" s="70">
        <f>IF('Final Calculation Sheet'!$W$37="","",'Final Calculation Sheet'!$W$37)</f>
        <v/>
      </c>
      <c r="U31" s="408">
        <f>IF('Final Calculation Sheet'!$W$21="","",'Final Calculation Sheet'!$W$21)</f>
        <v/>
      </c>
      <c r="V31" s="70">
        <f>IF('Final Calculation Sheet'!$W$8="","",'Final Calculation Sheet'!$W$8)</f>
        <v/>
      </c>
      <c r="W31" s="408">
        <f>IF('Final Calculation Sheet'!$W$20="","",'Final Calculation Sheet'!$W$20)</f>
        <v/>
      </c>
      <c r="X31" s="70">
        <f>IF('Final Calculation Sheet'!$W$39="","",'Final Calculation Sheet'!$W$39)</f>
        <v/>
      </c>
      <c r="Y31" s="408">
        <f>IF('Final Calculation Sheet'!$W$40="","",'Final Calculation Sheet'!$W$40)</f>
        <v/>
      </c>
      <c r="Z31" s="70">
        <f>IF('Final Calculation Sheet'!$W$31="","",'Final Calculation Sheet'!$W$31)</f>
        <v/>
      </c>
      <c r="AA31" s="408">
        <f>IF('Final Calculation Sheet'!$W$9="","",'Final Calculation Sheet'!$W$9)</f>
        <v/>
      </c>
      <c r="AB31" s="70">
        <f>IF('Final Calculation Sheet'!$W$14="","",'Final Calculation Sheet'!$W$14)</f>
        <v/>
      </c>
      <c r="AC31" s="408">
        <f>IF('Final Calculation Sheet'!$W$13="","",'Final Calculation Sheet'!$W$13)</f>
        <v/>
      </c>
      <c r="AD31" s="70">
        <f>IF('Final Calculation Sheet'!$W$16="","",'Final Calculation Sheet'!$W$16)</f>
        <v/>
      </c>
      <c r="AE31" s="408">
        <f>IF('Final Calculation Sheet'!$W$17="","",'Final Calculation Sheet'!$W$17)</f>
        <v/>
      </c>
      <c r="AF31" s="70">
        <f>IF('Final Calculation Sheet'!$W$23="","",'Final Calculation Sheet'!$W$23)</f>
        <v/>
      </c>
      <c r="AG31" s="408">
        <f>IF('Final Calculation Sheet'!$W$29="","",'Final Calculation Sheet'!$W$29)</f>
        <v/>
      </c>
      <c r="AH31" s="70">
        <f>IF('Final Calculation Sheet'!$W$34="","",'Final Calculation Sheet'!$W$34)</f>
        <v/>
      </c>
      <c r="AI31" s="408">
        <f>IF('Final Calculation Sheet'!$W$36="","",'Final Calculation Sheet'!$W$36)</f>
        <v/>
      </c>
      <c r="AJ31" s="70">
        <f>IF('Final Calculation Sheet'!$W$25="","",'Final Calculation Sheet'!$W$25)</f>
        <v/>
      </c>
      <c r="AK31" s="408">
        <f>IF('Final Calculation Sheet'!$W$28="","",'Final Calculation Sheet'!$W$28)</f>
        <v/>
      </c>
      <c r="AL31" s="70">
        <f>IF('Final Calculation Sheet'!$W$35="","",'Final Calculation Sheet'!$W$35)</f>
        <v/>
      </c>
      <c r="AM31" s="414">
        <f>SUM(B31:AL31)</f>
        <v/>
      </c>
    </row>
    <row r="32" outlineLevel="1" ht="15" customHeight="1">
      <c r="A32" s="69" t="inlineStr">
        <is>
          <t xml:space="preserve">      FP Received (₹)</t>
        </is>
      </c>
      <c r="B32" s="70">
        <f>IF('Final Calculation Sheet'!$X$4="","",'Final Calculation Sheet'!$X$4)</f>
        <v/>
      </c>
      <c r="C32" s="408">
        <f>IF('Final Calculation Sheet'!$X$6="","",'Final Calculation Sheet'!$X$6)</f>
        <v/>
      </c>
      <c r="D32" s="70">
        <f>IF('Final Calculation Sheet'!$X$7="","",'Final Calculation Sheet'!$X$7)</f>
        <v/>
      </c>
      <c r="E32" s="408">
        <f>IF('Final Calculation Sheet'!$X$15="","",'Final Calculation Sheet'!$X$15)</f>
        <v/>
      </c>
      <c r="F32" s="70">
        <f>IF('Final Calculation Sheet'!$X$38="","",'Final Calculation Sheet'!$X$38)</f>
        <v/>
      </c>
      <c r="G32" s="408">
        <f>IF('Final Calculation Sheet'!$X$27="","",'Final Calculation Sheet'!$X$27)</f>
        <v/>
      </c>
      <c r="H32" s="70">
        <f>IF('Final Calculation Sheet'!$X$5="","",'Final Calculation Sheet'!$X$5)</f>
        <v/>
      </c>
      <c r="I32" s="408">
        <f>IF('Final Calculation Sheet'!$X$10="","",'Final Calculation Sheet'!$X$10)</f>
        <v/>
      </c>
      <c r="J32" s="70">
        <f>IF('Final Calculation Sheet'!$X$11="","",'Final Calculation Sheet'!$X$11)</f>
        <v/>
      </c>
      <c r="K32" s="408">
        <f>IF('Final Calculation Sheet'!$X$12="","",'Final Calculation Sheet'!$X$12)</f>
        <v/>
      </c>
      <c r="L32" s="70">
        <f>IF('Final Calculation Sheet'!$X$18="","",'Final Calculation Sheet'!$X$18)</f>
        <v/>
      </c>
      <c r="M32" s="408">
        <f>IF('Final Calculation Sheet'!$X$19="","",'Final Calculation Sheet'!$X$19)</f>
        <v/>
      </c>
      <c r="N32" s="70">
        <f>IF('Final Calculation Sheet'!$X$22="","",'Final Calculation Sheet'!$X$22)</f>
        <v/>
      </c>
      <c r="O32" s="408">
        <f>IF('Final Calculation Sheet'!$X$24="","",'Final Calculation Sheet'!$X$24)</f>
        <v/>
      </c>
      <c r="P32" s="70">
        <f>IF('Final Calculation Sheet'!$X$26="","",'Final Calculation Sheet'!$X$26)</f>
        <v/>
      </c>
      <c r="Q32" s="408">
        <f>IF('Final Calculation Sheet'!$X$30="","",'Final Calculation Sheet'!$X$30)</f>
        <v/>
      </c>
      <c r="R32" s="70">
        <f>IF('Final Calculation Sheet'!$X$32="","",'Final Calculation Sheet'!$X$32)</f>
        <v/>
      </c>
      <c r="S32" s="408">
        <f>IF('Final Calculation Sheet'!$X$33="","",'Final Calculation Sheet'!$X$33)</f>
        <v/>
      </c>
      <c r="T32" s="70">
        <f>IF('Final Calculation Sheet'!$X$37="","",'Final Calculation Sheet'!$X$37)</f>
        <v/>
      </c>
      <c r="U32" s="408">
        <f>IF('Final Calculation Sheet'!$X$21="","",'Final Calculation Sheet'!$X$21)</f>
        <v/>
      </c>
      <c r="V32" s="70">
        <f>IF('Final Calculation Sheet'!$X$8="","",'Final Calculation Sheet'!$X$8)</f>
        <v/>
      </c>
      <c r="W32" s="408">
        <f>IF('Final Calculation Sheet'!$X$20="","",'Final Calculation Sheet'!$X$20)</f>
        <v/>
      </c>
      <c r="X32" s="70">
        <f>IF('Final Calculation Sheet'!$X$39="","",'Final Calculation Sheet'!$X$39)</f>
        <v/>
      </c>
      <c r="Y32" s="408">
        <f>IF('Final Calculation Sheet'!$X$40="","",'Final Calculation Sheet'!$X$40)</f>
        <v/>
      </c>
      <c r="Z32" s="70">
        <f>IF('Final Calculation Sheet'!$X$31="","",'Final Calculation Sheet'!$X$31)</f>
        <v/>
      </c>
      <c r="AA32" s="408">
        <f>IF('Final Calculation Sheet'!$X$9="","",'Final Calculation Sheet'!$X$9)</f>
        <v/>
      </c>
      <c r="AB32" s="70">
        <f>IF('Final Calculation Sheet'!$X$14="","",'Final Calculation Sheet'!$X$14)</f>
        <v/>
      </c>
      <c r="AC32" s="408">
        <f>IF('Final Calculation Sheet'!$X$13="","",'Final Calculation Sheet'!$X$13)</f>
        <v/>
      </c>
      <c r="AD32" s="70">
        <f>IF('Final Calculation Sheet'!$X$16="","",'Final Calculation Sheet'!$X$16)</f>
        <v/>
      </c>
      <c r="AE32" s="408">
        <f>IF('Final Calculation Sheet'!$X$17="","",'Final Calculation Sheet'!$X$17)</f>
        <v/>
      </c>
      <c r="AF32" s="70">
        <f>IF('Final Calculation Sheet'!$X$23="","",'Final Calculation Sheet'!$X$23)</f>
        <v/>
      </c>
      <c r="AG32" s="408">
        <f>IF('Final Calculation Sheet'!$X$29="","",'Final Calculation Sheet'!$X$29)</f>
        <v/>
      </c>
      <c r="AH32" s="70">
        <f>IF('Final Calculation Sheet'!$X$34="","",'Final Calculation Sheet'!$X$34)</f>
        <v/>
      </c>
      <c r="AI32" s="408">
        <f>IF('Final Calculation Sheet'!$X$36="","",'Final Calculation Sheet'!$X$36)</f>
        <v/>
      </c>
      <c r="AJ32" s="70">
        <f>IF('Final Calculation Sheet'!$X$25="","",'Final Calculation Sheet'!$X$25)</f>
        <v/>
      </c>
      <c r="AK32" s="408">
        <f>IF('Final Calculation Sheet'!$X$28="","",'Final Calculation Sheet'!$X$28)</f>
        <v/>
      </c>
      <c r="AL32" s="70">
        <f>IF('Final Calculation Sheet'!$X$35="","",'Final Calculation Sheet'!$X$35)</f>
        <v/>
      </c>
      <c r="AM32" s="414">
        <f>SUM(B32:AL32)</f>
        <v/>
      </c>
    </row>
    <row r="33" outlineLevel="1" ht="15" customHeight="1">
      <c r="A33" s="69" t="inlineStr">
        <is>
          <t xml:space="preserve">      FP Receipt Date</t>
        </is>
      </c>
      <c r="B33" s="76">
        <f>IF('Final Calculation Sheet'!$Y$4="","",'Final Calculation Sheet'!$Y$4)</f>
        <v/>
      </c>
      <c r="C33" s="412">
        <f>IF('Final Calculation Sheet'!$Y$6="","",'Final Calculation Sheet'!$Y$6)</f>
        <v/>
      </c>
      <c r="D33" s="76">
        <f>IF('Final Calculation Sheet'!$Y$7="","",'Final Calculation Sheet'!$Y$7)</f>
        <v/>
      </c>
      <c r="E33" s="412">
        <f>IF('Final Calculation Sheet'!$Y$15="","",'Final Calculation Sheet'!$Y$15)</f>
        <v/>
      </c>
      <c r="F33" s="76">
        <f>IF('Final Calculation Sheet'!$Y$38="","",'Final Calculation Sheet'!$Y$38)</f>
        <v/>
      </c>
      <c r="G33" s="412">
        <f>IF('Final Calculation Sheet'!$Y$27="","",'Final Calculation Sheet'!$Y$27)</f>
        <v/>
      </c>
      <c r="H33" s="76">
        <f>IF('Final Calculation Sheet'!$Y$5="","",'Final Calculation Sheet'!$Y$5)</f>
        <v/>
      </c>
      <c r="I33" s="412">
        <f>IF('Final Calculation Sheet'!$Y$10="","",'Final Calculation Sheet'!$Y$10)</f>
        <v/>
      </c>
      <c r="J33" s="76">
        <f>IF('Final Calculation Sheet'!$Y$11="","",'Final Calculation Sheet'!$Y$11)</f>
        <v/>
      </c>
      <c r="K33" s="412">
        <f>IF('Final Calculation Sheet'!$Y$12="","",'Final Calculation Sheet'!$Y$12)</f>
        <v/>
      </c>
      <c r="L33" s="76">
        <f>IF('Final Calculation Sheet'!$Y$18="","",'Final Calculation Sheet'!$Y$18)</f>
        <v/>
      </c>
      <c r="M33" s="412">
        <f>IF('Final Calculation Sheet'!$Y$19="","",'Final Calculation Sheet'!$Y$19)</f>
        <v/>
      </c>
      <c r="N33" s="76">
        <f>IF('Final Calculation Sheet'!$Y$22="","",'Final Calculation Sheet'!$Y$22)</f>
        <v/>
      </c>
      <c r="O33" s="412">
        <f>IF('Final Calculation Sheet'!$Y$24="","",'Final Calculation Sheet'!$Y$24)</f>
        <v/>
      </c>
      <c r="P33" s="76">
        <f>IF('Final Calculation Sheet'!$Y$26="","",'Final Calculation Sheet'!$Y$26)</f>
        <v/>
      </c>
      <c r="Q33" s="412">
        <f>IF('Final Calculation Sheet'!$Y$30="","",'Final Calculation Sheet'!$Y$30)</f>
        <v/>
      </c>
      <c r="R33" s="76">
        <f>IF('Final Calculation Sheet'!$Y$32="","",'Final Calculation Sheet'!$Y$32)</f>
        <v/>
      </c>
      <c r="S33" s="412">
        <f>IF('Final Calculation Sheet'!$Y$33="","",'Final Calculation Sheet'!$Y$33)</f>
        <v/>
      </c>
      <c r="T33" s="76">
        <f>IF('Final Calculation Sheet'!$Y$37="","",'Final Calculation Sheet'!$Y$37)</f>
        <v/>
      </c>
      <c r="U33" s="412">
        <f>IF('Final Calculation Sheet'!$Y$21="","",'Final Calculation Sheet'!$Y$21)</f>
        <v/>
      </c>
      <c r="V33" s="76">
        <f>IF('Final Calculation Sheet'!$Y$8="","",'Final Calculation Sheet'!$Y$8)</f>
        <v/>
      </c>
      <c r="W33" s="412">
        <f>IF('Final Calculation Sheet'!$Y$20="","",'Final Calculation Sheet'!$Y$20)</f>
        <v/>
      </c>
      <c r="X33" s="76">
        <f>IF('Final Calculation Sheet'!$Y$39="","",'Final Calculation Sheet'!$Y$39)</f>
        <v/>
      </c>
      <c r="Y33" s="412">
        <f>IF('Final Calculation Sheet'!$Y$40="","",'Final Calculation Sheet'!$Y$40)</f>
        <v/>
      </c>
      <c r="Z33" s="76">
        <f>IF('Final Calculation Sheet'!$Y$31="","",'Final Calculation Sheet'!$Y$31)</f>
        <v/>
      </c>
      <c r="AA33" s="412">
        <f>IF('Final Calculation Sheet'!$Y$9="","",'Final Calculation Sheet'!$Y$9)</f>
        <v/>
      </c>
      <c r="AB33" s="76">
        <f>IF('Final Calculation Sheet'!$Y$14="","",'Final Calculation Sheet'!$Y$14)</f>
        <v/>
      </c>
      <c r="AC33" s="412">
        <f>IF('Final Calculation Sheet'!$Y$13="","",'Final Calculation Sheet'!$Y$13)</f>
        <v/>
      </c>
      <c r="AD33" s="76">
        <f>IF('Final Calculation Sheet'!$Y$16="","",'Final Calculation Sheet'!$Y$16)</f>
        <v/>
      </c>
      <c r="AE33" s="412">
        <f>IF('Final Calculation Sheet'!$Y$17="","",'Final Calculation Sheet'!$Y$17)</f>
        <v/>
      </c>
      <c r="AF33" s="76">
        <f>IF('Final Calculation Sheet'!$Y$23="","",'Final Calculation Sheet'!$Y$23)</f>
        <v/>
      </c>
      <c r="AG33" s="412">
        <f>IF('Final Calculation Sheet'!$Y$29="","",'Final Calculation Sheet'!$Y$29)</f>
        <v/>
      </c>
      <c r="AH33" s="76">
        <f>IF('Final Calculation Sheet'!$Y$34="","",'Final Calculation Sheet'!$Y$34)</f>
        <v/>
      </c>
      <c r="AI33" s="412">
        <f>IF('Final Calculation Sheet'!$Y$36="","",'Final Calculation Sheet'!$Y$36)</f>
        <v/>
      </c>
      <c r="AJ33" s="76">
        <f>IF('Final Calculation Sheet'!$Y$25="","",'Final Calculation Sheet'!$Y$25)</f>
        <v/>
      </c>
      <c r="AK33" s="412">
        <f>IF('Final Calculation Sheet'!$Y$28="","",'Final Calculation Sheet'!$Y$28)</f>
        <v/>
      </c>
      <c r="AL33" s="76">
        <f>IF('Final Calculation Sheet'!$Y$35="","",'Final Calculation Sheet'!$Y$35)</f>
        <v/>
      </c>
      <c r="AM33" s="72" t="inlineStr">
        <is>
          <t>–</t>
        </is>
      </c>
    </row>
    <row r="34" ht="17" customHeight="1">
      <c r="A34" s="420" t="inlineStr">
        <is>
          <t xml:space="preserve">  ▸ LPP</t>
        </is>
      </c>
      <c r="B34" s="388" t="n"/>
      <c r="C34" s="388" t="n"/>
      <c r="D34" s="388" t="n"/>
      <c r="E34" s="388" t="n"/>
      <c r="F34" s="388" t="n"/>
      <c r="G34" s="388" t="n"/>
      <c r="H34" s="388" t="n"/>
      <c r="I34" s="388" t="n"/>
      <c r="J34" s="388" t="n"/>
      <c r="K34" s="388" t="n"/>
      <c r="L34" s="388" t="n"/>
      <c r="M34" s="388" t="n"/>
      <c r="N34" s="388" t="n"/>
      <c r="O34" s="388" t="n"/>
      <c r="P34" s="388" t="n"/>
      <c r="Q34" s="388" t="n"/>
      <c r="R34" s="388" t="n"/>
      <c r="S34" s="388" t="n"/>
      <c r="T34" s="388" t="n"/>
      <c r="U34" s="388" t="n"/>
      <c r="V34" s="388" t="n"/>
      <c r="W34" s="388" t="n"/>
      <c r="X34" s="388" t="n"/>
      <c r="Y34" s="388" t="n"/>
      <c r="Z34" s="388" t="n"/>
      <c r="AA34" s="388" t="n"/>
      <c r="AB34" s="388" t="n"/>
      <c r="AC34" s="388" t="n"/>
      <c r="AD34" s="388" t="n"/>
      <c r="AE34" s="388" t="n"/>
      <c r="AF34" s="388" t="n"/>
      <c r="AG34" s="388" t="n"/>
      <c r="AH34" s="388" t="n"/>
      <c r="AI34" s="388" t="n"/>
      <c r="AJ34" s="388" t="n"/>
      <c r="AK34" s="388" t="n"/>
      <c r="AL34" s="388" t="n"/>
      <c r="AM34" s="388" t="n"/>
    </row>
    <row r="35" outlineLevel="1" ht="15" customHeight="1">
      <c r="A35" s="69" t="inlineStr">
        <is>
          <t xml:space="preserve">      LPP Expected (₹)</t>
        </is>
      </c>
      <c r="B35" s="70">
        <f>IF('Final Calculation Sheet'!$Z$4="","",'Final Calculation Sheet'!$Z$4)</f>
        <v/>
      </c>
      <c r="C35" s="408">
        <f>IF('Final Calculation Sheet'!$Z$6="","",'Final Calculation Sheet'!$Z$6)</f>
        <v/>
      </c>
      <c r="D35" s="70">
        <f>IF('Final Calculation Sheet'!$Z$7="","",'Final Calculation Sheet'!$Z$7)</f>
        <v/>
      </c>
      <c r="E35" s="408">
        <f>IF('Final Calculation Sheet'!$Z$15="","",'Final Calculation Sheet'!$Z$15)</f>
        <v/>
      </c>
      <c r="F35" s="70">
        <f>IF('Final Calculation Sheet'!$Z$38="","",'Final Calculation Sheet'!$Z$38)</f>
        <v/>
      </c>
      <c r="G35" s="408">
        <f>IF('Final Calculation Sheet'!$Z$27="","",'Final Calculation Sheet'!$Z$27)</f>
        <v/>
      </c>
      <c r="H35" s="70">
        <f>IF('Final Calculation Sheet'!$Z$5="","",'Final Calculation Sheet'!$Z$5)</f>
        <v/>
      </c>
      <c r="I35" s="408">
        <f>IF('Final Calculation Sheet'!$Z$10="","",'Final Calculation Sheet'!$Z$10)</f>
        <v/>
      </c>
      <c r="J35" s="70">
        <f>IF('Final Calculation Sheet'!$Z$11="","",'Final Calculation Sheet'!$Z$11)</f>
        <v/>
      </c>
      <c r="K35" s="408">
        <f>IF('Final Calculation Sheet'!$Z$12="","",'Final Calculation Sheet'!$Z$12)</f>
        <v/>
      </c>
      <c r="L35" s="70">
        <f>IF('Final Calculation Sheet'!$Z$18="","",'Final Calculation Sheet'!$Z$18)</f>
        <v/>
      </c>
      <c r="M35" s="408">
        <f>IF('Final Calculation Sheet'!$Z$19="","",'Final Calculation Sheet'!$Z$19)</f>
        <v/>
      </c>
      <c r="N35" s="70">
        <f>IF('Final Calculation Sheet'!$Z$22="","",'Final Calculation Sheet'!$Z$22)</f>
        <v/>
      </c>
      <c r="O35" s="408">
        <f>IF('Final Calculation Sheet'!$Z$24="","",'Final Calculation Sheet'!$Z$24)</f>
        <v/>
      </c>
      <c r="P35" s="70">
        <f>IF('Final Calculation Sheet'!$Z$26="","",'Final Calculation Sheet'!$Z$26)</f>
        <v/>
      </c>
      <c r="Q35" s="408">
        <f>IF('Final Calculation Sheet'!$Z$30="","",'Final Calculation Sheet'!$Z$30)</f>
        <v/>
      </c>
      <c r="R35" s="70">
        <f>IF('Final Calculation Sheet'!$Z$32="","",'Final Calculation Sheet'!$Z$32)</f>
        <v/>
      </c>
      <c r="S35" s="408">
        <f>IF('Final Calculation Sheet'!$Z$33="","",'Final Calculation Sheet'!$Z$33)</f>
        <v/>
      </c>
      <c r="T35" s="70">
        <f>IF('Final Calculation Sheet'!$Z$37="","",'Final Calculation Sheet'!$Z$37)</f>
        <v/>
      </c>
      <c r="U35" s="408">
        <f>IF('Final Calculation Sheet'!$Z$21="","",'Final Calculation Sheet'!$Z$21)</f>
        <v/>
      </c>
      <c r="V35" s="70">
        <f>IF('Final Calculation Sheet'!$Z$8="","",'Final Calculation Sheet'!$Z$8)</f>
        <v/>
      </c>
      <c r="W35" s="408">
        <f>IF('Final Calculation Sheet'!$Z$20="","",'Final Calculation Sheet'!$Z$20)</f>
        <v/>
      </c>
      <c r="X35" s="70">
        <f>IF('Final Calculation Sheet'!$Z$39="","",'Final Calculation Sheet'!$Z$39)</f>
        <v/>
      </c>
      <c r="Y35" s="408">
        <f>IF('Final Calculation Sheet'!$Z$40="","",'Final Calculation Sheet'!$Z$40)</f>
        <v/>
      </c>
      <c r="Z35" s="70">
        <f>IF('Final Calculation Sheet'!$Z$31="","",'Final Calculation Sheet'!$Z$31)</f>
        <v/>
      </c>
      <c r="AA35" s="408">
        <f>IF('Final Calculation Sheet'!$Z$9="","",'Final Calculation Sheet'!$Z$9)</f>
        <v/>
      </c>
      <c r="AB35" s="70">
        <f>IF('Final Calculation Sheet'!$Z$14="","",'Final Calculation Sheet'!$Z$14)</f>
        <v/>
      </c>
      <c r="AC35" s="408">
        <f>IF('Final Calculation Sheet'!$Z$13="","",'Final Calculation Sheet'!$Z$13)</f>
        <v/>
      </c>
      <c r="AD35" s="70">
        <f>IF('Final Calculation Sheet'!$Z$16="","",'Final Calculation Sheet'!$Z$16)</f>
        <v/>
      </c>
      <c r="AE35" s="408">
        <f>IF('Final Calculation Sheet'!$Z$17="","",'Final Calculation Sheet'!$Z$17)</f>
        <v/>
      </c>
      <c r="AF35" s="70">
        <f>IF('Final Calculation Sheet'!$Z$23="","",'Final Calculation Sheet'!$Z$23)</f>
        <v/>
      </c>
      <c r="AG35" s="408">
        <f>IF('Final Calculation Sheet'!$Z$29="","",'Final Calculation Sheet'!$Z$29)</f>
        <v/>
      </c>
      <c r="AH35" s="70">
        <f>IF('Final Calculation Sheet'!$Z$34="","",'Final Calculation Sheet'!$Z$34)</f>
        <v/>
      </c>
      <c r="AI35" s="408">
        <f>IF('Final Calculation Sheet'!$Z$36="","",'Final Calculation Sheet'!$Z$36)</f>
        <v/>
      </c>
      <c r="AJ35" s="70">
        <f>IF('Final Calculation Sheet'!$Z$25="","",'Final Calculation Sheet'!$Z$25)</f>
        <v/>
      </c>
      <c r="AK35" s="408">
        <f>IF('Final Calculation Sheet'!$Z$28="","",'Final Calculation Sheet'!$Z$28)</f>
        <v/>
      </c>
      <c r="AL35" s="70">
        <f>IF('Final Calculation Sheet'!$Z$35="","",'Final Calculation Sheet'!$Z$35)</f>
        <v/>
      </c>
      <c r="AM35" s="414">
        <f>SUM(B35:AL35)</f>
        <v/>
      </c>
    </row>
    <row r="36" outlineLevel="1" ht="15" customHeight="1">
      <c r="A36" s="69" t="inlineStr">
        <is>
          <t xml:space="preserve">      LPP Received (₹)</t>
        </is>
      </c>
      <c r="B36" s="70">
        <f>IF('Final Calculation Sheet'!$AA$4="","",'Final Calculation Sheet'!$AA$4)</f>
        <v/>
      </c>
      <c r="C36" s="408">
        <f>IF('Final Calculation Sheet'!$AA$6="","",'Final Calculation Sheet'!$AA$6)</f>
        <v/>
      </c>
      <c r="D36" s="70">
        <f>IF('Final Calculation Sheet'!$AA$7="","",'Final Calculation Sheet'!$AA$7)</f>
        <v/>
      </c>
      <c r="E36" s="408">
        <f>IF('Final Calculation Sheet'!$AA$15="","",'Final Calculation Sheet'!$AA$15)</f>
        <v/>
      </c>
      <c r="F36" s="70">
        <f>IF('Final Calculation Sheet'!$AA$38="","",'Final Calculation Sheet'!$AA$38)</f>
        <v/>
      </c>
      <c r="G36" s="408">
        <f>IF('Final Calculation Sheet'!$AA$27="","",'Final Calculation Sheet'!$AA$27)</f>
        <v/>
      </c>
      <c r="H36" s="70">
        <f>IF('Final Calculation Sheet'!$AA$5="","",'Final Calculation Sheet'!$AA$5)</f>
        <v/>
      </c>
      <c r="I36" s="408">
        <f>IF('Final Calculation Sheet'!$AA$10="","",'Final Calculation Sheet'!$AA$10)</f>
        <v/>
      </c>
      <c r="J36" s="70">
        <f>IF('Final Calculation Sheet'!$AA$11="","",'Final Calculation Sheet'!$AA$11)</f>
        <v/>
      </c>
      <c r="K36" s="408">
        <f>IF('Final Calculation Sheet'!$AA$12="","",'Final Calculation Sheet'!$AA$12)</f>
        <v/>
      </c>
      <c r="L36" s="70">
        <f>IF('Final Calculation Sheet'!$AA$18="","",'Final Calculation Sheet'!$AA$18)</f>
        <v/>
      </c>
      <c r="M36" s="408">
        <f>IF('Final Calculation Sheet'!$AA$19="","",'Final Calculation Sheet'!$AA$19)</f>
        <v/>
      </c>
      <c r="N36" s="70">
        <f>IF('Final Calculation Sheet'!$AA$22="","",'Final Calculation Sheet'!$AA$22)</f>
        <v/>
      </c>
      <c r="O36" s="408">
        <f>IF('Final Calculation Sheet'!$AA$24="","",'Final Calculation Sheet'!$AA$24)</f>
        <v/>
      </c>
      <c r="P36" s="70">
        <f>IF('Final Calculation Sheet'!$AA$26="","",'Final Calculation Sheet'!$AA$26)</f>
        <v/>
      </c>
      <c r="Q36" s="408">
        <f>IF('Final Calculation Sheet'!$AA$30="","",'Final Calculation Sheet'!$AA$30)</f>
        <v/>
      </c>
      <c r="R36" s="70">
        <f>IF('Final Calculation Sheet'!$AA$32="","",'Final Calculation Sheet'!$AA$32)</f>
        <v/>
      </c>
      <c r="S36" s="408">
        <f>IF('Final Calculation Sheet'!$AA$33="","",'Final Calculation Sheet'!$AA$33)</f>
        <v/>
      </c>
      <c r="T36" s="70">
        <f>IF('Final Calculation Sheet'!$AA$37="","",'Final Calculation Sheet'!$AA$37)</f>
        <v/>
      </c>
      <c r="U36" s="408">
        <f>IF('Final Calculation Sheet'!$AA$21="","",'Final Calculation Sheet'!$AA$21)</f>
        <v/>
      </c>
      <c r="V36" s="70">
        <f>IF('Final Calculation Sheet'!$AA$8="","",'Final Calculation Sheet'!$AA$8)</f>
        <v/>
      </c>
      <c r="W36" s="408">
        <f>IF('Final Calculation Sheet'!$AA$20="","",'Final Calculation Sheet'!$AA$20)</f>
        <v/>
      </c>
      <c r="X36" s="70">
        <f>IF('Final Calculation Sheet'!$AA$39="","",'Final Calculation Sheet'!$AA$39)</f>
        <v/>
      </c>
      <c r="Y36" s="408">
        <f>IF('Final Calculation Sheet'!$AA$40="","",'Final Calculation Sheet'!$AA$40)</f>
        <v/>
      </c>
      <c r="Z36" s="70">
        <f>IF('Final Calculation Sheet'!$AA$31="","",'Final Calculation Sheet'!$AA$31)</f>
        <v/>
      </c>
      <c r="AA36" s="408">
        <f>IF('Final Calculation Sheet'!$AA$9="","",'Final Calculation Sheet'!$AA$9)</f>
        <v/>
      </c>
      <c r="AB36" s="70">
        <f>IF('Final Calculation Sheet'!$AA$14="","",'Final Calculation Sheet'!$AA$14)</f>
        <v/>
      </c>
      <c r="AC36" s="408">
        <f>IF('Final Calculation Sheet'!$AA$13="","",'Final Calculation Sheet'!$AA$13)</f>
        <v/>
      </c>
      <c r="AD36" s="70">
        <f>IF('Final Calculation Sheet'!$AA$16="","",'Final Calculation Sheet'!$AA$16)</f>
        <v/>
      </c>
      <c r="AE36" s="408">
        <f>IF('Final Calculation Sheet'!$AA$17="","",'Final Calculation Sheet'!$AA$17)</f>
        <v/>
      </c>
      <c r="AF36" s="70">
        <f>IF('Final Calculation Sheet'!$AA$23="","",'Final Calculation Sheet'!$AA$23)</f>
        <v/>
      </c>
      <c r="AG36" s="408">
        <f>IF('Final Calculation Sheet'!$AA$29="","",'Final Calculation Sheet'!$AA$29)</f>
        <v/>
      </c>
      <c r="AH36" s="70">
        <f>IF('Final Calculation Sheet'!$AA$34="","",'Final Calculation Sheet'!$AA$34)</f>
        <v/>
      </c>
      <c r="AI36" s="408">
        <f>IF('Final Calculation Sheet'!$AA$36="","",'Final Calculation Sheet'!$AA$36)</f>
        <v/>
      </c>
      <c r="AJ36" s="70">
        <f>IF('Final Calculation Sheet'!$AA$25="","",'Final Calculation Sheet'!$AA$25)</f>
        <v/>
      </c>
      <c r="AK36" s="408">
        <f>IF('Final Calculation Sheet'!$AA$28="","",'Final Calculation Sheet'!$AA$28)</f>
        <v/>
      </c>
      <c r="AL36" s="70">
        <f>IF('Final Calculation Sheet'!$AA$35="","",'Final Calculation Sheet'!$AA$35)</f>
        <v/>
      </c>
      <c r="AM36" s="414">
        <f>SUM(B36:AL36)</f>
        <v/>
      </c>
    </row>
    <row r="37" outlineLevel="1" ht="15" customHeight="1">
      <c r="A37" s="69" t="inlineStr">
        <is>
          <t xml:space="preserve">      LPP Receipt Date</t>
        </is>
      </c>
      <c r="B37" s="76">
        <f>IF('Final Calculation Sheet'!$AB$4="","",'Final Calculation Sheet'!$AB$4)</f>
        <v/>
      </c>
      <c r="C37" s="412">
        <f>IF('Final Calculation Sheet'!$AB$6="","",'Final Calculation Sheet'!$AB$6)</f>
        <v/>
      </c>
      <c r="D37" s="76">
        <f>IF('Final Calculation Sheet'!$AB$7="","",'Final Calculation Sheet'!$AB$7)</f>
        <v/>
      </c>
      <c r="E37" s="412">
        <f>IF('Final Calculation Sheet'!$AB$15="","",'Final Calculation Sheet'!$AB$15)</f>
        <v/>
      </c>
      <c r="F37" s="76">
        <f>IF('Final Calculation Sheet'!$AB$38="","",'Final Calculation Sheet'!$AB$38)</f>
        <v/>
      </c>
      <c r="G37" s="412">
        <f>IF('Final Calculation Sheet'!$AB$27="","",'Final Calculation Sheet'!$AB$27)</f>
        <v/>
      </c>
      <c r="H37" s="76">
        <f>IF('Final Calculation Sheet'!$AB$5="","",'Final Calculation Sheet'!$AB$5)</f>
        <v/>
      </c>
      <c r="I37" s="412">
        <f>IF('Final Calculation Sheet'!$AB$10="","",'Final Calculation Sheet'!$AB$10)</f>
        <v/>
      </c>
      <c r="J37" s="76">
        <f>IF('Final Calculation Sheet'!$AB$11="","",'Final Calculation Sheet'!$AB$11)</f>
        <v/>
      </c>
      <c r="K37" s="412">
        <f>IF('Final Calculation Sheet'!$AB$12="","",'Final Calculation Sheet'!$AB$12)</f>
        <v/>
      </c>
      <c r="L37" s="76">
        <f>IF('Final Calculation Sheet'!$AB$18="","",'Final Calculation Sheet'!$AB$18)</f>
        <v/>
      </c>
      <c r="M37" s="412">
        <f>IF('Final Calculation Sheet'!$AB$19="","",'Final Calculation Sheet'!$AB$19)</f>
        <v/>
      </c>
      <c r="N37" s="76">
        <f>IF('Final Calculation Sheet'!$AB$22="","",'Final Calculation Sheet'!$AB$22)</f>
        <v/>
      </c>
      <c r="O37" s="412">
        <f>IF('Final Calculation Sheet'!$AB$24="","",'Final Calculation Sheet'!$AB$24)</f>
        <v/>
      </c>
      <c r="P37" s="76">
        <f>IF('Final Calculation Sheet'!$AB$26="","",'Final Calculation Sheet'!$AB$26)</f>
        <v/>
      </c>
      <c r="Q37" s="412">
        <f>IF('Final Calculation Sheet'!$AB$30="","",'Final Calculation Sheet'!$AB$30)</f>
        <v/>
      </c>
      <c r="R37" s="76">
        <f>IF('Final Calculation Sheet'!$AB$32="","",'Final Calculation Sheet'!$AB$32)</f>
        <v/>
      </c>
      <c r="S37" s="412">
        <f>IF('Final Calculation Sheet'!$AB$33="","",'Final Calculation Sheet'!$AB$33)</f>
        <v/>
      </c>
      <c r="T37" s="76">
        <f>IF('Final Calculation Sheet'!$AB$37="","",'Final Calculation Sheet'!$AB$37)</f>
        <v/>
      </c>
      <c r="U37" s="412">
        <f>IF('Final Calculation Sheet'!$AB$21="","",'Final Calculation Sheet'!$AB$21)</f>
        <v/>
      </c>
      <c r="V37" s="76">
        <f>IF('Final Calculation Sheet'!$AB$8="","",'Final Calculation Sheet'!$AB$8)</f>
        <v/>
      </c>
      <c r="W37" s="412">
        <f>IF('Final Calculation Sheet'!$AB$20="","",'Final Calculation Sheet'!$AB$20)</f>
        <v/>
      </c>
      <c r="X37" s="76">
        <f>IF('Final Calculation Sheet'!$AB$39="","",'Final Calculation Sheet'!$AB$39)</f>
        <v/>
      </c>
      <c r="Y37" s="412">
        <f>IF('Final Calculation Sheet'!$AB$40="","",'Final Calculation Sheet'!$AB$40)</f>
        <v/>
      </c>
      <c r="Z37" s="76">
        <f>IF('Final Calculation Sheet'!$AB$31="","",'Final Calculation Sheet'!$AB$31)</f>
        <v/>
      </c>
      <c r="AA37" s="412">
        <f>IF('Final Calculation Sheet'!$AB$9="","",'Final Calculation Sheet'!$AB$9)</f>
        <v/>
      </c>
      <c r="AB37" s="76">
        <f>IF('Final Calculation Sheet'!$AB$14="","",'Final Calculation Sheet'!$AB$14)</f>
        <v/>
      </c>
      <c r="AC37" s="412">
        <f>IF('Final Calculation Sheet'!$AB$13="","",'Final Calculation Sheet'!$AB$13)</f>
        <v/>
      </c>
      <c r="AD37" s="76">
        <f>IF('Final Calculation Sheet'!$AB$16="","",'Final Calculation Sheet'!$AB$16)</f>
        <v/>
      </c>
      <c r="AE37" s="412">
        <f>IF('Final Calculation Sheet'!$AB$17="","",'Final Calculation Sheet'!$AB$17)</f>
        <v/>
      </c>
      <c r="AF37" s="76">
        <f>IF('Final Calculation Sheet'!$AB$23="","",'Final Calculation Sheet'!$AB$23)</f>
        <v/>
      </c>
      <c r="AG37" s="412">
        <f>IF('Final Calculation Sheet'!$AB$29="","",'Final Calculation Sheet'!$AB$29)</f>
        <v/>
      </c>
      <c r="AH37" s="76">
        <f>IF('Final Calculation Sheet'!$AB$34="","",'Final Calculation Sheet'!$AB$34)</f>
        <v/>
      </c>
      <c r="AI37" s="412">
        <f>IF('Final Calculation Sheet'!$AB$36="","",'Final Calculation Sheet'!$AB$36)</f>
        <v/>
      </c>
      <c r="AJ37" s="76">
        <f>IF('Final Calculation Sheet'!$AB$25="","",'Final Calculation Sheet'!$AB$25)</f>
        <v/>
      </c>
      <c r="AK37" s="412">
        <f>IF('Final Calculation Sheet'!$AB$28="","",'Final Calculation Sheet'!$AB$28)</f>
        <v/>
      </c>
      <c r="AL37" s="76">
        <f>IF('Final Calculation Sheet'!$AB$35="","",'Final Calculation Sheet'!$AB$35)</f>
        <v/>
      </c>
      <c r="AM37" s="72" t="inlineStr">
        <is>
          <t>–</t>
        </is>
      </c>
    </row>
    <row r="38" ht="17" customHeight="1">
      <c r="A38" s="421" t="inlineStr">
        <is>
          <t xml:space="preserve">  ▸ SUMMARY</t>
        </is>
      </c>
      <c r="B38" s="389" t="n"/>
      <c r="C38" s="389" t="n"/>
      <c r="D38" s="389" t="n"/>
      <c r="E38" s="389" t="n"/>
      <c r="F38" s="389" t="n"/>
      <c r="G38" s="389" t="n"/>
      <c r="H38" s="389" t="n"/>
      <c r="I38" s="389" t="n"/>
      <c r="J38" s="389" t="n"/>
      <c r="K38" s="389" t="n"/>
      <c r="L38" s="389" t="n"/>
      <c r="M38" s="389" t="n"/>
      <c r="N38" s="389" t="n"/>
      <c r="O38" s="389" t="n"/>
      <c r="P38" s="389" t="n"/>
      <c r="Q38" s="389" t="n"/>
      <c r="R38" s="389" t="n"/>
      <c r="S38" s="389" t="n"/>
      <c r="T38" s="389" t="n"/>
      <c r="U38" s="389" t="n"/>
      <c r="V38" s="389" t="n"/>
      <c r="W38" s="389" t="n"/>
      <c r="X38" s="389" t="n"/>
      <c r="Y38" s="389" t="n"/>
      <c r="Z38" s="389" t="n"/>
      <c r="AA38" s="389" t="n"/>
      <c r="AB38" s="389" t="n"/>
      <c r="AC38" s="389" t="n"/>
      <c r="AD38" s="389" t="n"/>
      <c r="AE38" s="389" t="n"/>
      <c r="AF38" s="389" t="n"/>
      <c r="AG38" s="389" t="n"/>
      <c r="AH38" s="389" t="n"/>
      <c r="AI38" s="389" t="n"/>
      <c r="AJ38" s="389" t="n"/>
      <c r="AK38" s="389" t="n"/>
      <c r="AL38" s="389" t="n"/>
      <c r="AM38" s="389" t="n"/>
    </row>
    <row r="39" outlineLevel="1" ht="15" customHeight="1">
      <c r="A39" s="69" t="inlineStr">
        <is>
          <t xml:space="preserve">      Total Received (₹)</t>
        </is>
      </c>
      <c r="B39" s="70">
        <f>IF('Final Calculation Sheet'!$AC$4="","",'Final Calculation Sheet'!$AC$4)</f>
        <v/>
      </c>
      <c r="C39" s="408">
        <f>IF('Final Calculation Sheet'!$AC$6="","",'Final Calculation Sheet'!$AC$6)</f>
        <v/>
      </c>
      <c r="D39" s="70">
        <f>IF('Final Calculation Sheet'!$AC$7="","",'Final Calculation Sheet'!$AC$7)</f>
        <v/>
      </c>
      <c r="E39" s="408">
        <f>IF('Final Calculation Sheet'!$AC$15="","",'Final Calculation Sheet'!$AC$15)</f>
        <v/>
      </c>
      <c r="F39" s="70">
        <f>IF('Final Calculation Sheet'!$AC$38="","",'Final Calculation Sheet'!$AC$38)</f>
        <v/>
      </c>
      <c r="G39" s="408">
        <f>IF('Final Calculation Sheet'!$AC$27="","",'Final Calculation Sheet'!$AC$27)</f>
        <v/>
      </c>
      <c r="H39" s="70">
        <f>IF('Final Calculation Sheet'!$AC$5="","",'Final Calculation Sheet'!$AC$5)</f>
        <v/>
      </c>
      <c r="I39" s="408">
        <f>IF('Final Calculation Sheet'!$AC$10="","",'Final Calculation Sheet'!$AC$10)</f>
        <v/>
      </c>
      <c r="J39" s="70">
        <f>IF('Final Calculation Sheet'!$AC$11="","",'Final Calculation Sheet'!$AC$11)</f>
        <v/>
      </c>
      <c r="K39" s="408">
        <f>IF('Final Calculation Sheet'!$AC$12="","",'Final Calculation Sheet'!$AC$12)</f>
        <v/>
      </c>
      <c r="L39" s="70">
        <f>IF('Final Calculation Sheet'!$AC$18="","",'Final Calculation Sheet'!$AC$18)</f>
        <v/>
      </c>
      <c r="M39" s="408">
        <f>IF('Final Calculation Sheet'!$AC$19="","",'Final Calculation Sheet'!$AC$19)</f>
        <v/>
      </c>
      <c r="N39" s="70">
        <f>IF('Final Calculation Sheet'!$AC$22="","",'Final Calculation Sheet'!$AC$22)</f>
        <v/>
      </c>
      <c r="O39" s="408">
        <f>IF('Final Calculation Sheet'!$AC$24="","",'Final Calculation Sheet'!$AC$24)</f>
        <v/>
      </c>
      <c r="P39" s="70">
        <f>IF('Final Calculation Sheet'!$AC$26="","",'Final Calculation Sheet'!$AC$26)</f>
        <v/>
      </c>
      <c r="Q39" s="408">
        <f>IF('Final Calculation Sheet'!$AC$30="","",'Final Calculation Sheet'!$AC$30)</f>
        <v/>
      </c>
      <c r="R39" s="70">
        <f>IF('Final Calculation Sheet'!$AC$32="","",'Final Calculation Sheet'!$AC$32)</f>
        <v/>
      </c>
      <c r="S39" s="408">
        <f>IF('Final Calculation Sheet'!$AC$33="","",'Final Calculation Sheet'!$AC$33)</f>
        <v/>
      </c>
      <c r="T39" s="70">
        <f>IF('Final Calculation Sheet'!$AC$37="","",'Final Calculation Sheet'!$AC$37)</f>
        <v/>
      </c>
      <c r="U39" s="408">
        <f>IF('Final Calculation Sheet'!$AC$21="","",'Final Calculation Sheet'!$AC$21)</f>
        <v/>
      </c>
      <c r="V39" s="70">
        <f>IF('Final Calculation Sheet'!$AC$8="","",'Final Calculation Sheet'!$AC$8)</f>
        <v/>
      </c>
      <c r="W39" s="408">
        <f>IF('Final Calculation Sheet'!$AC$20="","",'Final Calculation Sheet'!$AC$20)</f>
        <v/>
      </c>
      <c r="X39" s="70">
        <f>IF('Final Calculation Sheet'!$AC$39="","",'Final Calculation Sheet'!$AC$39)</f>
        <v/>
      </c>
      <c r="Y39" s="408">
        <f>IF('Final Calculation Sheet'!$AC$40="","",'Final Calculation Sheet'!$AC$40)</f>
        <v/>
      </c>
      <c r="Z39" s="70">
        <f>IF('Final Calculation Sheet'!$AC$31="","",'Final Calculation Sheet'!$AC$31)</f>
        <v/>
      </c>
      <c r="AA39" s="408">
        <f>IF('Final Calculation Sheet'!$AC$9="","",'Final Calculation Sheet'!$AC$9)</f>
        <v/>
      </c>
      <c r="AB39" s="70">
        <f>IF('Final Calculation Sheet'!$AC$14="","",'Final Calculation Sheet'!$AC$14)</f>
        <v/>
      </c>
      <c r="AC39" s="408">
        <f>IF('Final Calculation Sheet'!$AC$13="","",'Final Calculation Sheet'!$AC$13)</f>
        <v/>
      </c>
      <c r="AD39" s="70">
        <f>IF('Final Calculation Sheet'!$AC$16="","",'Final Calculation Sheet'!$AC$16)</f>
        <v/>
      </c>
      <c r="AE39" s="408">
        <f>IF('Final Calculation Sheet'!$AC$17="","",'Final Calculation Sheet'!$AC$17)</f>
        <v/>
      </c>
      <c r="AF39" s="70">
        <f>IF('Final Calculation Sheet'!$AC$23="","",'Final Calculation Sheet'!$AC$23)</f>
        <v/>
      </c>
      <c r="AG39" s="408">
        <f>IF('Final Calculation Sheet'!$AC$29="","",'Final Calculation Sheet'!$AC$29)</f>
        <v/>
      </c>
      <c r="AH39" s="70">
        <f>IF('Final Calculation Sheet'!$AC$34="","",'Final Calculation Sheet'!$AC$34)</f>
        <v/>
      </c>
      <c r="AI39" s="408">
        <f>IF('Final Calculation Sheet'!$AC$36="","",'Final Calculation Sheet'!$AC$36)</f>
        <v/>
      </c>
      <c r="AJ39" s="70">
        <f>IF('Final Calculation Sheet'!$AC$25="","",'Final Calculation Sheet'!$AC$25)</f>
        <v/>
      </c>
      <c r="AK39" s="408">
        <f>IF('Final Calculation Sheet'!$AC$28="","",'Final Calculation Sheet'!$AC$28)</f>
        <v/>
      </c>
      <c r="AL39" s="70">
        <f>IF('Final Calculation Sheet'!$AC$35="","",'Final Calculation Sheet'!$AC$35)</f>
        <v/>
      </c>
      <c r="AM39" s="414">
        <f>SUM(B39:AL39)</f>
        <v/>
      </c>
    </row>
    <row r="40" outlineLevel="1" ht="15" customHeight="1">
      <c r="A40" s="69" t="inlineStr">
        <is>
          <t xml:space="preserve">      Outstanding (₹)</t>
        </is>
      </c>
      <c r="B40" s="70">
        <f>IF('Final Calculation Sheet'!$AD$4="","",'Final Calculation Sheet'!$AD$4)</f>
        <v/>
      </c>
      <c r="C40" s="408">
        <f>IF('Final Calculation Sheet'!$AD$6="","",'Final Calculation Sheet'!$AD$6)</f>
        <v/>
      </c>
      <c r="D40" s="70">
        <f>IF('Final Calculation Sheet'!$AD$7="","",'Final Calculation Sheet'!$AD$7)</f>
        <v/>
      </c>
      <c r="E40" s="408">
        <f>IF('Final Calculation Sheet'!$AD$15="","",'Final Calculation Sheet'!$AD$15)</f>
        <v/>
      </c>
      <c r="F40" s="70">
        <f>IF('Final Calculation Sheet'!$AD$38="","",'Final Calculation Sheet'!$AD$38)</f>
        <v/>
      </c>
      <c r="G40" s="408">
        <f>IF('Final Calculation Sheet'!$AD$27="","",'Final Calculation Sheet'!$AD$27)</f>
        <v/>
      </c>
      <c r="H40" s="70">
        <f>IF('Final Calculation Sheet'!$AD$5="","",'Final Calculation Sheet'!$AD$5)</f>
        <v/>
      </c>
      <c r="I40" s="408">
        <f>IF('Final Calculation Sheet'!$AD$10="","",'Final Calculation Sheet'!$AD$10)</f>
        <v/>
      </c>
      <c r="J40" s="70">
        <f>IF('Final Calculation Sheet'!$AD$11="","",'Final Calculation Sheet'!$AD$11)</f>
        <v/>
      </c>
      <c r="K40" s="408">
        <f>IF('Final Calculation Sheet'!$AD$12="","",'Final Calculation Sheet'!$AD$12)</f>
        <v/>
      </c>
      <c r="L40" s="70">
        <f>IF('Final Calculation Sheet'!$AD$18="","",'Final Calculation Sheet'!$AD$18)</f>
        <v/>
      </c>
      <c r="M40" s="408">
        <f>IF('Final Calculation Sheet'!$AD$19="","",'Final Calculation Sheet'!$AD$19)</f>
        <v/>
      </c>
      <c r="N40" s="70">
        <f>IF('Final Calculation Sheet'!$AD$22="","",'Final Calculation Sheet'!$AD$22)</f>
        <v/>
      </c>
      <c r="O40" s="408">
        <f>IF('Final Calculation Sheet'!$AD$24="","",'Final Calculation Sheet'!$AD$24)</f>
        <v/>
      </c>
      <c r="P40" s="70">
        <f>IF('Final Calculation Sheet'!$AD$26="","",'Final Calculation Sheet'!$AD$26)</f>
        <v/>
      </c>
      <c r="Q40" s="408">
        <f>IF('Final Calculation Sheet'!$AD$30="","",'Final Calculation Sheet'!$AD$30)</f>
        <v/>
      </c>
      <c r="R40" s="70">
        <f>IF('Final Calculation Sheet'!$AD$32="","",'Final Calculation Sheet'!$AD$32)</f>
        <v/>
      </c>
      <c r="S40" s="408">
        <f>IF('Final Calculation Sheet'!$AD$33="","",'Final Calculation Sheet'!$AD$33)</f>
        <v/>
      </c>
      <c r="T40" s="70">
        <f>IF('Final Calculation Sheet'!$AD$37="","",'Final Calculation Sheet'!$AD$37)</f>
        <v/>
      </c>
      <c r="U40" s="408">
        <f>IF('Final Calculation Sheet'!$AD$21="","",'Final Calculation Sheet'!$AD$21)</f>
        <v/>
      </c>
      <c r="V40" s="70">
        <f>IF('Final Calculation Sheet'!$AD$8="","",'Final Calculation Sheet'!$AD$8)</f>
        <v/>
      </c>
      <c r="W40" s="408">
        <f>IF('Final Calculation Sheet'!$AD$20="","",'Final Calculation Sheet'!$AD$20)</f>
        <v/>
      </c>
      <c r="X40" s="70">
        <f>IF('Final Calculation Sheet'!$AD$39="","",'Final Calculation Sheet'!$AD$39)</f>
        <v/>
      </c>
      <c r="Y40" s="408">
        <f>IF('Final Calculation Sheet'!$AD$40="","",'Final Calculation Sheet'!$AD$40)</f>
        <v/>
      </c>
      <c r="Z40" s="70">
        <f>IF('Final Calculation Sheet'!$AD$31="","",'Final Calculation Sheet'!$AD$31)</f>
        <v/>
      </c>
      <c r="AA40" s="408">
        <f>IF('Final Calculation Sheet'!$AD$9="","",'Final Calculation Sheet'!$AD$9)</f>
        <v/>
      </c>
      <c r="AB40" s="70">
        <f>IF('Final Calculation Sheet'!$AD$14="","",'Final Calculation Sheet'!$AD$14)</f>
        <v/>
      </c>
      <c r="AC40" s="408">
        <f>IF('Final Calculation Sheet'!$AD$13="","",'Final Calculation Sheet'!$AD$13)</f>
        <v/>
      </c>
      <c r="AD40" s="70">
        <f>IF('Final Calculation Sheet'!$AD$16="","",'Final Calculation Sheet'!$AD$16)</f>
        <v/>
      </c>
      <c r="AE40" s="408">
        <f>IF('Final Calculation Sheet'!$AD$17="","",'Final Calculation Sheet'!$AD$17)</f>
        <v/>
      </c>
      <c r="AF40" s="70">
        <f>IF('Final Calculation Sheet'!$AD$23="","",'Final Calculation Sheet'!$AD$23)</f>
        <v/>
      </c>
      <c r="AG40" s="408">
        <f>IF('Final Calculation Sheet'!$AD$29="","",'Final Calculation Sheet'!$AD$29)</f>
        <v/>
      </c>
      <c r="AH40" s="70">
        <f>IF('Final Calculation Sheet'!$AD$34="","",'Final Calculation Sheet'!$AD$34)</f>
        <v/>
      </c>
      <c r="AI40" s="408">
        <f>IF('Final Calculation Sheet'!$AD$36="","",'Final Calculation Sheet'!$AD$36)</f>
        <v/>
      </c>
      <c r="AJ40" s="70">
        <f>IF('Final Calculation Sheet'!$AD$25="","",'Final Calculation Sheet'!$AD$25)</f>
        <v/>
      </c>
      <c r="AK40" s="408">
        <f>IF('Final Calculation Sheet'!$AD$28="","",'Final Calculation Sheet'!$AD$28)</f>
        <v/>
      </c>
      <c r="AL40" s="70">
        <f>IF('Final Calculation Sheet'!$AD$35="","",'Final Calculation Sheet'!$AD$35)</f>
        <v/>
      </c>
      <c r="AM40" s="414">
        <f>SUM(B40:AL40)</f>
        <v/>
      </c>
    </row>
    <row r="41" outlineLevel="1" ht="15" customHeight="1">
      <c r="A41" s="69" t="inlineStr">
        <is>
          <t xml:space="preserve">      Payment Status</t>
        </is>
      </c>
      <c r="B41" s="81">
        <f>IF('Final Calculation Sheet'!$AD$4="","",IF('Final Calculation Sheet'!$AD$4&lt;=0,"SETTLED","OUTSTANDING"))</f>
        <v/>
      </c>
      <c r="C41" s="422">
        <f>IF('Final Calculation Sheet'!$AD$6="","",IF('Final Calculation Sheet'!$AD$6&lt;=0,"SETTLED","OUTSTANDING"))</f>
        <v/>
      </c>
      <c r="D41" s="81">
        <f>IF('Final Calculation Sheet'!$AD$7="","",IF('Final Calculation Sheet'!$AD$7&lt;=0,"SETTLED","OUTSTANDING"))</f>
        <v/>
      </c>
      <c r="E41" s="422">
        <f>IF('Final Calculation Sheet'!$AD$15="","",IF('Final Calculation Sheet'!$AD$15&lt;=0,"SETTLED","OUTSTANDING"))</f>
        <v/>
      </c>
      <c r="F41" s="81">
        <f>IF('Final Calculation Sheet'!$AD$38="","",IF('Final Calculation Sheet'!$AD$38&lt;=0,"SETTLED","OUTSTANDING"))</f>
        <v/>
      </c>
      <c r="G41" s="422">
        <f>IF('Final Calculation Sheet'!$AD$27="","",IF('Final Calculation Sheet'!$AD$27&lt;=0,"SETTLED","OUTSTANDING"))</f>
        <v/>
      </c>
      <c r="H41" s="81">
        <f>IF('Final Calculation Sheet'!$AD$5="","",IF('Final Calculation Sheet'!$AD$5&lt;=0,"SETTLED","OUTSTANDING"))</f>
        <v/>
      </c>
      <c r="I41" s="422">
        <f>IF('Final Calculation Sheet'!$AD$10="","",IF('Final Calculation Sheet'!$AD$10&lt;=0,"SETTLED","OUTSTANDING"))</f>
        <v/>
      </c>
      <c r="J41" s="81">
        <f>IF('Final Calculation Sheet'!$AD$11="","",IF('Final Calculation Sheet'!$AD$11&lt;=0,"SETTLED","OUTSTANDING"))</f>
        <v/>
      </c>
      <c r="K41" s="422">
        <f>IF('Final Calculation Sheet'!$AD$12="","",IF('Final Calculation Sheet'!$AD$12&lt;=0,"SETTLED","OUTSTANDING"))</f>
        <v/>
      </c>
      <c r="L41" s="81">
        <f>IF('Final Calculation Sheet'!$AD$18="","",IF('Final Calculation Sheet'!$AD$18&lt;=0,"SETTLED","OUTSTANDING"))</f>
        <v/>
      </c>
      <c r="M41" s="422">
        <f>IF('Final Calculation Sheet'!$AD$19="","",IF('Final Calculation Sheet'!$AD$19&lt;=0,"SETTLED","OUTSTANDING"))</f>
        <v/>
      </c>
      <c r="N41" s="81">
        <f>IF('Final Calculation Sheet'!$AD$22="","",IF('Final Calculation Sheet'!$AD$22&lt;=0,"SETTLED","OUTSTANDING"))</f>
        <v/>
      </c>
      <c r="O41" s="422">
        <f>IF('Final Calculation Sheet'!$AD$24="","",IF('Final Calculation Sheet'!$AD$24&lt;=0,"SETTLED","OUTSTANDING"))</f>
        <v/>
      </c>
      <c r="P41" s="81">
        <f>IF('Final Calculation Sheet'!$AD$26="","",IF('Final Calculation Sheet'!$AD$26&lt;=0,"SETTLED","OUTSTANDING"))</f>
        <v/>
      </c>
      <c r="Q41" s="422">
        <f>IF('Final Calculation Sheet'!$AD$30="","",IF('Final Calculation Sheet'!$AD$30&lt;=0,"SETTLED","OUTSTANDING"))</f>
        <v/>
      </c>
      <c r="R41" s="81">
        <f>IF('Final Calculation Sheet'!$AD$32="","",IF('Final Calculation Sheet'!$AD$32&lt;=0,"SETTLED","OUTSTANDING"))</f>
        <v/>
      </c>
      <c r="S41" s="422">
        <f>IF('Final Calculation Sheet'!$AD$33="","",IF('Final Calculation Sheet'!$AD$33&lt;=0,"SETTLED","OUTSTANDING"))</f>
        <v/>
      </c>
      <c r="T41" s="81">
        <f>IF('Final Calculation Sheet'!$AD$37="","",IF('Final Calculation Sheet'!$AD$37&lt;=0,"SETTLED","OUTSTANDING"))</f>
        <v/>
      </c>
      <c r="U41" s="422">
        <f>IF('Final Calculation Sheet'!$AD$21="","",IF('Final Calculation Sheet'!$AD$21&lt;=0,"SETTLED","OUTSTANDING"))</f>
        <v/>
      </c>
      <c r="V41" s="81">
        <f>IF('Final Calculation Sheet'!$AD$8="","",IF('Final Calculation Sheet'!$AD$8&lt;=0,"SETTLED","OUTSTANDING"))</f>
        <v/>
      </c>
      <c r="W41" s="422">
        <f>IF('Final Calculation Sheet'!$AD$20="","",IF('Final Calculation Sheet'!$AD$20&lt;=0,"SETTLED","OUTSTANDING"))</f>
        <v/>
      </c>
      <c r="X41" s="81">
        <f>IF('Final Calculation Sheet'!$AD$39="","",IF('Final Calculation Sheet'!$AD$39&lt;=0,"SETTLED","OUTSTANDING"))</f>
        <v/>
      </c>
      <c r="Y41" s="422">
        <f>IF('Final Calculation Sheet'!$AD$40="","",IF('Final Calculation Sheet'!$AD$40&lt;=0,"SETTLED","OUTSTANDING"))</f>
        <v/>
      </c>
      <c r="Z41" s="81">
        <f>IF('Final Calculation Sheet'!$AD$31="","",IF('Final Calculation Sheet'!$AD$31&lt;=0,"SETTLED","OUTSTANDING"))</f>
        <v/>
      </c>
      <c r="AA41" s="422">
        <f>IF('Final Calculation Sheet'!$AD$9="","",IF('Final Calculation Sheet'!$AD$9&lt;=0,"SETTLED","OUTSTANDING"))</f>
        <v/>
      </c>
      <c r="AB41" s="81">
        <f>IF('Final Calculation Sheet'!$AD$14="","",IF('Final Calculation Sheet'!$AD$14&lt;=0,"SETTLED","OUTSTANDING"))</f>
        <v/>
      </c>
      <c r="AC41" s="422">
        <f>IF('Final Calculation Sheet'!$AD$13="","",IF('Final Calculation Sheet'!$AD$13&lt;=0,"SETTLED","OUTSTANDING"))</f>
        <v/>
      </c>
      <c r="AD41" s="81">
        <f>IF('Final Calculation Sheet'!$AD$16="","",IF('Final Calculation Sheet'!$AD$16&lt;=0,"SETTLED","OUTSTANDING"))</f>
        <v/>
      </c>
      <c r="AE41" s="422">
        <f>IF('Final Calculation Sheet'!$AD$17="","",IF('Final Calculation Sheet'!$AD$17&lt;=0,"SETTLED","OUTSTANDING"))</f>
        <v/>
      </c>
      <c r="AF41" s="81">
        <f>IF('Final Calculation Sheet'!$AD$23="","",IF('Final Calculation Sheet'!$AD$23&lt;=0,"SETTLED","OUTSTANDING"))</f>
        <v/>
      </c>
      <c r="AG41" s="422">
        <f>IF('Final Calculation Sheet'!$AD$29="","",IF('Final Calculation Sheet'!$AD$29&lt;=0,"SETTLED","OUTSTANDING"))</f>
        <v/>
      </c>
      <c r="AH41" s="81">
        <f>IF('Final Calculation Sheet'!$AD$34="","",IF('Final Calculation Sheet'!$AD$34&lt;=0,"SETTLED","OUTSTANDING"))</f>
        <v/>
      </c>
      <c r="AI41" s="422">
        <f>IF('Final Calculation Sheet'!$AD$36="","",IF('Final Calculation Sheet'!$AD$36&lt;=0,"SETTLED","OUTSTANDING"))</f>
        <v/>
      </c>
      <c r="AJ41" s="81">
        <f>IF('Final Calculation Sheet'!$AD$25="","",IF('Final Calculation Sheet'!$AD$25&lt;=0,"SETTLED","OUTSTANDING"))</f>
        <v/>
      </c>
      <c r="AK41" s="422">
        <f>IF('Final Calculation Sheet'!$AD$28="","",IF('Final Calculation Sheet'!$AD$28&lt;=0,"SETTLED","OUTSTANDING"))</f>
        <v/>
      </c>
      <c r="AL41" s="81">
        <f>IF('Final Calculation Sheet'!$AD$35="","",IF('Final Calculation Sheet'!$AD$35&lt;=0,"SETTLED","OUTSTANDING"))</f>
        <v/>
      </c>
      <c r="AM41" s="72" t="inlineStr">
        <is>
          <t>–</t>
        </is>
      </c>
    </row>
    <row r="42" ht="17" customHeight="1">
      <c r="A42" s="423" t="inlineStr">
        <is>
          <t xml:space="preserve">  ▸ DOCUMENT</t>
        </is>
      </c>
      <c r="B42" s="390" t="n"/>
      <c r="C42" s="390" t="n"/>
      <c r="D42" s="390" t="n"/>
      <c r="E42" s="390" t="n"/>
      <c r="F42" s="390" t="n"/>
      <c r="G42" s="390" t="n"/>
      <c r="H42" s="390" t="n"/>
      <c r="I42" s="390" t="n"/>
      <c r="J42" s="390" t="n"/>
      <c r="K42" s="390" t="n"/>
      <c r="L42" s="390" t="n"/>
      <c r="M42" s="390" t="n"/>
      <c r="N42" s="390" t="n"/>
      <c r="O42" s="390" t="n"/>
      <c r="P42" s="390" t="n"/>
      <c r="Q42" s="390" t="n"/>
      <c r="R42" s="390" t="n"/>
      <c r="S42" s="390" t="n"/>
      <c r="T42" s="390" t="n"/>
      <c r="U42" s="390" t="n"/>
      <c r="V42" s="390" t="n"/>
      <c r="W42" s="390" t="n"/>
      <c r="X42" s="390" t="n"/>
      <c r="Y42" s="390" t="n"/>
      <c r="Z42" s="390" t="n"/>
      <c r="AA42" s="390" t="n"/>
      <c r="AB42" s="390" t="n"/>
      <c r="AC42" s="390" t="n"/>
      <c r="AD42" s="390" t="n"/>
      <c r="AE42" s="390" t="n"/>
      <c r="AF42" s="390" t="n"/>
      <c r="AG42" s="390" t="n"/>
      <c r="AH42" s="390" t="n"/>
      <c r="AI42" s="390" t="n"/>
      <c r="AJ42" s="390" t="n"/>
      <c r="AK42" s="390" t="n"/>
      <c r="AL42" s="390" t="n"/>
      <c r="AM42" s="390" t="n"/>
    </row>
    <row r="43" outlineLevel="1" ht="15" customHeight="1">
      <c r="A43" s="69" t="inlineStr">
        <is>
          <t xml:space="preserve">      Invoice No.</t>
        </is>
      </c>
      <c r="B43" s="76">
        <f>IF('Final Calculation Sheet'!$AE$4="","",'Final Calculation Sheet'!$AE$4)</f>
        <v/>
      </c>
      <c r="C43" s="412">
        <f>IF('Final Calculation Sheet'!$AE$6="","",'Final Calculation Sheet'!$AE$6)</f>
        <v/>
      </c>
      <c r="D43" s="76">
        <f>IF('Final Calculation Sheet'!$AE$7="","",'Final Calculation Sheet'!$AE$7)</f>
        <v/>
      </c>
      <c r="E43" s="412">
        <f>IF('Final Calculation Sheet'!$AE$15="","",'Final Calculation Sheet'!$AE$15)</f>
        <v/>
      </c>
      <c r="F43" s="76">
        <f>IF('Final Calculation Sheet'!$AE$38="","",'Final Calculation Sheet'!$AE$38)</f>
        <v/>
      </c>
      <c r="G43" s="412">
        <f>IF('Final Calculation Sheet'!$AE$27="","",'Final Calculation Sheet'!$AE$27)</f>
        <v/>
      </c>
      <c r="H43" s="76">
        <f>IF('Final Calculation Sheet'!$AE$5="","",'Final Calculation Sheet'!$AE$5)</f>
        <v/>
      </c>
      <c r="I43" s="412">
        <f>IF('Final Calculation Sheet'!$AE$10="","",'Final Calculation Sheet'!$AE$10)</f>
        <v/>
      </c>
      <c r="J43" s="76">
        <f>IF('Final Calculation Sheet'!$AE$11="","",'Final Calculation Sheet'!$AE$11)</f>
        <v/>
      </c>
      <c r="K43" s="412">
        <f>IF('Final Calculation Sheet'!$AE$12="","",'Final Calculation Sheet'!$AE$12)</f>
        <v/>
      </c>
      <c r="L43" s="76">
        <f>IF('Final Calculation Sheet'!$AE$18="","",'Final Calculation Sheet'!$AE$18)</f>
        <v/>
      </c>
      <c r="M43" s="412">
        <f>IF('Final Calculation Sheet'!$AE$19="","",'Final Calculation Sheet'!$AE$19)</f>
        <v/>
      </c>
      <c r="N43" s="76">
        <f>IF('Final Calculation Sheet'!$AE$22="","",'Final Calculation Sheet'!$AE$22)</f>
        <v/>
      </c>
      <c r="O43" s="412">
        <f>IF('Final Calculation Sheet'!$AE$24="","",'Final Calculation Sheet'!$AE$24)</f>
        <v/>
      </c>
      <c r="P43" s="76">
        <f>IF('Final Calculation Sheet'!$AE$26="","",'Final Calculation Sheet'!$AE$26)</f>
        <v/>
      </c>
      <c r="Q43" s="412">
        <f>IF('Final Calculation Sheet'!$AE$30="","",'Final Calculation Sheet'!$AE$30)</f>
        <v/>
      </c>
      <c r="R43" s="76">
        <f>IF('Final Calculation Sheet'!$AE$32="","",'Final Calculation Sheet'!$AE$32)</f>
        <v/>
      </c>
      <c r="S43" s="412">
        <f>IF('Final Calculation Sheet'!$AE$33="","",'Final Calculation Sheet'!$AE$33)</f>
        <v/>
      </c>
      <c r="T43" s="76">
        <f>IF('Final Calculation Sheet'!$AE$37="","",'Final Calculation Sheet'!$AE$37)</f>
        <v/>
      </c>
      <c r="U43" s="412">
        <f>IF('Final Calculation Sheet'!$AE$21="","",'Final Calculation Sheet'!$AE$21)</f>
        <v/>
      </c>
      <c r="V43" s="76">
        <f>IF('Final Calculation Sheet'!$AE$8="","",'Final Calculation Sheet'!$AE$8)</f>
        <v/>
      </c>
      <c r="W43" s="412">
        <f>IF('Final Calculation Sheet'!$AE$20="","",'Final Calculation Sheet'!$AE$20)</f>
        <v/>
      </c>
      <c r="X43" s="76">
        <f>IF('Final Calculation Sheet'!$AE$39="","",'Final Calculation Sheet'!$AE$39)</f>
        <v/>
      </c>
      <c r="Y43" s="412">
        <f>IF('Final Calculation Sheet'!$AE$40="","",'Final Calculation Sheet'!$AE$40)</f>
        <v/>
      </c>
      <c r="Z43" s="76">
        <f>IF('Final Calculation Sheet'!$AE$31="","",'Final Calculation Sheet'!$AE$31)</f>
        <v/>
      </c>
      <c r="AA43" s="412">
        <f>IF('Final Calculation Sheet'!$AE$9="","",'Final Calculation Sheet'!$AE$9)</f>
        <v/>
      </c>
      <c r="AB43" s="76">
        <f>IF('Final Calculation Sheet'!$AE$14="","",'Final Calculation Sheet'!$AE$14)</f>
        <v/>
      </c>
      <c r="AC43" s="412">
        <f>IF('Final Calculation Sheet'!$AE$13="","",'Final Calculation Sheet'!$AE$13)</f>
        <v/>
      </c>
      <c r="AD43" s="76">
        <f>IF('Final Calculation Sheet'!$AE$16="","",'Final Calculation Sheet'!$AE$16)</f>
        <v/>
      </c>
      <c r="AE43" s="412">
        <f>IF('Final Calculation Sheet'!$AE$17="","",'Final Calculation Sheet'!$AE$17)</f>
        <v/>
      </c>
      <c r="AF43" s="76">
        <f>IF('Final Calculation Sheet'!$AE$23="","",'Final Calculation Sheet'!$AE$23)</f>
        <v/>
      </c>
      <c r="AG43" s="412">
        <f>IF('Final Calculation Sheet'!$AE$29="","",'Final Calculation Sheet'!$AE$29)</f>
        <v/>
      </c>
      <c r="AH43" s="76">
        <f>IF('Final Calculation Sheet'!$AE$34="","",'Final Calculation Sheet'!$AE$34)</f>
        <v/>
      </c>
      <c r="AI43" s="412">
        <f>IF('Final Calculation Sheet'!$AE$36="","",'Final Calculation Sheet'!$AE$36)</f>
        <v/>
      </c>
      <c r="AJ43" s="76">
        <f>IF('Final Calculation Sheet'!$AE$25="","",'Final Calculation Sheet'!$AE$25)</f>
        <v/>
      </c>
      <c r="AK43" s="412">
        <f>IF('Final Calculation Sheet'!$AE$28="","",'Final Calculation Sheet'!$AE$28)</f>
        <v/>
      </c>
      <c r="AL43" s="76">
        <f>IF('Final Calculation Sheet'!$AE$35="","",'Final Calculation Sheet'!$AE$35)</f>
        <v/>
      </c>
      <c r="AM43" s="72" t="inlineStr">
        <is>
          <t>–</t>
        </is>
      </c>
    </row>
    <row r="44" outlineLevel="1" ht="15" customHeight="1">
      <c r="A44" s="69" t="inlineStr">
        <is>
          <t xml:space="preserve">      SAP Document</t>
        </is>
      </c>
      <c r="B44" s="70">
        <f>IF('Final Calculation Sheet'!$AF$4="","",'Final Calculation Sheet'!$AF$4)</f>
        <v/>
      </c>
      <c r="C44" s="408">
        <f>IF('Final Calculation Sheet'!$AF$6="","",'Final Calculation Sheet'!$AF$6)</f>
        <v/>
      </c>
      <c r="D44" s="70">
        <f>IF('Final Calculation Sheet'!$AF$7="","",'Final Calculation Sheet'!$AF$7)</f>
        <v/>
      </c>
      <c r="E44" s="408">
        <f>IF('Final Calculation Sheet'!$AF$15="","",'Final Calculation Sheet'!$AF$15)</f>
        <v/>
      </c>
      <c r="F44" s="70">
        <f>IF('Final Calculation Sheet'!$AF$38="","",'Final Calculation Sheet'!$AF$38)</f>
        <v/>
      </c>
      <c r="G44" s="408">
        <f>IF('Final Calculation Sheet'!$AF$27="","",'Final Calculation Sheet'!$AF$27)</f>
        <v/>
      </c>
      <c r="H44" s="70">
        <f>IF('Final Calculation Sheet'!$AF$5="","",'Final Calculation Sheet'!$AF$5)</f>
        <v/>
      </c>
      <c r="I44" s="408">
        <f>IF('Final Calculation Sheet'!$AF$10="","",'Final Calculation Sheet'!$AF$10)</f>
        <v/>
      </c>
      <c r="J44" s="70">
        <f>IF('Final Calculation Sheet'!$AF$11="","",'Final Calculation Sheet'!$AF$11)</f>
        <v/>
      </c>
      <c r="K44" s="408">
        <f>IF('Final Calculation Sheet'!$AF$12="","",'Final Calculation Sheet'!$AF$12)</f>
        <v/>
      </c>
      <c r="L44" s="70">
        <f>IF('Final Calculation Sheet'!$AF$18="","",'Final Calculation Sheet'!$AF$18)</f>
        <v/>
      </c>
      <c r="M44" s="408">
        <f>IF('Final Calculation Sheet'!$AF$19="","",'Final Calculation Sheet'!$AF$19)</f>
        <v/>
      </c>
      <c r="N44" s="70">
        <f>IF('Final Calculation Sheet'!$AF$22="","",'Final Calculation Sheet'!$AF$22)</f>
        <v/>
      </c>
      <c r="O44" s="408">
        <f>IF('Final Calculation Sheet'!$AF$24="","",'Final Calculation Sheet'!$AF$24)</f>
        <v/>
      </c>
      <c r="P44" s="70">
        <f>IF('Final Calculation Sheet'!$AF$26="","",'Final Calculation Sheet'!$AF$26)</f>
        <v/>
      </c>
      <c r="Q44" s="408">
        <f>IF('Final Calculation Sheet'!$AF$30="","",'Final Calculation Sheet'!$AF$30)</f>
        <v/>
      </c>
      <c r="R44" s="70">
        <f>IF('Final Calculation Sheet'!$AF$32="","",'Final Calculation Sheet'!$AF$32)</f>
        <v/>
      </c>
      <c r="S44" s="408">
        <f>IF('Final Calculation Sheet'!$AF$33="","",'Final Calculation Sheet'!$AF$33)</f>
        <v/>
      </c>
      <c r="T44" s="70">
        <f>IF('Final Calculation Sheet'!$AF$37="","",'Final Calculation Sheet'!$AF$37)</f>
        <v/>
      </c>
      <c r="U44" s="408">
        <f>IF('Final Calculation Sheet'!$AF$21="","",'Final Calculation Sheet'!$AF$21)</f>
        <v/>
      </c>
      <c r="V44" s="70">
        <f>IF('Final Calculation Sheet'!$AF$8="","",'Final Calculation Sheet'!$AF$8)</f>
        <v/>
      </c>
      <c r="W44" s="408">
        <f>IF('Final Calculation Sheet'!$AF$20="","",'Final Calculation Sheet'!$AF$20)</f>
        <v/>
      </c>
      <c r="X44" s="70">
        <f>IF('Final Calculation Sheet'!$AF$39="","",'Final Calculation Sheet'!$AF$39)</f>
        <v/>
      </c>
      <c r="Y44" s="408">
        <f>IF('Final Calculation Sheet'!$AF$40="","",'Final Calculation Sheet'!$AF$40)</f>
        <v/>
      </c>
      <c r="Z44" s="70">
        <f>IF('Final Calculation Sheet'!$AF$31="","",'Final Calculation Sheet'!$AF$31)</f>
        <v/>
      </c>
      <c r="AA44" s="408">
        <f>IF('Final Calculation Sheet'!$AF$9="","",'Final Calculation Sheet'!$AF$9)</f>
        <v/>
      </c>
      <c r="AB44" s="70">
        <f>IF('Final Calculation Sheet'!$AF$14="","",'Final Calculation Sheet'!$AF$14)</f>
        <v/>
      </c>
      <c r="AC44" s="408">
        <f>IF('Final Calculation Sheet'!$AF$13="","",'Final Calculation Sheet'!$AF$13)</f>
        <v/>
      </c>
      <c r="AD44" s="70">
        <f>IF('Final Calculation Sheet'!$AF$16="","",'Final Calculation Sheet'!$AF$16)</f>
        <v/>
      </c>
      <c r="AE44" s="408">
        <f>IF('Final Calculation Sheet'!$AF$17="","",'Final Calculation Sheet'!$AF$17)</f>
        <v/>
      </c>
      <c r="AF44" s="70">
        <f>IF('Final Calculation Sheet'!$AF$23="","",'Final Calculation Sheet'!$AF$23)</f>
        <v/>
      </c>
      <c r="AG44" s="408">
        <f>IF('Final Calculation Sheet'!$AF$29="","",'Final Calculation Sheet'!$AF$29)</f>
        <v/>
      </c>
      <c r="AH44" s="70">
        <f>IF('Final Calculation Sheet'!$AF$34="","",'Final Calculation Sheet'!$AF$34)</f>
        <v/>
      </c>
      <c r="AI44" s="408">
        <f>IF('Final Calculation Sheet'!$AF$36="","",'Final Calculation Sheet'!$AF$36)</f>
        <v/>
      </c>
      <c r="AJ44" s="70">
        <f>IF('Final Calculation Sheet'!$AF$25="","",'Final Calculation Sheet'!$AF$25)</f>
        <v/>
      </c>
      <c r="AK44" s="408">
        <f>IF('Final Calculation Sheet'!$AF$28="","",'Final Calculation Sheet'!$AF$28)</f>
        <v/>
      </c>
      <c r="AL44" s="70">
        <f>IF('Final Calculation Sheet'!$AF$35="","",'Final Calculation Sheet'!$AF$35)</f>
        <v/>
      </c>
      <c r="AM44" s="72" t="inlineStr">
        <is>
          <t>–</t>
        </is>
      </c>
    </row>
    <row r="45" outlineLevel="1" ht="15" customHeight="1">
      <c r="A45" s="69" t="inlineStr">
        <is>
          <t xml:space="preserve">      Doc./Invoice Date</t>
        </is>
      </c>
      <c r="B45" s="76">
        <f>IF('Final Calculation Sheet'!$AG$4="","",'Final Calculation Sheet'!$AG$4)</f>
        <v/>
      </c>
      <c r="C45" s="412">
        <f>IF('Final Calculation Sheet'!$AG$6="","",'Final Calculation Sheet'!$AG$6)</f>
        <v/>
      </c>
      <c r="D45" s="76">
        <f>IF('Final Calculation Sheet'!$AG$7="","",'Final Calculation Sheet'!$AG$7)</f>
        <v/>
      </c>
      <c r="E45" s="412">
        <f>IF('Final Calculation Sheet'!$AG$15="","",'Final Calculation Sheet'!$AG$15)</f>
        <v/>
      </c>
      <c r="F45" s="76">
        <f>IF('Final Calculation Sheet'!$AG$38="","",'Final Calculation Sheet'!$AG$38)</f>
        <v/>
      </c>
      <c r="G45" s="412">
        <f>IF('Final Calculation Sheet'!$AG$27="","",'Final Calculation Sheet'!$AG$27)</f>
        <v/>
      </c>
      <c r="H45" s="76">
        <f>IF('Final Calculation Sheet'!$AG$5="","",'Final Calculation Sheet'!$AG$5)</f>
        <v/>
      </c>
      <c r="I45" s="412">
        <f>IF('Final Calculation Sheet'!$AG$10="","",'Final Calculation Sheet'!$AG$10)</f>
        <v/>
      </c>
      <c r="J45" s="76">
        <f>IF('Final Calculation Sheet'!$AG$11="","",'Final Calculation Sheet'!$AG$11)</f>
        <v/>
      </c>
      <c r="K45" s="412">
        <f>IF('Final Calculation Sheet'!$AG$12="","",'Final Calculation Sheet'!$AG$12)</f>
        <v/>
      </c>
      <c r="L45" s="76">
        <f>IF('Final Calculation Sheet'!$AG$18="","",'Final Calculation Sheet'!$AG$18)</f>
        <v/>
      </c>
      <c r="M45" s="412">
        <f>IF('Final Calculation Sheet'!$AG$19="","",'Final Calculation Sheet'!$AG$19)</f>
        <v/>
      </c>
      <c r="N45" s="76">
        <f>IF('Final Calculation Sheet'!$AG$22="","",'Final Calculation Sheet'!$AG$22)</f>
        <v/>
      </c>
      <c r="O45" s="412">
        <f>IF('Final Calculation Sheet'!$AG$24="","",'Final Calculation Sheet'!$AG$24)</f>
        <v/>
      </c>
      <c r="P45" s="76">
        <f>IF('Final Calculation Sheet'!$AG$26="","",'Final Calculation Sheet'!$AG$26)</f>
        <v/>
      </c>
      <c r="Q45" s="412">
        <f>IF('Final Calculation Sheet'!$AG$30="","",'Final Calculation Sheet'!$AG$30)</f>
        <v/>
      </c>
      <c r="R45" s="76">
        <f>IF('Final Calculation Sheet'!$AG$32="","",'Final Calculation Sheet'!$AG$32)</f>
        <v/>
      </c>
      <c r="S45" s="412">
        <f>IF('Final Calculation Sheet'!$AG$33="","",'Final Calculation Sheet'!$AG$33)</f>
        <v/>
      </c>
      <c r="T45" s="76">
        <f>IF('Final Calculation Sheet'!$AG$37="","",'Final Calculation Sheet'!$AG$37)</f>
        <v/>
      </c>
      <c r="U45" s="412">
        <f>IF('Final Calculation Sheet'!$AG$21="","",'Final Calculation Sheet'!$AG$21)</f>
        <v/>
      </c>
      <c r="V45" s="76">
        <f>IF('Final Calculation Sheet'!$AG$8="","",'Final Calculation Sheet'!$AG$8)</f>
        <v/>
      </c>
      <c r="W45" s="412">
        <f>IF('Final Calculation Sheet'!$AG$20="","",'Final Calculation Sheet'!$AG$20)</f>
        <v/>
      </c>
      <c r="X45" s="76">
        <f>IF('Final Calculation Sheet'!$AG$39="","",'Final Calculation Sheet'!$AG$39)</f>
        <v/>
      </c>
      <c r="Y45" s="412">
        <f>IF('Final Calculation Sheet'!$AG$40="","",'Final Calculation Sheet'!$AG$40)</f>
        <v/>
      </c>
      <c r="Z45" s="76">
        <f>IF('Final Calculation Sheet'!$AG$31="","",'Final Calculation Sheet'!$AG$31)</f>
        <v/>
      </c>
      <c r="AA45" s="412">
        <f>IF('Final Calculation Sheet'!$AG$9="","",'Final Calculation Sheet'!$AG$9)</f>
        <v/>
      </c>
      <c r="AB45" s="76">
        <f>IF('Final Calculation Sheet'!$AG$14="","",'Final Calculation Sheet'!$AG$14)</f>
        <v/>
      </c>
      <c r="AC45" s="412">
        <f>IF('Final Calculation Sheet'!$AG$13="","",'Final Calculation Sheet'!$AG$13)</f>
        <v/>
      </c>
      <c r="AD45" s="76">
        <f>IF('Final Calculation Sheet'!$AG$16="","",'Final Calculation Sheet'!$AG$16)</f>
        <v/>
      </c>
      <c r="AE45" s="412">
        <f>IF('Final Calculation Sheet'!$AG$17="","",'Final Calculation Sheet'!$AG$17)</f>
        <v/>
      </c>
      <c r="AF45" s="76">
        <f>IF('Final Calculation Sheet'!$AG$23="","",'Final Calculation Sheet'!$AG$23)</f>
        <v/>
      </c>
      <c r="AG45" s="412">
        <f>IF('Final Calculation Sheet'!$AG$29="","",'Final Calculation Sheet'!$AG$29)</f>
        <v/>
      </c>
      <c r="AH45" s="76">
        <f>IF('Final Calculation Sheet'!$AG$34="","",'Final Calculation Sheet'!$AG$34)</f>
        <v/>
      </c>
      <c r="AI45" s="412">
        <f>IF('Final Calculation Sheet'!$AG$36="","",'Final Calculation Sheet'!$AG$36)</f>
        <v/>
      </c>
      <c r="AJ45" s="76">
        <f>IF('Final Calculation Sheet'!$AG$25="","",'Final Calculation Sheet'!$AG$25)</f>
        <v/>
      </c>
      <c r="AK45" s="412">
        <f>IF('Final Calculation Sheet'!$AG$28="","",'Final Calculation Sheet'!$AG$28)</f>
        <v/>
      </c>
      <c r="AL45" s="76">
        <f>IF('Final Calculation Sheet'!$AG$35="","",'Final Calculation Sheet'!$AG$35)</f>
        <v/>
      </c>
      <c r="AM45" s="72" t="inlineStr">
        <is>
          <t>–</t>
        </is>
      </c>
    </row>
  </sheetData>
  <autoFilter ref="A5:AM45"/>
  <mergeCells count="9">
    <mergeCell ref="AA3:AB3"/>
    <mergeCell ref="A1:AM1"/>
    <mergeCell ref="AC3:AI3"/>
    <mergeCell ref="H3:T3"/>
    <mergeCell ref="AJ3:AL3"/>
    <mergeCell ref="A2:AM2"/>
    <mergeCell ref="C3:D3"/>
    <mergeCell ref="X3:Y3"/>
    <mergeCell ref="V3:W3"/>
  </mergeCells>
  <conditionalFormatting sqref="B40:AL40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B41:AL41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B43:AL43">
    <cfRule type="cellIs" priority="5" operator="equal" dxfId="3">
      <formula>""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S.M.C</dc:creator>
  <dc:language>en-US</dc:language>
  <dcterms:created xsi:type="dcterms:W3CDTF">2026-09-02T06:08:07Z</dcterms:created>
  <dcterms:modified xsi:type="dcterms:W3CDTF">2026-09-07T19:38:43Z</dcterms:modified>
  <cp:lastModifiedBy>Piyush Prakash Dhabekar</cp:lastModifiedBy>
  <cp:revision>0</cp:revision>
</cp:coreProperties>
</file>