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ive Search" sheetId="2" state="visible" r:id="rId2"/>
    <sheet name="Final Calc (Transposed)" sheetId="3" state="visible" r:id="rId3"/>
    <sheet name="Transposed + Field Filter" sheetId="4" state="visible" r:id="rId4"/>
    <sheet name="Transposed + Lot Folds" sheetId="5" state="visible" r:id="rId5"/>
    <sheet name="Transposed + Both Filters" sheetId="6" state="visible" r:id="rId6"/>
    <sheet name="Transposed - Pick a Buyer" sheetId="7" state="visible" r:id="rId7"/>
    <sheet name="Transposed - Filter Values" sheetId="8" state="visible" r:id="rId8"/>
    <sheet name="Buyer Pivot" sheetId="9" state="visible" r:id="rId9"/>
    <sheet name="Buyer Rows (Filter)" sheetId="10" state="visible" r:id="rId10"/>
    <sheet name="Lot-wise Vertical" sheetId="11" state="visible" r:id="rId11"/>
    <sheet name="Collapsible - Lots Across" sheetId="12" state="visible" r:id="rId12"/>
    <sheet name="Collapsible + Field Filter" sheetId="13" state="visible" r:id="rId13"/>
    <sheet name="Collapsible - Lots Down" sheetId="14" state="visible" r:id="rId14"/>
    <sheet name="Ledger Filter - Lots Down" sheetId="15" state="visible" r:id="rId15"/>
    <sheet name="Ledger Filter - Lots Across" sheetId="16" state="visible" r:id="rId16"/>
  </sheets>
  <definedNames>
    <definedName name="_xlnm._FilterDatabase" localSheetId="0" hidden="1">'Final Calculation Sheet'!$A$3:$AG$43</definedName>
    <definedName name="_xlnm.Print_Titles" localSheetId="1">'Live Search'!$4:$4</definedName>
    <definedName name="_xlnm._FilterDatabase" localSheetId="2" hidden="1">'Final Calc (Transposed)'!$A$3:$A$36</definedName>
    <definedName name="_xlnm.Print_Titles" localSheetId="2">'Final Calc (Transposed)'!$A:$A</definedName>
    <definedName name="_xlnm._FilterDatabase" localSheetId="3" hidden="1">'Transposed + Field Filter'!$A$3:$A$36</definedName>
    <definedName name="_xlnm.Print_Titles" localSheetId="3">'Transposed + Field Filter'!$A:$A</definedName>
    <definedName name="_xlnm.Print_Titles" localSheetId="4">'Transposed + Lot Folds'!$A:$A</definedName>
    <definedName name="_xlnm._FilterDatabase" localSheetId="5" hidden="1">'Transposed + Both Filters'!$A$5:$A$38</definedName>
    <definedName name="_xlnm.Print_Titles" localSheetId="5">'Transposed + Both Filters'!$A:$A</definedName>
    <definedName name="_xlnm._FilterDatabase" localSheetId="6" hidden="1">'Transposed - Pick a Buyer'!$A$4:$A$37</definedName>
    <definedName name="_xlnm.Print_Titles" localSheetId="6">'Transposed - Pick a Buyer'!$A:$A</definedName>
    <definedName name="_xlnm._FilterDatabase" localSheetId="7" hidden="1">'Transposed - Filter Values'!$A$4:$A$37</definedName>
    <definedName name="_xlnm.Print_Titles" localSheetId="7">'Transposed - Filter Values'!$A:$A</definedName>
    <definedName name="_xlnm._FilterDatabase" localSheetId="8" hidden="1">'Buyer Pivot'!$A$3:$O$41</definedName>
    <definedName name="_xlnm.Print_Titles" localSheetId="8">'Buyer Pivot'!$A:$A</definedName>
    <definedName name="_xlnm._FilterDatabase" localSheetId="9" hidden="1">'Buyer Rows (Filter)'!$A$4:$AE$17</definedName>
    <definedName name="_xlnm.Print_Titles" localSheetId="9">'Buyer Rows (Filter)'!$A:$A</definedName>
    <definedName name="_xlnm._FilterDatabase" localSheetId="12" hidden="1">'Collapsible + Field Filter'!$A$5:$A$563</definedName>
    <definedName name="_xlnm.Print_Titles" localSheetId="13">'Collapsible - Lots Down'!$4:$4</definedName>
    <definedName name="_xlnm._FilterDatabase" localSheetId="14" hidden="1">'Ledger Filter - Lots Down'!$A$5:$AI$55</definedName>
    <definedName name="_xlnm.Print_Titles" localSheetId="14">'Ledger Filter - Lots Down'!$5:$5</definedName>
    <definedName name="_xlnm._FilterDatabase" localSheetId="1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5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  <font>
      <b val="1"/>
      <color rgb="001F3864"/>
      <sz val="12"/>
    </font>
    <font>
      <i val="1"/>
      <color rgb="00808080"/>
      <sz val="8"/>
    </font>
    <font>
      <b val="1"/>
      <color rgb="001F3864"/>
      <sz val="11"/>
    </font>
    <font>
      <b val="1"/>
      <color rgb="001F3864"/>
      <sz val="13"/>
    </font>
    <font>
      <b val="1"/>
      <color rgb="00808080"/>
      <sz val="9"/>
    </font>
    <font>
      <b val="1"/>
      <color rgb="00333333"/>
      <sz val="10"/>
    </font>
  </fonts>
  <fills count="41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833C00"/>
      </patternFill>
    </fill>
    <fill>
      <patternFill patternType="solid">
        <fgColor rgb="00FFFF00"/>
      </patternFill>
    </fill>
    <fill>
      <patternFill patternType="solid">
        <fgColor rgb="00203864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 style="medium">
        <color rgb="00808080"/>
      </right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64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  <xf numFmtId="0" fontId="40" fillId="0" borderId="0" pivotButton="0" quotePrefix="0" xfId="0"/>
    <xf numFmtId="0" fontId="27" fillId="7" borderId="0" applyAlignment="1" pivotButton="0" quotePrefix="0" xfId="0">
      <alignment horizontal="left" vertical="center" indent="1"/>
    </xf>
    <xf numFmtId="0" fontId="39" fillId="3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29" fillId="9" borderId="0" applyAlignment="1" pivotButton="0" quotePrefix="0" xfId="0">
      <alignment horizontal="left" vertical="center" indent="1"/>
    </xf>
    <xf numFmtId="3" fontId="8" fillId="18" borderId="17" applyAlignment="1" pivotButton="0" quotePrefix="0" xfId="0">
      <alignment horizontal="center" vertical="center" wrapText="1"/>
    </xf>
    <xf numFmtId="3" fontId="8" fillId="20" borderId="17" applyAlignment="1" pivotButton="0" quotePrefix="0" xfId="0">
      <alignment horizontal="center" vertical="center" wrapText="1"/>
    </xf>
    <xf numFmtId="3" fontId="8" fillId="23" borderId="17" applyAlignment="1" pivotButton="0" quotePrefix="0" xfId="0">
      <alignment horizontal="center" vertical="center" wrapText="1"/>
    </xf>
    <xf numFmtId="3" fontId="8" fillId="24" borderId="17" applyAlignment="1" pivotButton="0" quotePrefix="0" xfId="0">
      <alignment horizontal="center" vertical="center" wrapText="1"/>
    </xf>
    <xf numFmtId="0" fontId="29" fillId="9" borderId="19" applyAlignment="1" pivotButton="0" quotePrefix="0" xfId="0">
      <alignment horizontal="right" vertical="center"/>
    </xf>
    <xf numFmtId="0" fontId="25" fillId="31" borderId="17" applyAlignment="1" pivotButton="0" quotePrefix="0" xfId="0">
      <alignment horizontal="center" vertical="bottom" textRotation="90" wrapText="1"/>
    </xf>
    <xf numFmtId="0" fontId="11" fillId="9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 indent="1"/>
    </xf>
    <xf numFmtId="0" fontId="8" fillId="4" borderId="18" applyAlignment="1" pivotButton="0" quotePrefix="0" xfId="0">
      <alignment horizontal="left" vertical="center" indent="1"/>
    </xf>
    <xf numFmtId="1" fontId="8" fillId="4" borderId="18" applyAlignment="1" pivotButton="0" quotePrefix="0" xfId="0">
      <alignment horizontal="right" vertical="center"/>
    </xf>
    <xf numFmtId="49" fontId="8" fillId="4" borderId="18" applyAlignment="1" pivotButton="0" quotePrefix="0" xfId="0">
      <alignment horizontal="left" vertical="center"/>
    </xf>
    <xf numFmtId="166" fontId="8" fillId="4" borderId="18" applyAlignment="1" pivotButton="0" quotePrefix="0" xfId="0">
      <alignment horizontal="right" vertical="center"/>
    </xf>
    <xf numFmtId="4" fontId="8" fillId="4" borderId="18" applyAlignment="1" pivotButton="0" quotePrefix="0" xfId="0">
      <alignment horizontal="right" vertical="center"/>
    </xf>
    <xf numFmtId="10" fontId="8" fillId="4" borderId="18" applyAlignment="1" pivotButton="0" quotePrefix="0" xfId="0">
      <alignment horizontal="right" vertical="center"/>
    </xf>
    <xf numFmtId="167" fontId="8" fillId="4" borderId="18" applyAlignment="1" pivotButton="0" quotePrefix="0" xfId="0">
      <alignment horizontal="right" vertical="center"/>
    </xf>
    <xf numFmtId="0" fontId="27" fillId="4" borderId="0" applyAlignment="1" pivotButton="0" quotePrefix="0" xfId="0">
      <alignment horizontal="left" vertical="center" indent="1"/>
    </xf>
    <xf numFmtId="0" fontId="41" fillId="37" borderId="35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right" vertical="center"/>
    </xf>
    <xf numFmtId="3" fontId="8" fillId="38" borderId="17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right" vertical="center"/>
    </xf>
    <xf numFmtId="0" fontId="42" fillId="39" borderId="35" applyAlignment="1" pivotButton="0" quotePrefix="0" xfId="0">
      <alignment horizontal="left" vertical="center" indent="1"/>
    </xf>
    <xf numFmtId="0" fontId="29" fillId="37" borderId="35" applyAlignment="1" pivotButton="0" quotePrefix="0" xfId="0">
      <alignment horizontal="center" vertical="center" wrapText="1"/>
    </xf>
    <xf numFmtId="0" fontId="39" fillId="9" borderId="35" applyAlignment="1" pivotButton="0" quotePrefix="0" xfId="0">
      <alignment horizontal="center" vertical="center" wrapText="1"/>
    </xf>
    <xf numFmtId="0" fontId="25" fillId="8" borderId="17" applyAlignment="1" pivotButton="0" quotePrefix="0" xfId="0">
      <alignment horizontal="center" vertical="center" wrapText="1"/>
    </xf>
    <xf numFmtId="0" fontId="25" fillId="5" borderId="17" applyAlignment="1" pivotButton="0" quotePrefix="0" xfId="0">
      <alignment horizontal="center" vertical="center" wrapText="1"/>
    </xf>
    <xf numFmtId="0" fontId="25" fillId="40" borderId="17" applyAlignment="1" pivotButton="0" quotePrefix="0" xfId="0">
      <alignment horizontal="center" vertical="center" wrapText="1"/>
    </xf>
    <xf numFmtId="1" fontId="43" fillId="0" borderId="18" applyAlignment="1" pivotButton="0" quotePrefix="0" xfId="0">
      <alignment horizontal="center" vertical="center" wrapText="1"/>
    </xf>
    <xf numFmtId="0" fontId="44" fillId="0" borderId="18" applyAlignment="1" pivotButton="0" quotePrefix="0" xfId="0">
      <alignment horizontal="left" vertical="center"/>
    </xf>
    <xf numFmtId="0" fontId="16" fillId="0" borderId="18" applyAlignment="1" pivotButton="0" quotePrefix="0" xfId="0">
      <alignment horizontal="center" vertical="center" wrapText="1"/>
    </xf>
    <xf numFmtId="1" fontId="43" fillId="27" borderId="18" applyAlignment="1" pivotButton="0" quotePrefix="0" xfId="0">
      <alignment horizontal="center" vertical="center" wrapText="1"/>
    </xf>
    <xf numFmtId="0" fontId="44" fillId="27" borderId="18" applyAlignment="1" pivotButton="0" quotePrefix="0" xfId="0">
      <alignment horizontal="left" vertical="center"/>
    </xf>
    <xf numFmtId="0" fontId="12" fillId="27" borderId="18" applyAlignment="1" pivotButton="0" quotePrefix="0" xfId="0">
      <alignment horizontal="left" vertical="center"/>
    </xf>
    <xf numFmtId="164" fontId="12" fillId="27" borderId="18" applyAlignment="1" pivotButton="0" quotePrefix="0" xfId="0">
      <alignment horizontal="right" vertical="center"/>
    </xf>
    <xf numFmtId="3" fontId="12" fillId="27" borderId="18" applyAlignment="1" pivotButton="0" quotePrefix="0" xfId="0">
      <alignment horizontal="right" vertical="center"/>
    </xf>
    <xf numFmtId="9" fontId="12" fillId="27" borderId="18" applyAlignment="1" pivotButton="0" quotePrefix="0" xfId="0">
      <alignment horizontal="right" vertical="center"/>
    </xf>
    <xf numFmtId="165" fontId="12" fillId="27" borderId="18" applyAlignment="1" pivotButton="0" quotePrefix="0" xfId="0">
      <alignment horizontal="right" vertical="center"/>
    </xf>
    <xf numFmtId="1" fontId="12" fillId="27" borderId="18" applyAlignment="1" pivotButton="0" quotePrefix="0" xfId="0">
      <alignment horizontal="right" vertical="center"/>
    </xf>
    <xf numFmtId="0" fontId="16" fillId="27" borderId="18" applyAlignment="1" pivotButton="0" quotePrefix="0" xfId="0">
      <alignment horizontal="center" vertical="center" wrapText="1"/>
    </xf>
    <xf numFmtId="0" fontId="27" fillId="4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right" vertical="center"/>
    </xf>
    <xf numFmtId="164" fontId="8" fillId="4" borderId="18" applyAlignment="1" pivotButton="0" quotePrefix="0" xfId="0">
      <alignment horizontal="right" vertical="center"/>
    </xf>
    <xf numFmtId="165" fontId="8" fillId="4" borderId="18" applyAlignment="1" pivotButton="0" quotePrefix="0" xfId="0">
      <alignment horizontal="right" vertical="center"/>
    </xf>
  </cellXfs>
  <cellStyles count="1">
    <cellStyle name="Normal" xfId="0" builtinId="0"/>
  </cellStyles>
  <dxfs count="10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  <dxf>
      <font>
        <color rgb="00006100"/>
      </font>
    </dxf>
    <dxf>
      <font>
        <color rgb="00BFBFBF"/>
      </font>
      <fill>
        <patternFill patternType="solid">
          <fgColor rgb="00F2F2F2"/>
        </patternFill>
      </fill>
    </dxf>
    <dxf>
      <font>
        <color rgb="00BFBFBF"/>
      </font>
      <fill>
        <patternFill patternType="solid">
          <fgColor rgb="00EDEDED"/>
        </patternFill>
      </fill>
    </dxf>
    <dxf>
      <fill>
        <patternFill patternType="solid">
          <fgColor rgb="00E2EFDA"/>
        </patternFill>
      </fill>
    </dxf>
    <dxf>
      <font>
        <b val="1"/>
        <color rgb="009C0006"/>
      </font>
    </dxf>
    <dxf>
      <font>
        <color rgb="00808080"/>
      </font>
      <fill>
        <patternFill patternType="solid">
          <fgColor rgb="00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AY4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5" customWidth="1" min="1" max="1"/>
    <col width="10" customWidth="1" min="2" max="2"/>
    <col width="30" customWidth="1" min="3" max="3"/>
    <col width="42" customWidth="1" min="4" max="4"/>
    <col width="10" customWidth="1" min="5" max="5"/>
    <col width="11" customWidth="1" min="6" max="6"/>
    <col width="7" customWidth="1" min="7" max="7"/>
    <col width="10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  <col width="13.5" customWidth="1" min="32" max="32"/>
    <col width="13.5" customWidth="1" min="33" max="33"/>
    <col width="13.5" customWidth="1" min="34" max="34"/>
    <col width="13" customWidth="1" min="35" max="35"/>
    <col hidden="1" width="12" customWidth="1" min="37" max="37"/>
    <col hidden="1" width="12" customWidth="1" min="38" max="38"/>
    <col hidden="1" width="12" customWidth="1" min="39" max="39"/>
    <col hidden="1" width="12" customWidth="1" min="40" max="40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</cols>
  <sheetData>
    <row r="1" ht="30" customHeight="1">
      <c r="A1" s="59" t="inlineStr">
        <is>
          <t>MSTC LIMITED  •  LIVE SEARCH   (comma or / = ANY of the values,   + or &amp; = ALL of them - the lots that do not match fade to grey)</t>
        </is>
      </c>
    </row>
    <row r="2" ht="44" customHeight="1">
      <c r="A2" s="61" t="inlineStr">
        <is>
      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Every lot keeps its own row: the ones that match stay bright and turn green, the rest fade to grey.  Clear the box and all 37 come back to normal.   •   cell F3 narrows what the text is looked for in (lot no. + buyer + name by default).   •   matching is 'contains', not case sensitive.   •   nothing here is typed in: every figure is a live link to 'Final Calculation Sheet', and the ∑ row totals only the matching lots.   •   columns AK..AY are hidden helpers.</t>
        </is>
      </c>
    </row>
    <row r="3" ht="30" customHeight="1">
      <c r="A3" s="626" t="inlineStr">
        <is>
          <t>🔍  SEARCH  ▸</t>
        </is>
      </c>
      <c r="B3" s="627" t="inlineStr"/>
      <c r="C3" s="599" t="n"/>
      <c r="D3" s="599" t="n"/>
      <c r="E3" s="624" t="inlineStr">
        <is>
          <t>SEARCH IN  ▸</t>
        </is>
      </c>
      <c r="F3" s="628" t="inlineStr">
        <is>
          <t>Lot No. + Buyer + Name</t>
        </is>
      </c>
      <c r="G3" s="624" t="inlineStr">
        <is>
          <t>MATCHES  ▸</t>
        </is>
      </c>
      <c r="H3" s="629">
        <f>SUM($AM$5:$AM$41)&amp;" of 37"</f>
        <v/>
      </c>
      <c r="I3" s="600">
        <f>IF($B$3="","◀ type in the yellow box - a lot no., a buyer, a lot name... several values: comma or / = ANY of them,  + or &amp; = ALL of them","matching "&amp;SUM($AM$5:$AM$41)&amp;" of 37 lots   •   search: "&amp;$B$3&amp;"   •   in: "&amp;$F$3&amp;"   •   the rest are greyed out, not hidden")</f>
        <v/>
      </c>
      <c r="AK3" s="596" t="inlineStr">
        <is>
          <t>the text this lot is searched in</t>
        </is>
      </c>
      <c r="AM3" s="596" t="inlineStr">
        <is>
          <t>1 = this lot matches the search box</t>
        </is>
      </c>
      <c r="AO3" s="596" t="inlineStr">
        <is>
          <t>the 'search in' list</t>
        </is>
      </c>
      <c r="AQ3" s="596" t="inlineStr">
        <is>
          <t>the box with &amp; -&gt; + and / -&gt; ,</t>
        </is>
      </c>
      <c r="AR3" t="inlineStr">
        <is>
          <t>term 1 - rows 4..9: text left, delimiter pos, the term, delimiter, running facet, facet no.</t>
        </is>
      </c>
    </row>
    <row r="4" ht="44" customHeight="1">
      <c r="A4" s="630" t="inlineStr">
        <is>
          <t>#</t>
        </is>
      </c>
      <c r="B4" s="631" t="inlineStr">
        <is>
          <t>Lot No.</t>
        </is>
      </c>
      <c r="C4" s="631" t="inlineStr">
        <is>
          <t>Buyer</t>
        </is>
      </c>
      <c r="D4" s="631" t="inlineStr">
        <is>
          <t>Lot Name</t>
        </is>
      </c>
      <c r="E4" s="631" t="inlineStr">
        <is>
          <t>Bid Sheet</t>
        </is>
      </c>
      <c r="F4" s="631" t="inlineStr">
        <is>
          <t>Quantity</t>
        </is>
      </c>
      <c r="G4" s="631" t="inlineStr">
        <is>
          <t>Unit</t>
        </is>
      </c>
      <c r="H4" s="631" t="inlineStr">
        <is>
          <t>Rate</t>
        </is>
      </c>
      <c r="I4" s="631" t="inlineStr">
        <is>
          <t>Mat. Value</t>
        </is>
      </c>
      <c r="J4" s="631" t="inlineStr">
        <is>
          <t>GST</t>
        </is>
      </c>
      <c r="K4" s="631" t="inlineStr">
        <is>
          <t>Mat. Value + GST</t>
        </is>
      </c>
      <c r="L4" s="631" t="inlineStr">
        <is>
          <t>TCS</t>
        </is>
      </c>
      <c r="M4" s="631" t="inlineStr">
        <is>
          <t>TDS u/s 194(O)</t>
        </is>
      </c>
      <c r="N4" s="631" t="inlineStr">
        <is>
          <t>Service Charge to MSTC</t>
        </is>
      </c>
      <c r="O4" s="631" t="inlineStr">
        <is>
          <t>TDS u/s 194(H)</t>
        </is>
      </c>
      <c r="P4" s="631" t="inlineStr">
        <is>
          <t>Net Service Charge (post TDS 194H)</t>
        </is>
      </c>
      <c r="Q4" s="631" t="inlineStr">
        <is>
          <t>Service charge to MSTC</t>
        </is>
      </c>
      <c r="R4" s="631" t="inlineStr">
        <is>
          <t>GST TDS Rate</t>
        </is>
      </c>
      <c r="S4" s="631" t="inlineStr">
        <is>
          <t>GST TDS</t>
        </is>
      </c>
      <c r="T4" s="631" t="inlineStr">
        <is>
          <t>Total Receivables in Cash</t>
        </is>
      </c>
      <c r="U4" s="631" t="inlineStr">
        <is>
          <t>Security Deposit (Expected)</t>
        </is>
      </c>
      <c r="V4" s="631" t="inlineStr">
        <is>
          <t>Security Deposit (Received)</t>
        </is>
      </c>
      <c r="W4" s="631" t="inlineStr">
        <is>
          <t>Date of Receipt (col V)</t>
        </is>
      </c>
      <c r="X4" s="631" t="inlineStr">
        <is>
          <t>Final Payment (Expected)</t>
        </is>
      </c>
      <c r="Y4" s="631" t="inlineStr">
        <is>
          <t>Final Payment (Received)</t>
        </is>
      </c>
      <c r="Z4" s="631" t="inlineStr">
        <is>
          <t>Date of Receipt (col Y)</t>
        </is>
      </c>
      <c r="AA4" s="631" t="inlineStr">
        <is>
          <t>LPP Expected</t>
        </is>
      </c>
      <c r="AB4" s="631" t="inlineStr">
        <is>
          <t>LPP Received</t>
        </is>
      </c>
      <c r="AC4" s="631" t="inlineStr">
        <is>
          <t>Date of Recepit of LPP</t>
        </is>
      </c>
      <c r="AD4" s="631" t="inlineStr">
        <is>
          <t>Total Received</t>
        </is>
      </c>
      <c r="AE4" s="631" t="inlineStr">
        <is>
          <t>Outstanding</t>
        </is>
      </c>
      <c r="AF4" s="631" t="inlineStr">
        <is>
          <t>Invoice No.</t>
        </is>
      </c>
      <c r="AG4" s="631" t="inlineStr">
        <is>
          <t>SAP Document</t>
        </is>
      </c>
      <c r="AH4" s="631" t="inlineStr">
        <is>
          <t>Doc./Invoice Date</t>
        </is>
      </c>
      <c r="AI4" s="632" t="inlineStr">
        <is>
          <t>Payment Status</t>
        </is>
      </c>
      <c r="AO4" t="inlineStr">
        <is>
          <t>Lot No. + Buyer + Name</t>
        </is>
      </c>
      <c r="AQ4">
        <f>SUBSTITUTE(SUBSTITUTE($B$3,"&amp;","+"),"/",",")</f>
        <v/>
      </c>
      <c r="AR4">
        <f>$AQ$4</f>
        <v/>
      </c>
      <c r="AS4">
        <f>IF(OR($AR$4="",$AR$5=99999),"",MID($AR$4,$AR$5+1,99999))</f>
        <v/>
      </c>
      <c r="AT4">
        <f>IF(OR($AS$4="",$AS$5=99999),"",MID($AS$4,$AS$5+1,99999))</f>
        <v/>
      </c>
      <c r="AU4">
        <f>IF(OR($AT$4="",$AT$5=99999),"",MID($AT$4,$AT$5+1,99999))</f>
        <v/>
      </c>
      <c r="AV4">
        <f>IF(OR($AU$4="",$AU$5=99999),"",MID($AU$4,$AU$5+1,99999))</f>
        <v/>
      </c>
      <c r="AW4">
        <f>IF(OR($AV$4="",$AV$5=99999),"",MID($AV$4,$AV$5+1,99999))</f>
        <v/>
      </c>
      <c r="AX4">
        <f>IF(OR($AW$4="",$AW$5=99999),"",MID($AW$4,$AW$5+1,99999))</f>
        <v/>
      </c>
      <c r="AY4">
        <f>IF(OR($AX$4="",$AX$5=99999),"",MID($AX$4,$AX$5+1,99999))</f>
        <v/>
      </c>
    </row>
    <row r="5" ht="15" customHeight="1">
      <c r="A5" s="633" t="n">
        <v>1</v>
      </c>
      <c r="B5" s="634">
        <f>IF('Final Calculation Sheet'!$F$4="","",'Final Calculation Sheet'!$F$4)</f>
        <v/>
      </c>
      <c r="C5" s="634">
        <f>IF('Final Calculation Sheet'!$G$4="","",'Final Calculation Sheet'!$G$4)</f>
        <v/>
      </c>
      <c r="D5" s="69">
        <f>IF('Final Calculation Sheet'!$B$4="","",'Final Calculation Sheet'!$B$4)</f>
        <v/>
      </c>
      <c r="E5" s="69">
        <f>IF('Final Calculation Sheet'!$D$4="","",'Final Calculation Sheet'!$D$4)</f>
        <v/>
      </c>
      <c r="F5" s="69">
        <f>IF('Final Calculation Sheet'!$A$4="","",'Final Calculation Sheet'!$A$4)</f>
        <v/>
      </c>
      <c r="G5" s="69">
        <f>IF('Final Calculation Sheet'!$E$4="","",'Final Calculation Sheet'!$E$4)</f>
        <v/>
      </c>
      <c r="H5" s="544">
        <f>IF('Final Calculation Sheet'!$C$4="","",'Final Calculation Sheet'!$C$4)</f>
        <v/>
      </c>
      <c r="I5" s="544">
        <f>IF('Final Calculation Sheet'!$H$4="","",'Final Calculation Sheet'!$H$4)</f>
        <v/>
      </c>
      <c r="J5" s="544">
        <f>IF('Final Calculation Sheet'!$I$4="","",'Final Calculation Sheet'!$I$4)</f>
        <v/>
      </c>
      <c r="K5" s="544">
        <f>IF('Final Calculation Sheet'!$J$4="","",'Final Calculation Sheet'!$J$4)</f>
        <v/>
      </c>
      <c r="L5" s="544">
        <f>IF('Final Calculation Sheet'!$K$4="","",'Final Calculation Sheet'!$K$4)</f>
        <v/>
      </c>
      <c r="M5" s="544">
        <f>IF('Final Calculation Sheet'!$L$4="","",'Final Calculation Sheet'!$L$4)</f>
        <v/>
      </c>
      <c r="N5" s="544">
        <f>IF('Final Calculation Sheet'!$M$4="","",'Final Calculation Sheet'!$M$4)</f>
        <v/>
      </c>
      <c r="O5" s="547">
        <f>IF('Final Calculation Sheet'!$N$4="","",'Final Calculation Sheet'!$N$4)</f>
        <v/>
      </c>
      <c r="P5" s="544">
        <f>IF('Final Calculation Sheet'!$O$4="","",'Final Calculation Sheet'!$O$4)</f>
        <v/>
      </c>
      <c r="Q5" s="544">
        <f>IF('Final Calculation Sheet'!$P$4="","",'Final Calculation Sheet'!$P$4)</f>
        <v/>
      </c>
      <c r="R5" s="549">
        <f>IF('Final Calculation Sheet'!$Q$4="","",'Final Calculation Sheet'!$Q$4)</f>
        <v/>
      </c>
      <c r="S5" s="544">
        <f>IF('Final Calculation Sheet'!$R$4="","",'Final Calculation Sheet'!$R$4)</f>
        <v/>
      </c>
      <c r="T5" s="544">
        <f>IF('Final Calculation Sheet'!$S$4="","",'Final Calculation Sheet'!$S$4)</f>
        <v/>
      </c>
      <c r="U5" s="544">
        <f>IF('Final Calculation Sheet'!$T$4="","",'Final Calculation Sheet'!$T$4)</f>
        <v/>
      </c>
      <c r="V5" s="552">
        <f>IF('Final Calculation Sheet'!$U$4="","",'Final Calculation Sheet'!$U$4)</f>
        <v/>
      </c>
      <c r="W5" s="544">
        <f>IF('Final Calculation Sheet'!$V$4="","",'Final Calculation Sheet'!$V$4)</f>
        <v/>
      </c>
      <c r="X5" s="544">
        <f>IF('Final Calculation Sheet'!$W$4="","",'Final Calculation Sheet'!$W$4)</f>
        <v/>
      </c>
      <c r="Y5" s="544">
        <f>IF('Final Calculation Sheet'!$X$4="","",'Final Calculation Sheet'!$X$4)</f>
        <v/>
      </c>
      <c r="Z5" s="544">
        <f>IF('Final Calculation Sheet'!$Y$4="","",'Final Calculation Sheet'!$Y$4)</f>
        <v/>
      </c>
      <c r="AA5" s="544">
        <f>IF('Final Calculation Sheet'!$Z$4="","",'Final Calculation Sheet'!$Z$4)</f>
        <v/>
      </c>
      <c r="AB5" s="544">
        <f>IF('Final Calculation Sheet'!$AA$4="","",'Final Calculation Sheet'!$AA$4)</f>
        <v/>
      </c>
      <c r="AC5" s="544">
        <f>IF('Final Calculation Sheet'!$AB$4="","",'Final Calculation Sheet'!$AB$4)</f>
        <v/>
      </c>
      <c r="AD5" s="544">
        <f>IF('Final Calculation Sheet'!$AC$4="","",'Final Calculation Sheet'!$AC$4)</f>
        <v/>
      </c>
      <c r="AE5" s="544">
        <f>IF('Final Calculation Sheet'!$AD$4="","",'Final Calculation Sheet'!$AD$4)</f>
        <v/>
      </c>
      <c r="AF5" s="544">
        <f>IF('Final Calculation Sheet'!$AE$4="","",'Final Calculation Sheet'!$AE$4)</f>
        <v/>
      </c>
      <c r="AG5" s="555">
        <f>IF('Final Calculation Sheet'!$AF$4="","",'Final Calculation Sheet'!$AF$4)</f>
        <v/>
      </c>
      <c r="AH5" s="544">
        <f>IF('Final Calculation Sheet'!$AG$4="","",'Final Calculation Sheet'!$AG$4)</f>
        <v/>
      </c>
      <c r="AI5" s="635">
        <f>IF('Final Calculation Sheet'!$AD$4="","",IF('Final Calculation Sheet'!$AD$4&lt;=0,"SETTLED","OUTSTANDING"))</f>
        <v/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</f>
        <v/>
      </c>
      <c r="AO5" t="inlineStr">
        <is>
          <t>Lot No.</t>
        </is>
      </c>
      <c r="AR5">
        <f>IF($AR$4="",99999,MIN(IFERROR(FIND(",",$AR$4),99999),IFERROR(FIND("+",$AR$4),99999)))</f>
        <v/>
      </c>
      <c r="AS5">
        <f>IF($AS$4="",99999,MIN(IFERROR(FIND(",",$AS$4),99999),IFERROR(FIND("+",$AS$4),99999)))</f>
        <v/>
      </c>
      <c r="AT5">
        <f>IF($AT$4="",99999,MIN(IFERROR(FIND(",",$AT$4),99999),IFERROR(FIND("+",$AT$4),99999)))</f>
        <v/>
      </c>
      <c r="AU5">
        <f>IF($AU$4="",99999,MIN(IFERROR(FIND(",",$AU$4),99999),IFERROR(FIND("+",$AU$4),99999)))</f>
        <v/>
      </c>
      <c r="AV5">
        <f>IF($AV$4="",99999,MIN(IFERROR(FIND(",",$AV$4),99999),IFERROR(FIND("+",$AV$4),99999)))</f>
        <v/>
      </c>
      <c r="AW5">
        <f>IF($AW$4="",99999,MIN(IFERROR(FIND(",",$AW$4),99999),IFERROR(FIND("+",$AW$4),99999)))</f>
        <v/>
      </c>
      <c r="AX5">
        <f>IF($AX$4="",99999,MIN(IFERROR(FIND(",",$AX$4),99999),IFERROR(FIND("+",$AX$4),99999)))</f>
        <v/>
      </c>
      <c r="AY5">
        <f>IF($AY$4="",99999,MIN(IFERROR(FIND(",",$AY$4),99999),IFERROR(FIND("+",$AY$4),99999)))</f>
        <v/>
      </c>
    </row>
    <row r="6" ht="15" customHeight="1">
      <c r="A6" s="636" t="n">
        <v>2</v>
      </c>
      <c r="B6" s="637">
        <f>IF('Final Calculation Sheet'!$F$5="","",'Final Calculation Sheet'!$F$5)</f>
        <v/>
      </c>
      <c r="C6" s="637">
        <f>IF('Final Calculation Sheet'!$G$5="","",'Final Calculation Sheet'!$G$5)</f>
        <v/>
      </c>
      <c r="D6" s="638">
        <f>IF('Final Calculation Sheet'!$B$5="","",'Final Calculation Sheet'!$B$5)</f>
        <v/>
      </c>
      <c r="E6" s="638">
        <f>IF('Final Calculation Sheet'!$D$5="","",'Final Calculation Sheet'!$D$5)</f>
        <v/>
      </c>
      <c r="F6" s="638">
        <f>IF('Final Calculation Sheet'!$A$5="","",'Final Calculation Sheet'!$A$5)</f>
        <v/>
      </c>
      <c r="G6" s="638">
        <f>IF('Final Calculation Sheet'!$E$5="","",'Final Calculation Sheet'!$E$5)</f>
        <v/>
      </c>
      <c r="H6" s="639">
        <f>IF('Final Calculation Sheet'!$C$5="","",'Final Calculation Sheet'!$C$5)</f>
        <v/>
      </c>
      <c r="I6" s="639">
        <f>IF('Final Calculation Sheet'!$H$5="","",'Final Calculation Sheet'!$H$5)</f>
        <v/>
      </c>
      <c r="J6" s="639">
        <f>IF('Final Calculation Sheet'!$I$5="","",'Final Calculation Sheet'!$I$5)</f>
        <v/>
      </c>
      <c r="K6" s="639">
        <f>IF('Final Calculation Sheet'!$J$5="","",'Final Calculation Sheet'!$J$5)</f>
        <v/>
      </c>
      <c r="L6" s="639">
        <f>IF('Final Calculation Sheet'!$K$5="","",'Final Calculation Sheet'!$K$5)</f>
        <v/>
      </c>
      <c r="M6" s="639">
        <f>IF('Final Calculation Sheet'!$L$5="","",'Final Calculation Sheet'!$L$5)</f>
        <v/>
      </c>
      <c r="N6" s="639">
        <f>IF('Final Calculation Sheet'!$M$5="","",'Final Calculation Sheet'!$M$5)</f>
        <v/>
      </c>
      <c r="O6" s="640">
        <f>IF('Final Calculation Sheet'!$N$5="","",'Final Calculation Sheet'!$N$5)</f>
        <v/>
      </c>
      <c r="P6" s="639">
        <f>IF('Final Calculation Sheet'!$O$5="","",'Final Calculation Sheet'!$O$5)</f>
        <v/>
      </c>
      <c r="Q6" s="639">
        <f>IF('Final Calculation Sheet'!$P$5="","",'Final Calculation Sheet'!$P$5)</f>
        <v/>
      </c>
      <c r="R6" s="641">
        <f>IF('Final Calculation Sheet'!$Q$5="","",'Final Calculation Sheet'!$Q$5)</f>
        <v/>
      </c>
      <c r="S6" s="639">
        <f>IF('Final Calculation Sheet'!$R$5="","",'Final Calculation Sheet'!$R$5)</f>
        <v/>
      </c>
      <c r="T6" s="639">
        <f>IF('Final Calculation Sheet'!$S$5="","",'Final Calculation Sheet'!$S$5)</f>
        <v/>
      </c>
      <c r="U6" s="639">
        <f>IF('Final Calculation Sheet'!$T$5="","",'Final Calculation Sheet'!$T$5)</f>
        <v/>
      </c>
      <c r="V6" s="642">
        <f>IF('Final Calculation Sheet'!$U$5="","",'Final Calculation Sheet'!$U$5)</f>
        <v/>
      </c>
      <c r="W6" s="639">
        <f>IF('Final Calculation Sheet'!$V$5="","",'Final Calculation Sheet'!$V$5)</f>
        <v/>
      </c>
      <c r="X6" s="639">
        <f>IF('Final Calculation Sheet'!$W$5="","",'Final Calculation Sheet'!$W$5)</f>
        <v/>
      </c>
      <c r="Y6" s="639">
        <f>IF('Final Calculation Sheet'!$X$5="","",'Final Calculation Sheet'!$X$5)</f>
        <v/>
      </c>
      <c r="Z6" s="639">
        <f>IF('Final Calculation Sheet'!$Y$5="","",'Final Calculation Sheet'!$Y$5)</f>
        <v/>
      </c>
      <c r="AA6" s="639">
        <f>IF('Final Calculation Sheet'!$Z$5="","",'Final Calculation Sheet'!$Z$5)</f>
        <v/>
      </c>
      <c r="AB6" s="639">
        <f>IF('Final Calculation Sheet'!$AA$5="","",'Final Calculation Sheet'!$AA$5)</f>
        <v/>
      </c>
      <c r="AC6" s="639">
        <f>IF('Final Calculation Sheet'!$AB$5="","",'Final Calculation Sheet'!$AB$5)</f>
        <v/>
      </c>
      <c r="AD6" s="639">
        <f>IF('Final Calculation Sheet'!$AC$5="","",'Final Calculation Sheet'!$AC$5)</f>
        <v/>
      </c>
      <c r="AE6" s="639">
        <f>IF('Final Calculation Sheet'!$AD$5="","",'Final Calculation Sheet'!$AD$5)</f>
        <v/>
      </c>
      <c r="AF6" s="639">
        <f>IF('Final Calculation Sheet'!$AE$5="","",'Final Calculation Sheet'!$AE$5)</f>
        <v/>
      </c>
      <c r="AG6" s="643">
        <f>IF('Final Calculation Sheet'!$AF$5="","",'Final Calculation Sheet'!$AF$5)</f>
        <v/>
      </c>
      <c r="AH6" s="639">
        <f>IF('Final Calculation Sheet'!$AG$5="","",'Final Calculation Sheet'!$AG$5)</f>
        <v/>
      </c>
      <c r="AI6" s="644">
        <f>IF('Final Calculation Sheet'!$AD$5="","",IF('Final Calculation Sheet'!$AD$5&lt;=0,"SETTLED","OUTSTANDING"))</f>
        <v/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$B$3="",1,IF(AND(IF(COUNTIF($AR$9:$AY$9,1)=0,TRUE,SUMPRODUCT(($AR$9:$AY$9=1)*($AR$6:$AY$6&lt;&gt;"")*ISNUMBER(SEARCH($AR$6:$AY$6,$AK6)))&gt;0),IF(COUNTIF($AR$9:$AY$9,2)=0,TRUE,SUMPRODUCT(($AR$9:$AY$9=2)*($AR$6:$AY$6&lt;&gt;"")*ISNUMBER(SEARCH($AR$6:$AY$6,$AK6)))&gt;0),IF(COUNTIF($AR$9:$AY$9,3)=0,TRUE,SUMPRODUCT(($AR$9:$AY$9=3)*($AR$6:$AY$6&lt;&gt;"")*ISNUMBER(SEARCH($AR$6:$AY$6,$AK6)))&gt;0),IF(COUNTIF($AR$9:$AY$9,4)=0,TRUE,SUMPRODUCT(($AR$9:$AY$9=4)*($AR$6:$AY$6&lt;&gt;"")*ISNUMBER(SEARCH($AR$6:$AY$6,$AK6)))&gt;0),IF(COUNTIF($AR$9:$AY$9,5)=0,TRUE,SUMPRODUCT(($AR$9:$AY$9=5)*($AR$6:$AY$6&lt;&gt;"")*ISNUMBER(SEARCH($AR$6:$AY$6,$AK6)))&gt;0),IF(COUNTIF($AR$9:$AY$9,6)=0,TRUE,SUMPRODUCT(($AR$9:$AY$9=6)*($AR$6:$AY$6&lt;&gt;"")*ISNUMBER(SEARCH($AR$6:$AY$6,$AK6)))&gt;0),IF(COUNTIF($AR$9:$AY$9,7)=0,TRUE,SUMPRODUCT(($AR$9:$AY$9=7)*($AR$6:$AY$6&lt;&gt;"")*ISNUMBER(SEARCH($AR$6:$AY$6,$AK6)))&gt;0),IF(COUNTIF($AR$9:$AY$9,8)=0,TRUE,SUMPRODUCT(($AR$9:$AY$9=8)*($AR$6:$AY$6&lt;&gt;"")*ISNUMBER(SEARCH($AR$6:$AY$6,$AK6)))&gt;0)),1,0))</f>
        <v/>
      </c>
      <c r="AO6" t="inlineStr">
        <is>
          <t>Buyer</t>
        </is>
      </c>
      <c r="AR6">
        <f>IF($AR$4="","",IF($AR$5=99999,TRIM($AR$4),TRIM(LEFT($AR$4,$AR$5-1))))</f>
        <v/>
      </c>
      <c r="AS6">
        <f>IF($AS$4="","",IF($AS$5=99999,TRIM($AS$4),TRIM(LEFT($AS$4,$AS$5-1))))</f>
        <v/>
      </c>
      <c r="AT6">
        <f>IF($AT$4="","",IF($AT$5=99999,TRIM($AT$4),TRIM(LEFT($AT$4,$AT$5-1))))</f>
        <v/>
      </c>
      <c r="AU6">
        <f>IF($AU$4="","",IF($AU$5=99999,TRIM($AU$4),TRIM(LEFT($AU$4,$AU$5-1))))</f>
        <v/>
      </c>
      <c r="AV6">
        <f>IF($AV$4="","",IF($AV$5=99999,TRIM($AV$4),TRIM(LEFT($AV$4,$AV$5-1))))</f>
        <v/>
      </c>
      <c r="AW6">
        <f>IF($AW$4="","",IF($AW$5=99999,TRIM($AW$4),TRIM(LEFT($AW$4,$AW$5-1))))</f>
        <v/>
      </c>
      <c r="AX6">
        <f>IF($AX$4="","",IF($AX$5=99999,TRIM($AX$4),TRIM(LEFT($AX$4,$AX$5-1))))</f>
        <v/>
      </c>
      <c r="AY6">
        <f>IF($AY$4="","",IF($AY$5=99999,TRIM($AY$4),TRIM(LEFT($AY$4,$AY$5-1))))</f>
        <v/>
      </c>
    </row>
    <row r="7" ht="15" customHeight="1">
      <c r="A7" s="633" t="n">
        <v>3</v>
      </c>
      <c r="B7" s="634">
        <f>IF('Final Calculation Sheet'!$F$6="","",'Final Calculation Sheet'!$F$6)</f>
        <v/>
      </c>
      <c r="C7" s="634">
        <f>IF('Final Calculation Sheet'!$G$6="","",'Final Calculation Sheet'!$G$6)</f>
        <v/>
      </c>
      <c r="D7" s="69">
        <f>IF('Final Calculation Sheet'!$B$6="","",'Final Calculation Sheet'!$B$6)</f>
        <v/>
      </c>
      <c r="E7" s="69">
        <f>IF('Final Calculation Sheet'!$D$6="","",'Final Calculation Sheet'!$D$6)</f>
        <v/>
      </c>
      <c r="F7" s="69">
        <f>IF('Final Calculation Sheet'!$A$6="","",'Final Calculation Sheet'!$A$6)</f>
        <v/>
      </c>
      <c r="G7" s="69">
        <f>IF('Final Calculation Sheet'!$E$6="","",'Final Calculation Sheet'!$E$6)</f>
        <v/>
      </c>
      <c r="H7" s="544">
        <f>IF('Final Calculation Sheet'!$C$6="","",'Final Calculation Sheet'!$C$6)</f>
        <v/>
      </c>
      <c r="I7" s="544">
        <f>IF('Final Calculation Sheet'!$H$6="","",'Final Calculation Sheet'!$H$6)</f>
        <v/>
      </c>
      <c r="J7" s="544">
        <f>IF('Final Calculation Sheet'!$I$6="","",'Final Calculation Sheet'!$I$6)</f>
        <v/>
      </c>
      <c r="K7" s="544">
        <f>IF('Final Calculation Sheet'!$J$6="","",'Final Calculation Sheet'!$J$6)</f>
        <v/>
      </c>
      <c r="L7" s="544">
        <f>IF('Final Calculation Sheet'!$K$6="","",'Final Calculation Sheet'!$K$6)</f>
        <v/>
      </c>
      <c r="M7" s="544">
        <f>IF('Final Calculation Sheet'!$L$6="","",'Final Calculation Sheet'!$L$6)</f>
        <v/>
      </c>
      <c r="N7" s="544">
        <f>IF('Final Calculation Sheet'!$M$6="","",'Final Calculation Sheet'!$M$6)</f>
        <v/>
      </c>
      <c r="O7" s="547">
        <f>IF('Final Calculation Sheet'!$N$6="","",'Final Calculation Sheet'!$N$6)</f>
        <v/>
      </c>
      <c r="P7" s="544">
        <f>IF('Final Calculation Sheet'!$O$6="","",'Final Calculation Sheet'!$O$6)</f>
        <v/>
      </c>
      <c r="Q7" s="544">
        <f>IF('Final Calculation Sheet'!$P$6="","",'Final Calculation Sheet'!$P$6)</f>
        <v/>
      </c>
      <c r="R7" s="549">
        <f>IF('Final Calculation Sheet'!$Q$6="","",'Final Calculation Sheet'!$Q$6)</f>
        <v/>
      </c>
      <c r="S7" s="544">
        <f>IF('Final Calculation Sheet'!$R$6="","",'Final Calculation Sheet'!$R$6)</f>
        <v/>
      </c>
      <c r="T7" s="544">
        <f>IF('Final Calculation Sheet'!$S$6="","",'Final Calculation Sheet'!$S$6)</f>
        <v/>
      </c>
      <c r="U7" s="544">
        <f>IF('Final Calculation Sheet'!$T$6="","",'Final Calculation Sheet'!$T$6)</f>
        <v/>
      </c>
      <c r="V7" s="552">
        <f>IF('Final Calculation Sheet'!$U$6="","",'Final Calculation Sheet'!$U$6)</f>
        <v/>
      </c>
      <c r="W7" s="544">
        <f>IF('Final Calculation Sheet'!$V$6="","",'Final Calculation Sheet'!$V$6)</f>
        <v/>
      </c>
      <c r="X7" s="544">
        <f>IF('Final Calculation Sheet'!$W$6="","",'Final Calculation Sheet'!$W$6)</f>
        <v/>
      </c>
      <c r="Y7" s="544">
        <f>IF('Final Calculation Sheet'!$X$6="","",'Final Calculation Sheet'!$X$6)</f>
        <v/>
      </c>
      <c r="Z7" s="544">
        <f>IF('Final Calculation Sheet'!$Y$6="","",'Final Calculation Sheet'!$Y$6)</f>
        <v/>
      </c>
      <c r="AA7" s="544">
        <f>IF('Final Calculation Sheet'!$Z$6="","",'Final Calculation Sheet'!$Z$6)</f>
        <v/>
      </c>
      <c r="AB7" s="544">
        <f>IF('Final Calculation Sheet'!$AA$6="","",'Final Calculation Sheet'!$AA$6)</f>
        <v/>
      </c>
      <c r="AC7" s="544">
        <f>IF('Final Calculation Sheet'!$AB$6="","",'Final Calculation Sheet'!$AB$6)</f>
        <v/>
      </c>
      <c r="AD7" s="544">
        <f>IF('Final Calculation Sheet'!$AC$6="","",'Final Calculation Sheet'!$AC$6)</f>
        <v/>
      </c>
      <c r="AE7" s="544">
        <f>IF('Final Calculation Sheet'!$AD$6="","",'Final Calculation Sheet'!$AD$6)</f>
        <v/>
      </c>
      <c r="AF7" s="544">
        <f>IF('Final Calculation Sheet'!$AE$6="","",'Final Calculation Sheet'!$AE$6)</f>
        <v/>
      </c>
      <c r="AG7" s="555">
        <f>IF('Final Calculation Sheet'!$AF$6="","",'Final Calculation Sheet'!$AF$6)</f>
        <v/>
      </c>
      <c r="AH7" s="544">
        <f>IF('Final Calculation Sheet'!$AG$6="","",'Final Calculation Sheet'!$AG$6)</f>
        <v/>
      </c>
      <c r="AI7" s="635">
        <f>IF('Final Calculation Sheet'!$AD$6="","",IF('Final Calculation Sheet'!$AD$6&lt;=0,"SETTLED","OUTSTANDING"))</f>
        <v/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$B$3="",1,IF(AND(IF(COUNTIF($AR$9:$AY$9,1)=0,TRUE,SUMPRODUCT(($AR$9:$AY$9=1)*($AR$6:$AY$6&lt;&gt;"")*ISNUMBER(SEARCH($AR$6:$AY$6,$AK7)))&gt;0),IF(COUNTIF($AR$9:$AY$9,2)=0,TRUE,SUMPRODUCT(($AR$9:$AY$9=2)*($AR$6:$AY$6&lt;&gt;"")*ISNUMBER(SEARCH($AR$6:$AY$6,$AK7)))&gt;0),IF(COUNTIF($AR$9:$AY$9,3)=0,TRUE,SUMPRODUCT(($AR$9:$AY$9=3)*($AR$6:$AY$6&lt;&gt;"")*ISNUMBER(SEARCH($AR$6:$AY$6,$AK7)))&gt;0),IF(COUNTIF($AR$9:$AY$9,4)=0,TRUE,SUMPRODUCT(($AR$9:$AY$9=4)*($AR$6:$AY$6&lt;&gt;"")*ISNUMBER(SEARCH($AR$6:$AY$6,$AK7)))&gt;0),IF(COUNTIF($AR$9:$AY$9,5)=0,TRUE,SUMPRODUCT(($AR$9:$AY$9=5)*($AR$6:$AY$6&lt;&gt;"")*ISNUMBER(SEARCH($AR$6:$AY$6,$AK7)))&gt;0),IF(COUNTIF($AR$9:$AY$9,6)=0,TRUE,SUMPRODUCT(($AR$9:$AY$9=6)*($AR$6:$AY$6&lt;&gt;"")*ISNUMBER(SEARCH($AR$6:$AY$6,$AK7)))&gt;0),IF(COUNTIF($AR$9:$AY$9,7)=0,TRUE,SUMPRODUCT(($AR$9:$AY$9=7)*($AR$6:$AY$6&lt;&gt;"")*ISNUMBER(SEARCH($AR$6:$AY$6,$AK7)))&gt;0),IF(COUNTIF($AR$9:$AY$9,8)=0,TRUE,SUMPRODUCT(($AR$9:$AY$9=8)*($AR$6:$AY$6&lt;&gt;"")*ISNUMBER(SEARCH($AR$6:$AY$6,$AK7)))&gt;0)),1,0))</f>
        <v/>
      </c>
      <c r="AO7" t="inlineStr">
        <is>
          <t>Lot Name</t>
        </is>
      </c>
      <c r="AR7">
        <f>IF($AR$4="","",IF($AR$5=99999,"",MID($AR$4,$AR$5,1)))</f>
        <v/>
      </c>
      <c r="AS7">
        <f>IF($AS$4="","",IF($AS$5=99999,"",MID($AS$4,$AS$5,1)))</f>
        <v/>
      </c>
      <c r="AT7">
        <f>IF($AT$4="","",IF($AT$5=99999,"",MID($AT$4,$AT$5,1)))</f>
        <v/>
      </c>
      <c r="AU7">
        <f>IF($AU$4="","",IF($AU$5=99999,"",MID($AU$4,$AU$5,1)))</f>
        <v/>
      </c>
      <c r="AV7">
        <f>IF($AV$4="","",IF($AV$5=99999,"",MID($AV$4,$AV$5,1)))</f>
        <v/>
      </c>
      <c r="AW7">
        <f>IF($AW$4="","",IF($AW$5=99999,"",MID($AW$4,$AW$5,1)))</f>
        <v/>
      </c>
      <c r="AX7">
        <f>IF($AX$4="","",IF($AX$5=99999,"",MID($AX$4,$AX$5,1)))</f>
        <v/>
      </c>
      <c r="AY7">
        <f>IF($AY$4="","",IF($AY$5=99999,"",MID($AY$4,$AY$5,1)))</f>
        <v/>
      </c>
    </row>
    <row r="8" ht="15" customHeight="1">
      <c r="A8" s="636" t="n">
        <v>4</v>
      </c>
      <c r="B8" s="637">
        <f>IF('Final Calculation Sheet'!$F$7="","",'Final Calculation Sheet'!$F$7)</f>
        <v/>
      </c>
      <c r="C8" s="637">
        <f>IF('Final Calculation Sheet'!$G$7="","",'Final Calculation Sheet'!$G$7)</f>
        <v/>
      </c>
      <c r="D8" s="638">
        <f>IF('Final Calculation Sheet'!$B$7="","",'Final Calculation Sheet'!$B$7)</f>
        <v/>
      </c>
      <c r="E8" s="638">
        <f>IF('Final Calculation Sheet'!$D$7="","",'Final Calculation Sheet'!$D$7)</f>
        <v/>
      </c>
      <c r="F8" s="638">
        <f>IF('Final Calculation Sheet'!$A$7="","",'Final Calculation Sheet'!$A$7)</f>
        <v/>
      </c>
      <c r="G8" s="638">
        <f>IF('Final Calculation Sheet'!$E$7="","",'Final Calculation Sheet'!$E$7)</f>
        <v/>
      </c>
      <c r="H8" s="639">
        <f>IF('Final Calculation Sheet'!$C$7="","",'Final Calculation Sheet'!$C$7)</f>
        <v/>
      </c>
      <c r="I8" s="639">
        <f>IF('Final Calculation Sheet'!$H$7="","",'Final Calculation Sheet'!$H$7)</f>
        <v/>
      </c>
      <c r="J8" s="639">
        <f>IF('Final Calculation Sheet'!$I$7="","",'Final Calculation Sheet'!$I$7)</f>
        <v/>
      </c>
      <c r="K8" s="639">
        <f>IF('Final Calculation Sheet'!$J$7="","",'Final Calculation Sheet'!$J$7)</f>
        <v/>
      </c>
      <c r="L8" s="639">
        <f>IF('Final Calculation Sheet'!$K$7="","",'Final Calculation Sheet'!$K$7)</f>
        <v/>
      </c>
      <c r="M8" s="639">
        <f>IF('Final Calculation Sheet'!$L$7="","",'Final Calculation Sheet'!$L$7)</f>
        <v/>
      </c>
      <c r="N8" s="639">
        <f>IF('Final Calculation Sheet'!$M$7="","",'Final Calculation Sheet'!$M$7)</f>
        <v/>
      </c>
      <c r="O8" s="640">
        <f>IF('Final Calculation Sheet'!$N$7="","",'Final Calculation Sheet'!$N$7)</f>
        <v/>
      </c>
      <c r="P8" s="639">
        <f>IF('Final Calculation Sheet'!$O$7="","",'Final Calculation Sheet'!$O$7)</f>
        <v/>
      </c>
      <c r="Q8" s="639">
        <f>IF('Final Calculation Sheet'!$P$7="","",'Final Calculation Sheet'!$P$7)</f>
        <v/>
      </c>
      <c r="R8" s="641">
        <f>IF('Final Calculation Sheet'!$Q$7="","",'Final Calculation Sheet'!$Q$7)</f>
        <v/>
      </c>
      <c r="S8" s="639">
        <f>IF('Final Calculation Sheet'!$R$7="","",'Final Calculation Sheet'!$R$7)</f>
        <v/>
      </c>
      <c r="T8" s="639">
        <f>IF('Final Calculation Sheet'!$S$7="","",'Final Calculation Sheet'!$S$7)</f>
        <v/>
      </c>
      <c r="U8" s="639">
        <f>IF('Final Calculation Sheet'!$T$7="","",'Final Calculation Sheet'!$T$7)</f>
        <v/>
      </c>
      <c r="V8" s="642">
        <f>IF('Final Calculation Sheet'!$U$7="","",'Final Calculation Sheet'!$U$7)</f>
        <v/>
      </c>
      <c r="W8" s="639">
        <f>IF('Final Calculation Sheet'!$V$7="","",'Final Calculation Sheet'!$V$7)</f>
        <v/>
      </c>
      <c r="X8" s="639">
        <f>IF('Final Calculation Sheet'!$W$7="","",'Final Calculation Sheet'!$W$7)</f>
        <v/>
      </c>
      <c r="Y8" s="639">
        <f>IF('Final Calculation Sheet'!$X$7="","",'Final Calculation Sheet'!$X$7)</f>
        <v/>
      </c>
      <c r="Z8" s="639">
        <f>IF('Final Calculation Sheet'!$Y$7="","",'Final Calculation Sheet'!$Y$7)</f>
        <v/>
      </c>
      <c r="AA8" s="639">
        <f>IF('Final Calculation Sheet'!$Z$7="","",'Final Calculation Sheet'!$Z$7)</f>
        <v/>
      </c>
      <c r="AB8" s="639">
        <f>IF('Final Calculation Sheet'!$AA$7="","",'Final Calculation Sheet'!$AA$7)</f>
        <v/>
      </c>
      <c r="AC8" s="639">
        <f>IF('Final Calculation Sheet'!$AB$7="","",'Final Calculation Sheet'!$AB$7)</f>
        <v/>
      </c>
      <c r="AD8" s="639">
        <f>IF('Final Calculation Sheet'!$AC$7="","",'Final Calculation Sheet'!$AC$7)</f>
        <v/>
      </c>
      <c r="AE8" s="639">
        <f>IF('Final Calculation Sheet'!$AD$7="","",'Final Calculation Sheet'!$AD$7)</f>
        <v/>
      </c>
      <c r="AF8" s="639">
        <f>IF('Final Calculation Sheet'!$AE$7="","",'Final Calculation Sheet'!$AE$7)</f>
        <v/>
      </c>
      <c r="AG8" s="643">
        <f>IF('Final Calculation Sheet'!$AF$7="","",'Final Calculation Sheet'!$AF$7)</f>
        <v/>
      </c>
      <c r="AH8" s="639">
        <f>IF('Final Calculation Sheet'!$AG$7="","",'Final Calculation Sheet'!$AG$7)</f>
        <v/>
      </c>
      <c r="AI8" s="644">
        <f>IF('Final Calculation Sheet'!$AD$7="","",IF('Final Calculation Sheet'!$AD$7&lt;=0,"SETTLED","OUTSTANDING"))</f>
        <v/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$B$3="",1,IF(AND(IF(COUNTIF($AR$9:$AY$9,1)=0,TRUE,SUMPRODUCT(($AR$9:$AY$9=1)*($AR$6:$AY$6&lt;&gt;"")*ISNUMBER(SEARCH($AR$6:$AY$6,$AK8)))&gt;0),IF(COUNTIF($AR$9:$AY$9,2)=0,TRUE,SUMPRODUCT(($AR$9:$AY$9=2)*($AR$6:$AY$6&lt;&gt;"")*ISNUMBER(SEARCH($AR$6:$AY$6,$AK8)))&gt;0),IF(COUNTIF($AR$9:$AY$9,3)=0,TRUE,SUMPRODUCT(($AR$9:$AY$9=3)*($AR$6:$AY$6&lt;&gt;"")*ISNUMBER(SEARCH($AR$6:$AY$6,$AK8)))&gt;0),IF(COUNTIF($AR$9:$AY$9,4)=0,TRUE,SUMPRODUCT(($AR$9:$AY$9=4)*($AR$6:$AY$6&lt;&gt;"")*ISNUMBER(SEARCH($AR$6:$AY$6,$AK8)))&gt;0),IF(COUNTIF($AR$9:$AY$9,5)=0,TRUE,SUMPRODUCT(($AR$9:$AY$9=5)*($AR$6:$AY$6&lt;&gt;"")*ISNUMBER(SEARCH($AR$6:$AY$6,$AK8)))&gt;0),IF(COUNTIF($AR$9:$AY$9,6)=0,TRUE,SUMPRODUCT(($AR$9:$AY$9=6)*($AR$6:$AY$6&lt;&gt;"")*ISNUMBER(SEARCH($AR$6:$AY$6,$AK8)))&gt;0),IF(COUNTIF($AR$9:$AY$9,7)=0,TRUE,SUMPRODUCT(($AR$9:$AY$9=7)*($AR$6:$AY$6&lt;&gt;"")*ISNUMBER(SEARCH($AR$6:$AY$6,$AK8)))&gt;0),IF(COUNTIF($AR$9:$AY$9,8)=0,TRUE,SUMPRODUCT(($AR$9:$AY$9=8)*($AR$6:$AY$6&lt;&gt;"")*ISNUMBER(SEARCH($AR$6:$AY$6,$AK8)))&gt;0)),1,0))</f>
        <v/>
      </c>
      <c r="AO8" t="inlineStr">
        <is>
          <t>Bid Sheet</t>
        </is>
      </c>
      <c r="AR8" t="n">
        <v>1</v>
      </c>
      <c r="AS8">
        <f>IF($AR$7="+",$AR$8+1,$AR$8)</f>
        <v/>
      </c>
      <c r="AT8">
        <f>IF($AS$7="+",$AS$8+1,$AS$8)</f>
        <v/>
      </c>
      <c r="AU8">
        <f>IF($AT$7="+",$AT$8+1,$AT$8)</f>
        <v/>
      </c>
      <c r="AV8">
        <f>IF($AU$7="+",$AU$8+1,$AU$8)</f>
        <v/>
      </c>
      <c r="AW8">
        <f>IF($AV$7="+",$AV$8+1,$AV$8)</f>
        <v/>
      </c>
      <c r="AX8">
        <f>IF($AW$7="+",$AW$8+1,$AW$8)</f>
        <v/>
      </c>
      <c r="AY8">
        <f>IF($AX$7="+",$AX$8+1,$AX$8)</f>
        <v/>
      </c>
    </row>
    <row r="9" ht="15" customHeight="1">
      <c r="A9" s="633" t="n">
        <v>5</v>
      </c>
      <c r="B9" s="634">
        <f>IF('Final Calculation Sheet'!$F$8="","",'Final Calculation Sheet'!$F$8)</f>
        <v/>
      </c>
      <c r="C9" s="634">
        <f>IF('Final Calculation Sheet'!$G$8="","",'Final Calculation Sheet'!$G$8)</f>
        <v/>
      </c>
      <c r="D9" s="69">
        <f>IF('Final Calculation Sheet'!$B$8="","",'Final Calculation Sheet'!$B$8)</f>
        <v/>
      </c>
      <c r="E9" s="69">
        <f>IF('Final Calculation Sheet'!$D$8="","",'Final Calculation Sheet'!$D$8)</f>
        <v/>
      </c>
      <c r="F9" s="69">
        <f>IF('Final Calculation Sheet'!$A$8="","",'Final Calculation Sheet'!$A$8)</f>
        <v/>
      </c>
      <c r="G9" s="69">
        <f>IF('Final Calculation Sheet'!$E$8="","",'Final Calculation Sheet'!$E$8)</f>
        <v/>
      </c>
      <c r="H9" s="544">
        <f>IF('Final Calculation Sheet'!$C$8="","",'Final Calculation Sheet'!$C$8)</f>
        <v/>
      </c>
      <c r="I9" s="544">
        <f>IF('Final Calculation Sheet'!$H$8="","",'Final Calculation Sheet'!$H$8)</f>
        <v/>
      </c>
      <c r="J9" s="544">
        <f>IF('Final Calculation Sheet'!$I$8="","",'Final Calculation Sheet'!$I$8)</f>
        <v/>
      </c>
      <c r="K9" s="544">
        <f>IF('Final Calculation Sheet'!$J$8="","",'Final Calculation Sheet'!$J$8)</f>
        <v/>
      </c>
      <c r="L9" s="544">
        <f>IF('Final Calculation Sheet'!$K$8="","",'Final Calculation Sheet'!$K$8)</f>
        <v/>
      </c>
      <c r="M9" s="544">
        <f>IF('Final Calculation Sheet'!$L$8="","",'Final Calculation Sheet'!$L$8)</f>
        <v/>
      </c>
      <c r="N9" s="544">
        <f>IF('Final Calculation Sheet'!$M$8="","",'Final Calculation Sheet'!$M$8)</f>
        <v/>
      </c>
      <c r="O9" s="547">
        <f>IF('Final Calculation Sheet'!$N$8="","",'Final Calculation Sheet'!$N$8)</f>
        <v/>
      </c>
      <c r="P9" s="544">
        <f>IF('Final Calculation Sheet'!$O$8="","",'Final Calculation Sheet'!$O$8)</f>
        <v/>
      </c>
      <c r="Q9" s="544">
        <f>IF('Final Calculation Sheet'!$P$8="","",'Final Calculation Sheet'!$P$8)</f>
        <v/>
      </c>
      <c r="R9" s="549">
        <f>IF('Final Calculation Sheet'!$Q$8="","",'Final Calculation Sheet'!$Q$8)</f>
        <v/>
      </c>
      <c r="S9" s="544">
        <f>IF('Final Calculation Sheet'!$R$8="","",'Final Calculation Sheet'!$R$8)</f>
        <v/>
      </c>
      <c r="T9" s="544">
        <f>IF('Final Calculation Sheet'!$S$8="","",'Final Calculation Sheet'!$S$8)</f>
        <v/>
      </c>
      <c r="U9" s="544">
        <f>IF('Final Calculation Sheet'!$T$8="","",'Final Calculation Sheet'!$T$8)</f>
        <v/>
      </c>
      <c r="V9" s="552">
        <f>IF('Final Calculation Sheet'!$U$8="","",'Final Calculation Sheet'!$U$8)</f>
        <v/>
      </c>
      <c r="W9" s="544">
        <f>IF('Final Calculation Sheet'!$V$8="","",'Final Calculation Sheet'!$V$8)</f>
        <v/>
      </c>
      <c r="X9" s="544">
        <f>IF('Final Calculation Sheet'!$W$8="","",'Final Calculation Sheet'!$W$8)</f>
        <v/>
      </c>
      <c r="Y9" s="544">
        <f>IF('Final Calculation Sheet'!$X$8="","",'Final Calculation Sheet'!$X$8)</f>
        <v/>
      </c>
      <c r="Z9" s="544">
        <f>IF('Final Calculation Sheet'!$Y$8="","",'Final Calculation Sheet'!$Y$8)</f>
        <v/>
      </c>
      <c r="AA9" s="544">
        <f>IF('Final Calculation Sheet'!$Z$8="","",'Final Calculation Sheet'!$Z$8)</f>
        <v/>
      </c>
      <c r="AB9" s="544">
        <f>IF('Final Calculation Sheet'!$AA$8="","",'Final Calculation Sheet'!$AA$8)</f>
        <v/>
      </c>
      <c r="AC9" s="544">
        <f>IF('Final Calculation Sheet'!$AB$8="","",'Final Calculation Sheet'!$AB$8)</f>
        <v/>
      </c>
      <c r="AD9" s="544">
        <f>IF('Final Calculation Sheet'!$AC$8="","",'Final Calculation Sheet'!$AC$8)</f>
        <v/>
      </c>
      <c r="AE9" s="544">
        <f>IF('Final Calculation Sheet'!$AD$8="","",'Final Calculation Sheet'!$AD$8)</f>
        <v/>
      </c>
      <c r="AF9" s="544">
        <f>IF('Final Calculation Sheet'!$AE$8="","",'Final Calculation Sheet'!$AE$8)</f>
        <v/>
      </c>
      <c r="AG9" s="555">
        <f>IF('Final Calculation Sheet'!$AF$8="","",'Final Calculation Sheet'!$AF$8)</f>
        <v/>
      </c>
      <c r="AH9" s="544">
        <f>IF('Final Calculation Sheet'!$AG$8="","",'Final Calculation Sheet'!$AG$8)</f>
        <v/>
      </c>
      <c r="AI9" s="635">
        <f>IF('Final Calculation Sheet'!$AD$8="","",IF('Final Calculation Sheet'!$AD$8&lt;=0,"SETTLED","OUTSTANDING"))</f>
        <v/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$B$3="",1,IF(AND(IF(COUNTIF($AR$9:$AY$9,1)=0,TRUE,SUMPRODUCT(($AR$9:$AY$9=1)*($AR$6:$AY$6&lt;&gt;"")*ISNUMBER(SEARCH($AR$6:$AY$6,$AK9)))&gt;0),IF(COUNTIF($AR$9:$AY$9,2)=0,TRUE,SUMPRODUCT(($AR$9:$AY$9=2)*($AR$6:$AY$6&lt;&gt;"")*ISNUMBER(SEARCH($AR$6:$AY$6,$AK9)))&gt;0),IF(COUNTIF($AR$9:$AY$9,3)=0,TRUE,SUMPRODUCT(($AR$9:$AY$9=3)*($AR$6:$AY$6&lt;&gt;"")*ISNUMBER(SEARCH($AR$6:$AY$6,$AK9)))&gt;0),IF(COUNTIF($AR$9:$AY$9,4)=0,TRUE,SUMPRODUCT(($AR$9:$AY$9=4)*($AR$6:$AY$6&lt;&gt;"")*ISNUMBER(SEARCH($AR$6:$AY$6,$AK9)))&gt;0),IF(COUNTIF($AR$9:$AY$9,5)=0,TRUE,SUMPRODUCT(($AR$9:$AY$9=5)*($AR$6:$AY$6&lt;&gt;"")*ISNUMBER(SEARCH($AR$6:$AY$6,$AK9)))&gt;0),IF(COUNTIF($AR$9:$AY$9,6)=0,TRUE,SUMPRODUCT(($AR$9:$AY$9=6)*($AR$6:$AY$6&lt;&gt;"")*ISNUMBER(SEARCH($AR$6:$AY$6,$AK9)))&gt;0),IF(COUNTIF($AR$9:$AY$9,7)=0,TRUE,SUMPRODUCT(($AR$9:$AY$9=7)*($AR$6:$AY$6&lt;&gt;"")*ISNUMBER(SEARCH($AR$6:$AY$6,$AK9)))&gt;0),IF(COUNTIF($AR$9:$AY$9,8)=0,TRUE,SUMPRODUCT(($AR$9:$AY$9=8)*($AR$6:$AY$6&lt;&gt;"")*ISNUMBER(SEARCH($AR$6:$AY$6,$AK9)))&gt;0)),1,0))</f>
        <v/>
      </c>
      <c r="AO9" t="inlineStr">
        <is>
          <t>Unit</t>
        </is>
      </c>
      <c r="AR9">
        <f>IF($AR$6="",0,$AR$8)</f>
        <v/>
      </c>
      <c r="AS9">
        <f>IF($AS$6="",0,$AS$8)</f>
        <v/>
      </c>
      <c r="AT9">
        <f>IF($AT$6="",0,$AT$8)</f>
        <v/>
      </c>
      <c r="AU9">
        <f>IF($AU$6="",0,$AU$8)</f>
        <v/>
      </c>
      <c r="AV9">
        <f>IF($AV$6="",0,$AV$8)</f>
        <v/>
      </c>
      <c r="AW9">
        <f>IF($AW$6="",0,$AW$8)</f>
        <v/>
      </c>
      <c r="AX9">
        <f>IF($AX$6="",0,$AX$8)</f>
        <v/>
      </c>
      <c r="AY9">
        <f>IF($AY$6="",0,$AY$8)</f>
        <v/>
      </c>
    </row>
    <row r="10" ht="15" customHeight="1">
      <c r="A10" s="636" t="n">
        <v>6</v>
      </c>
      <c r="B10" s="637">
        <f>IF('Final Calculation Sheet'!$F$9="","",'Final Calculation Sheet'!$F$9)</f>
        <v/>
      </c>
      <c r="C10" s="637">
        <f>IF('Final Calculation Sheet'!$G$9="","",'Final Calculation Sheet'!$G$9)</f>
        <v/>
      </c>
      <c r="D10" s="638">
        <f>IF('Final Calculation Sheet'!$B$9="","",'Final Calculation Sheet'!$B$9)</f>
        <v/>
      </c>
      <c r="E10" s="638">
        <f>IF('Final Calculation Sheet'!$D$9="","",'Final Calculation Sheet'!$D$9)</f>
        <v/>
      </c>
      <c r="F10" s="638">
        <f>IF('Final Calculation Sheet'!$A$9="","",'Final Calculation Sheet'!$A$9)</f>
        <v/>
      </c>
      <c r="G10" s="638">
        <f>IF('Final Calculation Sheet'!$E$9="","",'Final Calculation Sheet'!$E$9)</f>
        <v/>
      </c>
      <c r="H10" s="639">
        <f>IF('Final Calculation Sheet'!$C$9="","",'Final Calculation Sheet'!$C$9)</f>
        <v/>
      </c>
      <c r="I10" s="639">
        <f>IF('Final Calculation Sheet'!$H$9="","",'Final Calculation Sheet'!$H$9)</f>
        <v/>
      </c>
      <c r="J10" s="639">
        <f>IF('Final Calculation Sheet'!$I$9="","",'Final Calculation Sheet'!$I$9)</f>
        <v/>
      </c>
      <c r="K10" s="639">
        <f>IF('Final Calculation Sheet'!$J$9="","",'Final Calculation Sheet'!$J$9)</f>
        <v/>
      </c>
      <c r="L10" s="639">
        <f>IF('Final Calculation Sheet'!$K$9="","",'Final Calculation Sheet'!$K$9)</f>
        <v/>
      </c>
      <c r="M10" s="639">
        <f>IF('Final Calculation Sheet'!$L$9="","",'Final Calculation Sheet'!$L$9)</f>
        <v/>
      </c>
      <c r="N10" s="639">
        <f>IF('Final Calculation Sheet'!$M$9="","",'Final Calculation Sheet'!$M$9)</f>
        <v/>
      </c>
      <c r="O10" s="640">
        <f>IF('Final Calculation Sheet'!$N$9="","",'Final Calculation Sheet'!$N$9)</f>
        <v/>
      </c>
      <c r="P10" s="639">
        <f>IF('Final Calculation Sheet'!$O$9="","",'Final Calculation Sheet'!$O$9)</f>
        <v/>
      </c>
      <c r="Q10" s="639">
        <f>IF('Final Calculation Sheet'!$P$9="","",'Final Calculation Sheet'!$P$9)</f>
        <v/>
      </c>
      <c r="R10" s="641">
        <f>IF('Final Calculation Sheet'!$Q$9="","",'Final Calculation Sheet'!$Q$9)</f>
        <v/>
      </c>
      <c r="S10" s="639">
        <f>IF('Final Calculation Sheet'!$R$9="","",'Final Calculation Sheet'!$R$9)</f>
        <v/>
      </c>
      <c r="T10" s="639">
        <f>IF('Final Calculation Sheet'!$S$9="","",'Final Calculation Sheet'!$S$9)</f>
        <v/>
      </c>
      <c r="U10" s="639">
        <f>IF('Final Calculation Sheet'!$T$9="","",'Final Calculation Sheet'!$T$9)</f>
        <v/>
      </c>
      <c r="V10" s="642">
        <f>IF('Final Calculation Sheet'!$U$9="","",'Final Calculation Sheet'!$U$9)</f>
        <v/>
      </c>
      <c r="W10" s="639">
        <f>IF('Final Calculation Sheet'!$V$9="","",'Final Calculation Sheet'!$V$9)</f>
        <v/>
      </c>
      <c r="X10" s="639">
        <f>IF('Final Calculation Sheet'!$W$9="","",'Final Calculation Sheet'!$W$9)</f>
        <v/>
      </c>
      <c r="Y10" s="639">
        <f>IF('Final Calculation Sheet'!$X$9="","",'Final Calculation Sheet'!$X$9)</f>
        <v/>
      </c>
      <c r="Z10" s="639">
        <f>IF('Final Calculation Sheet'!$Y$9="","",'Final Calculation Sheet'!$Y$9)</f>
        <v/>
      </c>
      <c r="AA10" s="639">
        <f>IF('Final Calculation Sheet'!$Z$9="","",'Final Calculation Sheet'!$Z$9)</f>
        <v/>
      </c>
      <c r="AB10" s="639">
        <f>IF('Final Calculation Sheet'!$AA$9="","",'Final Calculation Sheet'!$AA$9)</f>
        <v/>
      </c>
      <c r="AC10" s="639">
        <f>IF('Final Calculation Sheet'!$AB$9="","",'Final Calculation Sheet'!$AB$9)</f>
        <v/>
      </c>
      <c r="AD10" s="639">
        <f>IF('Final Calculation Sheet'!$AC$9="","",'Final Calculation Sheet'!$AC$9)</f>
        <v/>
      </c>
      <c r="AE10" s="639">
        <f>IF('Final Calculation Sheet'!$AD$9="","",'Final Calculation Sheet'!$AD$9)</f>
        <v/>
      </c>
      <c r="AF10" s="639">
        <f>IF('Final Calculation Sheet'!$AE$9="","",'Final Calculation Sheet'!$AE$9)</f>
        <v/>
      </c>
      <c r="AG10" s="643">
        <f>IF('Final Calculation Sheet'!$AF$9="","",'Final Calculation Sheet'!$AF$9)</f>
        <v/>
      </c>
      <c r="AH10" s="639">
        <f>IF('Final Calculation Sheet'!$AG$9="","",'Final Calculation Sheet'!$AG$9)</f>
        <v/>
      </c>
      <c r="AI10" s="644">
        <f>IF('Final Calculation Sheet'!$AD$9="","",IF('Final Calculation Sheet'!$AD$9&lt;=0,"SETTLED","OUTSTANDING"))</f>
        <v/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$B$3="",1,IF(AND(IF(COUNTIF($AR$9:$AY$9,1)=0,TRUE,SUMPRODUCT(($AR$9:$AY$9=1)*($AR$6:$AY$6&lt;&gt;"")*ISNUMBER(SEARCH($AR$6:$AY$6,$AK10)))&gt;0),IF(COUNTIF($AR$9:$AY$9,2)=0,TRUE,SUMPRODUCT(($AR$9:$AY$9=2)*($AR$6:$AY$6&lt;&gt;"")*ISNUMBER(SEARCH($AR$6:$AY$6,$AK10)))&gt;0),IF(COUNTIF($AR$9:$AY$9,3)=0,TRUE,SUMPRODUCT(($AR$9:$AY$9=3)*($AR$6:$AY$6&lt;&gt;"")*ISNUMBER(SEARCH($AR$6:$AY$6,$AK10)))&gt;0),IF(COUNTIF($AR$9:$AY$9,4)=0,TRUE,SUMPRODUCT(($AR$9:$AY$9=4)*($AR$6:$AY$6&lt;&gt;"")*ISNUMBER(SEARCH($AR$6:$AY$6,$AK10)))&gt;0),IF(COUNTIF($AR$9:$AY$9,5)=0,TRUE,SUMPRODUCT(($AR$9:$AY$9=5)*($AR$6:$AY$6&lt;&gt;"")*ISNUMBER(SEARCH($AR$6:$AY$6,$AK10)))&gt;0),IF(COUNTIF($AR$9:$AY$9,6)=0,TRUE,SUMPRODUCT(($AR$9:$AY$9=6)*($AR$6:$AY$6&lt;&gt;"")*ISNUMBER(SEARCH($AR$6:$AY$6,$AK10)))&gt;0),IF(COUNTIF($AR$9:$AY$9,7)=0,TRUE,SUMPRODUCT(($AR$9:$AY$9=7)*($AR$6:$AY$6&lt;&gt;"")*ISNUMBER(SEARCH($AR$6:$AY$6,$AK10)))&gt;0),IF(COUNTIF($AR$9:$AY$9,8)=0,TRUE,SUMPRODUCT(($AR$9:$AY$9=8)*($AR$6:$AY$6&lt;&gt;"")*ISNUMBER(SEARCH($AR$6:$AY$6,$AK10)))&gt;0)),1,0))</f>
        <v/>
      </c>
    </row>
    <row r="11" ht="15" customHeight="1">
      <c r="A11" s="633" t="n">
        <v>7</v>
      </c>
      <c r="B11" s="634">
        <f>IF('Final Calculation Sheet'!$F$10="","",'Final Calculation Sheet'!$F$10)</f>
        <v/>
      </c>
      <c r="C11" s="634">
        <f>IF('Final Calculation Sheet'!$G$10="","",'Final Calculation Sheet'!$G$10)</f>
        <v/>
      </c>
      <c r="D11" s="69">
        <f>IF('Final Calculation Sheet'!$B$10="","",'Final Calculation Sheet'!$B$10)</f>
        <v/>
      </c>
      <c r="E11" s="69">
        <f>IF('Final Calculation Sheet'!$D$10="","",'Final Calculation Sheet'!$D$10)</f>
        <v/>
      </c>
      <c r="F11" s="69">
        <f>IF('Final Calculation Sheet'!$A$10="","",'Final Calculation Sheet'!$A$10)</f>
        <v/>
      </c>
      <c r="G11" s="69">
        <f>IF('Final Calculation Sheet'!$E$10="","",'Final Calculation Sheet'!$E$10)</f>
        <v/>
      </c>
      <c r="H11" s="544">
        <f>IF('Final Calculation Sheet'!$C$10="","",'Final Calculation Sheet'!$C$10)</f>
        <v/>
      </c>
      <c r="I11" s="544">
        <f>IF('Final Calculation Sheet'!$H$10="","",'Final Calculation Sheet'!$H$10)</f>
        <v/>
      </c>
      <c r="J11" s="544">
        <f>IF('Final Calculation Sheet'!$I$10="","",'Final Calculation Sheet'!$I$10)</f>
        <v/>
      </c>
      <c r="K11" s="544">
        <f>IF('Final Calculation Sheet'!$J$10="","",'Final Calculation Sheet'!$J$10)</f>
        <v/>
      </c>
      <c r="L11" s="544">
        <f>IF('Final Calculation Sheet'!$K$10="","",'Final Calculation Sheet'!$K$10)</f>
        <v/>
      </c>
      <c r="M11" s="544">
        <f>IF('Final Calculation Sheet'!$L$10="","",'Final Calculation Sheet'!$L$10)</f>
        <v/>
      </c>
      <c r="N11" s="544">
        <f>IF('Final Calculation Sheet'!$M$10="","",'Final Calculation Sheet'!$M$10)</f>
        <v/>
      </c>
      <c r="O11" s="547">
        <f>IF('Final Calculation Sheet'!$N$10="","",'Final Calculation Sheet'!$N$10)</f>
        <v/>
      </c>
      <c r="P11" s="544">
        <f>IF('Final Calculation Sheet'!$O$10="","",'Final Calculation Sheet'!$O$10)</f>
        <v/>
      </c>
      <c r="Q11" s="544">
        <f>IF('Final Calculation Sheet'!$P$10="","",'Final Calculation Sheet'!$P$10)</f>
        <v/>
      </c>
      <c r="R11" s="549">
        <f>IF('Final Calculation Sheet'!$Q$10="","",'Final Calculation Sheet'!$Q$10)</f>
        <v/>
      </c>
      <c r="S11" s="544">
        <f>IF('Final Calculation Sheet'!$R$10="","",'Final Calculation Sheet'!$R$10)</f>
        <v/>
      </c>
      <c r="T11" s="544">
        <f>IF('Final Calculation Sheet'!$S$10="","",'Final Calculation Sheet'!$S$10)</f>
        <v/>
      </c>
      <c r="U11" s="544">
        <f>IF('Final Calculation Sheet'!$T$10="","",'Final Calculation Sheet'!$T$10)</f>
        <v/>
      </c>
      <c r="V11" s="552">
        <f>IF('Final Calculation Sheet'!$U$10="","",'Final Calculation Sheet'!$U$10)</f>
        <v/>
      </c>
      <c r="W11" s="544">
        <f>IF('Final Calculation Sheet'!$V$10="","",'Final Calculation Sheet'!$V$10)</f>
        <v/>
      </c>
      <c r="X11" s="544">
        <f>IF('Final Calculation Sheet'!$W$10="","",'Final Calculation Sheet'!$W$10)</f>
        <v/>
      </c>
      <c r="Y11" s="544">
        <f>IF('Final Calculation Sheet'!$X$10="","",'Final Calculation Sheet'!$X$10)</f>
        <v/>
      </c>
      <c r="Z11" s="544">
        <f>IF('Final Calculation Sheet'!$Y$10="","",'Final Calculation Sheet'!$Y$10)</f>
        <v/>
      </c>
      <c r="AA11" s="544">
        <f>IF('Final Calculation Sheet'!$Z$10="","",'Final Calculation Sheet'!$Z$10)</f>
        <v/>
      </c>
      <c r="AB11" s="544">
        <f>IF('Final Calculation Sheet'!$AA$10="","",'Final Calculation Sheet'!$AA$10)</f>
        <v/>
      </c>
      <c r="AC11" s="544">
        <f>IF('Final Calculation Sheet'!$AB$10="","",'Final Calculation Sheet'!$AB$10)</f>
        <v/>
      </c>
      <c r="AD11" s="544">
        <f>IF('Final Calculation Sheet'!$AC$10="","",'Final Calculation Sheet'!$AC$10)</f>
        <v/>
      </c>
      <c r="AE11" s="544">
        <f>IF('Final Calculation Sheet'!$AD$10="","",'Final Calculation Sheet'!$AD$10)</f>
        <v/>
      </c>
      <c r="AF11" s="544">
        <f>IF('Final Calculation Sheet'!$AE$10="","",'Final Calculation Sheet'!$AE$10)</f>
        <v/>
      </c>
      <c r="AG11" s="555">
        <f>IF('Final Calculation Sheet'!$AF$10="","",'Final Calculation Sheet'!$AF$10)</f>
        <v/>
      </c>
      <c r="AH11" s="544">
        <f>IF('Final Calculation Sheet'!$AG$10="","",'Final Calculation Sheet'!$AG$10)</f>
        <v/>
      </c>
      <c r="AI11" s="635">
        <f>IF('Final Calculation Sheet'!$AD$10="","",IF('Final Calculation Sheet'!$AD$10&lt;=0,"SETTLED","OUTSTANDING"))</f>
        <v/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$B$3="",1,IF(AND(IF(COUNTIF($AR$9:$AY$9,1)=0,TRUE,SUMPRODUCT(($AR$9:$AY$9=1)*($AR$6:$AY$6&lt;&gt;"")*ISNUMBER(SEARCH($AR$6:$AY$6,$AK11)))&gt;0),IF(COUNTIF($AR$9:$AY$9,2)=0,TRUE,SUMPRODUCT(($AR$9:$AY$9=2)*($AR$6:$AY$6&lt;&gt;"")*ISNUMBER(SEARCH($AR$6:$AY$6,$AK11)))&gt;0),IF(COUNTIF($AR$9:$AY$9,3)=0,TRUE,SUMPRODUCT(($AR$9:$AY$9=3)*($AR$6:$AY$6&lt;&gt;"")*ISNUMBER(SEARCH($AR$6:$AY$6,$AK11)))&gt;0),IF(COUNTIF($AR$9:$AY$9,4)=0,TRUE,SUMPRODUCT(($AR$9:$AY$9=4)*($AR$6:$AY$6&lt;&gt;"")*ISNUMBER(SEARCH($AR$6:$AY$6,$AK11)))&gt;0),IF(COUNTIF($AR$9:$AY$9,5)=0,TRUE,SUMPRODUCT(($AR$9:$AY$9=5)*($AR$6:$AY$6&lt;&gt;"")*ISNUMBER(SEARCH($AR$6:$AY$6,$AK11)))&gt;0),IF(COUNTIF($AR$9:$AY$9,6)=0,TRUE,SUMPRODUCT(($AR$9:$AY$9=6)*($AR$6:$AY$6&lt;&gt;"")*ISNUMBER(SEARCH($AR$6:$AY$6,$AK11)))&gt;0),IF(COUNTIF($AR$9:$AY$9,7)=0,TRUE,SUMPRODUCT(($AR$9:$AY$9=7)*($AR$6:$AY$6&lt;&gt;"")*ISNUMBER(SEARCH($AR$6:$AY$6,$AK11)))&gt;0),IF(COUNTIF($AR$9:$AY$9,8)=0,TRUE,SUMPRODUCT(($AR$9:$AY$9=8)*($AR$6:$AY$6&lt;&gt;"")*ISNUMBER(SEARCH($AR$6:$AY$6,$AK11)))&gt;0)),1,0))</f>
        <v/>
      </c>
    </row>
    <row r="12" ht="15" customHeight="1">
      <c r="A12" s="636" t="n">
        <v>8</v>
      </c>
      <c r="B12" s="637">
        <f>IF('Final Calculation Sheet'!$F$11="","",'Final Calculation Sheet'!$F$11)</f>
        <v/>
      </c>
      <c r="C12" s="637">
        <f>IF('Final Calculation Sheet'!$G$11="","",'Final Calculation Sheet'!$G$11)</f>
        <v/>
      </c>
      <c r="D12" s="638">
        <f>IF('Final Calculation Sheet'!$B$11="","",'Final Calculation Sheet'!$B$11)</f>
        <v/>
      </c>
      <c r="E12" s="638">
        <f>IF('Final Calculation Sheet'!$D$11="","",'Final Calculation Sheet'!$D$11)</f>
        <v/>
      </c>
      <c r="F12" s="638">
        <f>IF('Final Calculation Sheet'!$A$11="","",'Final Calculation Sheet'!$A$11)</f>
        <v/>
      </c>
      <c r="G12" s="638">
        <f>IF('Final Calculation Sheet'!$E$11="","",'Final Calculation Sheet'!$E$11)</f>
        <v/>
      </c>
      <c r="H12" s="639">
        <f>IF('Final Calculation Sheet'!$C$11="","",'Final Calculation Sheet'!$C$11)</f>
        <v/>
      </c>
      <c r="I12" s="639">
        <f>IF('Final Calculation Sheet'!$H$11="","",'Final Calculation Sheet'!$H$11)</f>
        <v/>
      </c>
      <c r="J12" s="639">
        <f>IF('Final Calculation Sheet'!$I$11="","",'Final Calculation Sheet'!$I$11)</f>
        <v/>
      </c>
      <c r="K12" s="639">
        <f>IF('Final Calculation Sheet'!$J$11="","",'Final Calculation Sheet'!$J$11)</f>
        <v/>
      </c>
      <c r="L12" s="639">
        <f>IF('Final Calculation Sheet'!$K$11="","",'Final Calculation Sheet'!$K$11)</f>
        <v/>
      </c>
      <c r="M12" s="639">
        <f>IF('Final Calculation Sheet'!$L$11="","",'Final Calculation Sheet'!$L$11)</f>
        <v/>
      </c>
      <c r="N12" s="639">
        <f>IF('Final Calculation Sheet'!$M$11="","",'Final Calculation Sheet'!$M$11)</f>
        <v/>
      </c>
      <c r="O12" s="640">
        <f>IF('Final Calculation Sheet'!$N$11="","",'Final Calculation Sheet'!$N$11)</f>
        <v/>
      </c>
      <c r="P12" s="639">
        <f>IF('Final Calculation Sheet'!$O$11="","",'Final Calculation Sheet'!$O$11)</f>
        <v/>
      </c>
      <c r="Q12" s="639">
        <f>IF('Final Calculation Sheet'!$P$11="","",'Final Calculation Sheet'!$P$11)</f>
        <v/>
      </c>
      <c r="R12" s="641">
        <f>IF('Final Calculation Sheet'!$Q$11="","",'Final Calculation Sheet'!$Q$11)</f>
        <v/>
      </c>
      <c r="S12" s="639">
        <f>IF('Final Calculation Sheet'!$R$11="","",'Final Calculation Sheet'!$R$11)</f>
        <v/>
      </c>
      <c r="T12" s="639">
        <f>IF('Final Calculation Sheet'!$S$11="","",'Final Calculation Sheet'!$S$11)</f>
        <v/>
      </c>
      <c r="U12" s="639">
        <f>IF('Final Calculation Sheet'!$T$11="","",'Final Calculation Sheet'!$T$11)</f>
        <v/>
      </c>
      <c r="V12" s="642">
        <f>IF('Final Calculation Sheet'!$U$11="","",'Final Calculation Sheet'!$U$11)</f>
        <v/>
      </c>
      <c r="W12" s="639">
        <f>IF('Final Calculation Sheet'!$V$11="","",'Final Calculation Sheet'!$V$11)</f>
        <v/>
      </c>
      <c r="X12" s="639">
        <f>IF('Final Calculation Sheet'!$W$11="","",'Final Calculation Sheet'!$W$11)</f>
        <v/>
      </c>
      <c r="Y12" s="639">
        <f>IF('Final Calculation Sheet'!$X$11="","",'Final Calculation Sheet'!$X$11)</f>
        <v/>
      </c>
      <c r="Z12" s="639">
        <f>IF('Final Calculation Sheet'!$Y$11="","",'Final Calculation Sheet'!$Y$11)</f>
        <v/>
      </c>
      <c r="AA12" s="639">
        <f>IF('Final Calculation Sheet'!$Z$11="","",'Final Calculation Sheet'!$Z$11)</f>
        <v/>
      </c>
      <c r="AB12" s="639">
        <f>IF('Final Calculation Sheet'!$AA$11="","",'Final Calculation Sheet'!$AA$11)</f>
        <v/>
      </c>
      <c r="AC12" s="639">
        <f>IF('Final Calculation Sheet'!$AB$11="","",'Final Calculation Sheet'!$AB$11)</f>
        <v/>
      </c>
      <c r="AD12" s="639">
        <f>IF('Final Calculation Sheet'!$AC$11="","",'Final Calculation Sheet'!$AC$11)</f>
        <v/>
      </c>
      <c r="AE12" s="639">
        <f>IF('Final Calculation Sheet'!$AD$11="","",'Final Calculation Sheet'!$AD$11)</f>
        <v/>
      </c>
      <c r="AF12" s="639">
        <f>IF('Final Calculation Sheet'!$AE$11="","",'Final Calculation Sheet'!$AE$11)</f>
        <v/>
      </c>
      <c r="AG12" s="643">
        <f>IF('Final Calculation Sheet'!$AF$11="","",'Final Calculation Sheet'!$AF$11)</f>
        <v/>
      </c>
      <c r="AH12" s="639">
        <f>IF('Final Calculation Sheet'!$AG$11="","",'Final Calculation Sheet'!$AG$11)</f>
        <v/>
      </c>
      <c r="AI12" s="644">
        <f>IF('Final Calculation Sheet'!$AD$11="","",IF('Final Calculation Sheet'!$AD$11&lt;=0,"SETTLED","OUTSTANDING"))</f>
        <v/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$B$3="",1,IF(AND(IF(COUNTIF($AR$9:$AY$9,1)=0,TRUE,SUMPRODUCT(($AR$9:$AY$9=1)*($AR$6:$AY$6&lt;&gt;"")*ISNUMBER(SEARCH($AR$6:$AY$6,$AK12)))&gt;0),IF(COUNTIF($AR$9:$AY$9,2)=0,TRUE,SUMPRODUCT(($AR$9:$AY$9=2)*($AR$6:$AY$6&lt;&gt;"")*ISNUMBER(SEARCH($AR$6:$AY$6,$AK12)))&gt;0),IF(COUNTIF($AR$9:$AY$9,3)=0,TRUE,SUMPRODUCT(($AR$9:$AY$9=3)*($AR$6:$AY$6&lt;&gt;"")*ISNUMBER(SEARCH($AR$6:$AY$6,$AK12)))&gt;0),IF(COUNTIF($AR$9:$AY$9,4)=0,TRUE,SUMPRODUCT(($AR$9:$AY$9=4)*($AR$6:$AY$6&lt;&gt;"")*ISNUMBER(SEARCH($AR$6:$AY$6,$AK12)))&gt;0),IF(COUNTIF($AR$9:$AY$9,5)=0,TRUE,SUMPRODUCT(($AR$9:$AY$9=5)*($AR$6:$AY$6&lt;&gt;"")*ISNUMBER(SEARCH($AR$6:$AY$6,$AK12)))&gt;0),IF(COUNTIF($AR$9:$AY$9,6)=0,TRUE,SUMPRODUCT(($AR$9:$AY$9=6)*($AR$6:$AY$6&lt;&gt;"")*ISNUMBER(SEARCH($AR$6:$AY$6,$AK12)))&gt;0),IF(COUNTIF($AR$9:$AY$9,7)=0,TRUE,SUMPRODUCT(($AR$9:$AY$9=7)*($AR$6:$AY$6&lt;&gt;"")*ISNUMBER(SEARCH($AR$6:$AY$6,$AK12)))&gt;0),IF(COUNTIF($AR$9:$AY$9,8)=0,TRUE,SUMPRODUCT(($AR$9:$AY$9=8)*($AR$6:$AY$6&lt;&gt;"")*ISNUMBER(SEARCH($AR$6:$AY$6,$AK12)))&gt;0)),1,0))</f>
        <v/>
      </c>
    </row>
    <row r="13" ht="15" customHeight="1">
      <c r="A13" s="633" t="n">
        <v>9</v>
      </c>
      <c r="B13" s="634">
        <f>IF('Final Calculation Sheet'!$F$12="","",'Final Calculation Sheet'!$F$12)</f>
        <v/>
      </c>
      <c r="C13" s="634">
        <f>IF('Final Calculation Sheet'!$G$12="","",'Final Calculation Sheet'!$G$12)</f>
        <v/>
      </c>
      <c r="D13" s="69">
        <f>IF('Final Calculation Sheet'!$B$12="","",'Final Calculation Sheet'!$B$12)</f>
        <v/>
      </c>
      <c r="E13" s="69">
        <f>IF('Final Calculation Sheet'!$D$12="","",'Final Calculation Sheet'!$D$12)</f>
        <v/>
      </c>
      <c r="F13" s="69">
        <f>IF('Final Calculation Sheet'!$A$12="","",'Final Calculation Sheet'!$A$12)</f>
        <v/>
      </c>
      <c r="G13" s="69">
        <f>IF('Final Calculation Sheet'!$E$12="","",'Final Calculation Sheet'!$E$12)</f>
        <v/>
      </c>
      <c r="H13" s="544">
        <f>IF('Final Calculation Sheet'!$C$12="","",'Final Calculation Sheet'!$C$12)</f>
        <v/>
      </c>
      <c r="I13" s="544">
        <f>IF('Final Calculation Sheet'!$H$12="","",'Final Calculation Sheet'!$H$12)</f>
        <v/>
      </c>
      <c r="J13" s="544">
        <f>IF('Final Calculation Sheet'!$I$12="","",'Final Calculation Sheet'!$I$12)</f>
        <v/>
      </c>
      <c r="K13" s="544">
        <f>IF('Final Calculation Sheet'!$J$12="","",'Final Calculation Sheet'!$J$12)</f>
        <v/>
      </c>
      <c r="L13" s="544">
        <f>IF('Final Calculation Sheet'!$K$12="","",'Final Calculation Sheet'!$K$12)</f>
        <v/>
      </c>
      <c r="M13" s="544">
        <f>IF('Final Calculation Sheet'!$L$12="","",'Final Calculation Sheet'!$L$12)</f>
        <v/>
      </c>
      <c r="N13" s="544">
        <f>IF('Final Calculation Sheet'!$M$12="","",'Final Calculation Sheet'!$M$12)</f>
        <v/>
      </c>
      <c r="O13" s="547">
        <f>IF('Final Calculation Sheet'!$N$12="","",'Final Calculation Sheet'!$N$12)</f>
        <v/>
      </c>
      <c r="P13" s="544">
        <f>IF('Final Calculation Sheet'!$O$12="","",'Final Calculation Sheet'!$O$12)</f>
        <v/>
      </c>
      <c r="Q13" s="544">
        <f>IF('Final Calculation Sheet'!$P$12="","",'Final Calculation Sheet'!$P$12)</f>
        <v/>
      </c>
      <c r="R13" s="549">
        <f>IF('Final Calculation Sheet'!$Q$12="","",'Final Calculation Sheet'!$Q$12)</f>
        <v/>
      </c>
      <c r="S13" s="544">
        <f>IF('Final Calculation Sheet'!$R$12="","",'Final Calculation Sheet'!$R$12)</f>
        <v/>
      </c>
      <c r="T13" s="544">
        <f>IF('Final Calculation Sheet'!$S$12="","",'Final Calculation Sheet'!$S$12)</f>
        <v/>
      </c>
      <c r="U13" s="544">
        <f>IF('Final Calculation Sheet'!$T$12="","",'Final Calculation Sheet'!$T$12)</f>
        <v/>
      </c>
      <c r="V13" s="552">
        <f>IF('Final Calculation Sheet'!$U$12="","",'Final Calculation Sheet'!$U$12)</f>
        <v/>
      </c>
      <c r="W13" s="544">
        <f>IF('Final Calculation Sheet'!$V$12="","",'Final Calculation Sheet'!$V$12)</f>
        <v/>
      </c>
      <c r="X13" s="544">
        <f>IF('Final Calculation Sheet'!$W$12="","",'Final Calculation Sheet'!$W$12)</f>
        <v/>
      </c>
      <c r="Y13" s="544">
        <f>IF('Final Calculation Sheet'!$X$12="","",'Final Calculation Sheet'!$X$12)</f>
        <v/>
      </c>
      <c r="Z13" s="544">
        <f>IF('Final Calculation Sheet'!$Y$12="","",'Final Calculation Sheet'!$Y$12)</f>
        <v/>
      </c>
      <c r="AA13" s="544">
        <f>IF('Final Calculation Sheet'!$Z$12="","",'Final Calculation Sheet'!$Z$12)</f>
        <v/>
      </c>
      <c r="AB13" s="544">
        <f>IF('Final Calculation Sheet'!$AA$12="","",'Final Calculation Sheet'!$AA$12)</f>
        <v/>
      </c>
      <c r="AC13" s="544">
        <f>IF('Final Calculation Sheet'!$AB$12="","",'Final Calculation Sheet'!$AB$12)</f>
        <v/>
      </c>
      <c r="AD13" s="544">
        <f>IF('Final Calculation Sheet'!$AC$12="","",'Final Calculation Sheet'!$AC$12)</f>
        <v/>
      </c>
      <c r="AE13" s="544">
        <f>IF('Final Calculation Sheet'!$AD$12="","",'Final Calculation Sheet'!$AD$12)</f>
        <v/>
      </c>
      <c r="AF13" s="544">
        <f>IF('Final Calculation Sheet'!$AE$12="","",'Final Calculation Sheet'!$AE$12)</f>
        <v/>
      </c>
      <c r="AG13" s="555">
        <f>IF('Final Calculation Sheet'!$AF$12="","",'Final Calculation Sheet'!$AF$12)</f>
        <v/>
      </c>
      <c r="AH13" s="544">
        <f>IF('Final Calculation Sheet'!$AG$12="","",'Final Calculation Sheet'!$AG$12)</f>
        <v/>
      </c>
      <c r="AI13" s="635">
        <f>IF('Final Calculation Sheet'!$AD$12="","",IF('Final Calculation Sheet'!$AD$12&lt;=0,"SETTLED","OUTSTANDING"))</f>
        <v/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$B$3="",1,IF(AND(IF(COUNTIF($AR$9:$AY$9,1)=0,TRUE,SUMPRODUCT(($AR$9:$AY$9=1)*($AR$6:$AY$6&lt;&gt;"")*ISNUMBER(SEARCH($AR$6:$AY$6,$AK13)))&gt;0),IF(COUNTIF($AR$9:$AY$9,2)=0,TRUE,SUMPRODUCT(($AR$9:$AY$9=2)*($AR$6:$AY$6&lt;&gt;"")*ISNUMBER(SEARCH($AR$6:$AY$6,$AK13)))&gt;0),IF(COUNTIF($AR$9:$AY$9,3)=0,TRUE,SUMPRODUCT(($AR$9:$AY$9=3)*($AR$6:$AY$6&lt;&gt;"")*ISNUMBER(SEARCH($AR$6:$AY$6,$AK13)))&gt;0),IF(COUNTIF($AR$9:$AY$9,4)=0,TRUE,SUMPRODUCT(($AR$9:$AY$9=4)*($AR$6:$AY$6&lt;&gt;"")*ISNUMBER(SEARCH($AR$6:$AY$6,$AK13)))&gt;0),IF(COUNTIF($AR$9:$AY$9,5)=0,TRUE,SUMPRODUCT(($AR$9:$AY$9=5)*($AR$6:$AY$6&lt;&gt;"")*ISNUMBER(SEARCH($AR$6:$AY$6,$AK13)))&gt;0),IF(COUNTIF($AR$9:$AY$9,6)=0,TRUE,SUMPRODUCT(($AR$9:$AY$9=6)*($AR$6:$AY$6&lt;&gt;"")*ISNUMBER(SEARCH($AR$6:$AY$6,$AK13)))&gt;0),IF(COUNTIF($AR$9:$AY$9,7)=0,TRUE,SUMPRODUCT(($AR$9:$AY$9=7)*($AR$6:$AY$6&lt;&gt;"")*ISNUMBER(SEARCH($AR$6:$AY$6,$AK13)))&gt;0),IF(COUNTIF($AR$9:$AY$9,8)=0,TRUE,SUMPRODUCT(($AR$9:$AY$9=8)*($AR$6:$AY$6&lt;&gt;"")*ISNUMBER(SEARCH($AR$6:$AY$6,$AK13)))&gt;0)),1,0))</f>
        <v/>
      </c>
    </row>
    <row r="14" ht="15" customHeight="1">
      <c r="A14" s="636" t="n">
        <v>10</v>
      </c>
      <c r="B14" s="637">
        <f>IF('Final Calculation Sheet'!$F$13="","",'Final Calculation Sheet'!$F$13)</f>
        <v/>
      </c>
      <c r="C14" s="637">
        <f>IF('Final Calculation Sheet'!$G$13="","",'Final Calculation Sheet'!$G$13)</f>
        <v/>
      </c>
      <c r="D14" s="638">
        <f>IF('Final Calculation Sheet'!$B$13="","",'Final Calculation Sheet'!$B$13)</f>
        <v/>
      </c>
      <c r="E14" s="638">
        <f>IF('Final Calculation Sheet'!$D$13="","",'Final Calculation Sheet'!$D$13)</f>
        <v/>
      </c>
      <c r="F14" s="638">
        <f>IF('Final Calculation Sheet'!$A$13="","",'Final Calculation Sheet'!$A$13)</f>
        <v/>
      </c>
      <c r="G14" s="638">
        <f>IF('Final Calculation Sheet'!$E$13="","",'Final Calculation Sheet'!$E$13)</f>
        <v/>
      </c>
      <c r="H14" s="639">
        <f>IF('Final Calculation Sheet'!$C$13="","",'Final Calculation Sheet'!$C$13)</f>
        <v/>
      </c>
      <c r="I14" s="639">
        <f>IF('Final Calculation Sheet'!$H$13="","",'Final Calculation Sheet'!$H$13)</f>
        <v/>
      </c>
      <c r="J14" s="639">
        <f>IF('Final Calculation Sheet'!$I$13="","",'Final Calculation Sheet'!$I$13)</f>
        <v/>
      </c>
      <c r="K14" s="639">
        <f>IF('Final Calculation Sheet'!$J$13="","",'Final Calculation Sheet'!$J$13)</f>
        <v/>
      </c>
      <c r="L14" s="639">
        <f>IF('Final Calculation Sheet'!$K$13="","",'Final Calculation Sheet'!$K$13)</f>
        <v/>
      </c>
      <c r="M14" s="639">
        <f>IF('Final Calculation Sheet'!$L$13="","",'Final Calculation Sheet'!$L$13)</f>
        <v/>
      </c>
      <c r="N14" s="639">
        <f>IF('Final Calculation Sheet'!$M$13="","",'Final Calculation Sheet'!$M$13)</f>
        <v/>
      </c>
      <c r="O14" s="640">
        <f>IF('Final Calculation Sheet'!$N$13="","",'Final Calculation Sheet'!$N$13)</f>
        <v/>
      </c>
      <c r="P14" s="639">
        <f>IF('Final Calculation Sheet'!$O$13="","",'Final Calculation Sheet'!$O$13)</f>
        <v/>
      </c>
      <c r="Q14" s="639">
        <f>IF('Final Calculation Sheet'!$P$13="","",'Final Calculation Sheet'!$P$13)</f>
        <v/>
      </c>
      <c r="R14" s="641">
        <f>IF('Final Calculation Sheet'!$Q$13="","",'Final Calculation Sheet'!$Q$13)</f>
        <v/>
      </c>
      <c r="S14" s="639">
        <f>IF('Final Calculation Sheet'!$R$13="","",'Final Calculation Sheet'!$R$13)</f>
        <v/>
      </c>
      <c r="T14" s="639">
        <f>IF('Final Calculation Sheet'!$S$13="","",'Final Calculation Sheet'!$S$13)</f>
        <v/>
      </c>
      <c r="U14" s="639">
        <f>IF('Final Calculation Sheet'!$T$13="","",'Final Calculation Sheet'!$T$13)</f>
        <v/>
      </c>
      <c r="V14" s="642">
        <f>IF('Final Calculation Sheet'!$U$13="","",'Final Calculation Sheet'!$U$13)</f>
        <v/>
      </c>
      <c r="W14" s="639">
        <f>IF('Final Calculation Sheet'!$V$13="","",'Final Calculation Sheet'!$V$13)</f>
        <v/>
      </c>
      <c r="X14" s="639">
        <f>IF('Final Calculation Sheet'!$W$13="","",'Final Calculation Sheet'!$W$13)</f>
        <v/>
      </c>
      <c r="Y14" s="639">
        <f>IF('Final Calculation Sheet'!$X$13="","",'Final Calculation Sheet'!$X$13)</f>
        <v/>
      </c>
      <c r="Z14" s="639">
        <f>IF('Final Calculation Sheet'!$Y$13="","",'Final Calculation Sheet'!$Y$13)</f>
        <v/>
      </c>
      <c r="AA14" s="639">
        <f>IF('Final Calculation Sheet'!$Z$13="","",'Final Calculation Sheet'!$Z$13)</f>
        <v/>
      </c>
      <c r="AB14" s="639">
        <f>IF('Final Calculation Sheet'!$AA$13="","",'Final Calculation Sheet'!$AA$13)</f>
        <v/>
      </c>
      <c r="AC14" s="639">
        <f>IF('Final Calculation Sheet'!$AB$13="","",'Final Calculation Sheet'!$AB$13)</f>
        <v/>
      </c>
      <c r="AD14" s="639">
        <f>IF('Final Calculation Sheet'!$AC$13="","",'Final Calculation Sheet'!$AC$13)</f>
        <v/>
      </c>
      <c r="AE14" s="639">
        <f>IF('Final Calculation Sheet'!$AD$13="","",'Final Calculation Sheet'!$AD$13)</f>
        <v/>
      </c>
      <c r="AF14" s="639">
        <f>IF('Final Calculation Sheet'!$AE$13="","",'Final Calculation Sheet'!$AE$13)</f>
        <v/>
      </c>
      <c r="AG14" s="643">
        <f>IF('Final Calculation Sheet'!$AF$13="","",'Final Calculation Sheet'!$AF$13)</f>
        <v/>
      </c>
      <c r="AH14" s="639">
        <f>IF('Final Calculation Sheet'!$AG$13="","",'Final Calculation Sheet'!$AG$13)</f>
        <v/>
      </c>
      <c r="AI14" s="644">
        <f>IF('Final Calculation Sheet'!$AD$13="","",IF('Final Calculation Sheet'!$AD$13&lt;=0,"SETTLED","OUTSTANDING"))</f>
        <v/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$B$3="",1,IF(AND(IF(COUNTIF($AR$9:$AY$9,1)=0,TRUE,SUMPRODUCT(($AR$9:$AY$9=1)*($AR$6:$AY$6&lt;&gt;"")*ISNUMBER(SEARCH($AR$6:$AY$6,$AK14)))&gt;0),IF(COUNTIF($AR$9:$AY$9,2)=0,TRUE,SUMPRODUCT(($AR$9:$AY$9=2)*($AR$6:$AY$6&lt;&gt;"")*ISNUMBER(SEARCH($AR$6:$AY$6,$AK14)))&gt;0),IF(COUNTIF($AR$9:$AY$9,3)=0,TRUE,SUMPRODUCT(($AR$9:$AY$9=3)*($AR$6:$AY$6&lt;&gt;"")*ISNUMBER(SEARCH($AR$6:$AY$6,$AK14)))&gt;0),IF(COUNTIF($AR$9:$AY$9,4)=0,TRUE,SUMPRODUCT(($AR$9:$AY$9=4)*($AR$6:$AY$6&lt;&gt;"")*ISNUMBER(SEARCH($AR$6:$AY$6,$AK14)))&gt;0),IF(COUNTIF($AR$9:$AY$9,5)=0,TRUE,SUMPRODUCT(($AR$9:$AY$9=5)*($AR$6:$AY$6&lt;&gt;"")*ISNUMBER(SEARCH($AR$6:$AY$6,$AK14)))&gt;0),IF(COUNTIF($AR$9:$AY$9,6)=0,TRUE,SUMPRODUCT(($AR$9:$AY$9=6)*($AR$6:$AY$6&lt;&gt;"")*ISNUMBER(SEARCH($AR$6:$AY$6,$AK14)))&gt;0),IF(COUNTIF($AR$9:$AY$9,7)=0,TRUE,SUMPRODUCT(($AR$9:$AY$9=7)*($AR$6:$AY$6&lt;&gt;"")*ISNUMBER(SEARCH($AR$6:$AY$6,$AK14)))&gt;0),IF(COUNTIF($AR$9:$AY$9,8)=0,TRUE,SUMPRODUCT(($AR$9:$AY$9=8)*($AR$6:$AY$6&lt;&gt;"")*ISNUMBER(SEARCH($AR$6:$AY$6,$AK14)))&gt;0)),1,0))</f>
        <v/>
      </c>
    </row>
    <row r="15" ht="15" customHeight="1">
      <c r="A15" s="633" t="n">
        <v>11</v>
      </c>
      <c r="B15" s="634">
        <f>IF('Final Calculation Sheet'!$F$14="","",'Final Calculation Sheet'!$F$14)</f>
        <v/>
      </c>
      <c r="C15" s="634">
        <f>IF('Final Calculation Sheet'!$G$14="","",'Final Calculation Sheet'!$G$14)</f>
        <v/>
      </c>
      <c r="D15" s="69">
        <f>IF('Final Calculation Sheet'!$B$14="","",'Final Calculation Sheet'!$B$14)</f>
        <v/>
      </c>
      <c r="E15" s="69">
        <f>IF('Final Calculation Sheet'!$D$14="","",'Final Calculation Sheet'!$D$14)</f>
        <v/>
      </c>
      <c r="F15" s="69">
        <f>IF('Final Calculation Sheet'!$A$14="","",'Final Calculation Sheet'!$A$14)</f>
        <v/>
      </c>
      <c r="G15" s="69">
        <f>IF('Final Calculation Sheet'!$E$14="","",'Final Calculation Sheet'!$E$14)</f>
        <v/>
      </c>
      <c r="H15" s="544">
        <f>IF('Final Calculation Sheet'!$C$14="","",'Final Calculation Sheet'!$C$14)</f>
        <v/>
      </c>
      <c r="I15" s="544">
        <f>IF('Final Calculation Sheet'!$H$14="","",'Final Calculation Sheet'!$H$14)</f>
        <v/>
      </c>
      <c r="J15" s="544">
        <f>IF('Final Calculation Sheet'!$I$14="","",'Final Calculation Sheet'!$I$14)</f>
        <v/>
      </c>
      <c r="K15" s="544">
        <f>IF('Final Calculation Sheet'!$J$14="","",'Final Calculation Sheet'!$J$14)</f>
        <v/>
      </c>
      <c r="L15" s="544">
        <f>IF('Final Calculation Sheet'!$K$14="","",'Final Calculation Sheet'!$K$14)</f>
        <v/>
      </c>
      <c r="M15" s="544">
        <f>IF('Final Calculation Sheet'!$L$14="","",'Final Calculation Sheet'!$L$14)</f>
        <v/>
      </c>
      <c r="N15" s="544">
        <f>IF('Final Calculation Sheet'!$M$14="","",'Final Calculation Sheet'!$M$14)</f>
        <v/>
      </c>
      <c r="O15" s="547">
        <f>IF('Final Calculation Sheet'!$N$14="","",'Final Calculation Sheet'!$N$14)</f>
        <v/>
      </c>
      <c r="P15" s="544">
        <f>IF('Final Calculation Sheet'!$O$14="","",'Final Calculation Sheet'!$O$14)</f>
        <v/>
      </c>
      <c r="Q15" s="544">
        <f>IF('Final Calculation Sheet'!$P$14="","",'Final Calculation Sheet'!$P$14)</f>
        <v/>
      </c>
      <c r="R15" s="549">
        <f>IF('Final Calculation Sheet'!$Q$14="","",'Final Calculation Sheet'!$Q$14)</f>
        <v/>
      </c>
      <c r="S15" s="544">
        <f>IF('Final Calculation Sheet'!$R$14="","",'Final Calculation Sheet'!$R$14)</f>
        <v/>
      </c>
      <c r="T15" s="544">
        <f>IF('Final Calculation Sheet'!$S$14="","",'Final Calculation Sheet'!$S$14)</f>
        <v/>
      </c>
      <c r="U15" s="544">
        <f>IF('Final Calculation Sheet'!$T$14="","",'Final Calculation Sheet'!$T$14)</f>
        <v/>
      </c>
      <c r="V15" s="552">
        <f>IF('Final Calculation Sheet'!$U$14="","",'Final Calculation Sheet'!$U$14)</f>
        <v/>
      </c>
      <c r="W15" s="544">
        <f>IF('Final Calculation Sheet'!$V$14="","",'Final Calculation Sheet'!$V$14)</f>
        <v/>
      </c>
      <c r="X15" s="544">
        <f>IF('Final Calculation Sheet'!$W$14="","",'Final Calculation Sheet'!$W$14)</f>
        <v/>
      </c>
      <c r="Y15" s="544">
        <f>IF('Final Calculation Sheet'!$X$14="","",'Final Calculation Sheet'!$X$14)</f>
        <v/>
      </c>
      <c r="Z15" s="544">
        <f>IF('Final Calculation Sheet'!$Y$14="","",'Final Calculation Sheet'!$Y$14)</f>
        <v/>
      </c>
      <c r="AA15" s="544">
        <f>IF('Final Calculation Sheet'!$Z$14="","",'Final Calculation Sheet'!$Z$14)</f>
        <v/>
      </c>
      <c r="AB15" s="544">
        <f>IF('Final Calculation Sheet'!$AA$14="","",'Final Calculation Sheet'!$AA$14)</f>
        <v/>
      </c>
      <c r="AC15" s="544">
        <f>IF('Final Calculation Sheet'!$AB$14="","",'Final Calculation Sheet'!$AB$14)</f>
        <v/>
      </c>
      <c r="AD15" s="544">
        <f>IF('Final Calculation Sheet'!$AC$14="","",'Final Calculation Sheet'!$AC$14)</f>
        <v/>
      </c>
      <c r="AE15" s="544">
        <f>IF('Final Calculation Sheet'!$AD$14="","",'Final Calculation Sheet'!$AD$14)</f>
        <v/>
      </c>
      <c r="AF15" s="544">
        <f>IF('Final Calculation Sheet'!$AE$14="","",'Final Calculation Sheet'!$AE$14)</f>
        <v/>
      </c>
      <c r="AG15" s="555">
        <f>IF('Final Calculation Sheet'!$AF$14="","",'Final Calculation Sheet'!$AF$14)</f>
        <v/>
      </c>
      <c r="AH15" s="544">
        <f>IF('Final Calculation Sheet'!$AG$14="","",'Final Calculation Sheet'!$AG$14)</f>
        <v/>
      </c>
      <c r="AI15" s="635">
        <f>IF('Final Calculation Sheet'!$AD$14="","",IF('Final Calculation Sheet'!$AD$14&lt;=0,"SETTLED","OUTSTANDING"))</f>
        <v/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$B$3="",1,IF(AND(IF(COUNTIF($AR$9:$AY$9,1)=0,TRUE,SUMPRODUCT(($AR$9:$AY$9=1)*($AR$6:$AY$6&lt;&gt;"")*ISNUMBER(SEARCH($AR$6:$AY$6,$AK15)))&gt;0),IF(COUNTIF($AR$9:$AY$9,2)=0,TRUE,SUMPRODUCT(($AR$9:$AY$9=2)*($AR$6:$AY$6&lt;&gt;"")*ISNUMBER(SEARCH($AR$6:$AY$6,$AK15)))&gt;0),IF(COUNTIF($AR$9:$AY$9,3)=0,TRUE,SUMPRODUCT(($AR$9:$AY$9=3)*($AR$6:$AY$6&lt;&gt;"")*ISNUMBER(SEARCH($AR$6:$AY$6,$AK15)))&gt;0),IF(COUNTIF($AR$9:$AY$9,4)=0,TRUE,SUMPRODUCT(($AR$9:$AY$9=4)*($AR$6:$AY$6&lt;&gt;"")*ISNUMBER(SEARCH($AR$6:$AY$6,$AK15)))&gt;0),IF(COUNTIF($AR$9:$AY$9,5)=0,TRUE,SUMPRODUCT(($AR$9:$AY$9=5)*($AR$6:$AY$6&lt;&gt;"")*ISNUMBER(SEARCH($AR$6:$AY$6,$AK15)))&gt;0),IF(COUNTIF($AR$9:$AY$9,6)=0,TRUE,SUMPRODUCT(($AR$9:$AY$9=6)*($AR$6:$AY$6&lt;&gt;"")*ISNUMBER(SEARCH($AR$6:$AY$6,$AK15)))&gt;0),IF(COUNTIF($AR$9:$AY$9,7)=0,TRUE,SUMPRODUCT(($AR$9:$AY$9=7)*($AR$6:$AY$6&lt;&gt;"")*ISNUMBER(SEARCH($AR$6:$AY$6,$AK15)))&gt;0),IF(COUNTIF($AR$9:$AY$9,8)=0,TRUE,SUMPRODUCT(($AR$9:$AY$9=8)*($AR$6:$AY$6&lt;&gt;"")*ISNUMBER(SEARCH($AR$6:$AY$6,$AK15)))&gt;0)),1,0))</f>
        <v/>
      </c>
    </row>
    <row r="16" ht="15" customHeight="1">
      <c r="A16" s="636" t="n">
        <v>12</v>
      </c>
      <c r="B16" s="637">
        <f>IF('Final Calculation Sheet'!$F$15="","",'Final Calculation Sheet'!$F$15)</f>
        <v/>
      </c>
      <c r="C16" s="637">
        <f>IF('Final Calculation Sheet'!$G$15="","",'Final Calculation Sheet'!$G$15)</f>
        <v/>
      </c>
      <c r="D16" s="638">
        <f>IF('Final Calculation Sheet'!$B$15="","",'Final Calculation Sheet'!$B$15)</f>
        <v/>
      </c>
      <c r="E16" s="638">
        <f>IF('Final Calculation Sheet'!$D$15="","",'Final Calculation Sheet'!$D$15)</f>
        <v/>
      </c>
      <c r="F16" s="638">
        <f>IF('Final Calculation Sheet'!$A$15="","",'Final Calculation Sheet'!$A$15)</f>
        <v/>
      </c>
      <c r="G16" s="638">
        <f>IF('Final Calculation Sheet'!$E$15="","",'Final Calculation Sheet'!$E$15)</f>
        <v/>
      </c>
      <c r="H16" s="639">
        <f>IF('Final Calculation Sheet'!$C$15="","",'Final Calculation Sheet'!$C$15)</f>
        <v/>
      </c>
      <c r="I16" s="639">
        <f>IF('Final Calculation Sheet'!$H$15="","",'Final Calculation Sheet'!$H$15)</f>
        <v/>
      </c>
      <c r="J16" s="639">
        <f>IF('Final Calculation Sheet'!$I$15="","",'Final Calculation Sheet'!$I$15)</f>
        <v/>
      </c>
      <c r="K16" s="639">
        <f>IF('Final Calculation Sheet'!$J$15="","",'Final Calculation Sheet'!$J$15)</f>
        <v/>
      </c>
      <c r="L16" s="639">
        <f>IF('Final Calculation Sheet'!$K$15="","",'Final Calculation Sheet'!$K$15)</f>
        <v/>
      </c>
      <c r="M16" s="639">
        <f>IF('Final Calculation Sheet'!$L$15="","",'Final Calculation Sheet'!$L$15)</f>
        <v/>
      </c>
      <c r="N16" s="639">
        <f>IF('Final Calculation Sheet'!$M$15="","",'Final Calculation Sheet'!$M$15)</f>
        <v/>
      </c>
      <c r="O16" s="640">
        <f>IF('Final Calculation Sheet'!$N$15="","",'Final Calculation Sheet'!$N$15)</f>
        <v/>
      </c>
      <c r="P16" s="639">
        <f>IF('Final Calculation Sheet'!$O$15="","",'Final Calculation Sheet'!$O$15)</f>
        <v/>
      </c>
      <c r="Q16" s="639">
        <f>IF('Final Calculation Sheet'!$P$15="","",'Final Calculation Sheet'!$P$15)</f>
        <v/>
      </c>
      <c r="R16" s="641">
        <f>IF('Final Calculation Sheet'!$Q$15="","",'Final Calculation Sheet'!$Q$15)</f>
        <v/>
      </c>
      <c r="S16" s="639">
        <f>IF('Final Calculation Sheet'!$R$15="","",'Final Calculation Sheet'!$R$15)</f>
        <v/>
      </c>
      <c r="T16" s="639">
        <f>IF('Final Calculation Sheet'!$S$15="","",'Final Calculation Sheet'!$S$15)</f>
        <v/>
      </c>
      <c r="U16" s="639">
        <f>IF('Final Calculation Sheet'!$T$15="","",'Final Calculation Sheet'!$T$15)</f>
        <v/>
      </c>
      <c r="V16" s="642">
        <f>IF('Final Calculation Sheet'!$U$15="","",'Final Calculation Sheet'!$U$15)</f>
        <v/>
      </c>
      <c r="W16" s="639">
        <f>IF('Final Calculation Sheet'!$V$15="","",'Final Calculation Sheet'!$V$15)</f>
        <v/>
      </c>
      <c r="X16" s="639">
        <f>IF('Final Calculation Sheet'!$W$15="","",'Final Calculation Sheet'!$W$15)</f>
        <v/>
      </c>
      <c r="Y16" s="639">
        <f>IF('Final Calculation Sheet'!$X$15="","",'Final Calculation Sheet'!$X$15)</f>
        <v/>
      </c>
      <c r="Z16" s="639">
        <f>IF('Final Calculation Sheet'!$Y$15="","",'Final Calculation Sheet'!$Y$15)</f>
        <v/>
      </c>
      <c r="AA16" s="639">
        <f>IF('Final Calculation Sheet'!$Z$15="","",'Final Calculation Sheet'!$Z$15)</f>
        <v/>
      </c>
      <c r="AB16" s="639">
        <f>IF('Final Calculation Sheet'!$AA$15="","",'Final Calculation Sheet'!$AA$15)</f>
        <v/>
      </c>
      <c r="AC16" s="639">
        <f>IF('Final Calculation Sheet'!$AB$15="","",'Final Calculation Sheet'!$AB$15)</f>
        <v/>
      </c>
      <c r="AD16" s="639">
        <f>IF('Final Calculation Sheet'!$AC$15="","",'Final Calculation Sheet'!$AC$15)</f>
        <v/>
      </c>
      <c r="AE16" s="639">
        <f>IF('Final Calculation Sheet'!$AD$15="","",'Final Calculation Sheet'!$AD$15)</f>
        <v/>
      </c>
      <c r="AF16" s="639">
        <f>IF('Final Calculation Sheet'!$AE$15="","",'Final Calculation Sheet'!$AE$15)</f>
        <v/>
      </c>
      <c r="AG16" s="643">
        <f>IF('Final Calculation Sheet'!$AF$15="","",'Final Calculation Sheet'!$AF$15)</f>
        <v/>
      </c>
      <c r="AH16" s="639">
        <f>IF('Final Calculation Sheet'!$AG$15="","",'Final Calculation Sheet'!$AG$15)</f>
        <v/>
      </c>
      <c r="AI16" s="644">
        <f>IF('Final Calculation Sheet'!$AD$15="","",IF('Final Calculation Sheet'!$AD$15&lt;=0,"SETTLED","OUTSTANDING"))</f>
        <v/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$B$3="",1,IF(AND(IF(COUNTIF($AR$9:$AY$9,1)=0,TRUE,SUMPRODUCT(($AR$9:$AY$9=1)*($AR$6:$AY$6&lt;&gt;"")*ISNUMBER(SEARCH($AR$6:$AY$6,$AK16)))&gt;0),IF(COUNTIF($AR$9:$AY$9,2)=0,TRUE,SUMPRODUCT(($AR$9:$AY$9=2)*($AR$6:$AY$6&lt;&gt;"")*ISNUMBER(SEARCH($AR$6:$AY$6,$AK16)))&gt;0),IF(COUNTIF($AR$9:$AY$9,3)=0,TRUE,SUMPRODUCT(($AR$9:$AY$9=3)*($AR$6:$AY$6&lt;&gt;"")*ISNUMBER(SEARCH($AR$6:$AY$6,$AK16)))&gt;0),IF(COUNTIF($AR$9:$AY$9,4)=0,TRUE,SUMPRODUCT(($AR$9:$AY$9=4)*($AR$6:$AY$6&lt;&gt;"")*ISNUMBER(SEARCH($AR$6:$AY$6,$AK16)))&gt;0),IF(COUNTIF($AR$9:$AY$9,5)=0,TRUE,SUMPRODUCT(($AR$9:$AY$9=5)*($AR$6:$AY$6&lt;&gt;"")*ISNUMBER(SEARCH($AR$6:$AY$6,$AK16)))&gt;0),IF(COUNTIF($AR$9:$AY$9,6)=0,TRUE,SUMPRODUCT(($AR$9:$AY$9=6)*($AR$6:$AY$6&lt;&gt;"")*ISNUMBER(SEARCH($AR$6:$AY$6,$AK16)))&gt;0),IF(COUNTIF($AR$9:$AY$9,7)=0,TRUE,SUMPRODUCT(($AR$9:$AY$9=7)*($AR$6:$AY$6&lt;&gt;"")*ISNUMBER(SEARCH($AR$6:$AY$6,$AK16)))&gt;0),IF(COUNTIF($AR$9:$AY$9,8)=0,TRUE,SUMPRODUCT(($AR$9:$AY$9=8)*($AR$6:$AY$6&lt;&gt;"")*ISNUMBER(SEARCH($AR$6:$AY$6,$AK16)))&gt;0)),1,0))</f>
        <v/>
      </c>
    </row>
    <row r="17" ht="15" customHeight="1">
      <c r="A17" s="633" t="n">
        <v>13</v>
      </c>
      <c r="B17" s="634">
        <f>IF('Final Calculation Sheet'!$F$16="","",'Final Calculation Sheet'!$F$16)</f>
        <v/>
      </c>
      <c r="C17" s="634">
        <f>IF('Final Calculation Sheet'!$G$16="","",'Final Calculation Sheet'!$G$16)</f>
        <v/>
      </c>
      <c r="D17" s="69">
        <f>IF('Final Calculation Sheet'!$B$16="","",'Final Calculation Sheet'!$B$16)</f>
        <v/>
      </c>
      <c r="E17" s="69">
        <f>IF('Final Calculation Sheet'!$D$16="","",'Final Calculation Sheet'!$D$16)</f>
        <v/>
      </c>
      <c r="F17" s="69">
        <f>IF('Final Calculation Sheet'!$A$16="","",'Final Calculation Sheet'!$A$16)</f>
        <v/>
      </c>
      <c r="G17" s="69">
        <f>IF('Final Calculation Sheet'!$E$16="","",'Final Calculation Sheet'!$E$16)</f>
        <v/>
      </c>
      <c r="H17" s="544">
        <f>IF('Final Calculation Sheet'!$C$16="","",'Final Calculation Sheet'!$C$16)</f>
        <v/>
      </c>
      <c r="I17" s="544">
        <f>IF('Final Calculation Sheet'!$H$16="","",'Final Calculation Sheet'!$H$16)</f>
        <v/>
      </c>
      <c r="J17" s="544">
        <f>IF('Final Calculation Sheet'!$I$16="","",'Final Calculation Sheet'!$I$16)</f>
        <v/>
      </c>
      <c r="K17" s="544">
        <f>IF('Final Calculation Sheet'!$J$16="","",'Final Calculation Sheet'!$J$16)</f>
        <v/>
      </c>
      <c r="L17" s="544">
        <f>IF('Final Calculation Sheet'!$K$16="","",'Final Calculation Sheet'!$K$16)</f>
        <v/>
      </c>
      <c r="M17" s="544">
        <f>IF('Final Calculation Sheet'!$L$16="","",'Final Calculation Sheet'!$L$16)</f>
        <v/>
      </c>
      <c r="N17" s="544">
        <f>IF('Final Calculation Sheet'!$M$16="","",'Final Calculation Sheet'!$M$16)</f>
        <v/>
      </c>
      <c r="O17" s="547">
        <f>IF('Final Calculation Sheet'!$N$16="","",'Final Calculation Sheet'!$N$16)</f>
        <v/>
      </c>
      <c r="P17" s="544">
        <f>IF('Final Calculation Sheet'!$O$16="","",'Final Calculation Sheet'!$O$16)</f>
        <v/>
      </c>
      <c r="Q17" s="544">
        <f>IF('Final Calculation Sheet'!$P$16="","",'Final Calculation Sheet'!$P$16)</f>
        <v/>
      </c>
      <c r="R17" s="549">
        <f>IF('Final Calculation Sheet'!$Q$16="","",'Final Calculation Sheet'!$Q$16)</f>
        <v/>
      </c>
      <c r="S17" s="544">
        <f>IF('Final Calculation Sheet'!$R$16="","",'Final Calculation Sheet'!$R$16)</f>
        <v/>
      </c>
      <c r="T17" s="544">
        <f>IF('Final Calculation Sheet'!$S$16="","",'Final Calculation Sheet'!$S$16)</f>
        <v/>
      </c>
      <c r="U17" s="544">
        <f>IF('Final Calculation Sheet'!$T$16="","",'Final Calculation Sheet'!$T$16)</f>
        <v/>
      </c>
      <c r="V17" s="552">
        <f>IF('Final Calculation Sheet'!$U$16="","",'Final Calculation Sheet'!$U$16)</f>
        <v/>
      </c>
      <c r="W17" s="544">
        <f>IF('Final Calculation Sheet'!$V$16="","",'Final Calculation Sheet'!$V$16)</f>
        <v/>
      </c>
      <c r="X17" s="544">
        <f>IF('Final Calculation Sheet'!$W$16="","",'Final Calculation Sheet'!$W$16)</f>
        <v/>
      </c>
      <c r="Y17" s="544">
        <f>IF('Final Calculation Sheet'!$X$16="","",'Final Calculation Sheet'!$X$16)</f>
        <v/>
      </c>
      <c r="Z17" s="544">
        <f>IF('Final Calculation Sheet'!$Y$16="","",'Final Calculation Sheet'!$Y$16)</f>
        <v/>
      </c>
      <c r="AA17" s="544">
        <f>IF('Final Calculation Sheet'!$Z$16="","",'Final Calculation Sheet'!$Z$16)</f>
        <v/>
      </c>
      <c r="AB17" s="544">
        <f>IF('Final Calculation Sheet'!$AA$16="","",'Final Calculation Sheet'!$AA$16)</f>
        <v/>
      </c>
      <c r="AC17" s="544">
        <f>IF('Final Calculation Sheet'!$AB$16="","",'Final Calculation Sheet'!$AB$16)</f>
        <v/>
      </c>
      <c r="AD17" s="544">
        <f>IF('Final Calculation Sheet'!$AC$16="","",'Final Calculation Sheet'!$AC$16)</f>
        <v/>
      </c>
      <c r="AE17" s="544">
        <f>IF('Final Calculation Sheet'!$AD$16="","",'Final Calculation Sheet'!$AD$16)</f>
        <v/>
      </c>
      <c r="AF17" s="544">
        <f>IF('Final Calculation Sheet'!$AE$16="","",'Final Calculation Sheet'!$AE$16)</f>
        <v/>
      </c>
      <c r="AG17" s="555">
        <f>IF('Final Calculation Sheet'!$AF$16="","",'Final Calculation Sheet'!$AF$16)</f>
        <v/>
      </c>
      <c r="AH17" s="544">
        <f>IF('Final Calculation Sheet'!$AG$16="","",'Final Calculation Sheet'!$AG$16)</f>
        <v/>
      </c>
      <c r="AI17" s="635">
        <f>IF('Final Calculation Sheet'!$AD$16="","",IF('Final Calculation Sheet'!$AD$16&lt;=0,"SETTLED","OUTSTANDING"))</f>
        <v/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$B$3="",1,IF(AND(IF(COUNTIF($AR$9:$AY$9,1)=0,TRUE,SUMPRODUCT(($AR$9:$AY$9=1)*($AR$6:$AY$6&lt;&gt;"")*ISNUMBER(SEARCH($AR$6:$AY$6,$AK17)))&gt;0),IF(COUNTIF($AR$9:$AY$9,2)=0,TRUE,SUMPRODUCT(($AR$9:$AY$9=2)*($AR$6:$AY$6&lt;&gt;"")*ISNUMBER(SEARCH($AR$6:$AY$6,$AK17)))&gt;0),IF(COUNTIF($AR$9:$AY$9,3)=0,TRUE,SUMPRODUCT(($AR$9:$AY$9=3)*($AR$6:$AY$6&lt;&gt;"")*ISNUMBER(SEARCH($AR$6:$AY$6,$AK17)))&gt;0),IF(COUNTIF($AR$9:$AY$9,4)=0,TRUE,SUMPRODUCT(($AR$9:$AY$9=4)*($AR$6:$AY$6&lt;&gt;"")*ISNUMBER(SEARCH($AR$6:$AY$6,$AK17)))&gt;0),IF(COUNTIF($AR$9:$AY$9,5)=0,TRUE,SUMPRODUCT(($AR$9:$AY$9=5)*($AR$6:$AY$6&lt;&gt;"")*ISNUMBER(SEARCH($AR$6:$AY$6,$AK17)))&gt;0),IF(COUNTIF($AR$9:$AY$9,6)=0,TRUE,SUMPRODUCT(($AR$9:$AY$9=6)*($AR$6:$AY$6&lt;&gt;"")*ISNUMBER(SEARCH($AR$6:$AY$6,$AK17)))&gt;0),IF(COUNTIF($AR$9:$AY$9,7)=0,TRUE,SUMPRODUCT(($AR$9:$AY$9=7)*($AR$6:$AY$6&lt;&gt;"")*ISNUMBER(SEARCH($AR$6:$AY$6,$AK17)))&gt;0),IF(COUNTIF($AR$9:$AY$9,8)=0,TRUE,SUMPRODUCT(($AR$9:$AY$9=8)*($AR$6:$AY$6&lt;&gt;"")*ISNUMBER(SEARCH($AR$6:$AY$6,$AK17)))&gt;0)),1,0))</f>
        <v/>
      </c>
    </row>
    <row r="18" ht="15" customHeight="1">
      <c r="A18" s="636" t="n">
        <v>14</v>
      </c>
      <c r="B18" s="637">
        <f>IF('Final Calculation Sheet'!$F$17="","",'Final Calculation Sheet'!$F$17)</f>
        <v/>
      </c>
      <c r="C18" s="637">
        <f>IF('Final Calculation Sheet'!$G$17="","",'Final Calculation Sheet'!$G$17)</f>
        <v/>
      </c>
      <c r="D18" s="638">
        <f>IF('Final Calculation Sheet'!$B$17="","",'Final Calculation Sheet'!$B$17)</f>
        <v/>
      </c>
      <c r="E18" s="638">
        <f>IF('Final Calculation Sheet'!$D$17="","",'Final Calculation Sheet'!$D$17)</f>
        <v/>
      </c>
      <c r="F18" s="638">
        <f>IF('Final Calculation Sheet'!$A$17="","",'Final Calculation Sheet'!$A$17)</f>
        <v/>
      </c>
      <c r="G18" s="638">
        <f>IF('Final Calculation Sheet'!$E$17="","",'Final Calculation Sheet'!$E$17)</f>
        <v/>
      </c>
      <c r="H18" s="639">
        <f>IF('Final Calculation Sheet'!$C$17="","",'Final Calculation Sheet'!$C$17)</f>
        <v/>
      </c>
      <c r="I18" s="639">
        <f>IF('Final Calculation Sheet'!$H$17="","",'Final Calculation Sheet'!$H$17)</f>
        <v/>
      </c>
      <c r="J18" s="639">
        <f>IF('Final Calculation Sheet'!$I$17="","",'Final Calculation Sheet'!$I$17)</f>
        <v/>
      </c>
      <c r="K18" s="639">
        <f>IF('Final Calculation Sheet'!$J$17="","",'Final Calculation Sheet'!$J$17)</f>
        <v/>
      </c>
      <c r="L18" s="639">
        <f>IF('Final Calculation Sheet'!$K$17="","",'Final Calculation Sheet'!$K$17)</f>
        <v/>
      </c>
      <c r="M18" s="639">
        <f>IF('Final Calculation Sheet'!$L$17="","",'Final Calculation Sheet'!$L$17)</f>
        <v/>
      </c>
      <c r="N18" s="639">
        <f>IF('Final Calculation Sheet'!$M$17="","",'Final Calculation Sheet'!$M$17)</f>
        <v/>
      </c>
      <c r="O18" s="640">
        <f>IF('Final Calculation Sheet'!$N$17="","",'Final Calculation Sheet'!$N$17)</f>
        <v/>
      </c>
      <c r="P18" s="639">
        <f>IF('Final Calculation Sheet'!$O$17="","",'Final Calculation Sheet'!$O$17)</f>
        <v/>
      </c>
      <c r="Q18" s="639">
        <f>IF('Final Calculation Sheet'!$P$17="","",'Final Calculation Sheet'!$P$17)</f>
        <v/>
      </c>
      <c r="R18" s="641">
        <f>IF('Final Calculation Sheet'!$Q$17="","",'Final Calculation Sheet'!$Q$17)</f>
        <v/>
      </c>
      <c r="S18" s="639">
        <f>IF('Final Calculation Sheet'!$R$17="","",'Final Calculation Sheet'!$R$17)</f>
        <v/>
      </c>
      <c r="T18" s="639">
        <f>IF('Final Calculation Sheet'!$S$17="","",'Final Calculation Sheet'!$S$17)</f>
        <v/>
      </c>
      <c r="U18" s="639">
        <f>IF('Final Calculation Sheet'!$T$17="","",'Final Calculation Sheet'!$T$17)</f>
        <v/>
      </c>
      <c r="V18" s="642">
        <f>IF('Final Calculation Sheet'!$U$17="","",'Final Calculation Sheet'!$U$17)</f>
        <v/>
      </c>
      <c r="W18" s="639">
        <f>IF('Final Calculation Sheet'!$V$17="","",'Final Calculation Sheet'!$V$17)</f>
        <v/>
      </c>
      <c r="X18" s="639">
        <f>IF('Final Calculation Sheet'!$W$17="","",'Final Calculation Sheet'!$W$17)</f>
        <v/>
      </c>
      <c r="Y18" s="639">
        <f>IF('Final Calculation Sheet'!$X$17="","",'Final Calculation Sheet'!$X$17)</f>
        <v/>
      </c>
      <c r="Z18" s="639">
        <f>IF('Final Calculation Sheet'!$Y$17="","",'Final Calculation Sheet'!$Y$17)</f>
        <v/>
      </c>
      <c r="AA18" s="639">
        <f>IF('Final Calculation Sheet'!$Z$17="","",'Final Calculation Sheet'!$Z$17)</f>
        <v/>
      </c>
      <c r="AB18" s="639">
        <f>IF('Final Calculation Sheet'!$AA$17="","",'Final Calculation Sheet'!$AA$17)</f>
        <v/>
      </c>
      <c r="AC18" s="639">
        <f>IF('Final Calculation Sheet'!$AB$17="","",'Final Calculation Sheet'!$AB$17)</f>
        <v/>
      </c>
      <c r="AD18" s="639">
        <f>IF('Final Calculation Sheet'!$AC$17="","",'Final Calculation Sheet'!$AC$17)</f>
        <v/>
      </c>
      <c r="AE18" s="639">
        <f>IF('Final Calculation Sheet'!$AD$17="","",'Final Calculation Sheet'!$AD$17)</f>
        <v/>
      </c>
      <c r="AF18" s="639">
        <f>IF('Final Calculation Sheet'!$AE$17="","",'Final Calculation Sheet'!$AE$17)</f>
        <v/>
      </c>
      <c r="AG18" s="643">
        <f>IF('Final Calculation Sheet'!$AF$17="","",'Final Calculation Sheet'!$AF$17)</f>
        <v/>
      </c>
      <c r="AH18" s="639">
        <f>IF('Final Calculation Sheet'!$AG$17="","",'Final Calculation Sheet'!$AG$17)</f>
        <v/>
      </c>
      <c r="AI18" s="644">
        <f>IF('Final Calculation Sheet'!$AD$17="","",IF('Final Calculation Sheet'!$AD$17&lt;=0,"SETTLED","OUTSTANDING"))</f>
        <v/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$B$3="",1,IF(AND(IF(COUNTIF($AR$9:$AY$9,1)=0,TRUE,SUMPRODUCT(($AR$9:$AY$9=1)*($AR$6:$AY$6&lt;&gt;"")*ISNUMBER(SEARCH($AR$6:$AY$6,$AK18)))&gt;0),IF(COUNTIF($AR$9:$AY$9,2)=0,TRUE,SUMPRODUCT(($AR$9:$AY$9=2)*($AR$6:$AY$6&lt;&gt;"")*ISNUMBER(SEARCH($AR$6:$AY$6,$AK18)))&gt;0),IF(COUNTIF($AR$9:$AY$9,3)=0,TRUE,SUMPRODUCT(($AR$9:$AY$9=3)*($AR$6:$AY$6&lt;&gt;"")*ISNUMBER(SEARCH($AR$6:$AY$6,$AK18)))&gt;0),IF(COUNTIF($AR$9:$AY$9,4)=0,TRUE,SUMPRODUCT(($AR$9:$AY$9=4)*($AR$6:$AY$6&lt;&gt;"")*ISNUMBER(SEARCH($AR$6:$AY$6,$AK18)))&gt;0),IF(COUNTIF($AR$9:$AY$9,5)=0,TRUE,SUMPRODUCT(($AR$9:$AY$9=5)*($AR$6:$AY$6&lt;&gt;"")*ISNUMBER(SEARCH($AR$6:$AY$6,$AK18)))&gt;0),IF(COUNTIF($AR$9:$AY$9,6)=0,TRUE,SUMPRODUCT(($AR$9:$AY$9=6)*($AR$6:$AY$6&lt;&gt;"")*ISNUMBER(SEARCH($AR$6:$AY$6,$AK18)))&gt;0),IF(COUNTIF($AR$9:$AY$9,7)=0,TRUE,SUMPRODUCT(($AR$9:$AY$9=7)*($AR$6:$AY$6&lt;&gt;"")*ISNUMBER(SEARCH($AR$6:$AY$6,$AK18)))&gt;0),IF(COUNTIF($AR$9:$AY$9,8)=0,TRUE,SUMPRODUCT(($AR$9:$AY$9=8)*($AR$6:$AY$6&lt;&gt;"")*ISNUMBER(SEARCH($AR$6:$AY$6,$AK18)))&gt;0)),1,0))</f>
        <v/>
      </c>
    </row>
    <row r="19" ht="15" customHeight="1">
      <c r="A19" s="633" t="n">
        <v>15</v>
      </c>
      <c r="B19" s="634">
        <f>IF('Final Calculation Sheet'!$F$18="","",'Final Calculation Sheet'!$F$18)</f>
        <v/>
      </c>
      <c r="C19" s="634">
        <f>IF('Final Calculation Sheet'!$G$18="","",'Final Calculation Sheet'!$G$18)</f>
        <v/>
      </c>
      <c r="D19" s="69">
        <f>IF('Final Calculation Sheet'!$B$18="","",'Final Calculation Sheet'!$B$18)</f>
        <v/>
      </c>
      <c r="E19" s="69">
        <f>IF('Final Calculation Sheet'!$D$18="","",'Final Calculation Sheet'!$D$18)</f>
        <v/>
      </c>
      <c r="F19" s="69">
        <f>IF('Final Calculation Sheet'!$A$18="","",'Final Calculation Sheet'!$A$18)</f>
        <v/>
      </c>
      <c r="G19" s="69">
        <f>IF('Final Calculation Sheet'!$E$18="","",'Final Calculation Sheet'!$E$18)</f>
        <v/>
      </c>
      <c r="H19" s="544">
        <f>IF('Final Calculation Sheet'!$C$18="","",'Final Calculation Sheet'!$C$18)</f>
        <v/>
      </c>
      <c r="I19" s="544">
        <f>IF('Final Calculation Sheet'!$H$18="","",'Final Calculation Sheet'!$H$18)</f>
        <v/>
      </c>
      <c r="J19" s="544">
        <f>IF('Final Calculation Sheet'!$I$18="","",'Final Calculation Sheet'!$I$18)</f>
        <v/>
      </c>
      <c r="K19" s="544">
        <f>IF('Final Calculation Sheet'!$J$18="","",'Final Calculation Sheet'!$J$18)</f>
        <v/>
      </c>
      <c r="L19" s="544">
        <f>IF('Final Calculation Sheet'!$K$18="","",'Final Calculation Sheet'!$K$18)</f>
        <v/>
      </c>
      <c r="M19" s="544">
        <f>IF('Final Calculation Sheet'!$L$18="","",'Final Calculation Sheet'!$L$18)</f>
        <v/>
      </c>
      <c r="N19" s="544">
        <f>IF('Final Calculation Sheet'!$M$18="","",'Final Calculation Sheet'!$M$18)</f>
        <v/>
      </c>
      <c r="O19" s="547">
        <f>IF('Final Calculation Sheet'!$N$18="","",'Final Calculation Sheet'!$N$18)</f>
        <v/>
      </c>
      <c r="P19" s="544">
        <f>IF('Final Calculation Sheet'!$O$18="","",'Final Calculation Sheet'!$O$18)</f>
        <v/>
      </c>
      <c r="Q19" s="544">
        <f>IF('Final Calculation Sheet'!$P$18="","",'Final Calculation Sheet'!$P$18)</f>
        <v/>
      </c>
      <c r="R19" s="549">
        <f>IF('Final Calculation Sheet'!$Q$18="","",'Final Calculation Sheet'!$Q$18)</f>
        <v/>
      </c>
      <c r="S19" s="544">
        <f>IF('Final Calculation Sheet'!$R$18="","",'Final Calculation Sheet'!$R$18)</f>
        <v/>
      </c>
      <c r="T19" s="544">
        <f>IF('Final Calculation Sheet'!$S$18="","",'Final Calculation Sheet'!$S$18)</f>
        <v/>
      </c>
      <c r="U19" s="544">
        <f>IF('Final Calculation Sheet'!$T$18="","",'Final Calculation Sheet'!$T$18)</f>
        <v/>
      </c>
      <c r="V19" s="552">
        <f>IF('Final Calculation Sheet'!$U$18="","",'Final Calculation Sheet'!$U$18)</f>
        <v/>
      </c>
      <c r="W19" s="544">
        <f>IF('Final Calculation Sheet'!$V$18="","",'Final Calculation Sheet'!$V$18)</f>
        <v/>
      </c>
      <c r="X19" s="544">
        <f>IF('Final Calculation Sheet'!$W$18="","",'Final Calculation Sheet'!$W$18)</f>
        <v/>
      </c>
      <c r="Y19" s="544">
        <f>IF('Final Calculation Sheet'!$X$18="","",'Final Calculation Sheet'!$X$18)</f>
        <v/>
      </c>
      <c r="Z19" s="544">
        <f>IF('Final Calculation Sheet'!$Y$18="","",'Final Calculation Sheet'!$Y$18)</f>
        <v/>
      </c>
      <c r="AA19" s="544">
        <f>IF('Final Calculation Sheet'!$Z$18="","",'Final Calculation Sheet'!$Z$18)</f>
        <v/>
      </c>
      <c r="AB19" s="544">
        <f>IF('Final Calculation Sheet'!$AA$18="","",'Final Calculation Sheet'!$AA$18)</f>
        <v/>
      </c>
      <c r="AC19" s="544">
        <f>IF('Final Calculation Sheet'!$AB$18="","",'Final Calculation Sheet'!$AB$18)</f>
        <v/>
      </c>
      <c r="AD19" s="544">
        <f>IF('Final Calculation Sheet'!$AC$18="","",'Final Calculation Sheet'!$AC$18)</f>
        <v/>
      </c>
      <c r="AE19" s="544">
        <f>IF('Final Calculation Sheet'!$AD$18="","",'Final Calculation Sheet'!$AD$18)</f>
        <v/>
      </c>
      <c r="AF19" s="544">
        <f>IF('Final Calculation Sheet'!$AE$18="","",'Final Calculation Sheet'!$AE$18)</f>
        <v/>
      </c>
      <c r="AG19" s="555">
        <f>IF('Final Calculation Sheet'!$AF$18="","",'Final Calculation Sheet'!$AF$18)</f>
        <v/>
      </c>
      <c r="AH19" s="544">
        <f>IF('Final Calculation Sheet'!$AG$18="","",'Final Calculation Sheet'!$AG$18)</f>
        <v/>
      </c>
      <c r="AI19" s="635">
        <f>IF('Final Calculation Sheet'!$AD$18="","",IF('Final Calculation Sheet'!$AD$18&lt;=0,"SETTLED","OUTSTANDING"))</f>
        <v/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$B$3="",1,IF(AND(IF(COUNTIF($AR$9:$AY$9,1)=0,TRUE,SUMPRODUCT(($AR$9:$AY$9=1)*($AR$6:$AY$6&lt;&gt;"")*ISNUMBER(SEARCH($AR$6:$AY$6,$AK19)))&gt;0),IF(COUNTIF($AR$9:$AY$9,2)=0,TRUE,SUMPRODUCT(($AR$9:$AY$9=2)*($AR$6:$AY$6&lt;&gt;"")*ISNUMBER(SEARCH($AR$6:$AY$6,$AK19)))&gt;0),IF(COUNTIF($AR$9:$AY$9,3)=0,TRUE,SUMPRODUCT(($AR$9:$AY$9=3)*($AR$6:$AY$6&lt;&gt;"")*ISNUMBER(SEARCH($AR$6:$AY$6,$AK19)))&gt;0),IF(COUNTIF($AR$9:$AY$9,4)=0,TRUE,SUMPRODUCT(($AR$9:$AY$9=4)*($AR$6:$AY$6&lt;&gt;"")*ISNUMBER(SEARCH($AR$6:$AY$6,$AK19)))&gt;0),IF(COUNTIF($AR$9:$AY$9,5)=0,TRUE,SUMPRODUCT(($AR$9:$AY$9=5)*($AR$6:$AY$6&lt;&gt;"")*ISNUMBER(SEARCH($AR$6:$AY$6,$AK19)))&gt;0),IF(COUNTIF($AR$9:$AY$9,6)=0,TRUE,SUMPRODUCT(($AR$9:$AY$9=6)*($AR$6:$AY$6&lt;&gt;"")*ISNUMBER(SEARCH($AR$6:$AY$6,$AK19)))&gt;0),IF(COUNTIF($AR$9:$AY$9,7)=0,TRUE,SUMPRODUCT(($AR$9:$AY$9=7)*($AR$6:$AY$6&lt;&gt;"")*ISNUMBER(SEARCH($AR$6:$AY$6,$AK19)))&gt;0),IF(COUNTIF($AR$9:$AY$9,8)=0,TRUE,SUMPRODUCT(($AR$9:$AY$9=8)*($AR$6:$AY$6&lt;&gt;"")*ISNUMBER(SEARCH($AR$6:$AY$6,$AK19)))&gt;0)),1,0))</f>
        <v/>
      </c>
    </row>
    <row r="20" ht="15" customHeight="1">
      <c r="A20" s="636" t="n">
        <v>16</v>
      </c>
      <c r="B20" s="637">
        <f>IF('Final Calculation Sheet'!$F$19="","",'Final Calculation Sheet'!$F$19)</f>
        <v/>
      </c>
      <c r="C20" s="637">
        <f>IF('Final Calculation Sheet'!$G$19="","",'Final Calculation Sheet'!$G$19)</f>
        <v/>
      </c>
      <c r="D20" s="638">
        <f>IF('Final Calculation Sheet'!$B$19="","",'Final Calculation Sheet'!$B$19)</f>
        <v/>
      </c>
      <c r="E20" s="638">
        <f>IF('Final Calculation Sheet'!$D$19="","",'Final Calculation Sheet'!$D$19)</f>
        <v/>
      </c>
      <c r="F20" s="638">
        <f>IF('Final Calculation Sheet'!$A$19="","",'Final Calculation Sheet'!$A$19)</f>
        <v/>
      </c>
      <c r="G20" s="638">
        <f>IF('Final Calculation Sheet'!$E$19="","",'Final Calculation Sheet'!$E$19)</f>
        <v/>
      </c>
      <c r="H20" s="639">
        <f>IF('Final Calculation Sheet'!$C$19="","",'Final Calculation Sheet'!$C$19)</f>
        <v/>
      </c>
      <c r="I20" s="639">
        <f>IF('Final Calculation Sheet'!$H$19="","",'Final Calculation Sheet'!$H$19)</f>
        <v/>
      </c>
      <c r="J20" s="639">
        <f>IF('Final Calculation Sheet'!$I$19="","",'Final Calculation Sheet'!$I$19)</f>
        <v/>
      </c>
      <c r="K20" s="639">
        <f>IF('Final Calculation Sheet'!$J$19="","",'Final Calculation Sheet'!$J$19)</f>
        <v/>
      </c>
      <c r="L20" s="639">
        <f>IF('Final Calculation Sheet'!$K$19="","",'Final Calculation Sheet'!$K$19)</f>
        <v/>
      </c>
      <c r="M20" s="639">
        <f>IF('Final Calculation Sheet'!$L$19="","",'Final Calculation Sheet'!$L$19)</f>
        <v/>
      </c>
      <c r="N20" s="639">
        <f>IF('Final Calculation Sheet'!$M$19="","",'Final Calculation Sheet'!$M$19)</f>
        <v/>
      </c>
      <c r="O20" s="640">
        <f>IF('Final Calculation Sheet'!$N$19="","",'Final Calculation Sheet'!$N$19)</f>
        <v/>
      </c>
      <c r="P20" s="639">
        <f>IF('Final Calculation Sheet'!$O$19="","",'Final Calculation Sheet'!$O$19)</f>
        <v/>
      </c>
      <c r="Q20" s="639">
        <f>IF('Final Calculation Sheet'!$P$19="","",'Final Calculation Sheet'!$P$19)</f>
        <v/>
      </c>
      <c r="R20" s="641">
        <f>IF('Final Calculation Sheet'!$Q$19="","",'Final Calculation Sheet'!$Q$19)</f>
        <v/>
      </c>
      <c r="S20" s="639">
        <f>IF('Final Calculation Sheet'!$R$19="","",'Final Calculation Sheet'!$R$19)</f>
        <v/>
      </c>
      <c r="T20" s="639">
        <f>IF('Final Calculation Sheet'!$S$19="","",'Final Calculation Sheet'!$S$19)</f>
        <v/>
      </c>
      <c r="U20" s="639">
        <f>IF('Final Calculation Sheet'!$T$19="","",'Final Calculation Sheet'!$T$19)</f>
        <v/>
      </c>
      <c r="V20" s="642">
        <f>IF('Final Calculation Sheet'!$U$19="","",'Final Calculation Sheet'!$U$19)</f>
        <v/>
      </c>
      <c r="W20" s="639">
        <f>IF('Final Calculation Sheet'!$V$19="","",'Final Calculation Sheet'!$V$19)</f>
        <v/>
      </c>
      <c r="X20" s="639">
        <f>IF('Final Calculation Sheet'!$W$19="","",'Final Calculation Sheet'!$W$19)</f>
        <v/>
      </c>
      <c r="Y20" s="639">
        <f>IF('Final Calculation Sheet'!$X$19="","",'Final Calculation Sheet'!$X$19)</f>
        <v/>
      </c>
      <c r="Z20" s="639">
        <f>IF('Final Calculation Sheet'!$Y$19="","",'Final Calculation Sheet'!$Y$19)</f>
        <v/>
      </c>
      <c r="AA20" s="639">
        <f>IF('Final Calculation Sheet'!$Z$19="","",'Final Calculation Sheet'!$Z$19)</f>
        <v/>
      </c>
      <c r="AB20" s="639">
        <f>IF('Final Calculation Sheet'!$AA$19="","",'Final Calculation Sheet'!$AA$19)</f>
        <v/>
      </c>
      <c r="AC20" s="639">
        <f>IF('Final Calculation Sheet'!$AB$19="","",'Final Calculation Sheet'!$AB$19)</f>
        <v/>
      </c>
      <c r="AD20" s="639">
        <f>IF('Final Calculation Sheet'!$AC$19="","",'Final Calculation Sheet'!$AC$19)</f>
        <v/>
      </c>
      <c r="AE20" s="639">
        <f>IF('Final Calculation Sheet'!$AD$19="","",'Final Calculation Sheet'!$AD$19)</f>
        <v/>
      </c>
      <c r="AF20" s="639">
        <f>IF('Final Calculation Sheet'!$AE$19="","",'Final Calculation Sheet'!$AE$19)</f>
        <v/>
      </c>
      <c r="AG20" s="643">
        <f>IF('Final Calculation Sheet'!$AF$19="","",'Final Calculation Sheet'!$AF$19)</f>
        <v/>
      </c>
      <c r="AH20" s="639">
        <f>IF('Final Calculation Sheet'!$AG$19="","",'Final Calculation Sheet'!$AG$19)</f>
        <v/>
      </c>
      <c r="AI20" s="644">
        <f>IF('Final Calculation Sheet'!$AD$19="","",IF('Final Calculation Sheet'!$AD$19&lt;=0,"SETTLED","OUTSTANDING"))</f>
        <v/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$B$3="",1,IF(AND(IF(COUNTIF($AR$9:$AY$9,1)=0,TRUE,SUMPRODUCT(($AR$9:$AY$9=1)*($AR$6:$AY$6&lt;&gt;"")*ISNUMBER(SEARCH($AR$6:$AY$6,$AK20)))&gt;0),IF(COUNTIF($AR$9:$AY$9,2)=0,TRUE,SUMPRODUCT(($AR$9:$AY$9=2)*($AR$6:$AY$6&lt;&gt;"")*ISNUMBER(SEARCH($AR$6:$AY$6,$AK20)))&gt;0),IF(COUNTIF($AR$9:$AY$9,3)=0,TRUE,SUMPRODUCT(($AR$9:$AY$9=3)*($AR$6:$AY$6&lt;&gt;"")*ISNUMBER(SEARCH($AR$6:$AY$6,$AK20)))&gt;0),IF(COUNTIF($AR$9:$AY$9,4)=0,TRUE,SUMPRODUCT(($AR$9:$AY$9=4)*($AR$6:$AY$6&lt;&gt;"")*ISNUMBER(SEARCH($AR$6:$AY$6,$AK20)))&gt;0),IF(COUNTIF($AR$9:$AY$9,5)=0,TRUE,SUMPRODUCT(($AR$9:$AY$9=5)*($AR$6:$AY$6&lt;&gt;"")*ISNUMBER(SEARCH($AR$6:$AY$6,$AK20)))&gt;0),IF(COUNTIF($AR$9:$AY$9,6)=0,TRUE,SUMPRODUCT(($AR$9:$AY$9=6)*($AR$6:$AY$6&lt;&gt;"")*ISNUMBER(SEARCH($AR$6:$AY$6,$AK20)))&gt;0),IF(COUNTIF($AR$9:$AY$9,7)=0,TRUE,SUMPRODUCT(($AR$9:$AY$9=7)*($AR$6:$AY$6&lt;&gt;"")*ISNUMBER(SEARCH($AR$6:$AY$6,$AK20)))&gt;0),IF(COUNTIF($AR$9:$AY$9,8)=0,TRUE,SUMPRODUCT(($AR$9:$AY$9=8)*($AR$6:$AY$6&lt;&gt;"")*ISNUMBER(SEARCH($AR$6:$AY$6,$AK20)))&gt;0)),1,0))</f>
        <v/>
      </c>
    </row>
    <row r="21" ht="15" customHeight="1">
      <c r="A21" s="633" t="n">
        <v>17</v>
      </c>
      <c r="B21" s="634">
        <f>IF('Final Calculation Sheet'!$F$20="","",'Final Calculation Sheet'!$F$20)</f>
        <v/>
      </c>
      <c r="C21" s="634">
        <f>IF('Final Calculation Sheet'!$G$20="","",'Final Calculation Sheet'!$G$20)</f>
        <v/>
      </c>
      <c r="D21" s="69">
        <f>IF('Final Calculation Sheet'!$B$20="","",'Final Calculation Sheet'!$B$20)</f>
        <v/>
      </c>
      <c r="E21" s="69">
        <f>IF('Final Calculation Sheet'!$D$20="","",'Final Calculation Sheet'!$D$20)</f>
        <v/>
      </c>
      <c r="F21" s="69">
        <f>IF('Final Calculation Sheet'!$A$20="","",'Final Calculation Sheet'!$A$20)</f>
        <v/>
      </c>
      <c r="G21" s="69">
        <f>IF('Final Calculation Sheet'!$E$20="","",'Final Calculation Sheet'!$E$20)</f>
        <v/>
      </c>
      <c r="H21" s="544">
        <f>IF('Final Calculation Sheet'!$C$20="","",'Final Calculation Sheet'!$C$20)</f>
        <v/>
      </c>
      <c r="I21" s="544">
        <f>IF('Final Calculation Sheet'!$H$20="","",'Final Calculation Sheet'!$H$20)</f>
        <v/>
      </c>
      <c r="J21" s="544">
        <f>IF('Final Calculation Sheet'!$I$20="","",'Final Calculation Sheet'!$I$20)</f>
        <v/>
      </c>
      <c r="K21" s="544">
        <f>IF('Final Calculation Sheet'!$J$20="","",'Final Calculation Sheet'!$J$20)</f>
        <v/>
      </c>
      <c r="L21" s="544">
        <f>IF('Final Calculation Sheet'!$K$20="","",'Final Calculation Sheet'!$K$20)</f>
        <v/>
      </c>
      <c r="M21" s="544">
        <f>IF('Final Calculation Sheet'!$L$20="","",'Final Calculation Sheet'!$L$20)</f>
        <v/>
      </c>
      <c r="N21" s="544">
        <f>IF('Final Calculation Sheet'!$M$20="","",'Final Calculation Sheet'!$M$20)</f>
        <v/>
      </c>
      <c r="O21" s="547">
        <f>IF('Final Calculation Sheet'!$N$20="","",'Final Calculation Sheet'!$N$20)</f>
        <v/>
      </c>
      <c r="P21" s="544">
        <f>IF('Final Calculation Sheet'!$O$20="","",'Final Calculation Sheet'!$O$20)</f>
        <v/>
      </c>
      <c r="Q21" s="544">
        <f>IF('Final Calculation Sheet'!$P$20="","",'Final Calculation Sheet'!$P$20)</f>
        <v/>
      </c>
      <c r="R21" s="549">
        <f>IF('Final Calculation Sheet'!$Q$20="","",'Final Calculation Sheet'!$Q$20)</f>
        <v/>
      </c>
      <c r="S21" s="544">
        <f>IF('Final Calculation Sheet'!$R$20="","",'Final Calculation Sheet'!$R$20)</f>
        <v/>
      </c>
      <c r="T21" s="544">
        <f>IF('Final Calculation Sheet'!$S$20="","",'Final Calculation Sheet'!$S$20)</f>
        <v/>
      </c>
      <c r="U21" s="544">
        <f>IF('Final Calculation Sheet'!$T$20="","",'Final Calculation Sheet'!$T$20)</f>
        <v/>
      </c>
      <c r="V21" s="552">
        <f>IF('Final Calculation Sheet'!$U$20="","",'Final Calculation Sheet'!$U$20)</f>
        <v/>
      </c>
      <c r="W21" s="544">
        <f>IF('Final Calculation Sheet'!$V$20="","",'Final Calculation Sheet'!$V$20)</f>
        <v/>
      </c>
      <c r="X21" s="544">
        <f>IF('Final Calculation Sheet'!$W$20="","",'Final Calculation Sheet'!$W$20)</f>
        <v/>
      </c>
      <c r="Y21" s="544">
        <f>IF('Final Calculation Sheet'!$X$20="","",'Final Calculation Sheet'!$X$20)</f>
        <v/>
      </c>
      <c r="Z21" s="544">
        <f>IF('Final Calculation Sheet'!$Y$20="","",'Final Calculation Sheet'!$Y$20)</f>
        <v/>
      </c>
      <c r="AA21" s="544">
        <f>IF('Final Calculation Sheet'!$Z$20="","",'Final Calculation Sheet'!$Z$20)</f>
        <v/>
      </c>
      <c r="AB21" s="544">
        <f>IF('Final Calculation Sheet'!$AA$20="","",'Final Calculation Sheet'!$AA$20)</f>
        <v/>
      </c>
      <c r="AC21" s="544">
        <f>IF('Final Calculation Sheet'!$AB$20="","",'Final Calculation Sheet'!$AB$20)</f>
        <v/>
      </c>
      <c r="AD21" s="544">
        <f>IF('Final Calculation Sheet'!$AC$20="","",'Final Calculation Sheet'!$AC$20)</f>
        <v/>
      </c>
      <c r="AE21" s="544">
        <f>IF('Final Calculation Sheet'!$AD$20="","",'Final Calculation Sheet'!$AD$20)</f>
        <v/>
      </c>
      <c r="AF21" s="544">
        <f>IF('Final Calculation Sheet'!$AE$20="","",'Final Calculation Sheet'!$AE$20)</f>
        <v/>
      </c>
      <c r="AG21" s="555">
        <f>IF('Final Calculation Sheet'!$AF$20="","",'Final Calculation Sheet'!$AF$20)</f>
        <v/>
      </c>
      <c r="AH21" s="544">
        <f>IF('Final Calculation Sheet'!$AG$20="","",'Final Calculation Sheet'!$AG$20)</f>
        <v/>
      </c>
      <c r="AI21" s="635">
        <f>IF('Final Calculation Sheet'!$AD$20="","",IF('Final Calculation Sheet'!$AD$20&lt;=0,"SETTLED","OUTSTANDING"))</f>
        <v/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$B$3="",1,IF(AND(IF(COUNTIF($AR$9:$AY$9,1)=0,TRUE,SUMPRODUCT(($AR$9:$AY$9=1)*($AR$6:$AY$6&lt;&gt;"")*ISNUMBER(SEARCH($AR$6:$AY$6,$AK21)))&gt;0),IF(COUNTIF($AR$9:$AY$9,2)=0,TRUE,SUMPRODUCT(($AR$9:$AY$9=2)*($AR$6:$AY$6&lt;&gt;"")*ISNUMBER(SEARCH($AR$6:$AY$6,$AK21)))&gt;0),IF(COUNTIF($AR$9:$AY$9,3)=0,TRUE,SUMPRODUCT(($AR$9:$AY$9=3)*($AR$6:$AY$6&lt;&gt;"")*ISNUMBER(SEARCH($AR$6:$AY$6,$AK21)))&gt;0),IF(COUNTIF($AR$9:$AY$9,4)=0,TRUE,SUMPRODUCT(($AR$9:$AY$9=4)*($AR$6:$AY$6&lt;&gt;"")*ISNUMBER(SEARCH($AR$6:$AY$6,$AK21)))&gt;0),IF(COUNTIF($AR$9:$AY$9,5)=0,TRUE,SUMPRODUCT(($AR$9:$AY$9=5)*($AR$6:$AY$6&lt;&gt;"")*ISNUMBER(SEARCH($AR$6:$AY$6,$AK21)))&gt;0),IF(COUNTIF($AR$9:$AY$9,6)=0,TRUE,SUMPRODUCT(($AR$9:$AY$9=6)*($AR$6:$AY$6&lt;&gt;"")*ISNUMBER(SEARCH($AR$6:$AY$6,$AK21)))&gt;0),IF(COUNTIF($AR$9:$AY$9,7)=0,TRUE,SUMPRODUCT(($AR$9:$AY$9=7)*($AR$6:$AY$6&lt;&gt;"")*ISNUMBER(SEARCH($AR$6:$AY$6,$AK21)))&gt;0),IF(COUNTIF($AR$9:$AY$9,8)=0,TRUE,SUMPRODUCT(($AR$9:$AY$9=8)*($AR$6:$AY$6&lt;&gt;"")*ISNUMBER(SEARCH($AR$6:$AY$6,$AK21)))&gt;0)),1,0))</f>
        <v/>
      </c>
    </row>
    <row r="22" ht="15" customHeight="1">
      <c r="A22" s="636" t="n">
        <v>18</v>
      </c>
      <c r="B22" s="637">
        <f>IF('Final Calculation Sheet'!$F$21="","",'Final Calculation Sheet'!$F$21)</f>
        <v/>
      </c>
      <c r="C22" s="637">
        <f>IF('Final Calculation Sheet'!$G$21="","",'Final Calculation Sheet'!$G$21)</f>
        <v/>
      </c>
      <c r="D22" s="638">
        <f>IF('Final Calculation Sheet'!$B$21="","",'Final Calculation Sheet'!$B$21)</f>
        <v/>
      </c>
      <c r="E22" s="638">
        <f>IF('Final Calculation Sheet'!$D$21="","",'Final Calculation Sheet'!$D$21)</f>
        <v/>
      </c>
      <c r="F22" s="638">
        <f>IF('Final Calculation Sheet'!$A$21="","",'Final Calculation Sheet'!$A$21)</f>
        <v/>
      </c>
      <c r="G22" s="638">
        <f>IF('Final Calculation Sheet'!$E$21="","",'Final Calculation Sheet'!$E$21)</f>
        <v/>
      </c>
      <c r="H22" s="639">
        <f>IF('Final Calculation Sheet'!$C$21="","",'Final Calculation Sheet'!$C$21)</f>
        <v/>
      </c>
      <c r="I22" s="639">
        <f>IF('Final Calculation Sheet'!$H$21="","",'Final Calculation Sheet'!$H$21)</f>
        <v/>
      </c>
      <c r="J22" s="639">
        <f>IF('Final Calculation Sheet'!$I$21="","",'Final Calculation Sheet'!$I$21)</f>
        <v/>
      </c>
      <c r="K22" s="639">
        <f>IF('Final Calculation Sheet'!$J$21="","",'Final Calculation Sheet'!$J$21)</f>
        <v/>
      </c>
      <c r="L22" s="639">
        <f>IF('Final Calculation Sheet'!$K$21="","",'Final Calculation Sheet'!$K$21)</f>
        <v/>
      </c>
      <c r="M22" s="639">
        <f>IF('Final Calculation Sheet'!$L$21="","",'Final Calculation Sheet'!$L$21)</f>
        <v/>
      </c>
      <c r="N22" s="639">
        <f>IF('Final Calculation Sheet'!$M$21="","",'Final Calculation Sheet'!$M$21)</f>
        <v/>
      </c>
      <c r="O22" s="640">
        <f>IF('Final Calculation Sheet'!$N$21="","",'Final Calculation Sheet'!$N$21)</f>
        <v/>
      </c>
      <c r="P22" s="639">
        <f>IF('Final Calculation Sheet'!$O$21="","",'Final Calculation Sheet'!$O$21)</f>
        <v/>
      </c>
      <c r="Q22" s="639">
        <f>IF('Final Calculation Sheet'!$P$21="","",'Final Calculation Sheet'!$P$21)</f>
        <v/>
      </c>
      <c r="R22" s="641">
        <f>IF('Final Calculation Sheet'!$Q$21="","",'Final Calculation Sheet'!$Q$21)</f>
        <v/>
      </c>
      <c r="S22" s="639">
        <f>IF('Final Calculation Sheet'!$R$21="","",'Final Calculation Sheet'!$R$21)</f>
        <v/>
      </c>
      <c r="T22" s="639">
        <f>IF('Final Calculation Sheet'!$S$21="","",'Final Calculation Sheet'!$S$21)</f>
        <v/>
      </c>
      <c r="U22" s="639">
        <f>IF('Final Calculation Sheet'!$T$21="","",'Final Calculation Sheet'!$T$21)</f>
        <v/>
      </c>
      <c r="V22" s="642">
        <f>IF('Final Calculation Sheet'!$U$21="","",'Final Calculation Sheet'!$U$21)</f>
        <v/>
      </c>
      <c r="W22" s="639">
        <f>IF('Final Calculation Sheet'!$V$21="","",'Final Calculation Sheet'!$V$21)</f>
        <v/>
      </c>
      <c r="X22" s="639">
        <f>IF('Final Calculation Sheet'!$W$21="","",'Final Calculation Sheet'!$W$21)</f>
        <v/>
      </c>
      <c r="Y22" s="639">
        <f>IF('Final Calculation Sheet'!$X$21="","",'Final Calculation Sheet'!$X$21)</f>
        <v/>
      </c>
      <c r="Z22" s="639">
        <f>IF('Final Calculation Sheet'!$Y$21="","",'Final Calculation Sheet'!$Y$21)</f>
        <v/>
      </c>
      <c r="AA22" s="639">
        <f>IF('Final Calculation Sheet'!$Z$21="","",'Final Calculation Sheet'!$Z$21)</f>
        <v/>
      </c>
      <c r="AB22" s="639">
        <f>IF('Final Calculation Sheet'!$AA$21="","",'Final Calculation Sheet'!$AA$21)</f>
        <v/>
      </c>
      <c r="AC22" s="639">
        <f>IF('Final Calculation Sheet'!$AB$21="","",'Final Calculation Sheet'!$AB$21)</f>
        <v/>
      </c>
      <c r="AD22" s="639">
        <f>IF('Final Calculation Sheet'!$AC$21="","",'Final Calculation Sheet'!$AC$21)</f>
        <v/>
      </c>
      <c r="AE22" s="639">
        <f>IF('Final Calculation Sheet'!$AD$21="","",'Final Calculation Sheet'!$AD$21)</f>
        <v/>
      </c>
      <c r="AF22" s="639">
        <f>IF('Final Calculation Sheet'!$AE$21="","",'Final Calculation Sheet'!$AE$21)</f>
        <v/>
      </c>
      <c r="AG22" s="643">
        <f>IF('Final Calculation Sheet'!$AF$21="","",'Final Calculation Sheet'!$AF$21)</f>
        <v/>
      </c>
      <c r="AH22" s="639">
        <f>IF('Final Calculation Sheet'!$AG$21="","",'Final Calculation Sheet'!$AG$21)</f>
        <v/>
      </c>
      <c r="AI22" s="644">
        <f>IF('Final Calculation Sheet'!$AD$21="","",IF('Final Calculation Sheet'!$AD$21&lt;=0,"SETTLED","OUTSTANDING"))</f>
        <v/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$B$3="",1,IF(AND(IF(COUNTIF($AR$9:$AY$9,1)=0,TRUE,SUMPRODUCT(($AR$9:$AY$9=1)*($AR$6:$AY$6&lt;&gt;"")*ISNUMBER(SEARCH($AR$6:$AY$6,$AK22)))&gt;0),IF(COUNTIF($AR$9:$AY$9,2)=0,TRUE,SUMPRODUCT(($AR$9:$AY$9=2)*($AR$6:$AY$6&lt;&gt;"")*ISNUMBER(SEARCH($AR$6:$AY$6,$AK22)))&gt;0),IF(COUNTIF($AR$9:$AY$9,3)=0,TRUE,SUMPRODUCT(($AR$9:$AY$9=3)*($AR$6:$AY$6&lt;&gt;"")*ISNUMBER(SEARCH($AR$6:$AY$6,$AK22)))&gt;0),IF(COUNTIF($AR$9:$AY$9,4)=0,TRUE,SUMPRODUCT(($AR$9:$AY$9=4)*($AR$6:$AY$6&lt;&gt;"")*ISNUMBER(SEARCH($AR$6:$AY$6,$AK22)))&gt;0),IF(COUNTIF($AR$9:$AY$9,5)=0,TRUE,SUMPRODUCT(($AR$9:$AY$9=5)*($AR$6:$AY$6&lt;&gt;"")*ISNUMBER(SEARCH($AR$6:$AY$6,$AK22)))&gt;0),IF(COUNTIF($AR$9:$AY$9,6)=0,TRUE,SUMPRODUCT(($AR$9:$AY$9=6)*($AR$6:$AY$6&lt;&gt;"")*ISNUMBER(SEARCH($AR$6:$AY$6,$AK22)))&gt;0),IF(COUNTIF($AR$9:$AY$9,7)=0,TRUE,SUMPRODUCT(($AR$9:$AY$9=7)*($AR$6:$AY$6&lt;&gt;"")*ISNUMBER(SEARCH($AR$6:$AY$6,$AK22)))&gt;0),IF(COUNTIF($AR$9:$AY$9,8)=0,TRUE,SUMPRODUCT(($AR$9:$AY$9=8)*($AR$6:$AY$6&lt;&gt;"")*ISNUMBER(SEARCH($AR$6:$AY$6,$AK22)))&gt;0)),1,0))</f>
        <v/>
      </c>
    </row>
    <row r="23" ht="15" customHeight="1">
      <c r="A23" s="633" t="n">
        <v>19</v>
      </c>
      <c r="B23" s="634">
        <f>IF('Final Calculation Sheet'!$F$22="","",'Final Calculation Sheet'!$F$22)</f>
        <v/>
      </c>
      <c r="C23" s="634">
        <f>IF('Final Calculation Sheet'!$G$22="","",'Final Calculation Sheet'!$G$22)</f>
        <v/>
      </c>
      <c r="D23" s="69">
        <f>IF('Final Calculation Sheet'!$B$22="","",'Final Calculation Sheet'!$B$22)</f>
        <v/>
      </c>
      <c r="E23" s="69">
        <f>IF('Final Calculation Sheet'!$D$22="","",'Final Calculation Sheet'!$D$22)</f>
        <v/>
      </c>
      <c r="F23" s="69">
        <f>IF('Final Calculation Sheet'!$A$22="","",'Final Calculation Sheet'!$A$22)</f>
        <v/>
      </c>
      <c r="G23" s="69">
        <f>IF('Final Calculation Sheet'!$E$22="","",'Final Calculation Sheet'!$E$22)</f>
        <v/>
      </c>
      <c r="H23" s="544">
        <f>IF('Final Calculation Sheet'!$C$22="","",'Final Calculation Sheet'!$C$22)</f>
        <v/>
      </c>
      <c r="I23" s="544">
        <f>IF('Final Calculation Sheet'!$H$22="","",'Final Calculation Sheet'!$H$22)</f>
        <v/>
      </c>
      <c r="J23" s="544">
        <f>IF('Final Calculation Sheet'!$I$22="","",'Final Calculation Sheet'!$I$22)</f>
        <v/>
      </c>
      <c r="K23" s="544">
        <f>IF('Final Calculation Sheet'!$J$22="","",'Final Calculation Sheet'!$J$22)</f>
        <v/>
      </c>
      <c r="L23" s="544">
        <f>IF('Final Calculation Sheet'!$K$22="","",'Final Calculation Sheet'!$K$22)</f>
        <v/>
      </c>
      <c r="M23" s="544">
        <f>IF('Final Calculation Sheet'!$L$22="","",'Final Calculation Sheet'!$L$22)</f>
        <v/>
      </c>
      <c r="N23" s="544">
        <f>IF('Final Calculation Sheet'!$M$22="","",'Final Calculation Sheet'!$M$22)</f>
        <v/>
      </c>
      <c r="O23" s="547">
        <f>IF('Final Calculation Sheet'!$N$22="","",'Final Calculation Sheet'!$N$22)</f>
        <v/>
      </c>
      <c r="P23" s="544">
        <f>IF('Final Calculation Sheet'!$O$22="","",'Final Calculation Sheet'!$O$22)</f>
        <v/>
      </c>
      <c r="Q23" s="544">
        <f>IF('Final Calculation Sheet'!$P$22="","",'Final Calculation Sheet'!$P$22)</f>
        <v/>
      </c>
      <c r="R23" s="549">
        <f>IF('Final Calculation Sheet'!$Q$22="","",'Final Calculation Sheet'!$Q$22)</f>
        <v/>
      </c>
      <c r="S23" s="544">
        <f>IF('Final Calculation Sheet'!$R$22="","",'Final Calculation Sheet'!$R$22)</f>
        <v/>
      </c>
      <c r="T23" s="544">
        <f>IF('Final Calculation Sheet'!$S$22="","",'Final Calculation Sheet'!$S$22)</f>
        <v/>
      </c>
      <c r="U23" s="544">
        <f>IF('Final Calculation Sheet'!$T$22="","",'Final Calculation Sheet'!$T$22)</f>
        <v/>
      </c>
      <c r="V23" s="552">
        <f>IF('Final Calculation Sheet'!$U$22="","",'Final Calculation Sheet'!$U$22)</f>
        <v/>
      </c>
      <c r="W23" s="544">
        <f>IF('Final Calculation Sheet'!$V$22="","",'Final Calculation Sheet'!$V$22)</f>
        <v/>
      </c>
      <c r="X23" s="544">
        <f>IF('Final Calculation Sheet'!$W$22="","",'Final Calculation Sheet'!$W$22)</f>
        <v/>
      </c>
      <c r="Y23" s="544">
        <f>IF('Final Calculation Sheet'!$X$22="","",'Final Calculation Sheet'!$X$22)</f>
        <v/>
      </c>
      <c r="Z23" s="544">
        <f>IF('Final Calculation Sheet'!$Y$22="","",'Final Calculation Sheet'!$Y$22)</f>
        <v/>
      </c>
      <c r="AA23" s="544">
        <f>IF('Final Calculation Sheet'!$Z$22="","",'Final Calculation Sheet'!$Z$22)</f>
        <v/>
      </c>
      <c r="AB23" s="544">
        <f>IF('Final Calculation Sheet'!$AA$22="","",'Final Calculation Sheet'!$AA$22)</f>
        <v/>
      </c>
      <c r="AC23" s="544">
        <f>IF('Final Calculation Sheet'!$AB$22="","",'Final Calculation Sheet'!$AB$22)</f>
        <v/>
      </c>
      <c r="AD23" s="544">
        <f>IF('Final Calculation Sheet'!$AC$22="","",'Final Calculation Sheet'!$AC$22)</f>
        <v/>
      </c>
      <c r="AE23" s="544">
        <f>IF('Final Calculation Sheet'!$AD$22="","",'Final Calculation Sheet'!$AD$22)</f>
        <v/>
      </c>
      <c r="AF23" s="544">
        <f>IF('Final Calculation Sheet'!$AE$22="","",'Final Calculation Sheet'!$AE$22)</f>
        <v/>
      </c>
      <c r="AG23" s="555">
        <f>IF('Final Calculation Sheet'!$AF$22="","",'Final Calculation Sheet'!$AF$22)</f>
        <v/>
      </c>
      <c r="AH23" s="544">
        <f>IF('Final Calculation Sheet'!$AG$22="","",'Final Calculation Sheet'!$AG$22)</f>
        <v/>
      </c>
      <c r="AI23" s="635">
        <f>IF('Final Calculation Sheet'!$AD$22="","",IF('Final Calculation Sheet'!$AD$22&lt;=0,"SETTLED","OUTSTANDING"))</f>
        <v/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$B$3="",1,IF(AND(IF(COUNTIF($AR$9:$AY$9,1)=0,TRUE,SUMPRODUCT(($AR$9:$AY$9=1)*($AR$6:$AY$6&lt;&gt;"")*ISNUMBER(SEARCH($AR$6:$AY$6,$AK23)))&gt;0),IF(COUNTIF($AR$9:$AY$9,2)=0,TRUE,SUMPRODUCT(($AR$9:$AY$9=2)*($AR$6:$AY$6&lt;&gt;"")*ISNUMBER(SEARCH($AR$6:$AY$6,$AK23)))&gt;0),IF(COUNTIF($AR$9:$AY$9,3)=0,TRUE,SUMPRODUCT(($AR$9:$AY$9=3)*($AR$6:$AY$6&lt;&gt;"")*ISNUMBER(SEARCH($AR$6:$AY$6,$AK23)))&gt;0),IF(COUNTIF($AR$9:$AY$9,4)=0,TRUE,SUMPRODUCT(($AR$9:$AY$9=4)*($AR$6:$AY$6&lt;&gt;"")*ISNUMBER(SEARCH($AR$6:$AY$6,$AK23)))&gt;0),IF(COUNTIF($AR$9:$AY$9,5)=0,TRUE,SUMPRODUCT(($AR$9:$AY$9=5)*($AR$6:$AY$6&lt;&gt;"")*ISNUMBER(SEARCH($AR$6:$AY$6,$AK23)))&gt;0),IF(COUNTIF($AR$9:$AY$9,6)=0,TRUE,SUMPRODUCT(($AR$9:$AY$9=6)*($AR$6:$AY$6&lt;&gt;"")*ISNUMBER(SEARCH($AR$6:$AY$6,$AK23)))&gt;0),IF(COUNTIF($AR$9:$AY$9,7)=0,TRUE,SUMPRODUCT(($AR$9:$AY$9=7)*($AR$6:$AY$6&lt;&gt;"")*ISNUMBER(SEARCH($AR$6:$AY$6,$AK23)))&gt;0),IF(COUNTIF($AR$9:$AY$9,8)=0,TRUE,SUMPRODUCT(($AR$9:$AY$9=8)*($AR$6:$AY$6&lt;&gt;"")*ISNUMBER(SEARCH($AR$6:$AY$6,$AK23)))&gt;0)),1,0))</f>
        <v/>
      </c>
    </row>
    <row r="24" ht="15" customHeight="1">
      <c r="A24" s="636" t="n">
        <v>20</v>
      </c>
      <c r="B24" s="637">
        <f>IF('Final Calculation Sheet'!$F$23="","",'Final Calculation Sheet'!$F$23)</f>
        <v/>
      </c>
      <c r="C24" s="637">
        <f>IF('Final Calculation Sheet'!$G$23="","",'Final Calculation Sheet'!$G$23)</f>
        <v/>
      </c>
      <c r="D24" s="638">
        <f>IF('Final Calculation Sheet'!$B$23="","",'Final Calculation Sheet'!$B$23)</f>
        <v/>
      </c>
      <c r="E24" s="638">
        <f>IF('Final Calculation Sheet'!$D$23="","",'Final Calculation Sheet'!$D$23)</f>
        <v/>
      </c>
      <c r="F24" s="638">
        <f>IF('Final Calculation Sheet'!$A$23="","",'Final Calculation Sheet'!$A$23)</f>
        <v/>
      </c>
      <c r="G24" s="638">
        <f>IF('Final Calculation Sheet'!$E$23="","",'Final Calculation Sheet'!$E$23)</f>
        <v/>
      </c>
      <c r="H24" s="639">
        <f>IF('Final Calculation Sheet'!$C$23="","",'Final Calculation Sheet'!$C$23)</f>
        <v/>
      </c>
      <c r="I24" s="639">
        <f>IF('Final Calculation Sheet'!$H$23="","",'Final Calculation Sheet'!$H$23)</f>
        <v/>
      </c>
      <c r="J24" s="639">
        <f>IF('Final Calculation Sheet'!$I$23="","",'Final Calculation Sheet'!$I$23)</f>
        <v/>
      </c>
      <c r="K24" s="639">
        <f>IF('Final Calculation Sheet'!$J$23="","",'Final Calculation Sheet'!$J$23)</f>
        <v/>
      </c>
      <c r="L24" s="639">
        <f>IF('Final Calculation Sheet'!$K$23="","",'Final Calculation Sheet'!$K$23)</f>
        <v/>
      </c>
      <c r="M24" s="639">
        <f>IF('Final Calculation Sheet'!$L$23="","",'Final Calculation Sheet'!$L$23)</f>
        <v/>
      </c>
      <c r="N24" s="639">
        <f>IF('Final Calculation Sheet'!$M$23="","",'Final Calculation Sheet'!$M$23)</f>
        <v/>
      </c>
      <c r="O24" s="640">
        <f>IF('Final Calculation Sheet'!$N$23="","",'Final Calculation Sheet'!$N$23)</f>
        <v/>
      </c>
      <c r="P24" s="639">
        <f>IF('Final Calculation Sheet'!$O$23="","",'Final Calculation Sheet'!$O$23)</f>
        <v/>
      </c>
      <c r="Q24" s="639">
        <f>IF('Final Calculation Sheet'!$P$23="","",'Final Calculation Sheet'!$P$23)</f>
        <v/>
      </c>
      <c r="R24" s="641">
        <f>IF('Final Calculation Sheet'!$Q$23="","",'Final Calculation Sheet'!$Q$23)</f>
        <v/>
      </c>
      <c r="S24" s="639">
        <f>IF('Final Calculation Sheet'!$R$23="","",'Final Calculation Sheet'!$R$23)</f>
        <v/>
      </c>
      <c r="T24" s="639">
        <f>IF('Final Calculation Sheet'!$S$23="","",'Final Calculation Sheet'!$S$23)</f>
        <v/>
      </c>
      <c r="U24" s="639">
        <f>IF('Final Calculation Sheet'!$T$23="","",'Final Calculation Sheet'!$T$23)</f>
        <v/>
      </c>
      <c r="V24" s="642">
        <f>IF('Final Calculation Sheet'!$U$23="","",'Final Calculation Sheet'!$U$23)</f>
        <v/>
      </c>
      <c r="W24" s="639">
        <f>IF('Final Calculation Sheet'!$V$23="","",'Final Calculation Sheet'!$V$23)</f>
        <v/>
      </c>
      <c r="X24" s="639">
        <f>IF('Final Calculation Sheet'!$W$23="","",'Final Calculation Sheet'!$W$23)</f>
        <v/>
      </c>
      <c r="Y24" s="639">
        <f>IF('Final Calculation Sheet'!$X$23="","",'Final Calculation Sheet'!$X$23)</f>
        <v/>
      </c>
      <c r="Z24" s="639">
        <f>IF('Final Calculation Sheet'!$Y$23="","",'Final Calculation Sheet'!$Y$23)</f>
        <v/>
      </c>
      <c r="AA24" s="639">
        <f>IF('Final Calculation Sheet'!$Z$23="","",'Final Calculation Sheet'!$Z$23)</f>
        <v/>
      </c>
      <c r="AB24" s="639">
        <f>IF('Final Calculation Sheet'!$AA$23="","",'Final Calculation Sheet'!$AA$23)</f>
        <v/>
      </c>
      <c r="AC24" s="639">
        <f>IF('Final Calculation Sheet'!$AB$23="","",'Final Calculation Sheet'!$AB$23)</f>
        <v/>
      </c>
      <c r="AD24" s="639">
        <f>IF('Final Calculation Sheet'!$AC$23="","",'Final Calculation Sheet'!$AC$23)</f>
        <v/>
      </c>
      <c r="AE24" s="639">
        <f>IF('Final Calculation Sheet'!$AD$23="","",'Final Calculation Sheet'!$AD$23)</f>
        <v/>
      </c>
      <c r="AF24" s="639">
        <f>IF('Final Calculation Sheet'!$AE$23="","",'Final Calculation Sheet'!$AE$23)</f>
        <v/>
      </c>
      <c r="AG24" s="643">
        <f>IF('Final Calculation Sheet'!$AF$23="","",'Final Calculation Sheet'!$AF$23)</f>
        <v/>
      </c>
      <c r="AH24" s="639">
        <f>IF('Final Calculation Sheet'!$AG$23="","",'Final Calculation Sheet'!$AG$23)</f>
        <v/>
      </c>
      <c r="AI24" s="644">
        <f>IF('Final Calculation Sheet'!$AD$23="","",IF('Final Calculation Sheet'!$AD$23&lt;=0,"SETTLED","OUTSTANDING"))</f>
        <v/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$B$3="",1,IF(AND(IF(COUNTIF($AR$9:$AY$9,1)=0,TRUE,SUMPRODUCT(($AR$9:$AY$9=1)*($AR$6:$AY$6&lt;&gt;"")*ISNUMBER(SEARCH($AR$6:$AY$6,$AK24)))&gt;0),IF(COUNTIF($AR$9:$AY$9,2)=0,TRUE,SUMPRODUCT(($AR$9:$AY$9=2)*($AR$6:$AY$6&lt;&gt;"")*ISNUMBER(SEARCH($AR$6:$AY$6,$AK24)))&gt;0),IF(COUNTIF($AR$9:$AY$9,3)=0,TRUE,SUMPRODUCT(($AR$9:$AY$9=3)*($AR$6:$AY$6&lt;&gt;"")*ISNUMBER(SEARCH($AR$6:$AY$6,$AK24)))&gt;0),IF(COUNTIF($AR$9:$AY$9,4)=0,TRUE,SUMPRODUCT(($AR$9:$AY$9=4)*($AR$6:$AY$6&lt;&gt;"")*ISNUMBER(SEARCH($AR$6:$AY$6,$AK24)))&gt;0),IF(COUNTIF($AR$9:$AY$9,5)=0,TRUE,SUMPRODUCT(($AR$9:$AY$9=5)*($AR$6:$AY$6&lt;&gt;"")*ISNUMBER(SEARCH($AR$6:$AY$6,$AK24)))&gt;0),IF(COUNTIF($AR$9:$AY$9,6)=0,TRUE,SUMPRODUCT(($AR$9:$AY$9=6)*($AR$6:$AY$6&lt;&gt;"")*ISNUMBER(SEARCH($AR$6:$AY$6,$AK24)))&gt;0),IF(COUNTIF($AR$9:$AY$9,7)=0,TRUE,SUMPRODUCT(($AR$9:$AY$9=7)*($AR$6:$AY$6&lt;&gt;"")*ISNUMBER(SEARCH($AR$6:$AY$6,$AK24)))&gt;0),IF(COUNTIF($AR$9:$AY$9,8)=0,TRUE,SUMPRODUCT(($AR$9:$AY$9=8)*($AR$6:$AY$6&lt;&gt;"")*ISNUMBER(SEARCH($AR$6:$AY$6,$AK24)))&gt;0)),1,0))</f>
        <v/>
      </c>
    </row>
    <row r="25" ht="15" customHeight="1">
      <c r="A25" s="633" t="n">
        <v>21</v>
      </c>
      <c r="B25" s="634">
        <f>IF('Final Calculation Sheet'!$F$24="","",'Final Calculation Sheet'!$F$24)</f>
        <v/>
      </c>
      <c r="C25" s="634">
        <f>IF('Final Calculation Sheet'!$G$24="","",'Final Calculation Sheet'!$G$24)</f>
        <v/>
      </c>
      <c r="D25" s="69">
        <f>IF('Final Calculation Sheet'!$B$24="","",'Final Calculation Sheet'!$B$24)</f>
        <v/>
      </c>
      <c r="E25" s="69">
        <f>IF('Final Calculation Sheet'!$D$24="","",'Final Calculation Sheet'!$D$24)</f>
        <v/>
      </c>
      <c r="F25" s="69">
        <f>IF('Final Calculation Sheet'!$A$24="","",'Final Calculation Sheet'!$A$24)</f>
        <v/>
      </c>
      <c r="G25" s="69">
        <f>IF('Final Calculation Sheet'!$E$24="","",'Final Calculation Sheet'!$E$24)</f>
        <v/>
      </c>
      <c r="H25" s="544">
        <f>IF('Final Calculation Sheet'!$C$24="","",'Final Calculation Sheet'!$C$24)</f>
        <v/>
      </c>
      <c r="I25" s="544">
        <f>IF('Final Calculation Sheet'!$H$24="","",'Final Calculation Sheet'!$H$24)</f>
        <v/>
      </c>
      <c r="J25" s="544">
        <f>IF('Final Calculation Sheet'!$I$24="","",'Final Calculation Sheet'!$I$24)</f>
        <v/>
      </c>
      <c r="K25" s="544">
        <f>IF('Final Calculation Sheet'!$J$24="","",'Final Calculation Sheet'!$J$24)</f>
        <v/>
      </c>
      <c r="L25" s="544">
        <f>IF('Final Calculation Sheet'!$K$24="","",'Final Calculation Sheet'!$K$24)</f>
        <v/>
      </c>
      <c r="M25" s="544">
        <f>IF('Final Calculation Sheet'!$L$24="","",'Final Calculation Sheet'!$L$24)</f>
        <v/>
      </c>
      <c r="N25" s="544">
        <f>IF('Final Calculation Sheet'!$M$24="","",'Final Calculation Sheet'!$M$24)</f>
        <v/>
      </c>
      <c r="O25" s="547">
        <f>IF('Final Calculation Sheet'!$N$24="","",'Final Calculation Sheet'!$N$24)</f>
        <v/>
      </c>
      <c r="P25" s="544">
        <f>IF('Final Calculation Sheet'!$O$24="","",'Final Calculation Sheet'!$O$24)</f>
        <v/>
      </c>
      <c r="Q25" s="544">
        <f>IF('Final Calculation Sheet'!$P$24="","",'Final Calculation Sheet'!$P$24)</f>
        <v/>
      </c>
      <c r="R25" s="549">
        <f>IF('Final Calculation Sheet'!$Q$24="","",'Final Calculation Sheet'!$Q$24)</f>
        <v/>
      </c>
      <c r="S25" s="544">
        <f>IF('Final Calculation Sheet'!$R$24="","",'Final Calculation Sheet'!$R$24)</f>
        <v/>
      </c>
      <c r="T25" s="544">
        <f>IF('Final Calculation Sheet'!$S$24="","",'Final Calculation Sheet'!$S$24)</f>
        <v/>
      </c>
      <c r="U25" s="544">
        <f>IF('Final Calculation Sheet'!$T$24="","",'Final Calculation Sheet'!$T$24)</f>
        <v/>
      </c>
      <c r="V25" s="552">
        <f>IF('Final Calculation Sheet'!$U$24="","",'Final Calculation Sheet'!$U$24)</f>
        <v/>
      </c>
      <c r="W25" s="544">
        <f>IF('Final Calculation Sheet'!$V$24="","",'Final Calculation Sheet'!$V$24)</f>
        <v/>
      </c>
      <c r="X25" s="544">
        <f>IF('Final Calculation Sheet'!$W$24="","",'Final Calculation Sheet'!$W$24)</f>
        <v/>
      </c>
      <c r="Y25" s="544">
        <f>IF('Final Calculation Sheet'!$X$24="","",'Final Calculation Sheet'!$X$24)</f>
        <v/>
      </c>
      <c r="Z25" s="544">
        <f>IF('Final Calculation Sheet'!$Y$24="","",'Final Calculation Sheet'!$Y$24)</f>
        <v/>
      </c>
      <c r="AA25" s="544">
        <f>IF('Final Calculation Sheet'!$Z$24="","",'Final Calculation Sheet'!$Z$24)</f>
        <v/>
      </c>
      <c r="AB25" s="544">
        <f>IF('Final Calculation Sheet'!$AA$24="","",'Final Calculation Sheet'!$AA$24)</f>
        <v/>
      </c>
      <c r="AC25" s="544">
        <f>IF('Final Calculation Sheet'!$AB$24="","",'Final Calculation Sheet'!$AB$24)</f>
        <v/>
      </c>
      <c r="AD25" s="544">
        <f>IF('Final Calculation Sheet'!$AC$24="","",'Final Calculation Sheet'!$AC$24)</f>
        <v/>
      </c>
      <c r="AE25" s="544">
        <f>IF('Final Calculation Sheet'!$AD$24="","",'Final Calculation Sheet'!$AD$24)</f>
        <v/>
      </c>
      <c r="AF25" s="544">
        <f>IF('Final Calculation Sheet'!$AE$24="","",'Final Calculation Sheet'!$AE$24)</f>
        <v/>
      </c>
      <c r="AG25" s="555">
        <f>IF('Final Calculation Sheet'!$AF$24="","",'Final Calculation Sheet'!$AF$24)</f>
        <v/>
      </c>
      <c r="AH25" s="544">
        <f>IF('Final Calculation Sheet'!$AG$24="","",'Final Calculation Sheet'!$AG$24)</f>
        <v/>
      </c>
      <c r="AI25" s="635">
        <f>IF('Final Calculation Sheet'!$AD$24="","",IF('Final Calculation Sheet'!$AD$24&lt;=0,"SETTLED","OUTSTANDING"))</f>
        <v/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$B$3="",1,IF(AND(IF(COUNTIF($AR$9:$AY$9,1)=0,TRUE,SUMPRODUCT(($AR$9:$AY$9=1)*($AR$6:$AY$6&lt;&gt;"")*ISNUMBER(SEARCH($AR$6:$AY$6,$AK25)))&gt;0),IF(COUNTIF($AR$9:$AY$9,2)=0,TRUE,SUMPRODUCT(($AR$9:$AY$9=2)*($AR$6:$AY$6&lt;&gt;"")*ISNUMBER(SEARCH($AR$6:$AY$6,$AK25)))&gt;0),IF(COUNTIF($AR$9:$AY$9,3)=0,TRUE,SUMPRODUCT(($AR$9:$AY$9=3)*($AR$6:$AY$6&lt;&gt;"")*ISNUMBER(SEARCH($AR$6:$AY$6,$AK25)))&gt;0),IF(COUNTIF($AR$9:$AY$9,4)=0,TRUE,SUMPRODUCT(($AR$9:$AY$9=4)*($AR$6:$AY$6&lt;&gt;"")*ISNUMBER(SEARCH($AR$6:$AY$6,$AK25)))&gt;0),IF(COUNTIF($AR$9:$AY$9,5)=0,TRUE,SUMPRODUCT(($AR$9:$AY$9=5)*($AR$6:$AY$6&lt;&gt;"")*ISNUMBER(SEARCH($AR$6:$AY$6,$AK25)))&gt;0),IF(COUNTIF($AR$9:$AY$9,6)=0,TRUE,SUMPRODUCT(($AR$9:$AY$9=6)*($AR$6:$AY$6&lt;&gt;"")*ISNUMBER(SEARCH($AR$6:$AY$6,$AK25)))&gt;0),IF(COUNTIF($AR$9:$AY$9,7)=0,TRUE,SUMPRODUCT(($AR$9:$AY$9=7)*($AR$6:$AY$6&lt;&gt;"")*ISNUMBER(SEARCH($AR$6:$AY$6,$AK25)))&gt;0),IF(COUNTIF($AR$9:$AY$9,8)=0,TRUE,SUMPRODUCT(($AR$9:$AY$9=8)*($AR$6:$AY$6&lt;&gt;"")*ISNUMBER(SEARCH($AR$6:$AY$6,$AK25)))&gt;0)),1,0))</f>
        <v/>
      </c>
    </row>
    <row r="26" ht="15" customHeight="1">
      <c r="A26" s="636" t="n">
        <v>22</v>
      </c>
      <c r="B26" s="637">
        <f>IF('Final Calculation Sheet'!$F$25="","",'Final Calculation Sheet'!$F$25)</f>
        <v/>
      </c>
      <c r="C26" s="637">
        <f>IF('Final Calculation Sheet'!$G$25="","",'Final Calculation Sheet'!$G$25)</f>
        <v/>
      </c>
      <c r="D26" s="638">
        <f>IF('Final Calculation Sheet'!$B$25="","",'Final Calculation Sheet'!$B$25)</f>
        <v/>
      </c>
      <c r="E26" s="638">
        <f>IF('Final Calculation Sheet'!$D$25="","",'Final Calculation Sheet'!$D$25)</f>
        <v/>
      </c>
      <c r="F26" s="638">
        <f>IF('Final Calculation Sheet'!$A$25="","",'Final Calculation Sheet'!$A$25)</f>
        <v/>
      </c>
      <c r="G26" s="638">
        <f>IF('Final Calculation Sheet'!$E$25="","",'Final Calculation Sheet'!$E$25)</f>
        <v/>
      </c>
      <c r="H26" s="639">
        <f>IF('Final Calculation Sheet'!$C$25="","",'Final Calculation Sheet'!$C$25)</f>
        <v/>
      </c>
      <c r="I26" s="639">
        <f>IF('Final Calculation Sheet'!$H$25="","",'Final Calculation Sheet'!$H$25)</f>
        <v/>
      </c>
      <c r="J26" s="639">
        <f>IF('Final Calculation Sheet'!$I$25="","",'Final Calculation Sheet'!$I$25)</f>
        <v/>
      </c>
      <c r="K26" s="639">
        <f>IF('Final Calculation Sheet'!$J$25="","",'Final Calculation Sheet'!$J$25)</f>
        <v/>
      </c>
      <c r="L26" s="639">
        <f>IF('Final Calculation Sheet'!$K$25="","",'Final Calculation Sheet'!$K$25)</f>
        <v/>
      </c>
      <c r="M26" s="639">
        <f>IF('Final Calculation Sheet'!$L$25="","",'Final Calculation Sheet'!$L$25)</f>
        <v/>
      </c>
      <c r="N26" s="639">
        <f>IF('Final Calculation Sheet'!$M$25="","",'Final Calculation Sheet'!$M$25)</f>
        <v/>
      </c>
      <c r="O26" s="640">
        <f>IF('Final Calculation Sheet'!$N$25="","",'Final Calculation Sheet'!$N$25)</f>
        <v/>
      </c>
      <c r="P26" s="639">
        <f>IF('Final Calculation Sheet'!$O$25="","",'Final Calculation Sheet'!$O$25)</f>
        <v/>
      </c>
      <c r="Q26" s="639">
        <f>IF('Final Calculation Sheet'!$P$25="","",'Final Calculation Sheet'!$P$25)</f>
        <v/>
      </c>
      <c r="R26" s="641">
        <f>IF('Final Calculation Sheet'!$Q$25="","",'Final Calculation Sheet'!$Q$25)</f>
        <v/>
      </c>
      <c r="S26" s="639">
        <f>IF('Final Calculation Sheet'!$R$25="","",'Final Calculation Sheet'!$R$25)</f>
        <v/>
      </c>
      <c r="T26" s="639">
        <f>IF('Final Calculation Sheet'!$S$25="","",'Final Calculation Sheet'!$S$25)</f>
        <v/>
      </c>
      <c r="U26" s="639">
        <f>IF('Final Calculation Sheet'!$T$25="","",'Final Calculation Sheet'!$T$25)</f>
        <v/>
      </c>
      <c r="V26" s="642">
        <f>IF('Final Calculation Sheet'!$U$25="","",'Final Calculation Sheet'!$U$25)</f>
        <v/>
      </c>
      <c r="W26" s="639">
        <f>IF('Final Calculation Sheet'!$V$25="","",'Final Calculation Sheet'!$V$25)</f>
        <v/>
      </c>
      <c r="X26" s="639">
        <f>IF('Final Calculation Sheet'!$W$25="","",'Final Calculation Sheet'!$W$25)</f>
        <v/>
      </c>
      <c r="Y26" s="639">
        <f>IF('Final Calculation Sheet'!$X$25="","",'Final Calculation Sheet'!$X$25)</f>
        <v/>
      </c>
      <c r="Z26" s="639">
        <f>IF('Final Calculation Sheet'!$Y$25="","",'Final Calculation Sheet'!$Y$25)</f>
        <v/>
      </c>
      <c r="AA26" s="639">
        <f>IF('Final Calculation Sheet'!$Z$25="","",'Final Calculation Sheet'!$Z$25)</f>
        <v/>
      </c>
      <c r="AB26" s="639">
        <f>IF('Final Calculation Sheet'!$AA$25="","",'Final Calculation Sheet'!$AA$25)</f>
        <v/>
      </c>
      <c r="AC26" s="639">
        <f>IF('Final Calculation Sheet'!$AB$25="","",'Final Calculation Sheet'!$AB$25)</f>
        <v/>
      </c>
      <c r="AD26" s="639">
        <f>IF('Final Calculation Sheet'!$AC$25="","",'Final Calculation Sheet'!$AC$25)</f>
        <v/>
      </c>
      <c r="AE26" s="639">
        <f>IF('Final Calculation Sheet'!$AD$25="","",'Final Calculation Sheet'!$AD$25)</f>
        <v/>
      </c>
      <c r="AF26" s="639">
        <f>IF('Final Calculation Sheet'!$AE$25="","",'Final Calculation Sheet'!$AE$25)</f>
        <v/>
      </c>
      <c r="AG26" s="643">
        <f>IF('Final Calculation Sheet'!$AF$25="","",'Final Calculation Sheet'!$AF$25)</f>
        <v/>
      </c>
      <c r="AH26" s="639">
        <f>IF('Final Calculation Sheet'!$AG$25="","",'Final Calculation Sheet'!$AG$25)</f>
        <v/>
      </c>
      <c r="AI26" s="644">
        <f>IF('Final Calculation Sheet'!$AD$25="","",IF('Final Calculation Sheet'!$AD$25&lt;=0,"SETTLED","OUTSTANDING"))</f>
        <v/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$B$3="",1,IF(AND(IF(COUNTIF($AR$9:$AY$9,1)=0,TRUE,SUMPRODUCT(($AR$9:$AY$9=1)*($AR$6:$AY$6&lt;&gt;"")*ISNUMBER(SEARCH($AR$6:$AY$6,$AK26)))&gt;0),IF(COUNTIF($AR$9:$AY$9,2)=0,TRUE,SUMPRODUCT(($AR$9:$AY$9=2)*($AR$6:$AY$6&lt;&gt;"")*ISNUMBER(SEARCH($AR$6:$AY$6,$AK26)))&gt;0),IF(COUNTIF($AR$9:$AY$9,3)=0,TRUE,SUMPRODUCT(($AR$9:$AY$9=3)*($AR$6:$AY$6&lt;&gt;"")*ISNUMBER(SEARCH($AR$6:$AY$6,$AK26)))&gt;0),IF(COUNTIF($AR$9:$AY$9,4)=0,TRUE,SUMPRODUCT(($AR$9:$AY$9=4)*($AR$6:$AY$6&lt;&gt;"")*ISNUMBER(SEARCH($AR$6:$AY$6,$AK26)))&gt;0),IF(COUNTIF($AR$9:$AY$9,5)=0,TRUE,SUMPRODUCT(($AR$9:$AY$9=5)*($AR$6:$AY$6&lt;&gt;"")*ISNUMBER(SEARCH($AR$6:$AY$6,$AK26)))&gt;0),IF(COUNTIF($AR$9:$AY$9,6)=0,TRUE,SUMPRODUCT(($AR$9:$AY$9=6)*($AR$6:$AY$6&lt;&gt;"")*ISNUMBER(SEARCH($AR$6:$AY$6,$AK26)))&gt;0),IF(COUNTIF($AR$9:$AY$9,7)=0,TRUE,SUMPRODUCT(($AR$9:$AY$9=7)*($AR$6:$AY$6&lt;&gt;"")*ISNUMBER(SEARCH($AR$6:$AY$6,$AK26)))&gt;0),IF(COUNTIF($AR$9:$AY$9,8)=0,TRUE,SUMPRODUCT(($AR$9:$AY$9=8)*($AR$6:$AY$6&lt;&gt;"")*ISNUMBER(SEARCH($AR$6:$AY$6,$AK26)))&gt;0)),1,0))</f>
        <v/>
      </c>
    </row>
    <row r="27" ht="15" customHeight="1">
      <c r="A27" s="633" t="n">
        <v>23</v>
      </c>
      <c r="B27" s="634">
        <f>IF('Final Calculation Sheet'!$F$26="","",'Final Calculation Sheet'!$F$26)</f>
        <v/>
      </c>
      <c r="C27" s="634">
        <f>IF('Final Calculation Sheet'!$G$26="","",'Final Calculation Sheet'!$G$26)</f>
        <v/>
      </c>
      <c r="D27" s="69">
        <f>IF('Final Calculation Sheet'!$B$26="","",'Final Calculation Sheet'!$B$26)</f>
        <v/>
      </c>
      <c r="E27" s="69">
        <f>IF('Final Calculation Sheet'!$D$26="","",'Final Calculation Sheet'!$D$26)</f>
        <v/>
      </c>
      <c r="F27" s="69">
        <f>IF('Final Calculation Sheet'!$A$26="","",'Final Calculation Sheet'!$A$26)</f>
        <v/>
      </c>
      <c r="G27" s="69">
        <f>IF('Final Calculation Sheet'!$E$26="","",'Final Calculation Sheet'!$E$26)</f>
        <v/>
      </c>
      <c r="H27" s="544">
        <f>IF('Final Calculation Sheet'!$C$26="","",'Final Calculation Sheet'!$C$26)</f>
        <v/>
      </c>
      <c r="I27" s="544">
        <f>IF('Final Calculation Sheet'!$H$26="","",'Final Calculation Sheet'!$H$26)</f>
        <v/>
      </c>
      <c r="J27" s="544">
        <f>IF('Final Calculation Sheet'!$I$26="","",'Final Calculation Sheet'!$I$26)</f>
        <v/>
      </c>
      <c r="K27" s="544">
        <f>IF('Final Calculation Sheet'!$J$26="","",'Final Calculation Sheet'!$J$26)</f>
        <v/>
      </c>
      <c r="L27" s="544">
        <f>IF('Final Calculation Sheet'!$K$26="","",'Final Calculation Sheet'!$K$26)</f>
        <v/>
      </c>
      <c r="M27" s="544">
        <f>IF('Final Calculation Sheet'!$L$26="","",'Final Calculation Sheet'!$L$26)</f>
        <v/>
      </c>
      <c r="N27" s="544">
        <f>IF('Final Calculation Sheet'!$M$26="","",'Final Calculation Sheet'!$M$26)</f>
        <v/>
      </c>
      <c r="O27" s="547">
        <f>IF('Final Calculation Sheet'!$N$26="","",'Final Calculation Sheet'!$N$26)</f>
        <v/>
      </c>
      <c r="P27" s="544">
        <f>IF('Final Calculation Sheet'!$O$26="","",'Final Calculation Sheet'!$O$26)</f>
        <v/>
      </c>
      <c r="Q27" s="544">
        <f>IF('Final Calculation Sheet'!$P$26="","",'Final Calculation Sheet'!$P$26)</f>
        <v/>
      </c>
      <c r="R27" s="549">
        <f>IF('Final Calculation Sheet'!$Q$26="","",'Final Calculation Sheet'!$Q$26)</f>
        <v/>
      </c>
      <c r="S27" s="544">
        <f>IF('Final Calculation Sheet'!$R$26="","",'Final Calculation Sheet'!$R$26)</f>
        <v/>
      </c>
      <c r="T27" s="544">
        <f>IF('Final Calculation Sheet'!$S$26="","",'Final Calculation Sheet'!$S$26)</f>
        <v/>
      </c>
      <c r="U27" s="544">
        <f>IF('Final Calculation Sheet'!$T$26="","",'Final Calculation Sheet'!$T$26)</f>
        <v/>
      </c>
      <c r="V27" s="552">
        <f>IF('Final Calculation Sheet'!$U$26="","",'Final Calculation Sheet'!$U$26)</f>
        <v/>
      </c>
      <c r="W27" s="544">
        <f>IF('Final Calculation Sheet'!$V$26="","",'Final Calculation Sheet'!$V$26)</f>
        <v/>
      </c>
      <c r="X27" s="544">
        <f>IF('Final Calculation Sheet'!$W$26="","",'Final Calculation Sheet'!$W$26)</f>
        <v/>
      </c>
      <c r="Y27" s="544">
        <f>IF('Final Calculation Sheet'!$X$26="","",'Final Calculation Sheet'!$X$26)</f>
        <v/>
      </c>
      <c r="Z27" s="544">
        <f>IF('Final Calculation Sheet'!$Y$26="","",'Final Calculation Sheet'!$Y$26)</f>
        <v/>
      </c>
      <c r="AA27" s="544">
        <f>IF('Final Calculation Sheet'!$Z$26="","",'Final Calculation Sheet'!$Z$26)</f>
        <v/>
      </c>
      <c r="AB27" s="544">
        <f>IF('Final Calculation Sheet'!$AA$26="","",'Final Calculation Sheet'!$AA$26)</f>
        <v/>
      </c>
      <c r="AC27" s="544">
        <f>IF('Final Calculation Sheet'!$AB$26="","",'Final Calculation Sheet'!$AB$26)</f>
        <v/>
      </c>
      <c r="AD27" s="544">
        <f>IF('Final Calculation Sheet'!$AC$26="","",'Final Calculation Sheet'!$AC$26)</f>
        <v/>
      </c>
      <c r="AE27" s="544">
        <f>IF('Final Calculation Sheet'!$AD$26="","",'Final Calculation Sheet'!$AD$26)</f>
        <v/>
      </c>
      <c r="AF27" s="544">
        <f>IF('Final Calculation Sheet'!$AE$26="","",'Final Calculation Sheet'!$AE$26)</f>
        <v/>
      </c>
      <c r="AG27" s="555">
        <f>IF('Final Calculation Sheet'!$AF$26="","",'Final Calculation Sheet'!$AF$26)</f>
        <v/>
      </c>
      <c r="AH27" s="544">
        <f>IF('Final Calculation Sheet'!$AG$26="","",'Final Calculation Sheet'!$AG$26)</f>
        <v/>
      </c>
      <c r="AI27" s="635">
        <f>IF('Final Calculation Sheet'!$AD$26="","",IF('Final Calculation Sheet'!$AD$26&lt;=0,"SETTLED","OUTSTANDING"))</f>
        <v/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$B$3="",1,IF(AND(IF(COUNTIF($AR$9:$AY$9,1)=0,TRUE,SUMPRODUCT(($AR$9:$AY$9=1)*($AR$6:$AY$6&lt;&gt;"")*ISNUMBER(SEARCH($AR$6:$AY$6,$AK27)))&gt;0),IF(COUNTIF($AR$9:$AY$9,2)=0,TRUE,SUMPRODUCT(($AR$9:$AY$9=2)*($AR$6:$AY$6&lt;&gt;"")*ISNUMBER(SEARCH($AR$6:$AY$6,$AK27)))&gt;0),IF(COUNTIF($AR$9:$AY$9,3)=0,TRUE,SUMPRODUCT(($AR$9:$AY$9=3)*($AR$6:$AY$6&lt;&gt;"")*ISNUMBER(SEARCH($AR$6:$AY$6,$AK27)))&gt;0),IF(COUNTIF($AR$9:$AY$9,4)=0,TRUE,SUMPRODUCT(($AR$9:$AY$9=4)*($AR$6:$AY$6&lt;&gt;"")*ISNUMBER(SEARCH($AR$6:$AY$6,$AK27)))&gt;0),IF(COUNTIF($AR$9:$AY$9,5)=0,TRUE,SUMPRODUCT(($AR$9:$AY$9=5)*($AR$6:$AY$6&lt;&gt;"")*ISNUMBER(SEARCH($AR$6:$AY$6,$AK27)))&gt;0),IF(COUNTIF($AR$9:$AY$9,6)=0,TRUE,SUMPRODUCT(($AR$9:$AY$9=6)*($AR$6:$AY$6&lt;&gt;"")*ISNUMBER(SEARCH($AR$6:$AY$6,$AK27)))&gt;0),IF(COUNTIF($AR$9:$AY$9,7)=0,TRUE,SUMPRODUCT(($AR$9:$AY$9=7)*($AR$6:$AY$6&lt;&gt;"")*ISNUMBER(SEARCH($AR$6:$AY$6,$AK27)))&gt;0),IF(COUNTIF($AR$9:$AY$9,8)=0,TRUE,SUMPRODUCT(($AR$9:$AY$9=8)*($AR$6:$AY$6&lt;&gt;"")*ISNUMBER(SEARCH($AR$6:$AY$6,$AK27)))&gt;0)),1,0))</f>
        <v/>
      </c>
    </row>
    <row r="28" ht="15" customHeight="1">
      <c r="A28" s="636" t="n">
        <v>24</v>
      </c>
      <c r="B28" s="637">
        <f>IF('Final Calculation Sheet'!$F$27="","",'Final Calculation Sheet'!$F$27)</f>
        <v/>
      </c>
      <c r="C28" s="637">
        <f>IF('Final Calculation Sheet'!$G$27="","",'Final Calculation Sheet'!$G$27)</f>
        <v/>
      </c>
      <c r="D28" s="638">
        <f>IF('Final Calculation Sheet'!$B$27="","",'Final Calculation Sheet'!$B$27)</f>
        <v/>
      </c>
      <c r="E28" s="638">
        <f>IF('Final Calculation Sheet'!$D$27="","",'Final Calculation Sheet'!$D$27)</f>
        <v/>
      </c>
      <c r="F28" s="638">
        <f>IF('Final Calculation Sheet'!$A$27="","",'Final Calculation Sheet'!$A$27)</f>
        <v/>
      </c>
      <c r="G28" s="638">
        <f>IF('Final Calculation Sheet'!$E$27="","",'Final Calculation Sheet'!$E$27)</f>
        <v/>
      </c>
      <c r="H28" s="639">
        <f>IF('Final Calculation Sheet'!$C$27="","",'Final Calculation Sheet'!$C$27)</f>
        <v/>
      </c>
      <c r="I28" s="639">
        <f>IF('Final Calculation Sheet'!$H$27="","",'Final Calculation Sheet'!$H$27)</f>
        <v/>
      </c>
      <c r="J28" s="639">
        <f>IF('Final Calculation Sheet'!$I$27="","",'Final Calculation Sheet'!$I$27)</f>
        <v/>
      </c>
      <c r="K28" s="639">
        <f>IF('Final Calculation Sheet'!$J$27="","",'Final Calculation Sheet'!$J$27)</f>
        <v/>
      </c>
      <c r="L28" s="639">
        <f>IF('Final Calculation Sheet'!$K$27="","",'Final Calculation Sheet'!$K$27)</f>
        <v/>
      </c>
      <c r="M28" s="639">
        <f>IF('Final Calculation Sheet'!$L$27="","",'Final Calculation Sheet'!$L$27)</f>
        <v/>
      </c>
      <c r="N28" s="639">
        <f>IF('Final Calculation Sheet'!$M$27="","",'Final Calculation Sheet'!$M$27)</f>
        <v/>
      </c>
      <c r="O28" s="640">
        <f>IF('Final Calculation Sheet'!$N$27="","",'Final Calculation Sheet'!$N$27)</f>
        <v/>
      </c>
      <c r="P28" s="639">
        <f>IF('Final Calculation Sheet'!$O$27="","",'Final Calculation Sheet'!$O$27)</f>
        <v/>
      </c>
      <c r="Q28" s="639">
        <f>IF('Final Calculation Sheet'!$P$27="","",'Final Calculation Sheet'!$P$27)</f>
        <v/>
      </c>
      <c r="R28" s="641">
        <f>IF('Final Calculation Sheet'!$Q$27="","",'Final Calculation Sheet'!$Q$27)</f>
        <v/>
      </c>
      <c r="S28" s="639">
        <f>IF('Final Calculation Sheet'!$R$27="","",'Final Calculation Sheet'!$R$27)</f>
        <v/>
      </c>
      <c r="T28" s="639">
        <f>IF('Final Calculation Sheet'!$S$27="","",'Final Calculation Sheet'!$S$27)</f>
        <v/>
      </c>
      <c r="U28" s="639">
        <f>IF('Final Calculation Sheet'!$T$27="","",'Final Calculation Sheet'!$T$27)</f>
        <v/>
      </c>
      <c r="V28" s="642">
        <f>IF('Final Calculation Sheet'!$U$27="","",'Final Calculation Sheet'!$U$27)</f>
        <v/>
      </c>
      <c r="W28" s="639">
        <f>IF('Final Calculation Sheet'!$V$27="","",'Final Calculation Sheet'!$V$27)</f>
        <v/>
      </c>
      <c r="X28" s="639">
        <f>IF('Final Calculation Sheet'!$W$27="","",'Final Calculation Sheet'!$W$27)</f>
        <v/>
      </c>
      <c r="Y28" s="639">
        <f>IF('Final Calculation Sheet'!$X$27="","",'Final Calculation Sheet'!$X$27)</f>
        <v/>
      </c>
      <c r="Z28" s="639">
        <f>IF('Final Calculation Sheet'!$Y$27="","",'Final Calculation Sheet'!$Y$27)</f>
        <v/>
      </c>
      <c r="AA28" s="639">
        <f>IF('Final Calculation Sheet'!$Z$27="","",'Final Calculation Sheet'!$Z$27)</f>
        <v/>
      </c>
      <c r="AB28" s="639">
        <f>IF('Final Calculation Sheet'!$AA$27="","",'Final Calculation Sheet'!$AA$27)</f>
        <v/>
      </c>
      <c r="AC28" s="639">
        <f>IF('Final Calculation Sheet'!$AB$27="","",'Final Calculation Sheet'!$AB$27)</f>
        <v/>
      </c>
      <c r="AD28" s="639">
        <f>IF('Final Calculation Sheet'!$AC$27="","",'Final Calculation Sheet'!$AC$27)</f>
        <v/>
      </c>
      <c r="AE28" s="639">
        <f>IF('Final Calculation Sheet'!$AD$27="","",'Final Calculation Sheet'!$AD$27)</f>
        <v/>
      </c>
      <c r="AF28" s="639">
        <f>IF('Final Calculation Sheet'!$AE$27="","",'Final Calculation Sheet'!$AE$27)</f>
        <v/>
      </c>
      <c r="AG28" s="643">
        <f>IF('Final Calculation Sheet'!$AF$27="","",'Final Calculation Sheet'!$AF$27)</f>
        <v/>
      </c>
      <c r="AH28" s="639">
        <f>IF('Final Calculation Sheet'!$AG$27="","",'Final Calculation Sheet'!$AG$27)</f>
        <v/>
      </c>
      <c r="AI28" s="644">
        <f>IF('Final Calculation Sheet'!$AD$27="","",IF('Final Calculation Sheet'!$AD$27&lt;=0,"SETTLED","OUTSTANDING"))</f>
        <v/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$B$3="",1,IF(AND(IF(COUNTIF($AR$9:$AY$9,1)=0,TRUE,SUMPRODUCT(($AR$9:$AY$9=1)*($AR$6:$AY$6&lt;&gt;"")*ISNUMBER(SEARCH($AR$6:$AY$6,$AK28)))&gt;0),IF(COUNTIF($AR$9:$AY$9,2)=0,TRUE,SUMPRODUCT(($AR$9:$AY$9=2)*($AR$6:$AY$6&lt;&gt;"")*ISNUMBER(SEARCH($AR$6:$AY$6,$AK28)))&gt;0),IF(COUNTIF($AR$9:$AY$9,3)=0,TRUE,SUMPRODUCT(($AR$9:$AY$9=3)*($AR$6:$AY$6&lt;&gt;"")*ISNUMBER(SEARCH($AR$6:$AY$6,$AK28)))&gt;0),IF(COUNTIF($AR$9:$AY$9,4)=0,TRUE,SUMPRODUCT(($AR$9:$AY$9=4)*($AR$6:$AY$6&lt;&gt;"")*ISNUMBER(SEARCH($AR$6:$AY$6,$AK28)))&gt;0),IF(COUNTIF($AR$9:$AY$9,5)=0,TRUE,SUMPRODUCT(($AR$9:$AY$9=5)*($AR$6:$AY$6&lt;&gt;"")*ISNUMBER(SEARCH($AR$6:$AY$6,$AK28)))&gt;0),IF(COUNTIF($AR$9:$AY$9,6)=0,TRUE,SUMPRODUCT(($AR$9:$AY$9=6)*($AR$6:$AY$6&lt;&gt;"")*ISNUMBER(SEARCH($AR$6:$AY$6,$AK28)))&gt;0),IF(COUNTIF($AR$9:$AY$9,7)=0,TRUE,SUMPRODUCT(($AR$9:$AY$9=7)*($AR$6:$AY$6&lt;&gt;"")*ISNUMBER(SEARCH($AR$6:$AY$6,$AK28)))&gt;0),IF(COUNTIF($AR$9:$AY$9,8)=0,TRUE,SUMPRODUCT(($AR$9:$AY$9=8)*($AR$6:$AY$6&lt;&gt;"")*ISNUMBER(SEARCH($AR$6:$AY$6,$AK28)))&gt;0)),1,0))</f>
        <v/>
      </c>
    </row>
    <row r="29" ht="15" customHeight="1">
      <c r="A29" s="633" t="n">
        <v>25</v>
      </c>
      <c r="B29" s="634">
        <f>IF('Final Calculation Sheet'!$F$28="","",'Final Calculation Sheet'!$F$28)</f>
        <v/>
      </c>
      <c r="C29" s="634">
        <f>IF('Final Calculation Sheet'!$G$28="","",'Final Calculation Sheet'!$G$28)</f>
        <v/>
      </c>
      <c r="D29" s="69">
        <f>IF('Final Calculation Sheet'!$B$28="","",'Final Calculation Sheet'!$B$28)</f>
        <v/>
      </c>
      <c r="E29" s="69">
        <f>IF('Final Calculation Sheet'!$D$28="","",'Final Calculation Sheet'!$D$28)</f>
        <v/>
      </c>
      <c r="F29" s="69">
        <f>IF('Final Calculation Sheet'!$A$28="","",'Final Calculation Sheet'!$A$28)</f>
        <v/>
      </c>
      <c r="G29" s="69">
        <f>IF('Final Calculation Sheet'!$E$28="","",'Final Calculation Sheet'!$E$28)</f>
        <v/>
      </c>
      <c r="H29" s="544">
        <f>IF('Final Calculation Sheet'!$C$28="","",'Final Calculation Sheet'!$C$28)</f>
        <v/>
      </c>
      <c r="I29" s="544">
        <f>IF('Final Calculation Sheet'!$H$28="","",'Final Calculation Sheet'!$H$28)</f>
        <v/>
      </c>
      <c r="J29" s="544">
        <f>IF('Final Calculation Sheet'!$I$28="","",'Final Calculation Sheet'!$I$28)</f>
        <v/>
      </c>
      <c r="K29" s="544">
        <f>IF('Final Calculation Sheet'!$J$28="","",'Final Calculation Sheet'!$J$28)</f>
        <v/>
      </c>
      <c r="L29" s="544">
        <f>IF('Final Calculation Sheet'!$K$28="","",'Final Calculation Sheet'!$K$28)</f>
        <v/>
      </c>
      <c r="M29" s="544">
        <f>IF('Final Calculation Sheet'!$L$28="","",'Final Calculation Sheet'!$L$28)</f>
        <v/>
      </c>
      <c r="N29" s="544">
        <f>IF('Final Calculation Sheet'!$M$28="","",'Final Calculation Sheet'!$M$28)</f>
        <v/>
      </c>
      <c r="O29" s="547">
        <f>IF('Final Calculation Sheet'!$N$28="","",'Final Calculation Sheet'!$N$28)</f>
        <v/>
      </c>
      <c r="P29" s="544">
        <f>IF('Final Calculation Sheet'!$O$28="","",'Final Calculation Sheet'!$O$28)</f>
        <v/>
      </c>
      <c r="Q29" s="544">
        <f>IF('Final Calculation Sheet'!$P$28="","",'Final Calculation Sheet'!$P$28)</f>
        <v/>
      </c>
      <c r="R29" s="549">
        <f>IF('Final Calculation Sheet'!$Q$28="","",'Final Calculation Sheet'!$Q$28)</f>
        <v/>
      </c>
      <c r="S29" s="544">
        <f>IF('Final Calculation Sheet'!$R$28="","",'Final Calculation Sheet'!$R$28)</f>
        <v/>
      </c>
      <c r="T29" s="544">
        <f>IF('Final Calculation Sheet'!$S$28="","",'Final Calculation Sheet'!$S$28)</f>
        <v/>
      </c>
      <c r="U29" s="544">
        <f>IF('Final Calculation Sheet'!$T$28="","",'Final Calculation Sheet'!$T$28)</f>
        <v/>
      </c>
      <c r="V29" s="552">
        <f>IF('Final Calculation Sheet'!$U$28="","",'Final Calculation Sheet'!$U$28)</f>
        <v/>
      </c>
      <c r="W29" s="544">
        <f>IF('Final Calculation Sheet'!$V$28="","",'Final Calculation Sheet'!$V$28)</f>
        <v/>
      </c>
      <c r="X29" s="544">
        <f>IF('Final Calculation Sheet'!$W$28="","",'Final Calculation Sheet'!$W$28)</f>
        <v/>
      </c>
      <c r="Y29" s="544">
        <f>IF('Final Calculation Sheet'!$X$28="","",'Final Calculation Sheet'!$X$28)</f>
        <v/>
      </c>
      <c r="Z29" s="544">
        <f>IF('Final Calculation Sheet'!$Y$28="","",'Final Calculation Sheet'!$Y$28)</f>
        <v/>
      </c>
      <c r="AA29" s="544">
        <f>IF('Final Calculation Sheet'!$Z$28="","",'Final Calculation Sheet'!$Z$28)</f>
        <v/>
      </c>
      <c r="AB29" s="544">
        <f>IF('Final Calculation Sheet'!$AA$28="","",'Final Calculation Sheet'!$AA$28)</f>
        <v/>
      </c>
      <c r="AC29" s="544">
        <f>IF('Final Calculation Sheet'!$AB$28="","",'Final Calculation Sheet'!$AB$28)</f>
        <v/>
      </c>
      <c r="AD29" s="544">
        <f>IF('Final Calculation Sheet'!$AC$28="","",'Final Calculation Sheet'!$AC$28)</f>
        <v/>
      </c>
      <c r="AE29" s="544">
        <f>IF('Final Calculation Sheet'!$AD$28="","",'Final Calculation Sheet'!$AD$28)</f>
        <v/>
      </c>
      <c r="AF29" s="544">
        <f>IF('Final Calculation Sheet'!$AE$28="","",'Final Calculation Sheet'!$AE$28)</f>
        <v/>
      </c>
      <c r="AG29" s="555">
        <f>IF('Final Calculation Sheet'!$AF$28="","",'Final Calculation Sheet'!$AF$28)</f>
        <v/>
      </c>
      <c r="AH29" s="544">
        <f>IF('Final Calculation Sheet'!$AG$28="","",'Final Calculation Sheet'!$AG$28)</f>
        <v/>
      </c>
      <c r="AI29" s="635">
        <f>IF('Final Calculation Sheet'!$AD$28="","",IF('Final Calculation Sheet'!$AD$28&lt;=0,"SETTLED","OUTSTANDING"))</f>
        <v/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$B$3="",1,IF(AND(IF(COUNTIF($AR$9:$AY$9,1)=0,TRUE,SUMPRODUCT(($AR$9:$AY$9=1)*($AR$6:$AY$6&lt;&gt;"")*ISNUMBER(SEARCH($AR$6:$AY$6,$AK29)))&gt;0),IF(COUNTIF($AR$9:$AY$9,2)=0,TRUE,SUMPRODUCT(($AR$9:$AY$9=2)*($AR$6:$AY$6&lt;&gt;"")*ISNUMBER(SEARCH($AR$6:$AY$6,$AK29)))&gt;0),IF(COUNTIF($AR$9:$AY$9,3)=0,TRUE,SUMPRODUCT(($AR$9:$AY$9=3)*($AR$6:$AY$6&lt;&gt;"")*ISNUMBER(SEARCH($AR$6:$AY$6,$AK29)))&gt;0),IF(COUNTIF($AR$9:$AY$9,4)=0,TRUE,SUMPRODUCT(($AR$9:$AY$9=4)*($AR$6:$AY$6&lt;&gt;"")*ISNUMBER(SEARCH($AR$6:$AY$6,$AK29)))&gt;0),IF(COUNTIF($AR$9:$AY$9,5)=0,TRUE,SUMPRODUCT(($AR$9:$AY$9=5)*($AR$6:$AY$6&lt;&gt;"")*ISNUMBER(SEARCH($AR$6:$AY$6,$AK29)))&gt;0),IF(COUNTIF($AR$9:$AY$9,6)=0,TRUE,SUMPRODUCT(($AR$9:$AY$9=6)*($AR$6:$AY$6&lt;&gt;"")*ISNUMBER(SEARCH($AR$6:$AY$6,$AK29)))&gt;0),IF(COUNTIF($AR$9:$AY$9,7)=0,TRUE,SUMPRODUCT(($AR$9:$AY$9=7)*($AR$6:$AY$6&lt;&gt;"")*ISNUMBER(SEARCH($AR$6:$AY$6,$AK29)))&gt;0),IF(COUNTIF($AR$9:$AY$9,8)=0,TRUE,SUMPRODUCT(($AR$9:$AY$9=8)*($AR$6:$AY$6&lt;&gt;"")*ISNUMBER(SEARCH($AR$6:$AY$6,$AK29)))&gt;0)),1,0))</f>
        <v/>
      </c>
    </row>
    <row r="30" ht="15" customHeight="1">
      <c r="A30" s="636" t="n">
        <v>26</v>
      </c>
      <c r="B30" s="637">
        <f>IF('Final Calculation Sheet'!$F$29="","",'Final Calculation Sheet'!$F$29)</f>
        <v/>
      </c>
      <c r="C30" s="637">
        <f>IF('Final Calculation Sheet'!$G$29="","",'Final Calculation Sheet'!$G$29)</f>
        <v/>
      </c>
      <c r="D30" s="638">
        <f>IF('Final Calculation Sheet'!$B$29="","",'Final Calculation Sheet'!$B$29)</f>
        <v/>
      </c>
      <c r="E30" s="638">
        <f>IF('Final Calculation Sheet'!$D$29="","",'Final Calculation Sheet'!$D$29)</f>
        <v/>
      </c>
      <c r="F30" s="638">
        <f>IF('Final Calculation Sheet'!$A$29="","",'Final Calculation Sheet'!$A$29)</f>
        <v/>
      </c>
      <c r="G30" s="638">
        <f>IF('Final Calculation Sheet'!$E$29="","",'Final Calculation Sheet'!$E$29)</f>
        <v/>
      </c>
      <c r="H30" s="639">
        <f>IF('Final Calculation Sheet'!$C$29="","",'Final Calculation Sheet'!$C$29)</f>
        <v/>
      </c>
      <c r="I30" s="639">
        <f>IF('Final Calculation Sheet'!$H$29="","",'Final Calculation Sheet'!$H$29)</f>
        <v/>
      </c>
      <c r="J30" s="639">
        <f>IF('Final Calculation Sheet'!$I$29="","",'Final Calculation Sheet'!$I$29)</f>
        <v/>
      </c>
      <c r="K30" s="639">
        <f>IF('Final Calculation Sheet'!$J$29="","",'Final Calculation Sheet'!$J$29)</f>
        <v/>
      </c>
      <c r="L30" s="639">
        <f>IF('Final Calculation Sheet'!$K$29="","",'Final Calculation Sheet'!$K$29)</f>
        <v/>
      </c>
      <c r="M30" s="639">
        <f>IF('Final Calculation Sheet'!$L$29="","",'Final Calculation Sheet'!$L$29)</f>
        <v/>
      </c>
      <c r="N30" s="639">
        <f>IF('Final Calculation Sheet'!$M$29="","",'Final Calculation Sheet'!$M$29)</f>
        <v/>
      </c>
      <c r="O30" s="640">
        <f>IF('Final Calculation Sheet'!$N$29="","",'Final Calculation Sheet'!$N$29)</f>
        <v/>
      </c>
      <c r="P30" s="639">
        <f>IF('Final Calculation Sheet'!$O$29="","",'Final Calculation Sheet'!$O$29)</f>
        <v/>
      </c>
      <c r="Q30" s="639">
        <f>IF('Final Calculation Sheet'!$P$29="","",'Final Calculation Sheet'!$P$29)</f>
        <v/>
      </c>
      <c r="R30" s="641">
        <f>IF('Final Calculation Sheet'!$Q$29="","",'Final Calculation Sheet'!$Q$29)</f>
        <v/>
      </c>
      <c r="S30" s="639">
        <f>IF('Final Calculation Sheet'!$R$29="","",'Final Calculation Sheet'!$R$29)</f>
        <v/>
      </c>
      <c r="T30" s="639">
        <f>IF('Final Calculation Sheet'!$S$29="","",'Final Calculation Sheet'!$S$29)</f>
        <v/>
      </c>
      <c r="U30" s="639">
        <f>IF('Final Calculation Sheet'!$T$29="","",'Final Calculation Sheet'!$T$29)</f>
        <v/>
      </c>
      <c r="V30" s="642">
        <f>IF('Final Calculation Sheet'!$U$29="","",'Final Calculation Sheet'!$U$29)</f>
        <v/>
      </c>
      <c r="W30" s="639">
        <f>IF('Final Calculation Sheet'!$V$29="","",'Final Calculation Sheet'!$V$29)</f>
        <v/>
      </c>
      <c r="X30" s="639">
        <f>IF('Final Calculation Sheet'!$W$29="","",'Final Calculation Sheet'!$W$29)</f>
        <v/>
      </c>
      <c r="Y30" s="639">
        <f>IF('Final Calculation Sheet'!$X$29="","",'Final Calculation Sheet'!$X$29)</f>
        <v/>
      </c>
      <c r="Z30" s="639">
        <f>IF('Final Calculation Sheet'!$Y$29="","",'Final Calculation Sheet'!$Y$29)</f>
        <v/>
      </c>
      <c r="AA30" s="639">
        <f>IF('Final Calculation Sheet'!$Z$29="","",'Final Calculation Sheet'!$Z$29)</f>
        <v/>
      </c>
      <c r="AB30" s="639">
        <f>IF('Final Calculation Sheet'!$AA$29="","",'Final Calculation Sheet'!$AA$29)</f>
        <v/>
      </c>
      <c r="AC30" s="639">
        <f>IF('Final Calculation Sheet'!$AB$29="","",'Final Calculation Sheet'!$AB$29)</f>
        <v/>
      </c>
      <c r="AD30" s="639">
        <f>IF('Final Calculation Sheet'!$AC$29="","",'Final Calculation Sheet'!$AC$29)</f>
        <v/>
      </c>
      <c r="AE30" s="639">
        <f>IF('Final Calculation Sheet'!$AD$29="","",'Final Calculation Sheet'!$AD$29)</f>
        <v/>
      </c>
      <c r="AF30" s="639">
        <f>IF('Final Calculation Sheet'!$AE$29="","",'Final Calculation Sheet'!$AE$29)</f>
        <v/>
      </c>
      <c r="AG30" s="643">
        <f>IF('Final Calculation Sheet'!$AF$29="","",'Final Calculation Sheet'!$AF$29)</f>
        <v/>
      </c>
      <c r="AH30" s="639">
        <f>IF('Final Calculation Sheet'!$AG$29="","",'Final Calculation Sheet'!$AG$29)</f>
        <v/>
      </c>
      <c r="AI30" s="644">
        <f>IF('Final Calculation Sheet'!$AD$29="","",IF('Final Calculation Sheet'!$AD$29&lt;=0,"SETTLED","OUTSTANDING"))</f>
        <v/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$B$3="",1,IF(AND(IF(COUNTIF($AR$9:$AY$9,1)=0,TRUE,SUMPRODUCT(($AR$9:$AY$9=1)*($AR$6:$AY$6&lt;&gt;"")*ISNUMBER(SEARCH($AR$6:$AY$6,$AK30)))&gt;0),IF(COUNTIF($AR$9:$AY$9,2)=0,TRUE,SUMPRODUCT(($AR$9:$AY$9=2)*($AR$6:$AY$6&lt;&gt;"")*ISNUMBER(SEARCH($AR$6:$AY$6,$AK30)))&gt;0),IF(COUNTIF($AR$9:$AY$9,3)=0,TRUE,SUMPRODUCT(($AR$9:$AY$9=3)*($AR$6:$AY$6&lt;&gt;"")*ISNUMBER(SEARCH($AR$6:$AY$6,$AK30)))&gt;0),IF(COUNTIF($AR$9:$AY$9,4)=0,TRUE,SUMPRODUCT(($AR$9:$AY$9=4)*($AR$6:$AY$6&lt;&gt;"")*ISNUMBER(SEARCH($AR$6:$AY$6,$AK30)))&gt;0),IF(COUNTIF($AR$9:$AY$9,5)=0,TRUE,SUMPRODUCT(($AR$9:$AY$9=5)*($AR$6:$AY$6&lt;&gt;"")*ISNUMBER(SEARCH($AR$6:$AY$6,$AK30)))&gt;0),IF(COUNTIF($AR$9:$AY$9,6)=0,TRUE,SUMPRODUCT(($AR$9:$AY$9=6)*($AR$6:$AY$6&lt;&gt;"")*ISNUMBER(SEARCH($AR$6:$AY$6,$AK30)))&gt;0),IF(COUNTIF($AR$9:$AY$9,7)=0,TRUE,SUMPRODUCT(($AR$9:$AY$9=7)*($AR$6:$AY$6&lt;&gt;"")*ISNUMBER(SEARCH($AR$6:$AY$6,$AK30)))&gt;0),IF(COUNTIF($AR$9:$AY$9,8)=0,TRUE,SUMPRODUCT(($AR$9:$AY$9=8)*($AR$6:$AY$6&lt;&gt;"")*ISNUMBER(SEARCH($AR$6:$AY$6,$AK30)))&gt;0)),1,0))</f>
        <v/>
      </c>
    </row>
    <row r="31" ht="15" customHeight="1">
      <c r="A31" s="633" t="n">
        <v>27</v>
      </c>
      <c r="B31" s="634">
        <f>IF('Final Calculation Sheet'!$F$30="","",'Final Calculation Sheet'!$F$30)</f>
        <v/>
      </c>
      <c r="C31" s="634">
        <f>IF('Final Calculation Sheet'!$G$30="","",'Final Calculation Sheet'!$G$30)</f>
        <v/>
      </c>
      <c r="D31" s="69">
        <f>IF('Final Calculation Sheet'!$B$30="","",'Final Calculation Sheet'!$B$30)</f>
        <v/>
      </c>
      <c r="E31" s="69">
        <f>IF('Final Calculation Sheet'!$D$30="","",'Final Calculation Sheet'!$D$30)</f>
        <v/>
      </c>
      <c r="F31" s="69">
        <f>IF('Final Calculation Sheet'!$A$30="","",'Final Calculation Sheet'!$A$30)</f>
        <v/>
      </c>
      <c r="G31" s="69">
        <f>IF('Final Calculation Sheet'!$E$30="","",'Final Calculation Sheet'!$E$30)</f>
        <v/>
      </c>
      <c r="H31" s="544">
        <f>IF('Final Calculation Sheet'!$C$30="","",'Final Calculation Sheet'!$C$30)</f>
        <v/>
      </c>
      <c r="I31" s="544">
        <f>IF('Final Calculation Sheet'!$H$30="","",'Final Calculation Sheet'!$H$30)</f>
        <v/>
      </c>
      <c r="J31" s="544">
        <f>IF('Final Calculation Sheet'!$I$30="","",'Final Calculation Sheet'!$I$30)</f>
        <v/>
      </c>
      <c r="K31" s="544">
        <f>IF('Final Calculation Sheet'!$J$30="","",'Final Calculation Sheet'!$J$30)</f>
        <v/>
      </c>
      <c r="L31" s="544">
        <f>IF('Final Calculation Sheet'!$K$30="","",'Final Calculation Sheet'!$K$30)</f>
        <v/>
      </c>
      <c r="M31" s="544">
        <f>IF('Final Calculation Sheet'!$L$30="","",'Final Calculation Sheet'!$L$30)</f>
        <v/>
      </c>
      <c r="N31" s="544">
        <f>IF('Final Calculation Sheet'!$M$30="","",'Final Calculation Sheet'!$M$30)</f>
        <v/>
      </c>
      <c r="O31" s="547">
        <f>IF('Final Calculation Sheet'!$N$30="","",'Final Calculation Sheet'!$N$30)</f>
        <v/>
      </c>
      <c r="P31" s="544">
        <f>IF('Final Calculation Sheet'!$O$30="","",'Final Calculation Sheet'!$O$30)</f>
        <v/>
      </c>
      <c r="Q31" s="544">
        <f>IF('Final Calculation Sheet'!$P$30="","",'Final Calculation Sheet'!$P$30)</f>
        <v/>
      </c>
      <c r="R31" s="549">
        <f>IF('Final Calculation Sheet'!$Q$30="","",'Final Calculation Sheet'!$Q$30)</f>
        <v/>
      </c>
      <c r="S31" s="544">
        <f>IF('Final Calculation Sheet'!$R$30="","",'Final Calculation Sheet'!$R$30)</f>
        <v/>
      </c>
      <c r="T31" s="544">
        <f>IF('Final Calculation Sheet'!$S$30="","",'Final Calculation Sheet'!$S$30)</f>
        <v/>
      </c>
      <c r="U31" s="544">
        <f>IF('Final Calculation Sheet'!$T$30="","",'Final Calculation Sheet'!$T$30)</f>
        <v/>
      </c>
      <c r="V31" s="552">
        <f>IF('Final Calculation Sheet'!$U$30="","",'Final Calculation Sheet'!$U$30)</f>
        <v/>
      </c>
      <c r="W31" s="544">
        <f>IF('Final Calculation Sheet'!$V$30="","",'Final Calculation Sheet'!$V$30)</f>
        <v/>
      </c>
      <c r="X31" s="544">
        <f>IF('Final Calculation Sheet'!$W$30="","",'Final Calculation Sheet'!$W$30)</f>
        <v/>
      </c>
      <c r="Y31" s="544">
        <f>IF('Final Calculation Sheet'!$X$30="","",'Final Calculation Sheet'!$X$30)</f>
        <v/>
      </c>
      <c r="Z31" s="544">
        <f>IF('Final Calculation Sheet'!$Y$30="","",'Final Calculation Sheet'!$Y$30)</f>
        <v/>
      </c>
      <c r="AA31" s="544">
        <f>IF('Final Calculation Sheet'!$Z$30="","",'Final Calculation Sheet'!$Z$30)</f>
        <v/>
      </c>
      <c r="AB31" s="544">
        <f>IF('Final Calculation Sheet'!$AA$30="","",'Final Calculation Sheet'!$AA$30)</f>
        <v/>
      </c>
      <c r="AC31" s="544">
        <f>IF('Final Calculation Sheet'!$AB$30="","",'Final Calculation Sheet'!$AB$30)</f>
        <v/>
      </c>
      <c r="AD31" s="544">
        <f>IF('Final Calculation Sheet'!$AC$30="","",'Final Calculation Sheet'!$AC$30)</f>
        <v/>
      </c>
      <c r="AE31" s="544">
        <f>IF('Final Calculation Sheet'!$AD$30="","",'Final Calculation Sheet'!$AD$30)</f>
        <v/>
      </c>
      <c r="AF31" s="544">
        <f>IF('Final Calculation Sheet'!$AE$30="","",'Final Calculation Sheet'!$AE$30)</f>
        <v/>
      </c>
      <c r="AG31" s="555">
        <f>IF('Final Calculation Sheet'!$AF$30="","",'Final Calculation Sheet'!$AF$30)</f>
        <v/>
      </c>
      <c r="AH31" s="544">
        <f>IF('Final Calculation Sheet'!$AG$30="","",'Final Calculation Sheet'!$AG$30)</f>
        <v/>
      </c>
      <c r="AI31" s="635">
        <f>IF('Final Calculation Sheet'!$AD$30="","",IF('Final Calculation Sheet'!$AD$30&lt;=0,"SETTLED","OUTSTANDING"))</f>
        <v/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$B$3="",1,IF(AND(IF(COUNTIF($AR$9:$AY$9,1)=0,TRUE,SUMPRODUCT(($AR$9:$AY$9=1)*($AR$6:$AY$6&lt;&gt;"")*ISNUMBER(SEARCH($AR$6:$AY$6,$AK31)))&gt;0),IF(COUNTIF($AR$9:$AY$9,2)=0,TRUE,SUMPRODUCT(($AR$9:$AY$9=2)*($AR$6:$AY$6&lt;&gt;"")*ISNUMBER(SEARCH($AR$6:$AY$6,$AK31)))&gt;0),IF(COUNTIF($AR$9:$AY$9,3)=0,TRUE,SUMPRODUCT(($AR$9:$AY$9=3)*($AR$6:$AY$6&lt;&gt;"")*ISNUMBER(SEARCH($AR$6:$AY$6,$AK31)))&gt;0),IF(COUNTIF($AR$9:$AY$9,4)=0,TRUE,SUMPRODUCT(($AR$9:$AY$9=4)*($AR$6:$AY$6&lt;&gt;"")*ISNUMBER(SEARCH($AR$6:$AY$6,$AK31)))&gt;0),IF(COUNTIF($AR$9:$AY$9,5)=0,TRUE,SUMPRODUCT(($AR$9:$AY$9=5)*($AR$6:$AY$6&lt;&gt;"")*ISNUMBER(SEARCH($AR$6:$AY$6,$AK31)))&gt;0),IF(COUNTIF($AR$9:$AY$9,6)=0,TRUE,SUMPRODUCT(($AR$9:$AY$9=6)*($AR$6:$AY$6&lt;&gt;"")*ISNUMBER(SEARCH($AR$6:$AY$6,$AK31)))&gt;0),IF(COUNTIF($AR$9:$AY$9,7)=0,TRUE,SUMPRODUCT(($AR$9:$AY$9=7)*($AR$6:$AY$6&lt;&gt;"")*ISNUMBER(SEARCH($AR$6:$AY$6,$AK31)))&gt;0),IF(COUNTIF($AR$9:$AY$9,8)=0,TRUE,SUMPRODUCT(($AR$9:$AY$9=8)*($AR$6:$AY$6&lt;&gt;"")*ISNUMBER(SEARCH($AR$6:$AY$6,$AK31)))&gt;0)),1,0))</f>
        <v/>
      </c>
    </row>
    <row r="32" ht="15" customHeight="1">
      <c r="A32" s="636" t="n">
        <v>28</v>
      </c>
      <c r="B32" s="637">
        <f>IF('Final Calculation Sheet'!$F$31="","",'Final Calculation Sheet'!$F$31)</f>
        <v/>
      </c>
      <c r="C32" s="637">
        <f>IF('Final Calculation Sheet'!$G$31="","",'Final Calculation Sheet'!$G$31)</f>
        <v/>
      </c>
      <c r="D32" s="638">
        <f>IF('Final Calculation Sheet'!$B$31="","",'Final Calculation Sheet'!$B$31)</f>
        <v/>
      </c>
      <c r="E32" s="638">
        <f>IF('Final Calculation Sheet'!$D$31="","",'Final Calculation Sheet'!$D$31)</f>
        <v/>
      </c>
      <c r="F32" s="638">
        <f>IF('Final Calculation Sheet'!$A$31="","",'Final Calculation Sheet'!$A$31)</f>
        <v/>
      </c>
      <c r="G32" s="638">
        <f>IF('Final Calculation Sheet'!$E$31="","",'Final Calculation Sheet'!$E$31)</f>
        <v/>
      </c>
      <c r="H32" s="639">
        <f>IF('Final Calculation Sheet'!$C$31="","",'Final Calculation Sheet'!$C$31)</f>
        <v/>
      </c>
      <c r="I32" s="639">
        <f>IF('Final Calculation Sheet'!$H$31="","",'Final Calculation Sheet'!$H$31)</f>
        <v/>
      </c>
      <c r="J32" s="639">
        <f>IF('Final Calculation Sheet'!$I$31="","",'Final Calculation Sheet'!$I$31)</f>
        <v/>
      </c>
      <c r="K32" s="639">
        <f>IF('Final Calculation Sheet'!$J$31="","",'Final Calculation Sheet'!$J$31)</f>
        <v/>
      </c>
      <c r="L32" s="639">
        <f>IF('Final Calculation Sheet'!$K$31="","",'Final Calculation Sheet'!$K$31)</f>
        <v/>
      </c>
      <c r="M32" s="639">
        <f>IF('Final Calculation Sheet'!$L$31="","",'Final Calculation Sheet'!$L$31)</f>
        <v/>
      </c>
      <c r="N32" s="639">
        <f>IF('Final Calculation Sheet'!$M$31="","",'Final Calculation Sheet'!$M$31)</f>
        <v/>
      </c>
      <c r="O32" s="640">
        <f>IF('Final Calculation Sheet'!$N$31="","",'Final Calculation Sheet'!$N$31)</f>
        <v/>
      </c>
      <c r="P32" s="639">
        <f>IF('Final Calculation Sheet'!$O$31="","",'Final Calculation Sheet'!$O$31)</f>
        <v/>
      </c>
      <c r="Q32" s="639">
        <f>IF('Final Calculation Sheet'!$P$31="","",'Final Calculation Sheet'!$P$31)</f>
        <v/>
      </c>
      <c r="R32" s="641">
        <f>IF('Final Calculation Sheet'!$Q$31="","",'Final Calculation Sheet'!$Q$31)</f>
        <v/>
      </c>
      <c r="S32" s="639">
        <f>IF('Final Calculation Sheet'!$R$31="","",'Final Calculation Sheet'!$R$31)</f>
        <v/>
      </c>
      <c r="T32" s="639">
        <f>IF('Final Calculation Sheet'!$S$31="","",'Final Calculation Sheet'!$S$31)</f>
        <v/>
      </c>
      <c r="U32" s="639">
        <f>IF('Final Calculation Sheet'!$T$31="","",'Final Calculation Sheet'!$T$31)</f>
        <v/>
      </c>
      <c r="V32" s="642">
        <f>IF('Final Calculation Sheet'!$U$31="","",'Final Calculation Sheet'!$U$31)</f>
        <v/>
      </c>
      <c r="W32" s="639">
        <f>IF('Final Calculation Sheet'!$V$31="","",'Final Calculation Sheet'!$V$31)</f>
        <v/>
      </c>
      <c r="X32" s="639">
        <f>IF('Final Calculation Sheet'!$W$31="","",'Final Calculation Sheet'!$W$31)</f>
        <v/>
      </c>
      <c r="Y32" s="639">
        <f>IF('Final Calculation Sheet'!$X$31="","",'Final Calculation Sheet'!$X$31)</f>
        <v/>
      </c>
      <c r="Z32" s="639">
        <f>IF('Final Calculation Sheet'!$Y$31="","",'Final Calculation Sheet'!$Y$31)</f>
        <v/>
      </c>
      <c r="AA32" s="639">
        <f>IF('Final Calculation Sheet'!$Z$31="","",'Final Calculation Sheet'!$Z$31)</f>
        <v/>
      </c>
      <c r="AB32" s="639">
        <f>IF('Final Calculation Sheet'!$AA$31="","",'Final Calculation Sheet'!$AA$31)</f>
        <v/>
      </c>
      <c r="AC32" s="639">
        <f>IF('Final Calculation Sheet'!$AB$31="","",'Final Calculation Sheet'!$AB$31)</f>
        <v/>
      </c>
      <c r="AD32" s="639">
        <f>IF('Final Calculation Sheet'!$AC$31="","",'Final Calculation Sheet'!$AC$31)</f>
        <v/>
      </c>
      <c r="AE32" s="639">
        <f>IF('Final Calculation Sheet'!$AD$31="","",'Final Calculation Sheet'!$AD$31)</f>
        <v/>
      </c>
      <c r="AF32" s="639">
        <f>IF('Final Calculation Sheet'!$AE$31="","",'Final Calculation Sheet'!$AE$31)</f>
        <v/>
      </c>
      <c r="AG32" s="643">
        <f>IF('Final Calculation Sheet'!$AF$31="","",'Final Calculation Sheet'!$AF$31)</f>
        <v/>
      </c>
      <c r="AH32" s="639">
        <f>IF('Final Calculation Sheet'!$AG$31="","",'Final Calculation Sheet'!$AG$31)</f>
        <v/>
      </c>
      <c r="AI32" s="644">
        <f>IF('Final Calculation Sheet'!$AD$31="","",IF('Final Calculation Sheet'!$AD$31&lt;=0,"SETTLED","OUTSTANDING"))</f>
        <v/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$B$3="",1,IF(AND(IF(COUNTIF($AR$9:$AY$9,1)=0,TRUE,SUMPRODUCT(($AR$9:$AY$9=1)*($AR$6:$AY$6&lt;&gt;"")*ISNUMBER(SEARCH($AR$6:$AY$6,$AK32)))&gt;0),IF(COUNTIF($AR$9:$AY$9,2)=0,TRUE,SUMPRODUCT(($AR$9:$AY$9=2)*($AR$6:$AY$6&lt;&gt;"")*ISNUMBER(SEARCH($AR$6:$AY$6,$AK32)))&gt;0),IF(COUNTIF($AR$9:$AY$9,3)=0,TRUE,SUMPRODUCT(($AR$9:$AY$9=3)*($AR$6:$AY$6&lt;&gt;"")*ISNUMBER(SEARCH($AR$6:$AY$6,$AK32)))&gt;0),IF(COUNTIF($AR$9:$AY$9,4)=0,TRUE,SUMPRODUCT(($AR$9:$AY$9=4)*($AR$6:$AY$6&lt;&gt;"")*ISNUMBER(SEARCH($AR$6:$AY$6,$AK32)))&gt;0),IF(COUNTIF($AR$9:$AY$9,5)=0,TRUE,SUMPRODUCT(($AR$9:$AY$9=5)*($AR$6:$AY$6&lt;&gt;"")*ISNUMBER(SEARCH($AR$6:$AY$6,$AK32)))&gt;0),IF(COUNTIF($AR$9:$AY$9,6)=0,TRUE,SUMPRODUCT(($AR$9:$AY$9=6)*($AR$6:$AY$6&lt;&gt;"")*ISNUMBER(SEARCH($AR$6:$AY$6,$AK32)))&gt;0),IF(COUNTIF($AR$9:$AY$9,7)=0,TRUE,SUMPRODUCT(($AR$9:$AY$9=7)*($AR$6:$AY$6&lt;&gt;"")*ISNUMBER(SEARCH($AR$6:$AY$6,$AK32)))&gt;0),IF(COUNTIF($AR$9:$AY$9,8)=0,TRUE,SUMPRODUCT(($AR$9:$AY$9=8)*($AR$6:$AY$6&lt;&gt;"")*ISNUMBER(SEARCH($AR$6:$AY$6,$AK32)))&gt;0)),1,0))</f>
        <v/>
      </c>
    </row>
    <row r="33" ht="15" customHeight="1">
      <c r="A33" s="633" t="n">
        <v>29</v>
      </c>
      <c r="B33" s="634">
        <f>IF('Final Calculation Sheet'!$F$32="","",'Final Calculation Sheet'!$F$32)</f>
        <v/>
      </c>
      <c r="C33" s="634">
        <f>IF('Final Calculation Sheet'!$G$32="","",'Final Calculation Sheet'!$G$32)</f>
        <v/>
      </c>
      <c r="D33" s="69">
        <f>IF('Final Calculation Sheet'!$B$32="","",'Final Calculation Sheet'!$B$32)</f>
        <v/>
      </c>
      <c r="E33" s="69">
        <f>IF('Final Calculation Sheet'!$D$32="","",'Final Calculation Sheet'!$D$32)</f>
        <v/>
      </c>
      <c r="F33" s="69">
        <f>IF('Final Calculation Sheet'!$A$32="","",'Final Calculation Sheet'!$A$32)</f>
        <v/>
      </c>
      <c r="G33" s="69">
        <f>IF('Final Calculation Sheet'!$E$32="","",'Final Calculation Sheet'!$E$32)</f>
        <v/>
      </c>
      <c r="H33" s="544">
        <f>IF('Final Calculation Sheet'!$C$32="","",'Final Calculation Sheet'!$C$32)</f>
        <v/>
      </c>
      <c r="I33" s="544">
        <f>IF('Final Calculation Sheet'!$H$32="","",'Final Calculation Sheet'!$H$32)</f>
        <v/>
      </c>
      <c r="J33" s="544">
        <f>IF('Final Calculation Sheet'!$I$32="","",'Final Calculation Sheet'!$I$32)</f>
        <v/>
      </c>
      <c r="K33" s="544">
        <f>IF('Final Calculation Sheet'!$J$32="","",'Final Calculation Sheet'!$J$32)</f>
        <v/>
      </c>
      <c r="L33" s="544">
        <f>IF('Final Calculation Sheet'!$K$32="","",'Final Calculation Sheet'!$K$32)</f>
        <v/>
      </c>
      <c r="M33" s="544">
        <f>IF('Final Calculation Sheet'!$L$32="","",'Final Calculation Sheet'!$L$32)</f>
        <v/>
      </c>
      <c r="N33" s="544">
        <f>IF('Final Calculation Sheet'!$M$32="","",'Final Calculation Sheet'!$M$32)</f>
        <v/>
      </c>
      <c r="O33" s="547">
        <f>IF('Final Calculation Sheet'!$N$32="","",'Final Calculation Sheet'!$N$32)</f>
        <v/>
      </c>
      <c r="P33" s="544">
        <f>IF('Final Calculation Sheet'!$O$32="","",'Final Calculation Sheet'!$O$32)</f>
        <v/>
      </c>
      <c r="Q33" s="544">
        <f>IF('Final Calculation Sheet'!$P$32="","",'Final Calculation Sheet'!$P$32)</f>
        <v/>
      </c>
      <c r="R33" s="549">
        <f>IF('Final Calculation Sheet'!$Q$32="","",'Final Calculation Sheet'!$Q$32)</f>
        <v/>
      </c>
      <c r="S33" s="544">
        <f>IF('Final Calculation Sheet'!$R$32="","",'Final Calculation Sheet'!$R$32)</f>
        <v/>
      </c>
      <c r="T33" s="544">
        <f>IF('Final Calculation Sheet'!$S$32="","",'Final Calculation Sheet'!$S$32)</f>
        <v/>
      </c>
      <c r="U33" s="544">
        <f>IF('Final Calculation Sheet'!$T$32="","",'Final Calculation Sheet'!$T$32)</f>
        <v/>
      </c>
      <c r="V33" s="552">
        <f>IF('Final Calculation Sheet'!$U$32="","",'Final Calculation Sheet'!$U$32)</f>
        <v/>
      </c>
      <c r="W33" s="544">
        <f>IF('Final Calculation Sheet'!$V$32="","",'Final Calculation Sheet'!$V$32)</f>
        <v/>
      </c>
      <c r="X33" s="544">
        <f>IF('Final Calculation Sheet'!$W$32="","",'Final Calculation Sheet'!$W$32)</f>
        <v/>
      </c>
      <c r="Y33" s="544">
        <f>IF('Final Calculation Sheet'!$X$32="","",'Final Calculation Sheet'!$X$32)</f>
        <v/>
      </c>
      <c r="Z33" s="544">
        <f>IF('Final Calculation Sheet'!$Y$32="","",'Final Calculation Sheet'!$Y$32)</f>
        <v/>
      </c>
      <c r="AA33" s="544">
        <f>IF('Final Calculation Sheet'!$Z$32="","",'Final Calculation Sheet'!$Z$32)</f>
        <v/>
      </c>
      <c r="AB33" s="544">
        <f>IF('Final Calculation Sheet'!$AA$32="","",'Final Calculation Sheet'!$AA$32)</f>
        <v/>
      </c>
      <c r="AC33" s="544">
        <f>IF('Final Calculation Sheet'!$AB$32="","",'Final Calculation Sheet'!$AB$32)</f>
        <v/>
      </c>
      <c r="AD33" s="544">
        <f>IF('Final Calculation Sheet'!$AC$32="","",'Final Calculation Sheet'!$AC$32)</f>
        <v/>
      </c>
      <c r="AE33" s="544">
        <f>IF('Final Calculation Sheet'!$AD$32="","",'Final Calculation Sheet'!$AD$32)</f>
        <v/>
      </c>
      <c r="AF33" s="544">
        <f>IF('Final Calculation Sheet'!$AE$32="","",'Final Calculation Sheet'!$AE$32)</f>
        <v/>
      </c>
      <c r="AG33" s="555">
        <f>IF('Final Calculation Sheet'!$AF$32="","",'Final Calculation Sheet'!$AF$32)</f>
        <v/>
      </c>
      <c r="AH33" s="544">
        <f>IF('Final Calculation Sheet'!$AG$32="","",'Final Calculation Sheet'!$AG$32)</f>
        <v/>
      </c>
      <c r="AI33" s="635">
        <f>IF('Final Calculation Sheet'!$AD$32="","",IF('Final Calculation Sheet'!$AD$32&lt;=0,"SETTLED","OUTSTANDING"))</f>
        <v/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$B$3="",1,IF(AND(IF(COUNTIF($AR$9:$AY$9,1)=0,TRUE,SUMPRODUCT(($AR$9:$AY$9=1)*($AR$6:$AY$6&lt;&gt;"")*ISNUMBER(SEARCH($AR$6:$AY$6,$AK33)))&gt;0),IF(COUNTIF($AR$9:$AY$9,2)=0,TRUE,SUMPRODUCT(($AR$9:$AY$9=2)*($AR$6:$AY$6&lt;&gt;"")*ISNUMBER(SEARCH($AR$6:$AY$6,$AK33)))&gt;0),IF(COUNTIF($AR$9:$AY$9,3)=0,TRUE,SUMPRODUCT(($AR$9:$AY$9=3)*($AR$6:$AY$6&lt;&gt;"")*ISNUMBER(SEARCH($AR$6:$AY$6,$AK33)))&gt;0),IF(COUNTIF($AR$9:$AY$9,4)=0,TRUE,SUMPRODUCT(($AR$9:$AY$9=4)*($AR$6:$AY$6&lt;&gt;"")*ISNUMBER(SEARCH($AR$6:$AY$6,$AK33)))&gt;0),IF(COUNTIF($AR$9:$AY$9,5)=0,TRUE,SUMPRODUCT(($AR$9:$AY$9=5)*($AR$6:$AY$6&lt;&gt;"")*ISNUMBER(SEARCH($AR$6:$AY$6,$AK33)))&gt;0),IF(COUNTIF($AR$9:$AY$9,6)=0,TRUE,SUMPRODUCT(($AR$9:$AY$9=6)*($AR$6:$AY$6&lt;&gt;"")*ISNUMBER(SEARCH($AR$6:$AY$6,$AK33)))&gt;0),IF(COUNTIF($AR$9:$AY$9,7)=0,TRUE,SUMPRODUCT(($AR$9:$AY$9=7)*($AR$6:$AY$6&lt;&gt;"")*ISNUMBER(SEARCH($AR$6:$AY$6,$AK33)))&gt;0),IF(COUNTIF($AR$9:$AY$9,8)=0,TRUE,SUMPRODUCT(($AR$9:$AY$9=8)*($AR$6:$AY$6&lt;&gt;"")*ISNUMBER(SEARCH($AR$6:$AY$6,$AK33)))&gt;0)),1,0))</f>
        <v/>
      </c>
    </row>
    <row r="34" ht="15" customHeight="1">
      <c r="A34" s="636" t="n">
        <v>30</v>
      </c>
      <c r="B34" s="637">
        <f>IF('Final Calculation Sheet'!$F$33="","",'Final Calculation Sheet'!$F$33)</f>
        <v/>
      </c>
      <c r="C34" s="637">
        <f>IF('Final Calculation Sheet'!$G$33="","",'Final Calculation Sheet'!$G$33)</f>
        <v/>
      </c>
      <c r="D34" s="638">
        <f>IF('Final Calculation Sheet'!$B$33="","",'Final Calculation Sheet'!$B$33)</f>
        <v/>
      </c>
      <c r="E34" s="638">
        <f>IF('Final Calculation Sheet'!$D$33="","",'Final Calculation Sheet'!$D$33)</f>
        <v/>
      </c>
      <c r="F34" s="638">
        <f>IF('Final Calculation Sheet'!$A$33="","",'Final Calculation Sheet'!$A$33)</f>
        <v/>
      </c>
      <c r="G34" s="638">
        <f>IF('Final Calculation Sheet'!$E$33="","",'Final Calculation Sheet'!$E$33)</f>
        <v/>
      </c>
      <c r="H34" s="639">
        <f>IF('Final Calculation Sheet'!$C$33="","",'Final Calculation Sheet'!$C$33)</f>
        <v/>
      </c>
      <c r="I34" s="639">
        <f>IF('Final Calculation Sheet'!$H$33="","",'Final Calculation Sheet'!$H$33)</f>
        <v/>
      </c>
      <c r="J34" s="639">
        <f>IF('Final Calculation Sheet'!$I$33="","",'Final Calculation Sheet'!$I$33)</f>
        <v/>
      </c>
      <c r="K34" s="639">
        <f>IF('Final Calculation Sheet'!$J$33="","",'Final Calculation Sheet'!$J$33)</f>
        <v/>
      </c>
      <c r="L34" s="639">
        <f>IF('Final Calculation Sheet'!$K$33="","",'Final Calculation Sheet'!$K$33)</f>
        <v/>
      </c>
      <c r="M34" s="639">
        <f>IF('Final Calculation Sheet'!$L$33="","",'Final Calculation Sheet'!$L$33)</f>
        <v/>
      </c>
      <c r="N34" s="639">
        <f>IF('Final Calculation Sheet'!$M$33="","",'Final Calculation Sheet'!$M$33)</f>
        <v/>
      </c>
      <c r="O34" s="640">
        <f>IF('Final Calculation Sheet'!$N$33="","",'Final Calculation Sheet'!$N$33)</f>
        <v/>
      </c>
      <c r="P34" s="639">
        <f>IF('Final Calculation Sheet'!$O$33="","",'Final Calculation Sheet'!$O$33)</f>
        <v/>
      </c>
      <c r="Q34" s="639">
        <f>IF('Final Calculation Sheet'!$P$33="","",'Final Calculation Sheet'!$P$33)</f>
        <v/>
      </c>
      <c r="R34" s="641">
        <f>IF('Final Calculation Sheet'!$Q$33="","",'Final Calculation Sheet'!$Q$33)</f>
        <v/>
      </c>
      <c r="S34" s="639">
        <f>IF('Final Calculation Sheet'!$R$33="","",'Final Calculation Sheet'!$R$33)</f>
        <v/>
      </c>
      <c r="T34" s="639">
        <f>IF('Final Calculation Sheet'!$S$33="","",'Final Calculation Sheet'!$S$33)</f>
        <v/>
      </c>
      <c r="U34" s="639">
        <f>IF('Final Calculation Sheet'!$T$33="","",'Final Calculation Sheet'!$T$33)</f>
        <v/>
      </c>
      <c r="V34" s="642">
        <f>IF('Final Calculation Sheet'!$U$33="","",'Final Calculation Sheet'!$U$33)</f>
        <v/>
      </c>
      <c r="W34" s="639">
        <f>IF('Final Calculation Sheet'!$V$33="","",'Final Calculation Sheet'!$V$33)</f>
        <v/>
      </c>
      <c r="X34" s="639">
        <f>IF('Final Calculation Sheet'!$W$33="","",'Final Calculation Sheet'!$W$33)</f>
        <v/>
      </c>
      <c r="Y34" s="639">
        <f>IF('Final Calculation Sheet'!$X$33="","",'Final Calculation Sheet'!$X$33)</f>
        <v/>
      </c>
      <c r="Z34" s="639">
        <f>IF('Final Calculation Sheet'!$Y$33="","",'Final Calculation Sheet'!$Y$33)</f>
        <v/>
      </c>
      <c r="AA34" s="639">
        <f>IF('Final Calculation Sheet'!$Z$33="","",'Final Calculation Sheet'!$Z$33)</f>
        <v/>
      </c>
      <c r="AB34" s="639">
        <f>IF('Final Calculation Sheet'!$AA$33="","",'Final Calculation Sheet'!$AA$33)</f>
        <v/>
      </c>
      <c r="AC34" s="639">
        <f>IF('Final Calculation Sheet'!$AB$33="","",'Final Calculation Sheet'!$AB$33)</f>
        <v/>
      </c>
      <c r="AD34" s="639">
        <f>IF('Final Calculation Sheet'!$AC$33="","",'Final Calculation Sheet'!$AC$33)</f>
        <v/>
      </c>
      <c r="AE34" s="639">
        <f>IF('Final Calculation Sheet'!$AD$33="","",'Final Calculation Sheet'!$AD$33)</f>
        <v/>
      </c>
      <c r="AF34" s="639">
        <f>IF('Final Calculation Sheet'!$AE$33="","",'Final Calculation Sheet'!$AE$33)</f>
        <v/>
      </c>
      <c r="AG34" s="643">
        <f>IF('Final Calculation Sheet'!$AF$33="","",'Final Calculation Sheet'!$AF$33)</f>
        <v/>
      </c>
      <c r="AH34" s="639">
        <f>IF('Final Calculation Sheet'!$AG$33="","",'Final Calculation Sheet'!$AG$33)</f>
        <v/>
      </c>
      <c r="AI34" s="644">
        <f>IF('Final Calculation Sheet'!$AD$33="","",IF('Final Calculation Sheet'!$AD$33&lt;=0,"SETTLED","OUTSTANDING"))</f>
        <v/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$B$3="",1,IF(AND(IF(COUNTIF($AR$9:$AY$9,1)=0,TRUE,SUMPRODUCT(($AR$9:$AY$9=1)*($AR$6:$AY$6&lt;&gt;"")*ISNUMBER(SEARCH($AR$6:$AY$6,$AK34)))&gt;0),IF(COUNTIF($AR$9:$AY$9,2)=0,TRUE,SUMPRODUCT(($AR$9:$AY$9=2)*($AR$6:$AY$6&lt;&gt;"")*ISNUMBER(SEARCH($AR$6:$AY$6,$AK34)))&gt;0),IF(COUNTIF($AR$9:$AY$9,3)=0,TRUE,SUMPRODUCT(($AR$9:$AY$9=3)*($AR$6:$AY$6&lt;&gt;"")*ISNUMBER(SEARCH($AR$6:$AY$6,$AK34)))&gt;0),IF(COUNTIF($AR$9:$AY$9,4)=0,TRUE,SUMPRODUCT(($AR$9:$AY$9=4)*($AR$6:$AY$6&lt;&gt;"")*ISNUMBER(SEARCH($AR$6:$AY$6,$AK34)))&gt;0),IF(COUNTIF($AR$9:$AY$9,5)=0,TRUE,SUMPRODUCT(($AR$9:$AY$9=5)*($AR$6:$AY$6&lt;&gt;"")*ISNUMBER(SEARCH($AR$6:$AY$6,$AK34)))&gt;0),IF(COUNTIF($AR$9:$AY$9,6)=0,TRUE,SUMPRODUCT(($AR$9:$AY$9=6)*($AR$6:$AY$6&lt;&gt;"")*ISNUMBER(SEARCH($AR$6:$AY$6,$AK34)))&gt;0),IF(COUNTIF($AR$9:$AY$9,7)=0,TRUE,SUMPRODUCT(($AR$9:$AY$9=7)*($AR$6:$AY$6&lt;&gt;"")*ISNUMBER(SEARCH($AR$6:$AY$6,$AK34)))&gt;0),IF(COUNTIF($AR$9:$AY$9,8)=0,TRUE,SUMPRODUCT(($AR$9:$AY$9=8)*($AR$6:$AY$6&lt;&gt;"")*ISNUMBER(SEARCH($AR$6:$AY$6,$AK34)))&gt;0)),1,0))</f>
        <v/>
      </c>
    </row>
    <row r="35" ht="15" customHeight="1">
      <c r="A35" s="633" t="n">
        <v>31</v>
      </c>
      <c r="B35" s="634">
        <f>IF('Final Calculation Sheet'!$F$34="","",'Final Calculation Sheet'!$F$34)</f>
        <v/>
      </c>
      <c r="C35" s="634">
        <f>IF('Final Calculation Sheet'!$G$34="","",'Final Calculation Sheet'!$G$34)</f>
        <v/>
      </c>
      <c r="D35" s="69">
        <f>IF('Final Calculation Sheet'!$B$34="","",'Final Calculation Sheet'!$B$34)</f>
        <v/>
      </c>
      <c r="E35" s="69">
        <f>IF('Final Calculation Sheet'!$D$34="","",'Final Calculation Sheet'!$D$34)</f>
        <v/>
      </c>
      <c r="F35" s="69">
        <f>IF('Final Calculation Sheet'!$A$34="","",'Final Calculation Sheet'!$A$34)</f>
        <v/>
      </c>
      <c r="G35" s="69">
        <f>IF('Final Calculation Sheet'!$E$34="","",'Final Calculation Sheet'!$E$34)</f>
        <v/>
      </c>
      <c r="H35" s="544">
        <f>IF('Final Calculation Sheet'!$C$34="","",'Final Calculation Sheet'!$C$34)</f>
        <v/>
      </c>
      <c r="I35" s="544">
        <f>IF('Final Calculation Sheet'!$H$34="","",'Final Calculation Sheet'!$H$34)</f>
        <v/>
      </c>
      <c r="J35" s="544">
        <f>IF('Final Calculation Sheet'!$I$34="","",'Final Calculation Sheet'!$I$34)</f>
        <v/>
      </c>
      <c r="K35" s="544">
        <f>IF('Final Calculation Sheet'!$J$34="","",'Final Calculation Sheet'!$J$34)</f>
        <v/>
      </c>
      <c r="L35" s="544">
        <f>IF('Final Calculation Sheet'!$K$34="","",'Final Calculation Sheet'!$K$34)</f>
        <v/>
      </c>
      <c r="M35" s="544">
        <f>IF('Final Calculation Sheet'!$L$34="","",'Final Calculation Sheet'!$L$34)</f>
        <v/>
      </c>
      <c r="N35" s="544">
        <f>IF('Final Calculation Sheet'!$M$34="","",'Final Calculation Sheet'!$M$34)</f>
        <v/>
      </c>
      <c r="O35" s="547">
        <f>IF('Final Calculation Sheet'!$N$34="","",'Final Calculation Sheet'!$N$34)</f>
        <v/>
      </c>
      <c r="P35" s="544">
        <f>IF('Final Calculation Sheet'!$O$34="","",'Final Calculation Sheet'!$O$34)</f>
        <v/>
      </c>
      <c r="Q35" s="544">
        <f>IF('Final Calculation Sheet'!$P$34="","",'Final Calculation Sheet'!$P$34)</f>
        <v/>
      </c>
      <c r="R35" s="549">
        <f>IF('Final Calculation Sheet'!$Q$34="","",'Final Calculation Sheet'!$Q$34)</f>
        <v/>
      </c>
      <c r="S35" s="544">
        <f>IF('Final Calculation Sheet'!$R$34="","",'Final Calculation Sheet'!$R$34)</f>
        <v/>
      </c>
      <c r="T35" s="544">
        <f>IF('Final Calculation Sheet'!$S$34="","",'Final Calculation Sheet'!$S$34)</f>
        <v/>
      </c>
      <c r="U35" s="544">
        <f>IF('Final Calculation Sheet'!$T$34="","",'Final Calculation Sheet'!$T$34)</f>
        <v/>
      </c>
      <c r="V35" s="552">
        <f>IF('Final Calculation Sheet'!$U$34="","",'Final Calculation Sheet'!$U$34)</f>
        <v/>
      </c>
      <c r="W35" s="544">
        <f>IF('Final Calculation Sheet'!$V$34="","",'Final Calculation Sheet'!$V$34)</f>
        <v/>
      </c>
      <c r="X35" s="544">
        <f>IF('Final Calculation Sheet'!$W$34="","",'Final Calculation Sheet'!$W$34)</f>
        <v/>
      </c>
      <c r="Y35" s="544">
        <f>IF('Final Calculation Sheet'!$X$34="","",'Final Calculation Sheet'!$X$34)</f>
        <v/>
      </c>
      <c r="Z35" s="544">
        <f>IF('Final Calculation Sheet'!$Y$34="","",'Final Calculation Sheet'!$Y$34)</f>
        <v/>
      </c>
      <c r="AA35" s="544">
        <f>IF('Final Calculation Sheet'!$Z$34="","",'Final Calculation Sheet'!$Z$34)</f>
        <v/>
      </c>
      <c r="AB35" s="544">
        <f>IF('Final Calculation Sheet'!$AA$34="","",'Final Calculation Sheet'!$AA$34)</f>
        <v/>
      </c>
      <c r="AC35" s="544">
        <f>IF('Final Calculation Sheet'!$AB$34="","",'Final Calculation Sheet'!$AB$34)</f>
        <v/>
      </c>
      <c r="AD35" s="544">
        <f>IF('Final Calculation Sheet'!$AC$34="","",'Final Calculation Sheet'!$AC$34)</f>
        <v/>
      </c>
      <c r="AE35" s="544">
        <f>IF('Final Calculation Sheet'!$AD$34="","",'Final Calculation Sheet'!$AD$34)</f>
        <v/>
      </c>
      <c r="AF35" s="544">
        <f>IF('Final Calculation Sheet'!$AE$34="","",'Final Calculation Sheet'!$AE$34)</f>
        <v/>
      </c>
      <c r="AG35" s="555">
        <f>IF('Final Calculation Sheet'!$AF$34="","",'Final Calculation Sheet'!$AF$34)</f>
        <v/>
      </c>
      <c r="AH35" s="544">
        <f>IF('Final Calculation Sheet'!$AG$34="","",'Final Calculation Sheet'!$AG$34)</f>
        <v/>
      </c>
      <c r="AI35" s="635">
        <f>IF('Final Calculation Sheet'!$AD$34="","",IF('Final Calculation Sheet'!$AD$34&lt;=0,"SETTLED","OUTSTANDING"))</f>
        <v/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$B$3="",1,IF(AND(IF(COUNTIF($AR$9:$AY$9,1)=0,TRUE,SUMPRODUCT(($AR$9:$AY$9=1)*($AR$6:$AY$6&lt;&gt;"")*ISNUMBER(SEARCH($AR$6:$AY$6,$AK35)))&gt;0),IF(COUNTIF($AR$9:$AY$9,2)=0,TRUE,SUMPRODUCT(($AR$9:$AY$9=2)*($AR$6:$AY$6&lt;&gt;"")*ISNUMBER(SEARCH($AR$6:$AY$6,$AK35)))&gt;0),IF(COUNTIF($AR$9:$AY$9,3)=0,TRUE,SUMPRODUCT(($AR$9:$AY$9=3)*($AR$6:$AY$6&lt;&gt;"")*ISNUMBER(SEARCH($AR$6:$AY$6,$AK35)))&gt;0),IF(COUNTIF($AR$9:$AY$9,4)=0,TRUE,SUMPRODUCT(($AR$9:$AY$9=4)*($AR$6:$AY$6&lt;&gt;"")*ISNUMBER(SEARCH($AR$6:$AY$6,$AK35)))&gt;0),IF(COUNTIF($AR$9:$AY$9,5)=0,TRUE,SUMPRODUCT(($AR$9:$AY$9=5)*($AR$6:$AY$6&lt;&gt;"")*ISNUMBER(SEARCH($AR$6:$AY$6,$AK35)))&gt;0),IF(COUNTIF($AR$9:$AY$9,6)=0,TRUE,SUMPRODUCT(($AR$9:$AY$9=6)*($AR$6:$AY$6&lt;&gt;"")*ISNUMBER(SEARCH($AR$6:$AY$6,$AK35)))&gt;0),IF(COUNTIF($AR$9:$AY$9,7)=0,TRUE,SUMPRODUCT(($AR$9:$AY$9=7)*($AR$6:$AY$6&lt;&gt;"")*ISNUMBER(SEARCH($AR$6:$AY$6,$AK35)))&gt;0),IF(COUNTIF($AR$9:$AY$9,8)=0,TRUE,SUMPRODUCT(($AR$9:$AY$9=8)*($AR$6:$AY$6&lt;&gt;"")*ISNUMBER(SEARCH($AR$6:$AY$6,$AK35)))&gt;0)),1,0))</f>
        <v/>
      </c>
    </row>
    <row r="36" ht="15" customHeight="1">
      <c r="A36" s="636" t="n">
        <v>32</v>
      </c>
      <c r="B36" s="637">
        <f>IF('Final Calculation Sheet'!$F$35="","",'Final Calculation Sheet'!$F$35)</f>
        <v/>
      </c>
      <c r="C36" s="637">
        <f>IF('Final Calculation Sheet'!$G$35="","",'Final Calculation Sheet'!$G$35)</f>
        <v/>
      </c>
      <c r="D36" s="638">
        <f>IF('Final Calculation Sheet'!$B$35="","",'Final Calculation Sheet'!$B$35)</f>
        <v/>
      </c>
      <c r="E36" s="638">
        <f>IF('Final Calculation Sheet'!$D$35="","",'Final Calculation Sheet'!$D$35)</f>
        <v/>
      </c>
      <c r="F36" s="638">
        <f>IF('Final Calculation Sheet'!$A$35="","",'Final Calculation Sheet'!$A$35)</f>
        <v/>
      </c>
      <c r="G36" s="638">
        <f>IF('Final Calculation Sheet'!$E$35="","",'Final Calculation Sheet'!$E$35)</f>
        <v/>
      </c>
      <c r="H36" s="639">
        <f>IF('Final Calculation Sheet'!$C$35="","",'Final Calculation Sheet'!$C$35)</f>
        <v/>
      </c>
      <c r="I36" s="639">
        <f>IF('Final Calculation Sheet'!$H$35="","",'Final Calculation Sheet'!$H$35)</f>
        <v/>
      </c>
      <c r="J36" s="639">
        <f>IF('Final Calculation Sheet'!$I$35="","",'Final Calculation Sheet'!$I$35)</f>
        <v/>
      </c>
      <c r="K36" s="639">
        <f>IF('Final Calculation Sheet'!$J$35="","",'Final Calculation Sheet'!$J$35)</f>
        <v/>
      </c>
      <c r="L36" s="639">
        <f>IF('Final Calculation Sheet'!$K$35="","",'Final Calculation Sheet'!$K$35)</f>
        <v/>
      </c>
      <c r="M36" s="639">
        <f>IF('Final Calculation Sheet'!$L$35="","",'Final Calculation Sheet'!$L$35)</f>
        <v/>
      </c>
      <c r="N36" s="639">
        <f>IF('Final Calculation Sheet'!$M$35="","",'Final Calculation Sheet'!$M$35)</f>
        <v/>
      </c>
      <c r="O36" s="640">
        <f>IF('Final Calculation Sheet'!$N$35="","",'Final Calculation Sheet'!$N$35)</f>
        <v/>
      </c>
      <c r="P36" s="639">
        <f>IF('Final Calculation Sheet'!$O$35="","",'Final Calculation Sheet'!$O$35)</f>
        <v/>
      </c>
      <c r="Q36" s="639">
        <f>IF('Final Calculation Sheet'!$P$35="","",'Final Calculation Sheet'!$P$35)</f>
        <v/>
      </c>
      <c r="R36" s="641">
        <f>IF('Final Calculation Sheet'!$Q$35="","",'Final Calculation Sheet'!$Q$35)</f>
        <v/>
      </c>
      <c r="S36" s="639">
        <f>IF('Final Calculation Sheet'!$R$35="","",'Final Calculation Sheet'!$R$35)</f>
        <v/>
      </c>
      <c r="T36" s="639">
        <f>IF('Final Calculation Sheet'!$S$35="","",'Final Calculation Sheet'!$S$35)</f>
        <v/>
      </c>
      <c r="U36" s="639">
        <f>IF('Final Calculation Sheet'!$T$35="","",'Final Calculation Sheet'!$T$35)</f>
        <v/>
      </c>
      <c r="V36" s="642">
        <f>IF('Final Calculation Sheet'!$U$35="","",'Final Calculation Sheet'!$U$35)</f>
        <v/>
      </c>
      <c r="W36" s="639">
        <f>IF('Final Calculation Sheet'!$V$35="","",'Final Calculation Sheet'!$V$35)</f>
        <v/>
      </c>
      <c r="X36" s="639">
        <f>IF('Final Calculation Sheet'!$W$35="","",'Final Calculation Sheet'!$W$35)</f>
        <v/>
      </c>
      <c r="Y36" s="639">
        <f>IF('Final Calculation Sheet'!$X$35="","",'Final Calculation Sheet'!$X$35)</f>
        <v/>
      </c>
      <c r="Z36" s="639">
        <f>IF('Final Calculation Sheet'!$Y$35="","",'Final Calculation Sheet'!$Y$35)</f>
        <v/>
      </c>
      <c r="AA36" s="639">
        <f>IF('Final Calculation Sheet'!$Z$35="","",'Final Calculation Sheet'!$Z$35)</f>
        <v/>
      </c>
      <c r="AB36" s="639">
        <f>IF('Final Calculation Sheet'!$AA$35="","",'Final Calculation Sheet'!$AA$35)</f>
        <v/>
      </c>
      <c r="AC36" s="639">
        <f>IF('Final Calculation Sheet'!$AB$35="","",'Final Calculation Sheet'!$AB$35)</f>
        <v/>
      </c>
      <c r="AD36" s="639">
        <f>IF('Final Calculation Sheet'!$AC$35="","",'Final Calculation Sheet'!$AC$35)</f>
        <v/>
      </c>
      <c r="AE36" s="639">
        <f>IF('Final Calculation Sheet'!$AD$35="","",'Final Calculation Sheet'!$AD$35)</f>
        <v/>
      </c>
      <c r="AF36" s="639">
        <f>IF('Final Calculation Sheet'!$AE$35="","",'Final Calculation Sheet'!$AE$35)</f>
        <v/>
      </c>
      <c r="AG36" s="643">
        <f>IF('Final Calculation Sheet'!$AF$35="","",'Final Calculation Sheet'!$AF$35)</f>
        <v/>
      </c>
      <c r="AH36" s="639">
        <f>IF('Final Calculation Sheet'!$AG$35="","",'Final Calculation Sheet'!$AG$35)</f>
        <v/>
      </c>
      <c r="AI36" s="644">
        <f>IF('Final Calculation Sheet'!$AD$35="","",IF('Final Calculation Sheet'!$AD$35&lt;=0,"SETTLED","OUTSTANDING"))</f>
        <v/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$B$3="",1,IF(AND(IF(COUNTIF($AR$9:$AY$9,1)=0,TRUE,SUMPRODUCT(($AR$9:$AY$9=1)*($AR$6:$AY$6&lt;&gt;"")*ISNUMBER(SEARCH($AR$6:$AY$6,$AK36)))&gt;0),IF(COUNTIF($AR$9:$AY$9,2)=0,TRUE,SUMPRODUCT(($AR$9:$AY$9=2)*($AR$6:$AY$6&lt;&gt;"")*ISNUMBER(SEARCH($AR$6:$AY$6,$AK36)))&gt;0),IF(COUNTIF($AR$9:$AY$9,3)=0,TRUE,SUMPRODUCT(($AR$9:$AY$9=3)*($AR$6:$AY$6&lt;&gt;"")*ISNUMBER(SEARCH($AR$6:$AY$6,$AK36)))&gt;0),IF(COUNTIF($AR$9:$AY$9,4)=0,TRUE,SUMPRODUCT(($AR$9:$AY$9=4)*($AR$6:$AY$6&lt;&gt;"")*ISNUMBER(SEARCH($AR$6:$AY$6,$AK36)))&gt;0),IF(COUNTIF($AR$9:$AY$9,5)=0,TRUE,SUMPRODUCT(($AR$9:$AY$9=5)*($AR$6:$AY$6&lt;&gt;"")*ISNUMBER(SEARCH($AR$6:$AY$6,$AK36)))&gt;0),IF(COUNTIF($AR$9:$AY$9,6)=0,TRUE,SUMPRODUCT(($AR$9:$AY$9=6)*($AR$6:$AY$6&lt;&gt;"")*ISNUMBER(SEARCH($AR$6:$AY$6,$AK36)))&gt;0),IF(COUNTIF($AR$9:$AY$9,7)=0,TRUE,SUMPRODUCT(($AR$9:$AY$9=7)*($AR$6:$AY$6&lt;&gt;"")*ISNUMBER(SEARCH($AR$6:$AY$6,$AK36)))&gt;0),IF(COUNTIF($AR$9:$AY$9,8)=0,TRUE,SUMPRODUCT(($AR$9:$AY$9=8)*($AR$6:$AY$6&lt;&gt;"")*ISNUMBER(SEARCH($AR$6:$AY$6,$AK36)))&gt;0)),1,0))</f>
        <v/>
      </c>
    </row>
    <row r="37" ht="15" customHeight="1">
      <c r="A37" s="633" t="n">
        <v>33</v>
      </c>
      <c r="B37" s="634">
        <f>IF('Final Calculation Sheet'!$F$36="","",'Final Calculation Sheet'!$F$36)</f>
        <v/>
      </c>
      <c r="C37" s="634">
        <f>IF('Final Calculation Sheet'!$G$36="","",'Final Calculation Sheet'!$G$36)</f>
        <v/>
      </c>
      <c r="D37" s="69">
        <f>IF('Final Calculation Sheet'!$B$36="","",'Final Calculation Sheet'!$B$36)</f>
        <v/>
      </c>
      <c r="E37" s="69">
        <f>IF('Final Calculation Sheet'!$D$36="","",'Final Calculation Sheet'!$D$36)</f>
        <v/>
      </c>
      <c r="F37" s="69">
        <f>IF('Final Calculation Sheet'!$A$36="","",'Final Calculation Sheet'!$A$36)</f>
        <v/>
      </c>
      <c r="G37" s="69">
        <f>IF('Final Calculation Sheet'!$E$36="","",'Final Calculation Sheet'!$E$36)</f>
        <v/>
      </c>
      <c r="H37" s="544">
        <f>IF('Final Calculation Sheet'!$C$36="","",'Final Calculation Sheet'!$C$36)</f>
        <v/>
      </c>
      <c r="I37" s="544">
        <f>IF('Final Calculation Sheet'!$H$36="","",'Final Calculation Sheet'!$H$36)</f>
        <v/>
      </c>
      <c r="J37" s="544">
        <f>IF('Final Calculation Sheet'!$I$36="","",'Final Calculation Sheet'!$I$36)</f>
        <v/>
      </c>
      <c r="K37" s="544">
        <f>IF('Final Calculation Sheet'!$J$36="","",'Final Calculation Sheet'!$J$36)</f>
        <v/>
      </c>
      <c r="L37" s="544">
        <f>IF('Final Calculation Sheet'!$K$36="","",'Final Calculation Sheet'!$K$36)</f>
        <v/>
      </c>
      <c r="M37" s="544">
        <f>IF('Final Calculation Sheet'!$L$36="","",'Final Calculation Sheet'!$L$36)</f>
        <v/>
      </c>
      <c r="N37" s="544">
        <f>IF('Final Calculation Sheet'!$M$36="","",'Final Calculation Sheet'!$M$36)</f>
        <v/>
      </c>
      <c r="O37" s="547">
        <f>IF('Final Calculation Sheet'!$N$36="","",'Final Calculation Sheet'!$N$36)</f>
        <v/>
      </c>
      <c r="P37" s="544">
        <f>IF('Final Calculation Sheet'!$O$36="","",'Final Calculation Sheet'!$O$36)</f>
        <v/>
      </c>
      <c r="Q37" s="544">
        <f>IF('Final Calculation Sheet'!$P$36="","",'Final Calculation Sheet'!$P$36)</f>
        <v/>
      </c>
      <c r="R37" s="549">
        <f>IF('Final Calculation Sheet'!$Q$36="","",'Final Calculation Sheet'!$Q$36)</f>
        <v/>
      </c>
      <c r="S37" s="544">
        <f>IF('Final Calculation Sheet'!$R$36="","",'Final Calculation Sheet'!$R$36)</f>
        <v/>
      </c>
      <c r="T37" s="544">
        <f>IF('Final Calculation Sheet'!$S$36="","",'Final Calculation Sheet'!$S$36)</f>
        <v/>
      </c>
      <c r="U37" s="544">
        <f>IF('Final Calculation Sheet'!$T$36="","",'Final Calculation Sheet'!$T$36)</f>
        <v/>
      </c>
      <c r="V37" s="552">
        <f>IF('Final Calculation Sheet'!$U$36="","",'Final Calculation Sheet'!$U$36)</f>
        <v/>
      </c>
      <c r="W37" s="544">
        <f>IF('Final Calculation Sheet'!$V$36="","",'Final Calculation Sheet'!$V$36)</f>
        <v/>
      </c>
      <c r="X37" s="544">
        <f>IF('Final Calculation Sheet'!$W$36="","",'Final Calculation Sheet'!$W$36)</f>
        <v/>
      </c>
      <c r="Y37" s="544">
        <f>IF('Final Calculation Sheet'!$X$36="","",'Final Calculation Sheet'!$X$36)</f>
        <v/>
      </c>
      <c r="Z37" s="544">
        <f>IF('Final Calculation Sheet'!$Y$36="","",'Final Calculation Sheet'!$Y$36)</f>
        <v/>
      </c>
      <c r="AA37" s="544">
        <f>IF('Final Calculation Sheet'!$Z$36="","",'Final Calculation Sheet'!$Z$36)</f>
        <v/>
      </c>
      <c r="AB37" s="544">
        <f>IF('Final Calculation Sheet'!$AA$36="","",'Final Calculation Sheet'!$AA$36)</f>
        <v/>
      </c>
      <c r="AC37" s="544">
        <f>IF('Final Calculation Sheet'!$AB$36="","",'Final Calculation Sheet'!$AB$36)</f>
        <v/>
      </c>
      <c r="AD37" s="544">
        <f>IF('Final Calculation Sheet'!$AC$36="","",'Final Calculation Sheet'!$AC$36)</f>
        <v/>
      </c>
      <c r="AE37" s="544">
        <f>IF('Final Calculation Sheet'!$AD$36="","",'Final Calculation Sheet'!$AD$36)</f>
        <v/>
      </c>
      <c r="AF37" s="544">
        <f>IF('Final Calculation Sheet'!$AE$36="","",'Final Calculation Sheet'!$AE$36)</f>
        <v/>
      </c>
      <c r="AG37" s="555">
        <f>IF('Final Calculation Sheet'!$AF$36="","",'Final Calculation Sheet'!$AF$36)</f>
        <v/>
      </c>
      <c r="AH37" s="544">
        <f>IF('Final Calculation Sheet'!$AG$36="","",'Final Calculation Sheet'!$AG$36)</f>
        <v/>
      </c>
      <c r="AI37" s="635">
        <f>IF('Final Calculation Sheet'!$AD$36="","",IF('Final Calculation Sheet'!$AD$36&lt;=0,"SETTLED","OUTSTANDING"))</f>
        <v/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$B$3="",1,IF(AND(IF(COUNTIF($AR$9:$AY$9,1)=0,TRUE,SUMPRODUCT(($AR$9:$AY$9=1)*($AR$6:$AY$6&lt;&gt;"")*ISNUMBER(SEARCH($AR$6:$AY$6,$AK37)))&gt;0),IF(COUNTIF($AR$9:$AY$9,2)=0,TRUE,SUMPRODUCT(($AR$9:$AY$9=2)*($AR$6:$AY$6&lt;&gt;"")*ISNUMBER(SEARCH($AR$6:$AY$6,$AK37)))&gt;0),IF(COUNTIF($AR$9:$AY$9,3)=0,TRUE,SUMPRODUCT(($AR$9:$AY$9=3)*($AR$6:$AY$6&lt;&gt;"")*ISNUMBER(SEARCH($AR$6:$AY$6,$AK37)))&gt;0),IF(COUNTIF($AR$9:$AY$9,4)=0,TRUE,SUMPRODUCT(($AR$9:$AY$9=4)*($AR$6:$AY$6&lt;&gt;"")*ISNUMBER(SEARCH($AR$6:$AY$6,$AK37)))&gt;0),IF(COUNTIF($AR$9:$AY$9,5)=0,TRUE,SUMPRODUCT(($AR$9:$AY$9=5)*($AR$6:$AY$6&lt;&gt;"")*ISNUMBER(SEARCH($AR$6:$AY$6,$AK37)))&gt;0),IF(COUNTIF($AR$9:$AY$9,6)=0,TRUE,SUMPRODUCT(($AR$9:$AY$9=6)*($AR$6:$AY$6&lt;&gt;"")*ISNUMBER(SEARCH($AR$6:$AY$6,$AK37)))&gt;0),IF(COUNTIF($AR$9:$AY$9,7)=0,TRUE,SUMPRODUCT(($AR$9:$AY$9=7)*($AR$6:$AY$6&lt;&gt;"")*ISNUMBER(SEARCH($AR$6:$AY$6,$AK37)))&gt;0),IF(COUNTIF($AR$9:$AY$9,8)=0,TRUE,SUMPRODUCT(($AR$9:$AY$9=8)*($AR$6:$AY$6&lt;&gt;"")*ISNUMBER(SEARCH($AR$6:$AY$6,$AK37)))&gt;0)),1,0))</f>
        <v/>
      </c>
    </row>
    <row r="38" ht="15" customHeight="1">
      <c r="A38" s="636" t="n">
        <v>34</v>
      </c>
      <c r="B38" s="637">
        <f>IF('Final Calculation Sheet'!$F$37="","",'Final Calculation Sheet'!$F$37)</f>
        <v/>
      </c>
      <c r="C38" s="637">
        <f>IF('Final Calculation Sheet'!$G$37="","",'Final Calculation Sheet'!$G$37)</f>
        <v/>
      </c>
      <c r="D38" s="638">
        <f>IF('Final Calculation Sheet'!$B$37="","",'Final Calculation Sheet'!$B$37)</f>
        <v/>
      </c>
      <c r="E38" s="638">
        <f>IF('Final Calculation Sheet'!$D$37="","",'Final Calculation Sheet'!$D$37)</f>
        <v/>
      </c>
      <c r="F38" s="638">
        <f>IF('Final Calculation Sheet'!$A$37="","",'Final Calculation Sheet'!$A$37)</f>
        <v/>
      </c>
      <c r="G38" s="638">
        <f>IF('Final Calculation Sheet'!$E$37="","",'Final Calculation Sheet'!$E$37)</f>
        <v/>
      </c>
      <c r="H38" s="639">
        <f>IF('Final Calculation Sheet'!$C$37="","",'Final Calculation Sheet'!$C$37)</f>
        <v/>
      </c>
      <c r="I38" s="639">
        <f>IF('Final Calculation Sheet'!$H$37="","",'Final Calculation Sheet'!$H$37)</f>
        <v/>
      </c>
      <c r="J38" s="639">
        <f>IF('Final Calculation Sheet'!$I$37="","",'Final Calculation Sheet'!$I$37)</f>
        <v/>
      </c>
      <c r="K38" s="639">
        <f>IF('Final Calculation Sheet'!$J$37="","",'Final Calculation Sheet'!$J$37)</f>
        <v/>
      </c>
      <c r="L38" s="639">
        <f>IF('Final Calculation Sheet'!$K$37="","",'Final Calculation Sheet'!$K$37)</f>
        <v/>
      </c>
      <c r="M38" s="639">
        <f>IF('Final Calculation Sheet'!$L$37="","",'Final Calculation Sheet'!$L$37)</f>
        <v/>
      </c>
      <c r="N38" s="639">
        <f>IF('Final Calculation Sheet'!$M$37="","",'Final Calculation Sheet'!$M$37)</f>
        <v/>
      </c>
      <c r="O38" s="640">
        <f>IF('Final Calculation Sheet'!$N$37="","",'Final Calculation Sheet'!$N$37)</f>
        <v/>
      </c>
      <c r="P38" s="639">
        <f>IF('Final Calculation Sheet'!$O$37="","",'Final Calculation Sheet'!$O$37)</f>
        <v/>
      </c>
      <c r="Q38" s="639">
        <f>IF('Final Calculation Sheet'!$P$37="","",'Final Calculation Sheet'!$P$37)</f>
        <v/>
      </c>
      <c r="R38" s="641">
        <f>IF('Final Calculation Sheet'!$Q$37="","",'Final Calculation Sheet'!$Q$37)</f>
        <v/>
      </c>
      <c r="S38" s="639">
        <f>IF('Final Calculation Sheet'!$R$37="","",'Final Calculation Sheet'!$R$37)</f>
        <v/>
      </c>
      <c r="T38" s="639">
        <f>IF('Final Calculation Sheet'!$S$37="","",'Final Calculation Sheet'!$S$37)</f>
        <v/>
      </c>
      <c r="U38" s="639">
        <f>IF('Final Calculation Sheet'!$T$37="","",'Final Calculation Sheet'!$T$37)</f>
        <v/>
      </c>
      <c r="V38" s="642">
        <f>IF('Final Calculation Sheet'!$U$37="","",'Final Calculation Sheet'!$U$37)</f>
        <v/>
      </c>
      <c r="W38" s="639">
        <f>IF('Final Calculation Sheet'!$V$37="","",'Final Calculation Sheet'!$V$37)</f>
        <v/>
      </c>
      <c r="X38" s="639">
        <f>IF('Final Calculation Sheet'!$W$37="","",'Final Calculation Sheet'!$W$37)</f>
        <v/>
      </c>
      <c r="Y38" s="639">
        <f>IF('Final Calculation Sheet'!$X$37="","",'Final Calculation Sheet'!$X$37)</f>
        <v/>
      </c>
      <c r="Z38" s="639">
        <f>IF('Final Calculation Sheet'!$Y$37="","",'Final Calculation Sheet'!$Y$37)</f>
        <v/>
      </c>
      <c r="AA38" s="639">
        <f>IF('Final Calculation Sheet'!$Z$37="","",'Final Calculation Sheet'!$Z$37)</f>
        <v/>
      </c>
      <c r="AB38" s="639">
        <f>IF('Final Calculation Sheet'!$AA$37="","",'Final Calculation Sheet'!$AA$37)</f>
        <v/>
      </c>
      <c r="AC38" s="639">
        <f>IF('Final Calculation Sheet'!$AB$37="","",'Final Calculation Sheet'!$AB$37)</f>
        <v/>
      </c>
      <c r="AD38" s="639">
        <f>IF('Final Calculation Sheet'!$AC$37="","",'Final Calculation Sheet'!$AC$37)</f>
        <v/>
      </c>
      <c r="AE38" s="639">
        <f>IF('Final Calculation Sheet'!$AD$37="","",'Final Calculation Sheet'!$AD$37)</f>
        <v/>
      </c>
      <c r="AF38" s="639">
        <f>IF('Final Calculation Sheet'!$AE$37="","",'Final Calculation Sheet'!$AE$37)</f>
        <v/>
      </c>
      <c r="AG38" s="643">
        <f>IF('Final Calculation Sheet'!$AF$37="","",'Final Calculation Sheet'!$AF$37)</f>
        <v/>
      </c>
      <c r="AH38" s="639">
        <f>IF('Final Calculation Sheet'!$AG$37="","",'Final Calculation Sheet'!$AG$37)</f>
        <v/>
      </c>
      <c r="AI38" s="644">
        <f>IF('Final Calculation Sheet'!$AD$37="","",IF('Final Calculation Sheet'!$AD$37&lt;=0,"SETTLED","OUTSTANDING"))</f>
        <v/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$B$3="",1,IF(AND(IF(COUNTIF($AR$9:$AY$9,1)=0,TRUE,SUMPRODUCT(($AR$9:$AY$9=1)*($AR$6:$AY$6&lt;&gt;"")*ISNUMBER(SEARCH($AR$6:$AY$6,$AK38)))&gt;0),IF(COUNTIF($AR$9:$AY$9,2)=0,TRUE,SUMPRODUCT(($AR$9:$AY$9=2)*($AR$6:$AY$6&lt;&gt;"")*ISNUMBER(SEARCH($AR$6:$AY$6,$AK38)))&gt;0),IF(COUNTIF($AR$9:$AY$9,3)=0,TRUE,SUMPRODUCT(($AR$9:$AY$9=3)*($AR$6:$AY$6&lt;&gt;"")*ISNUMBER(SEARCH($AR$6:$AY$6,$AK38)))&gt;0),IF(COUNTIF($AR$9:$AY$9,4)=0,TRUE,SUMPRODUCT(($AR$9:$AY$9=4)*($AR$6:$AY$6&lt;&gt;"")*ISNUMBER(SEARCH($AR$6:$AY$6,$AK38)))&gt;0),IF(COUNTIF($AR$9:$AY$9,5)=0,TRUE,SUMPRODUCT(($AR$9:$AY$9=5)*($AR$6:$AY$6&lt;&gt;"")*ISNUMBER(SEARCH($AR$6:$AY$6,$AK38)))&gt;0),IF(COUNTIF($AR$9:$AY$9,6)=0,TRUE,SUMPRODUCT(($AR$9:$AY$9=6)*($AR$6:$AY$6&lt;&gt;"")*ISNUMBER(SEARCH($AR$6:$AY$6,$AK38)))&gt;0),IF(COUNTIF($AR$9:$AY$9,7)=0,TRUE,SUMPRODUCT(($AR$9:$AY$9=7)*($AR$6:$AY$6&lt;&gt;"")*ISNUMBER(SEARCH($AR$6:$AY$6,$AK38)))&gt;0),IF(COUNTIF($AR$9:$AY$9,8)=0,TRUE,SUMPRODUCT(($AR$9:$AY$9=8)*($AR$6:$AY$6&lt;&gt;"")*ISNUMBER(SEARCH($AR$6:$AY$6,$AK38)))&gt;0)),1,0))</f>
        <v/>
      </c>
    </row>
    <row r="39" ht="15" customHeight="1">
      <c r="A39" s="633" t="n">
        <v>35</v>
      </c>
      <c r="B39" s="634">
        <f>IF('Final Calculation Sheet'!$F$38="","",'Final Calculation Sheet'!$F$38)</f>
        <v/>
      </c>
      <c r="C39" s="634">
        <f>IF('Final Calculation Sheet'!$G$38="","",'Final Calculation Sheet'!$G$38)</f>
        <v/>
      </c>
      <c r="D39" s="69">
        <f>IF('Final Calculation Sheet'!$B$38="","",'Final Calculation Sheet'!$B$38)</f>
        <v/>
      </c>
      <c r="E39" s="69">
        <f>IF('Final Calculation Sheet'!$D$38="","",'Final Calculation Sheet'!$D$38)</f>
        <v/>
      </c>
      <c r="F39" s="69">
        <f>IF('Final Calculation Sheet'!$A$38="","",'Final Calculation Sheet'!$A$38)</f>
        <v/>
      </c>
      <c r="G39" s="69">
        <f>IF('Final Calculation Sheet'!$E$38="","",'Final Calculation Sheet'!$E$38)</f>
        <v/>
      </c>
      <c r="H39" s="544">
        <f>IF('Final Calculation Sheet'!$C$38="","",'Final Calculation Sheet'!$C$38)</f>
        <v/>
      </c>
      <c r="I39" s="544">
        <f>IF('Final Calculation Sheet'!$H$38="","",'Final Calculation Sheet'!$H$38)</f>
        <v/>
      </c>
      <c r="J39" s="544">
        <f>IF('Final Calculation Sheet'!$I$38="","",'Final Calculation Sheet'!$I$38)</f>
        <v/>
      </c>
      <c r="K39" s="544">
        <f>IF('Final Calculation Sheet'!$J$38="","",'Final Calculation Sheet'!$J$38)</f>
        <v/>
      </c>
      <c r="L39" s="544">
        <f>IF('Final Calculation Sheet'!$K$38="","",'Final Calculation Sheet'!$K$38)</f>
        <v/>
      </c>
      <c r="M39" s="544">
        <f>IF('Final Calculation Sheet'!$L$38="","",'Final Calculation Sheet'!$L$38)</f>
        <v/>
      </c>
      <c r="N39" s="544">
        <f>IF('Final Calculation Sheet'!$M$38="","",'Final Calculation Sheet'!$M$38)</f>
        <v/>
      </c>
      <c r="O39" s="547">
        <f>IF('Final Calculation Sheet'!$N$38="","",'Final Calculation Sheet'!$N$38)</f>
        <v/>
      </c>
      <c r="P39" s="544">
        <f>IF('Final Calculation Sheet'!$O$38="","",'Final Calculation Sheet'!$O$38)</f>
        <v/>
      </c>
      <c r="Q39" s="544">
        <f>IF('Final Calculation Sheet'!$P$38="","",'Final Calculation Sheet'!$P$38)</f>
        <v/>
      </c>
      <c r="R39" s="549">
        <f>IF('Final Calculation Sheet'!$Q$38="","",'Final Calculation Sheet'!$Q$38)</f>
        <v/>
      </c>
      <c r="S39" s="544">
        <f>IF('Final Calculation Sheet'!$R$38="","",'Final Calculation Sheet'!$R$38)</f>
        <v/>
      </c>
      <c r="T39" s="544">
        <f>IF('Final Calculation Sheet'!$S$38="","",'Final Calculation Sheet'!$S$38)</f>
        <v/>
      </c>
      <c r="U39" s="544">
        <f>IF('Final Calculation Sheet'!$T$38="","",'Final Calculation Sheet'!$T$38)</f>
        <v/>
      </c>
      <c r="V39" s="552">
        <f>IF('Final Calculation Sheet'!$U$38="","",'Final Calculation Sheet'!$U$38)</f>
        <v/>
      </c>
      <c r="W39" s="544">
        <f>IF('Final Calculation Sheet'!$V$38="","",'Final Calculation Sheet'!$V$38)</f>
        <v/>
      </c>
      <c r="X39" s="544">
        <f>IF('Final Calculation Sheet'!$W$38="","",'Final Calculation Sheet'!$W$38)</f>
        <v/>
      </c>
      <c r="Y39" s="544">
        <f>IF('Final Calculation Sheet'!$X$38="","",'Final Calculation Sheet'!$X$38)</f>
        <v/>
      </c>
      <c r="Z39" s="544">
        <f>IF('Final Calculation Sheet'!$Y$38="","",'Final Calculation Sheet'!$Y$38)</f>
        <v/>
      </c>
      <c r="AA39" s="544">
        <f>IF('Final Calculation Sheet'!$Z$38="","",'Final Calculation Sheet'!$Z$38)</f>
        <v/>
      </c>
      <c r="AB39" s="544">
        <f>IF('Final Calculation Sheet'!$AA$38="","",'Final Calculation Sheet'!$AA$38)</f>
        <v/>
      </c>
      <c r="AC39" s="544">
        <f>IF('Final Calculation Sheet'!$AB$38="","",'Final Calculation Sheet'!$AB$38)</f>
        <v/>
      </c>
      <c r="AD39" s="544">
        <f>IF('Final Calculation Sheet'!$AC$38="","",'Final Calculation Sheet'!$AC$38)</f>
        <v/>
      </c>
      <c r="AE39" s="544">
        <f>IF('Final Calculation Sheet'!$AD$38="","",'Final Calculation Sheet'!$AD$38)</f>
        <v/>
      </c>
      <c r="AF39" s="544">
        <f>IF('Final Calculation Sheet'!$AE$38="","",'Final Calculation Sheet'!$AE$38)</f>
        <v/>
      </c>
      <c r="AG39" s="555">
        <f>IF('Final Calculation Sheet'!$AF$38="","",'Final Calculation Sheet'!$AF$38)</f>
        <v/>
      </c>
      <c r="AH39" s="544">
        <f>IF('Final Calculation Sheet'!$AG$38="","",'Final Calculation Sheet'!$AG$38)</f>
        <v/>
      </c>
      <c r="AI39" s="635">
        <f>IF('Final Calculation Sheet'!$AD$38="","",IF('Final Calculation Sheet'!$AD$38&lt;=0,"SETTLED","OUTSTANDING"))</f>
        <v/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$B$3="",1,IF(AND(IF(COUNTIF($AR$9:$AY$9,1)=0,TRUE,SUMPRODUCT(($AR$9:$AY$9=1)*($AR$6:$AY$6&lt;&gt;"")*ISNUMBER(SEARCH($AR$6:$AY$6,$AK39)))&gt;0),IF(COUNTIF($AR$9:$AY$9,2)=0,TRUE,SUMPRODUCT(($AR$9:$AY$9=2)*($AR$6:$AY$6&lt;&gt;"")*ISNUMBER(SEARCH($AR$6:$AY$6,$AK39)))&gt;0),IF(COUNTIF($AR$9:$AY$9,3)=0,TRUE,SUMPRODUCT(($AR$9:$AY$9=3)*($AR$6:$AY$6&lt;&gt;"")*ISNUMBER(SEARCH($AR$6:$AY$6,$AK39)))&gt;0),IF(COUNTIF($AR$9:$AY$9,4)=0,TRUE,SUMPRODUCT(($AR$9:$AY$9=4)*($AR$6:$AY$6&lt;&gt;"")*ISNUMBER(SEARCH($AR$6:$AY$6,$AK39)))&gt;0),IF(COUNTIF($AR$9:$AY$9,5)=0,TRUE,SUMPRODUCT(($AR$9:$AY$9=5)*($AR$6:$AY$6&lt;&gt;"")*ISNUMBER(SEARCH($AR$6:$AY$6,$AK39)))&gt;0),IF(COUNTIF($AR$9:$AY$9,6)=0,TRUE,SUMPRODUCT(($AR$9:$AY$9=6)*($AR$6:$AY$6&lt;&gt;"")*ISNUMBER(SEARCH($AR$6:$AY$6,$AK39)))&gt;0),IF(COUNTIF($AR$9:$AY$9,7)=0,TRUE,SUMPRODUCT(($AR$9:$AY$9=7)*($AR$6:$AY$6&lt;&gt;"")*ISNUMBER(SEARCH($AR$6:$AY$6,$AK39)))&gt;0),IF(COUNTIF($AR$9:$AY$9,8)=0,TRUE,SUMPRODUCT(($AR$9:$AY$9=8)*($AR$6:$AY$6&lt;&gt;"")*ISNUMBER(SEARCH($AR$6:$AY$6,$AK39)))&gt;0)),1,0))</f>
        <v/>
      </c>
    </row>
    <row r="40" ht="15" customHeight="1">
      <c r="A40" s="636" t="n">
        <v>36</v>
      </c>
      <c r="B40" s="637">
        <f>IF('Final Calculation Sheet'!$F$39="","",'Final Calculation Sheet'!$F$39)</f>
        <v/>
      </c>
      <c r="C40" s="637">
        <f>IF('Final Calculation Sheet'!$G$39="","",'Final Calculation Sheet'!$G$39)</f>
        <v/>
      </c>
      <c r="D40" s="638">
        <f>IF('Final Calculation Sheet'!$B$39="","",'Final Calculation Sheet'!$B$39)</f>
        <v/>
      </c>
      <c r="E40" s="638">
        <f>IF('Final Calculation Sheet'!$D$39="","",'Final Calculation Sheet'!$D$39)</f>
        <v/>
      </c>
      <c r="F40" s="638">
        <f>IF('Final Calculation Sheet'!$A$39="","",'Final Calculation Sheet'!$A$39)</f>
        <v/>
      </c>
      <c r="G40" s="638">
        <f>IF('Final Calculation Sheet'!$E$39="","",'Final Calculation Sheet'!$E$39)</f>
        <v/>
      </c>
      <c r="H40" s="639">
        <f>IF('Final Calculation Sheet'!$C$39="","",'Final Calculation Sheet'!$C$39)</f>
        <v/>
      </c>
      <c r="I40" s="639">
        <f>IF('Final Calculation Sheet'!$H$39="","",'Final Calculation Sheet'!$H$39)</f>
        <v/>
      </c>
      <c r="J40" s="639">
        <f>IF('Final Calculation Sheet'!$I$39="","",'Final Calculation Sheet'!$I$39)</f>
        <v/>
      </c>
      <c r="K40" s="639">
        <f>IF('Final Calculation Sheet'!$J$39="","",'Final Calculation Sheet'!$J$39)</f>
        <v/>
      </c>
      <c r="L40" s="639">
        <f>IF('Final Calculation Sheet'!$K$39="","",'Final Calculation Sheet'!$K$39)</f>
        <v/>
      </c>
      <c r="M40" s="639">
        <f>IF('Final Calculation Sheet'!$L$39="","",'Final Calculation Sheet'!$L$39)</f>
        <v/>
      </c>
      <c r="N40" s="639">
        <f>IF('Final Calculation Sheet'!$M$39="","",'Final Calculation Sheet'!$M$39)</f>
        <v/>
      </c>
      <c r="O40" s="640">
        <f>IF('Final Calculation Sheet'!$N$39="","",'Final Calculation Sheet'!$N$39)</f>
        <v/>
      </c>
      <c r="P40" s="639">
        <f>IF('Final Calculation Sheet'!$O$39="","",'Final Calculation Sheet'!$O$39)</f>
        <v/>
      </c>
      <c r="Q40" s="639">
        <f>IF('Final Calculation Sheet'!$P$39="","",'Final Calculation Sheet'!$P$39)</f>
        <v/>
      </c>
      <c r="R40" s="641">
        <f>IF('Final Calculation Sheet'!$Q$39="","",'Final Calculation Sheet'!$Q$39)</f>
        <v/>
      </c>
      <c r="S40" s="639">
        <f>IF('Final Calculation Sheet'!$R$39="","",'Final Calculation Sheet'!$R$39)</f>
        <v/>
      </c>
      <c r="T40" s="639">
        <f>IF('Final Calculation Sheet'!$S$39="","",'Final Calculation Sheet'!$S$39)</f>
        <v/>
      </c>
      <c r="U40" s="639">
        <f>IF('Final Calculation Sheet'!$T$39="","",'Final Calculation Sheet'!$T$39)</f>
        <v/>
      </c>
      <c r="V40" s="642">
        <f>IF('Final Calculation Sheet'!$U$39="","",'Final Calculation Sheet'!$U$39)</f>
        <v/>
      </c>
      <c r="W40" s="639">
        <f>IF('Final Calculation Sheet'!$V$39="","",'Final Calculation Sheet'!$V$39)</f>
        <v/>
      </c>
      <c r="X40" s="639">
        <f>IF('Final Calculation Sheet'!$W$39="","",'Final Calculation Sheet'!$W$39)</f>
        <v/>
      </c>
      <c r="Y40" s="639">
        <f>IF('Final Calculation Sheet'!$X$39="","",'Final Calculation Sheet'!$X$39)</f>
        <v/>
      </c>
      <c r="Z40" s="639">
        <f>IF('Final Calculation Sheet'!$Y$39="","",'Final Calculation Sheet'!$Y$39)</f>
        <v/>
      </c>
      <c r="AA40" s="639">
        <f>IF('Final Calculation Sheet'!$Z$39="","",'Final Calculation Sheet'!$Z$39)</f>
        <v/>
      </c>
      <c r="AB40" s="639">
        <f>IF('Final Calculation Sheet'!$AA$39="","",'Final Calculation Sheet'!$AA$39)</f>
        <v/>
      </c>
      <c r="AC40" s="639">
        <f>IF('Final Calculation Sheet'!$AB$39="","",'Final Calculation Sheet'!$AB$39)</f>
        <v/>
      </c>
      <c r="AD40" s="639">
        <f>IF('Final Calculation Sheet'!$AC$39="","",'Final Calculation Sheet'!$AC$39)</f>
        <v/>
      </c>
      <c r="AE40" s="639">
        <f>IF('Final Calculation Sheet'!$AD$39="","",'Final Calculation Sheet'!$AD$39)</f>
        <v/>
      </c>
      <c r="AF40" s="639">
        <f>IF('Final Calculation Sheet'!$AE$39="","",'Final Calculation Sheet'!$AE$39)</f>
        <v/>
      </c>
      <c r="AG40" s="643">
        <f>IF('Final Calculation Sheet'!$AF$39="","",'Final Calculation Sheet'!$AF$39)</f>
        <v/>
      </c>
      <c r="AH40" s="639">
        <f>IF('Final Calculation Sheet'!$AG$39="","",'Final Calculation Sheet'!$AG$39)</f>
        <v/>
      </c>
      <c r="AI40" s="644">
        <f>IF('Final Calculation Sheet'!$AD$39="","",IF('Final Calculation Sheet'!$AD$39&lt;=0,"SETTLED","OUTSTANDING"))</f>
        <v/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$B$3="",1,IF(AND(IF(COUNTIF($AR$9:$AY$9,1)=0,TRUE,SUMPRODUCT(($AR$9:$AY$9=1)*($AR$6:$AY$6&lt;&gt;"")*ISNUMBER(SEARCH($AR$6:$AY$6,$AK40)))&gt;0),IF(COUNTIF($AR$9:$AY$9,2)=0,TRUE,SUMPRODUCT(($AR$9:$AY$9=2)*($AR$6:$AY$6&lt;&gt;"")*ISNUMBER(SEARCH($AR$6:$AY$6,$AK40)))&gt;0),IF(COUNTIF($AR$9:$AY$9,3)=0,TRUE,SUMPRODUCT(($AR$9:$AY$9=3)*($AR$6:$AY$6&lt;&gt;"")*ISNUMBER(SEARCH($AR$6:$AY$6,$AK40)))&gt;0),IF(COUNTIF($AR$9:$AY$9,4)=0,TRUE,SUMPRODUCT(($AR$9:$AY$9=4)*($AR$6:$AY$6&lt;&gt;"")*ISNUMBER(SEARCH($AR$6:$AY$6,$AK40)))&gt;0),IF(COUNTIF($AR$9:$AY$9,5)=0,TRUE,SUMPRODUCT(($AR$9:$AY$9=5)*($AR$6:$AY$6&lt;&gt;"")*ISNUMBER(SEARCH($AR$6:$AY$6,$AK40)))&gt;0),IF(COUNTIF($AR$9:$AY$9,6)=0,TRUE,SUMPRODUCT(($AR$9:$AY$9=6)*($AR$6:$AY$6&lt;&gt;"")*ISNUMBER(SEARCH($AR$6:$AY$6,$AK40)))&gt;0),IF(COUNTIF($AR$9:$AY$9,7)=0,TRUE,SUMPRODUCT(($AR$9:$AY$9=7)*($AR$6:$AY$6&lt;&gt;"")*ISNUMBER(SEARCH($AR$6:$AY$6,$AK40)))&gt;0),IF(COUNTIF($AR$9:$AY$9,8)=0,TRUE,SUMPRODUCT(($AR$9:$AY$9=8)*($AR$6:$AY$6&lt;&gt;"")*ISNUMBER(SEARCH($AR$6:$AY$6,$AK40)))&gt;0)),1,0))</f>
        <v/>
      </c>
    </row>
    <row r="41" ht="15" customHeight="1">
      <c r="A41" s="633" t="n">
        <v>37</v>
      </c>
      <c r="B41" s="634">
        <f>IF('Final Calculation Sheet'!$F$40="","",'Final Calculation Sheet'!$F$40)</f>
        <v/>
      </c>
      <c r="C41" s="634">
        <f>IF('Final Calculation Sheet'!$G$40="","",'Final Calculation Sheet'!$G$40)</f>
        <v/>
      </c>
      <c r="D41" s="69">
        <f>IF('Final Calculation Sheet'!$B$40="","",'Final Calculation Sheet'!$B$40)</f>
        <v/>
      </c>
      <c r="E41" s="69">
        <f>IF('Final Calculation Sheet'!$D$40="","",'Final Calculation Sheet'!$D$40)</f>
        <v/>
      </c>
      <c r="F41" s="69">
        <f>IF('Final Calculation Sheet'!$A$40="","",'Final Calculation Sheet'!$A$40)</f>
        <v/>
      </c>
      <c r="G41" s="69">
        <f>IF('Final Calculation Sheet'!$E$40="","",'Final Calculation Sheet'!$E$40)</f>
        <v/>
      </c>
      <c r="H41" s="544">
        <f>IF('Final Calculation Sheet'!$C$40="","",'Final Calculation Sheet'!$C$40)</f>
        <v/>
      </c>
      <c r="I41" s="544">
        <f>IF('Final Calculation Sheet'!$H$40="","",'Final Calculation Sheet'!$H$40)</f>
        <v/>
      </c>
      <c r="J41" s="544">
        <f>IF('Final Calculation Sheet'!$I$40="","",'Final Calculation Sheet'!$I$40)</f>
        <v/>
      </c>
      <c r="K41" s="544">
        <f>IF('Final Calculation Sheet'!$J$40="","",'Final Calculation Sheet'!$J$40)</f>
        <v/>
      </c>
      <c r="L41" s="544">
        <f>IF('Final Calculation Sheet'!$K$40="","",'Final Calculation Sheet'!$K$40)</f>
        <v/>
      </c>
      <c r="M41" s="544">
        <f>IF('Final Calculation Sheet'!$L$40="","",'Final Calculation Sheet'!$L$40)</f>
        <v/>
      </c>
      <c r="N41" s="544">
        <f>IF('Final Calculation Sheet'!$M$40="","",'Final Calculation Sheet'!$M$40)</f>
        <v/>
      </c>
      <c r="O41" s="547">
        <f>IF('Final Calculation Sheet'!$N$40="","",'Final Calculation Sheet'!$N$40)</f>
        <v/>
      </c>
      <c r="P41" s="544">
        <f>IF('Final Calculation Sheet'!$O$40="","",'Final Calculation Sheet'!$O$40)</f>
        <v/>
      </c>
      <c r="Q41" s="544">
        <f>IF('Final Calculation Sheet'!$P$40="","",'Final Calculation Sheet'!$P$40)</f>
        <v/>
      </c>
      <c r="R41" s="549">
        <f>IF('Final Calculation Sheet'!$Q$40="","",'Final Calculation Sheet'!$Q$40)</f>
        <v/>
      </c>
      <c r="S41" s="544">
        <f>IF('Final Calculation Sheet'!$R$40="","",'Final Calculation Sheet'!$R$40)</f>
        <v/>
      </c>
      <c r="T41" s="544">
        <f>IF('Final Calculation Sheet'!$S$40="","",'Final Calculation Sheet'!$S$40)</f>
        <v/>
      </c>
      <c r="U41" s="544">
        <f>IF('Final Calculation Sheet'!$T$40="","",'Final Calculation Sheet'!$T$40)</f>
        <v/>
      </c>
      <c r="V41" s="552">
        <f>IF('Final Calculation Sheet'!$U$40="","",'Final Calculation Sheet'!$U$40)</f>
        <v/>
      </c>
      <c r="W41" s="544">
        <f>IF('Final Calculation Sheet'!$V$40="","",'Final Calculation Sheet'!$V$40)</f>
        <v/>
      </c>
      <c r="X41" s="544">
        <f>IF('Final Calculation Sheet'!$W$40="","",'Final Calculation Sheet'!$W$40)</f>
        <v/>
      </c>
      <c r="Y41" s="544">
        <f>IF('Final Calculation Sheet'!$X$40="","",'Final Calculation Sheet'!$X$40)</f>
        <v/>
      </c>
      <c r="Z41" s="544">
        <f>IF('Final Calculation Sheet'!$Y$40="","",'Final Calculation Sheet'!$Y$40)</f>
        <v/>
      </c>
      <c r="AA41" s="544">
        <f>IF('Final Calculation Sheet'!$Z$40="","",'Final Calculation Sheet'!$Z$40)</f>
        <v/>
      </c>
      <c r="AB41" s="544">
        <f>IF('Final Calculation Sheet'!$AA$40="","",'Final Calculation Sheet'!$AA$40)</f>
        <v/>
      </c>
      <c r="AC41" s="544">
        <f>IF('Final Calculation Sheet'!$AB$40="","",'Final Calculation Sheet'!$AB$40)</f>
        <v/>
      </c>
      <c r="AD41" s="544">
        <f>IF('Final Calculation Sheet'!$AC$40="","",'Final Calculation Sheet'!$AC$40)</f>
        <v/>
      </c>
      <c r="AE41" s="544">
        <f>IF('Final Calculation Sheet'!$AD$40="","",'Final Calculation Sheet'!$AD$40)</f>
        <v/>
      </c>
      <c r="AF41" s="544">
        <f>IF('Final Calculation Sheet'!$AE$40="","",'Final Calculation Sheet'!$AE$40)</f>
        <v/>
      </c>
      <c r="AG41" s="555">
        <f>IF('Final Calculation Sheet'!$AF$40="","",'Final Calculation Sheet'!$AF$40)</f>
        <v/>
      </c>
      <c r="AH41" s="544">
        <f>IF('Final Calculation Sheet'!$AG$40="","",'Final Calculation Sheet'!$AG$40)</f>
        <v/>
      </c>
      <c r="AI41" s="635">
        <f>IF('Final Calculation Sheet'!$AD$40="","",IF('Final Calculation Sheet'!$AD$40&lt;=0,"SETTLED","OUTSTANDING"))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$B$3="",1,IF(AND(IF(COUNTIF($AR$9:$AY$9,1)=0,TRUE,SUMPRODUCT(($AR$9:$AY$9=1)*($AR$6:$AY$6&lt;&gt;"")*ISNUMBER(SEARCH($AR$6:$AY$6,$AK41)))&gt;0),IF(COUNTIF($AR$9:$AY$9,2)=0,TRUE,SUMPRODUCT(($AR$9:$AY$9=2)*($AR$6:$AY$6&lt;&gt;"")*ISNUMBER(SEARCH($AR$6:$AY$6,$AK41)))&gt;0),IF(COUNTIF($AR$9:$AY$9,3)=0,TRUE,SUMPRODUCT(($AR$9:$AY$9=3)*($AR$6:$AY$6&lt;&gt;"")*ISNUMBER(SEARCH($AR$6:$AY$6,$AK41)))&gt;0),IF(COUNTIF($AR$9:$AY$9,4)=0,TRUE,SUMPRODUCT(($AR$9:$AY$9=4)*($AR$6:$AY$6&lt;&gt;"")*ISNUMBER(SEARCH($AR$6:$AY$6,$AK41)))&gt;0),IF(COUNTIF($AR$9:$AY$9,5)=0,TRUE,SUMPRODUCT(($AR$9:$AY$9=5)*($AR$6:$AY$6&lt;&gt;"")*ISNUMBER(SEARCH($AR$6:$AY$6,$AK41)))&gt;0),IF(COUNTIF($AR$9:$AY$9,6)=0,TRUE,SUMPRODUCT(($AR$9:$AY$9=6)*($AR$6:$AY$6&lt;&gt;"")*ISNUMBER(SEARCH($AR$6:$AY$6,$AK41)))&gt;0),IF(COUNTIF($AR$9:$AY$9,7)=0,TRUE,SUMPRODUCT(($AR$9:$AY$9=7)*($AR$6:$AY$6&lt;&gt;"")*ISNUMBER(SEARCH($AR$6:$AY$6,$AK41)))&gt;0),IF(COUNTIF($AR$9:$AY$9,8)=0,TRUE,SUMPRODUCT(($AR$9:$AY$9=8)*($AR$6:$AY$6&lt;&gt;"")*ISNUMBER(SEARCH($AR$6:$AY$6,$AK41)))&gt;0)),1,0))</f>
        <v/>
      </c>
    </row>
    <row r="42" ht="20" customHeight="1">
      <c r="A42" s="645" t="inlineStr">
        <is>
          <t>∑</t>
        </is>
      </c>
      <c r="B42" s="225" t="inlineStr">
        <is>
          <t>–</t>
        </is>
      </c>
      <c r="C42" s="225" t="inlineStr">
        <is>
          <t>–</t>
        </is>
      </c>
      <c r="D42" s="225" t="inlineStr">
        <is>
          <t>–</t>
        </is>
      </c>
      <c r="E42" s="225" t="inlineStr">
        <is>
          <t>–</t>
        </is>
      </c>
      <c r="F42" s="225">
        <f>IF(SUM($AM$5:$AM$41)=0,"",SUMIF($AM$5:$AM$41,1,F5:F41))</f>
        <v/>
      </c>
      <c r="G42" s="225" t="inlineStr">
        <is>
          <t>–</t>
        </is>
      </c>
      <c r="H42" s="646" t="inlineStr">
        <is>
          <t>–</t>
        </is>
      </c>
      <c r="I42" s="647">
        <f>IF(SUM($AM$5:$AM$41)=0,"",SUMIF($AM$5:$AM$41,1,I5:I41))</f>
        <v/>
      </c>
      <c r="J42" s="647">
        <f>IF(SUM($AM$5:$AM$41)=0,"",SUMIF($AM$5:$AM$41,1,J5:J41))</f>
        <v/>
      </c>
      <c r="K42" s="647">
        <f>IF(SUM($AM$5:$AM$41)=0,"",SUMIF($AM$5:$AM$41,1,K5:K41))</f>
        <v/>
      </c>
      <c r="L42" s="647">
        <f>IF(SUM($AM$5:$AM$41)=0,"",SUMIF($AM$5:$AM$41,1,L5:L41))</f>
        <v/>
      </c>
      <c r="M42" s="647">
        <f>IF(SUM($AM$5:$AM$41)=0,"",SUMIF($AM$5:$AM$41,1,M5:M41))</f>
        <v/>
      </c>
      <c r="N42" s="647">
        <f>IF(SUM($AM$5:$AM$41)=0,"",SUMIF($AM$5:$AM$41,1,N5:N41))</f>
        <v/>
      </c>
      <c r="O42" s="227">
        <f>IF(SUM($AM$5:$AM$41)=0,"",SUMIF($AM$5:$AM$41,1,O5:O41))</f>
        <v/>
      </c>
      <c r="P42" s="647">
        <f>IF(SUM($AM$5:$AM$41)=0,"",SUMIF($AM$5:$AM$41,1,P5:P41))</f>
        <v/>
      </c>
      <c r="Q42" s="647">
        <f>IF(SUM($AM$5:$AM$41)=0,"",SUMIF($AM$5:$AM$41,1,Q5:Q41))</f>
        <v/>
      </c>
      <c r="R42" s="646" t="inlineStr">
        <is>
          <t>–</t>
        </is>
      </c>
      <c r="S42" s="647">
        <f>IF(SUM($AM$5:$AM$41)=0,"",SUMIF($AM$5:$AM$41,1,S5:S41))</f>
        <v/>
      </c>
      <c r="T42" s="647">
        <f>IF(SUM($AM$5:$AM$41)=0,"",SUMIF($AM$5:$AM$41,1,T5:T41))</f>
        <v/>
      </c>
      <c r="U42" s="647">
        <f>IF(SUM($AM$5:$AM$41)=0,"",SUMIF($AM$5:$AM$41,1,U5:U41))</f>
        <v/>
      </c>
      <c r="V42" s="648">
        <f>IF(SUM($AM$5:$AM$41)=0,"",SUMIF($AM$5:$AM$41,1,V5:V41))</f>
        <v/>
      </c>
      <c r="W42" s="646" t="inlineStr">
        <is>
          <t>–</t>
        </is>
      </c>
      <c r="X42" s="647">
        <f>IF(SUM($AM$5:$AM$41)=0,"",SUMIF($AM$5:$AM$41,1,X5:X41))</f>
        <v/>
      </c>
      <c r="Y42" s="647">
        <f>IF(SUM($AM$5:$AM$41)=0,"",SUMIF($AM$5:$AM$41,1,Y5:Y41))</f>
        <v/>
      </c>
      <c r="Z42" s="646" t="inlineStr">
        <is>
          <t>–</t>
        </is>
      </c>
      <c r="AA42" s="647">
        <f>IF(SUM($AM$5:$AM$41)=0,"",SUMIF($AM$5:$AM$41,1,AA5:AA41))</f>
        <v/>
      </c>
      <c r="AB42" s="647">
        <f>IF(SUM($AM$5:$AM$41)=0,"",SUMIF($AM$5:$AM$41,1,AB5:AB41))</f>
        <v/>
      </c>
      <c r="AC42" s="646" t="inlineStr">
        <is>
          <t>–</t>
        </is>
      </c>
      <c r="AD42" s="647">
        <f>IF(SUM($AM$5:$AM$41)=0,"",SUMIF($AM$5:$AM$41,1,AD5:AD41))</f>
        <v/>
      </c>
      <c r="AE42" s="647">
        <f>IF(SUM($AM$5:$AM$41)=0,"",SUMIF($AM$5:$AM$41,1,AE5:AE41))</f>
        <v/>
      </c>
      <c r="AF42" s="646" t="inlineStr">
        <is>
          <t>–</t>
        </is>
      </c>
      <c r="AG42" s="646" t="inlineStr">
        <is>
          <t>–</t>
        </is>
      </c>
      <c r="AH42" s="646" t="inlineStr">
        <is>
          <t>–</t>
        </is>
      </c>
      <c r="AI42" s="228">
        <f>IF(SUM($AM$5:$AM$41)=0,"",IF(SUMIF($AM$5:$AM$41,1,AE5:AE41)&lt;=0,"ALL SETTLED","OUTSTANDING"))</f>
        <v/>
      </c>
    </row>
  </sheetData>
  <mergeCells count="4">
    <mergeCell ref="A2:AI2"/>
    <mergeCell ref="B3:D3"/>
    <mergeCell ref="I3:AI3"/>
    <mergeCell ref="A1:AI1"/>
  </mergeCells>
  <conditionalFormatting sqref="A5:AH41">
    <cfRule type="expression" priority="1" dxfId="9">
      <formula>AND($B$3&lt;&gt;"",$AM5=0)</formula>
    </cfRule>
    <cfRule type="expression" priority="2" dxfId="7">
      <formula>AND($B$3&lt;&gt;"",$AM5=1)</formula>
    </cfRule>
  </conditionalFormatting>
  <conditionalFormatting sqref="AE5:AE41">
    <cfRule type="cellIs" priority="3" operator="greaterThan" dxfId="8">
      <formula>0</formula>
    </cfRule>
  </conditionalFormatting>
  <conditionalFormatting sqref="AI5:AI42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AI5:AI41">
    <cfRule type="expression" priority="6" dxfId="9">
      <formula>AND($B$3&lt;&gt;"",$AM5=0)</formula>
    </cfRule>
  </conditionalFormatting>
  <dataValidations count="1">
    <dataValidation sqref="F3" showDropDown="0" showInputMessage="0" showErrorMessage="0" allowBlank="0" type="list">
      <formula1>$AO$4:$AO$9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1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596" t="inlineStr">
        <is>
          <t>source row of each lot column</t>
        </is>
      </c>
    </row>
    <row r="3" ht="26" customHeight="1">
      <c r="A3" s="597" t="inlineStr">
        <is>
          <t>PICK A BUYER  ▸</t>
        </is>
      </c>
      <c r="B3" s="598" t="inlineStr">
        <is>
          <t>NATIONAL ENTERPRISES</t>
        </is>
      </c>
      <c r="C3" s="599" t="n"/>
      <c r="D3" s="599" t="n"/>
      <c r="E3" s="600">
        <f>IF($B$3="","◀ pick a buyer in B3","showing "&amp;COUNT($B$4:$N$4)&amp;" lot(s) of "&amp;COUNTIF('Final Calculation Sheet'!$G$4:$G$40,$B$3)&amp;" for "&amp;$B$3)</f>
        <v/>
      </c>
      <c r="Q3" s="596" t="inlineStr">
        <is>
          <t>rank of each source lot row inside the chosen buyer</t>
        </is>
      </c>
      <c r="S3" s="596" t="n"/>
      <c r="U3" s="596" t="inlineStr">
        <is>
          <t>buyer list for the B3 dropdown</t>
        </is>
      </c>
    </row>
    <row r="4" ht="30" customHeight="1">
      <c r="A4" s="424" t="inlineStr">
        <is>
          <t>FIELD (row 3 of the source)  ▸  |  LOT →</t>
        </is>
      </c>
      <c r="B4" s="536">
        <f>IFERROR(INDEX('Final Calculation Sheet'!$F$4:$F$40,$S4-3),"")</f>
        <v/>
      </c>
      <c r="C4" s="537">
        <f>IFERROR(INDEX('Final Calculation Sheet'!$F$4:$F$40,$S5-3),"")</f>
        <v/>
      </c>
      <c r="D4" s="538">
        <f>IFERROR(INDEX('Final Calculation Sheet'!$F$4:$F$40,$S6-3),"")</f>
        <v/>
      </c>
      <c r="E4" s="539">
        <f>IFERROR(INDEX('Final Calculation Sheet'!$F$4:$F$40,$S7-3),"")</f>
        <v/>
      </c>
      <c r="F4" s="601">
        <f>IFERROR(INDEX('Final Calculation Sheet'!$F$4:$F$40,$S8-3),"")</f>
        <v/>
      </c>
      <c r="G4" s="602">
        <f>IFERROR(INDEX('Final Calculation Sheet'!$F$4:$F$40,$S9-3),"")</f>
        <v/>
      </c>
      <c r="H4" s="603">
        <f>IFERROR(INDEX('Final Calculation Sheet'!$F$4:$F$40,$S10-3),"")</f>
        <v/>
      </c>
      <c r="I4" s="604">
        <f>IFERROR(INDEX('Final Calculation Sheet'!$F$4:$F$40,$S11-3),"")</f>
        <v/>
      </c>
      <c r="J4" s="536">
        <f>IFERROR(INDEX('Final Calculation Sheet'!$F$4:$F$40,$S12-3),"")</f>
        <v/>
      </c>
      <c r="K4" s="537">
        <f>IFERROR(INDEX('Final Calculation Sheet'!$F$4:$F$40,$S13-3),"")</f>
        <v/>
      </c>
      <c r="L4" s="538">
        <f>IFERROR(INDEX('Final Calculation Sheet'!$F$4:$F$40,$S14-3),"")</f>
        <v/>
      </c>
      <c r="M4" s="539">
        <f>IFERROR(INDEX('Final Calculation Sheet'!$F$4:$F$40,$S15-3),"")</f>
        <v/>
      </c>
      <c r="N4" s="601">
        <f>IFERROR(INDEX('Final Calculation Sheet'!$F$4:$F$40,$S16-3),"")</f>
        <v/>
      </c>
      <c r="O4" s="490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540" t="inlineStr">
        <is>
          <t>Quantity</t>
        </is>
      </c>
      <c r="B5" s="69">
        <f>IFERROR(IF(INDEX('Final Calculation Sheet'!$A$4:$A$40,$S4-3)="","",INDEX('Final Calculation Sheet'!$A$4:$A$40,$S4-3)),"")</f>
        <v/>
      </c>
      <c r="C5" s="541">
        <f>IFERROR(IF(INDEX('Final Calculation Sheet'!$A$4:$A$40,$S5-3)="","",INDEX('Final Calculation Sheet'!$A$4:$A$40,$S5-3)),"")</f>
        <v/>
      </c>
      <c r="D5" s="69">
        <f>IFERROR(IF(INDEX('Final Calculation Sheet'!$A$4:$A$40,$S6-3)="","",INDEX('Final Calculation Sheet'!$A$4:$A$40,$S6-3)),"")</f>
        <v/>
      </c>
      <c r="E5" s="541">
        <f>IFERROR(IF(INDEX('Final Calculation Sheet'!$A$4:$A$40,$S7-3)="","",INDEX('Final Calculation Sheet'!$A$4:$A$40,$S7-3)),"")</f>
        <v/>
      </c>
      <c r="F5" s="69">
        <f>IFERROR(IF(INDEX('Final Calculation Sheet'!$A$4:$A$40,$S8-3)="","",INDEX('Final Calculation Sheet'!$A$4:$A$40,$S8-3)),"")</f>
        <v/>
      </c>
      <c r="G5" s="541">
        <f>IFERROR(IF(INDEX('Final Calculation Sheet'!$A$4:$A$40,$S9-3)="","",INDEX('Final Calculation Sheet'!$A$4:$A$40,$S9-3)),"")</f>
        <v/>
      </c>
      <c r="H5" s="69">
        <f>IFERROR(IF(INDEX('Final Calculation Sheet'!$A$4:$A$40,$S10-3)="","",INDEX('Final Calculation Sheet'!$A$4:$A$40,$S10-3)),"")</f>
        <v/>
      </c>
      <c r="I5" s="541">
        <f>IFERROR(IF(INDEX('Final Calculation Sheet'!$A$4:$A$40,$S11-3)="","",INDEX('Final Calculation Sheet'!$A$4:$A$40,$S11-3)),"")</f>
        <v/>
      </c>
      <c r="J5" s="69">
        <f>IFERROR(IF(INDEX('Final Calculation Sheet'!$A$4:$A$40,$S12-3)="","",INDEX('Final Calculation Sheet'!$A$4:$A$40,$S12-3)),"")</f>
        <v/>
      </c>
      <c r="K5" s="541">
        <f>IFERROR(IF(INDEX('Final Calculation Sheet'!$A$4:$A$40,$S13-3)="","",INDEX('Final Calculation Sheet'!$A$4:$A$40,$S13-3)),"")</f>
        <v/>
      </c>
      <c r="L5" s="69">
        <f>IFERROR(IF(INDEX('Final Calculation Sheet'!$A$4:$A$40,$S14-3)="","",INDEX('Final Calculation Sheet'!$A$4:$A$40,$S14-3)),"")</f>
        <v/>
      </c>
      <c r="M5" s="541">
        <f>IFERROR(IF(INDEX('Final Calculation Sheet'!$A$4:$A$40,$S15-3)="","",INDEX('Final Calculation Sheet'!$A$4:$A$40,$S15-3)),"")</f>
        <v/>
      </c>
      <c r="N5" s="69">
        <f>IFERROR(IF(INDEX('Final Calculation Sheet'!$A$4:$A$40,$S16-3)="","",INDEX('Final Calculation Sheet'!$A$4:$A$40,$S16-3)),"")</f>
        <v/>
      </c>
      <c r="O5" s="542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543" t="inlineStr">
        <is>
          <t>Lot Name</t>
        </is>
      </c>
      <c r="B6" s="69">
        <f>IFERROR(IF(INDEX('Final Calculation Sheet'!$B$4:$B$40,$S4-3)="","",INDEX('Final Calculation Sheet'!$B$4:$B$40,$S4-3)),"")</f>
        <v/>
      </c>
      <c r="C6" s="541">
        <f>IFERROR(IF(INDEX('Final Calculation Sheet'!$B$4:$B$40,$S5-3)="","",INDEX('Final Calculation Sheet'!$B$4:$B$40,$S5-3)),"")</f>
        <v/>
      </c>
      <c r="D6" s="69">
        <f>IFERROR(IF(INDEX('Final Calculation Sheet'!$B$4:$B$40,$S6-3)="","",INDEX('Final Calculation Sheet'!$B$4:$B$40,$S6-3)),"")</f>
        <v/>
      </c>
      <c r="E6" s="541">
        <f>IFERROR(IF(INDEX('Final Calculation Sheet'!$B$4:$B$40,$S7-3)="","",INDEX('Final Calculation Sheet'!$B$4:$B$40,$S7-3)),"")</f>
        <v/>
      </c>
      <c r="F6" s="69">
        <f>IFERROR(IF(INDEX('Final Calculation Sheet'!$B$4:$B$40,$S8-3)="","",INDEX('Final Calculation Sheet'!$B$4:$B$40,$S8-3)),"")</f>
        <v/>
      </c>
      <c r="G6" s="541">
        <f>IFERROR(IF(INDEX('Final Calculation Sheet'!$B$4:$B$40,$S9-3)="","",INDEX('Final Calculation Sheet'!$B$4:$B$40,$S9-3)),"")</f>
        <v/>
      </c>
      <c r="H6" s="69">
        <f>IFERROR(IF(INDEX('Final Calculation Sheet'!$B$4:$B$40,$S10-3)="","",INDEX('Final Calculation Sheet'!$B$4:$B$40,$S10-3)),"")</f>
        <v/>
      </c>
      <c r="I6" s="541">
        <f>IFERROR(IF(INDEX('Final Calculation Sheet'!$B$4:$B$40,$S11-3)="","",INDEX('Final Calculation Sheet'!$B$4:$B$40,$S11-3)),"")</f>
        <v/>
      </c>
      <c r="J6" s="69">
        <f>IFERROR(IF(INDEX('Final Calculation Sheet'!$B$4:$B$40,$S12-3)="","",INDEX('Final Calculation Sheet'!$B$4:$B$40,$S12-3)),"")</f>
        <v/>
      </c>
      <c r="K6" s="541">
        <f>IFERROR(IF(INDEX('Final Calculation Sheet'!$B$4:$B$40,$S13-3)="","",INDEX('Final Calculation Sheet'!$B$4:$B$40,$S13-3)),"")</f>
        <v/>
      </c>
      <c r="L6" s="69">
        <f>IFERROR(IF(INDEX('Final Calculation Sheet'!$B$4:$B$40,$S14-3)="","",INDEX('Final Calculation Sheet'!$B$4:$B$40,$S14-3)),"")</f>
        <v/>
      </c>
      <c r="M6" s="541">
        <f>IFERROR(IF(INDEX('Final Calculation Sheet'!$B$4:$B$40,$S15-3)="","",INDEX('Final Calculation Sheet'!$B$4:$B$40,$S15-3)),"")</f>
        <v/>
      </c>
      <c r="N6" s="69">
        <f>IFERROR(IF(INDEX('Final Calculation Sheet'!$B$4:$B$40,$S16-3)="","",INDEX('Final Calculation Sheet'!$B$4:$B$40,$S16-3)),"")</f>
        <v/>
      </c>
      <c r="O6" s="542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540" t="inlineStr">
        <is>
          <t>Rate</t>
        </is>
      </c>
      <c r="B7" s="544">
        <f>IFERROR(IF(INDEX('Final Calculation Sheet'!$C$4:$C$40,$S4-3)="","",INDEX('Final Calculation Sheet'!$C$4:$C$40,$S4-3)),"")</f>
        <v/>
      </c>
      <c r="C7" s="545">
        <f>IFERROR(IF(INDEX('Final Calculation Sheet'!$C$4:$C$40,$S5-3)="","",INDEX('Final Calculation Sheet'!$C$4:$C$40,$S5-3)),"")</f>
        <v/>
      </c>
      <c r="D7" s="544">
        <f>IFERROR(IF(INDEX('Final Calculation Sheet'!$C$4:$C$40,$S6-3)="","",INDEX('Final Calculation Sheet'!$C$4:$C$40,$S6-3)),"")</f>
        <v/>
      </c>
      <c r="E7" s="545">
        <f>IFERROR(IF(INDEX('Final Calculation Sheet'!$C$4:$C$40,$S7-3)="","",INDEX('Final Calculation Sheet'!$C$4:$C$40,$S7-3)),"")</f>
        <v/>
      </c>
      <c r="F7" s="544">
        <f>IFERROR(IF(INDEX('Final Calculation Sheet'!$C$4:$C$40,$S8-3)="","",INDEX('Final Calculation Sheet'!$C$4:$C$40,$S8-3)),"")</f>
        <v/>
      </c>
      <c r="G7" s="545">
        <f>IFERROR(IF(INDEX('Final Calculation Sheet'!$C$4:$C$40,$S9-3)="","",INDEX('Final Calculation Sheet'!$C$4:$C$40,$S9-3)),"")</f>
        <v/>
      </c>
      <c r="H7" s="544">
        <f>IFERROR(IF(INDEX('Final Calculation Sheet'!$C$4:$C$40,$S10-3)="","",INDEX('Final Calculation Sheet'!$C$4:$C$40,$S10-3)),"")</f>
        <v/>
      </c>
      <c r="I7" s="545">
        <f>IFERROR(IF(INDEX('Final Calculation Sheet'!$C$4:$C$40,$S11-3)="","",INDEX('Final Calculation Sheet'!$C$4:$C$40,$S11-3)),"")</f>
        <v/>
      </c>
      <c r="J7" s="544">
        <f>IFERROR(IF(INDEX('Final Calculation Sheet'!$C$4:$C$40,$S12-3)="","",INDEX('Final Calculation Sheet'!$C$4:$C$40,$S12-3)),"")</f>
        <v/>
      </c>
      <c r="K7" s="545">
        <f>IFERROR(IF(INDEX('Final Calculation Sheet'!$C$4:$C$40,$S13-3)="","",INDEX('Final Calculation Sheet'!$C$4:$C$40,$S13-3)),"")</f>
        <v/>
      </c>
      <c r="L7" s="544">
        <f>IFERROR(IF(INDEX('Final Calculation Sheet'!$C$4:$C$40,$S14-3)="","",INDEX('Final Calculation Sheet'!$C$4:$C$40,$S14-3)),"")</f>
        <v/>
      </c>
      <c r="M7" s="545">
        <f>IFERROR(IF(INDEX('Final Calculation Sheet'!$C$4:$C$40,$S15-3)="","",INDEX('Final Calculation Sheet'!$C$4:$C$40,$S15-3)),"")</f>
        <v/>
      </c>
      <c r="N7" s="544">
        <f>IFERROR(IF(INDEX('Final Calculation Sheet'!$C$4:$C$40,$S16-3)="","",INDEX('Final Calculation Sheet'!$C$4:$C$40,$S16-3)),"")</f>
        <v/>
      </c>
      <c r="O7" s="605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543" t="inlineStr">
        <is>
          <t>Bid Sheet</t>
        </is>
      </c>
      <c r="B8" s="69">
        <f>IFERROR(IF(INDEX('Final Calculation Sheet'!$D$4:$D$40,$S4-3)="","",INDEX('Final Calculation Sheet'!$D$4:$D$40,$S4-3)),"")</f>
        <v/>
      </c>
      <c r="C8" s="541">
        <f>IFERROR(IF(INDEX('Final Calculation Sheet'!$D$4:$D$40,$S5-3)="","",INDEX('Final Calculation Sheet'!$D$4:$D$40,$S5-3)),"")</f>
        <v/>
      </c>
      <c r="D8" s="69">
        <f>IFERROR(IF(INDEX('Final Calculation Sheet'!$D$4:$D$40,$S6-3)="","",INDEX('Final Calculation Sheet'!$D$4:$D$40,$S6-3)),"")</f>
        <v/>
      </c>
      <c r="E8" s="541">
        <f>IFERROR(IF(INDEX('Final Calculation Sheet'!$D$4:$D$40,$S7-3)="","",INDEX('Final Calculation Sheet'!$D$4:$D$40,$S7-3)),"")</f>
        <v/>
      </c>
      <c r="F8" s="69">
        <f>IFERROR(IF(INDEX('Final Calculation Sheet'!$D$4:$D$40,$S8-3)="","",INDEX('Final Calculation Sheet'!$D$4:$D$40,$S8-3)),"")</f>
        <v/>
      </c>
      <c r="G8" s="541">
        <f>IFERROR(IF(INDEX('Final Calculation Sheet'!$D$4:$D$40,$S9-3)="","",INDEX('Final Calculation Sheet'!$D$4:$D$40,$S9-3)),"")</f>
        <v/>
      </c>
      <c r="H8" s="69">
        <f>IFERROR(IF(INDEX('Final Calculation Sheet'!$D$4:$D$40,$S10-3)="","",INDEX('Final Calculation Sheet'!$D$4:$D$40,$S10-3)),"")</f>
        <v/>
      </c>
      <c r="I8" s="541">
        <f>IFERROR(IF(INDEX('Final Calculation Sheet'!$D$4:$D$40,$S11-3)="","",INDEX('Final Calculation Sheet'!$D$4:$D$40,$S11-3)),"")</f>
        <v/>
      </c>
      <c r="J8" s="69">
        <f>IFERROR(IF(INDEX('Final Calculation Sheet'!$D$4:$D$40,$S12-3)="","",INDEX('Final Calculation Sheet'!$D$4:$D$40,$S12-3)),"")</f>
        <v/>
      </c>
      <c r="K8" s="541">
        <f>IFERROR(IF(INDEX('Final Calculation Sheet'!$D$4:$D$40,$S13-3)="","",INDEX('Final Calculation Sheet'!$D$4:$D$40,$S13-3)),"")</f>
        <v/>
      </c>
      <c r="L8" s="69">
        <f>IFERROR(IF(INDEX('Final Calculation Sheet'!$D$4:$D$40,$S14-3)="","",INDEX('Final Calculation Sheet'!$D$4:$D$40,$S14-3)),"")</f>
        <v/>
      </c>
      <c r="M8" s="541">
        <f>IFERROR(IF(INDEX('Final Calculation Sheet'!$D$4:$D$40,$S15-3)="","",INDEX('Final Calculation Sheet'!$D$4:$D$40,$S15-3)),"")</f>
        <v/>
      </c>
      <c r="N8" s="69">
        <f>IFERROR(IF(INDEX('Final Calculation Sheet'!$D$4:$D$40,$S16-3)="","",INDEX('Final Calculation Sheet'!$D$4:$D$40,$S16-3)),"")</f>
        <v/>
      </c>
      <c r="O8" s="542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540" t="inlineStr">
        <is>
          <t>Unit</t>
        </is>
      </c>
      <c r="B9" s="69">
        <f>IFERROR(IF(INDEX('Final Calculation Sheet'!$E$4:$E$40,$S4-3)="","",INDEX('Final Calculation Sheet'!$E$4:$E$40,$S4-3)),"")</f>
        <v/>
      </c>
      <c r="C9" s="541">
        <f>IFERROR(IF(INDEX('Final Calculation Sheet'!$E$4:$E$40,$S5-3)="","",INDEX('Final Calculation Sheet'!$E$4:$E$40,$S5-3)),"")</f>
        <v/>
      </c>
      <c r="D9" s="69">
        <f>IFERROR(IF(INDEX('Final Calculation Sheet'!$E$4:$E$40,$S6-3)="","",INDEX('Final Calculation Sheet'!$E$4:$E$40,$S6-3)),"")</f>
        <v/>
      </c>
      <c r="E9" s="541">
        <f>IFERROR(IF(INDEX('Final Calculation Sheet'!$E$4:$E$40,$S7-3)="","",INDEX('Final Calculation Sheet'!$E$4:$E$40,$S7-3)),"")</f>
        <v/>
      </c>
      <c r="F9" s="69">
        <f>IFERROR(IF(INDEX('Final Calculation Sheet'!$E$4:$E$40,$S8-3)="","",INDEX('Final Calculation Sheet'!$E$4:$E$40,$S8-3)),"")</f>
        <v/>
      </c>
      <c r="G9" s="541">
        <f>IFERROR(IF(INDEX('Final Calculation Sheet'!$E$4:$E$40,$S9-3)="","",INDEX('Final Calculation Sheet'!$E$4:$E$40,$S9-3)),"")</f>
        <v/>
      </c>
      <c r="H9" s="69">
        <f>IFERROR(IF(INDEX('Final Calculation Sheet'!$E$4:$E$40,$S10-3)="","",INDEX('Final Calculation Sheet'!$E$4:$E$40,$S10-3)),"")</f>
        <v/>
      </c>
      <c r="I9" s="541">
        <f>IFERROR(IF(INDEX('Final Calculation Sheet'!$E$4:$E$40,$S11-3)="","",INDEX('Final Calculation Sheet'!$E$4:$E$40,$S11-3)),"")</f>
        <v/>
      </c>
      <c r="J9" s="69">
        <f>IFERROR(IF(INDEX('Final Calculation Sheet'!$E$4:$E$40,$S12-3)="","",INDEX('Final Calculation Sheet'!$E$4:$E$40,$S12-3)),"")</f>
        <v/>
      </c>
      <c r="K9" s="541">
        <f>IFERROR(IF(INDEX('Final Calculation Sheet'!$E$4:$E$40,$S13-3)="","",INDEX('Final Calculation Sheet'!$E$4:$E$40,$S13-3)),"")</f>
        <v/>
      </c>
      <c r="L9" s="69">
        <f>IFERROR(IF(INDEX('Final Calculation Sheet'!$E$4:$E$40,$S14-3)="","",INDEX('Final Calculation Sheet'!$E$4:$E$40,$S14-3)),"")</f>
        <v/>
      </c>
      <c r="M9" s="541">
        <f>IFERROR(IF(INDEX('Final Calculation Sheet'!$E$4:$E$40,$S15-3)="","",INDEX('Final Calculation Sheet'!$E$4:$E$40,$S15-3)),"")</f>
        <v/>
      </c>
      <c r="N9" s="69">
        <f>IFERROR(IF(INDEX('Final Calculation Sheet'!$E$4:$E$40,$S16-3)="","",INDEX('Final Calculation Sheet'!$E$4:$E$40,$S16-3)),"")</f>
        <v/>
      </c>
      <c r="O9" s="542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543" t="inlineStr">
        <is>
          <t>Lot No.</t>
        </is>
      </c>
      <c r="B10" s="69">
        <f>IFERROR(IF(INDEX('Final Calculation Sheet'!$F$4:$F$40,$S4-3)="","",INDEX('Final Calculation Sheet'!$F$4:$F$40,$S4-3)),"")</f>
        <v/>
      </c>
      <c r="C10" s="541">
        <f>IFERROR(IF(INDEX('Final Calculation Sheet'!$F$4:$F$40,$S5-3)="","",INDEX('Final Calculation Sheet'!$F$4:$F$40,$S5-3)),"")</f>
        <v/>
      </c>
      <c r="D10" s="69">
        <f>IFERROR(IF(INDEX('Final Calculation Sheet'!$F$4:$F$40,$S6-3)="","",INDEX('Final Calculation Sheet'!$F$4:$F$40,$S6-3)),"")</f>
        <v/>
      </c>
      <c r="E10" s="541">
        <f>IFERROR(IF(INDEX('Final Calculation Sheet'!$F$4:$F$40,$S7-3)="","",INDEX('Final Calculation Sheet'!$F$4:$F$40,$S7-3)),"")</f>
        <v/>
      </c>
      <c r="F10" s="69">
        <f>IFERROR(IF(INDEX('Final Calculation Sheet'!$F$4:$F$40,$S8-3)="","",INDEX('Final Calculation Sheet'!$F$4:$F$40,$S8-3)),"")</f>
        <v/>
      </c>
      <c r="G10" s="541">
        <f>IFERROR(IF(INDEX('Final Calculation Sheet'!$F$4:$F$40,$S9-3)="","",INDEX('Final Calculation Sheet'!$F$4:$F$40,$S9-3)),"")</f>
        <v/>
      </c>
      <c r="H10" s="69">
        <f>IFERROR(IF(INDEX('Final Calculation Sheet'!$F$4:$F$40,$S10-3)="","",INDEX('Final Calculation Sheet'!$F$4:$F$40,$S10-3)),"")</f>
        <v/>
      </c>
      <c r="I10" s="541">
        <f>IFERROR(IF(INDEX('Final Calculation Sheet'!$F$4:$F$40,$S11-3)="","",INDEX('Final Calculation Sheet'!$F$4:$F$40,$S11-3)),"")</f>
        <v/>
      </c>
      <c r="J10" s="69">
        <f>IFERROR(IF(INDEX('Final Calculation Sheet'!$F$4:$F$40,$S12-3)="","",INDEX('Final Calculation Sheet'!$F$4:$F$40,$S12-3)),"")</f>
        <v/>
      </c>
      <c r="K10" s="541">
        <f>IFERROR(IF(INDEX('Final Calculation Sheet'!$F$4:$F$40,$S13-3)="","",INDEX('Final Calculation Sheet'!$F$4:$F$40,$S13-3)),"")</f>
        <v/>
      </c>
      <c r="L10" s="69">
        <f>IFERROR(IF(INDEX('Final Calculation Sheet'!$F$4:$F$40,$S14-3)="","",INDEX('Final Calculation Sheet'!$F$4:$F$40,$S14-3)),"")</f>
        <v/>
      </c>
      <c r="M10" s="541">
        <f>IFERROR(IF(INDEX('Final Calculation Sheet'!$F$4:$F$40,$S15-3)="","",INDEX('Final Calculation Sheet'!$F$4:$F$40,$S15-3)),"")</f>
        <v/>
      </c>
      <c r="N10" s="69">
        <f>IFERROR(IF(INDEX('Final Calculation Sheet'!$F$4:$F$40,$S16-3)="","",INDEX('Final Calculation Sheet'!$F$4:$F$40,$S16-3)),"")</f>
        <v/>
      </c>
      <c r="O10" s="542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540" t="inlineStr">
        <is>
          <t>Buyer</t>
        </is>
      </c>
      <c r="B11" s="69">
        <f>IFERROR(IF(INDEX('Final Calculation Sheet'!$G$4:$G$40,$S4-3)="","",INDEX('Final Calculation Sheet'!$G$4:$G$40,$S4-3)),"")</f>
        <v/>
      </c>
      <c r="C11" s="541">
        <f>IFERROR(IF(INDEX('Final Calculation Sheet'!$G$4:$G$40,$S5-3)="","",INDEX('Final Calculation Sheet'!$G$4:$G$40,$S5-3)),"")</f>
        <v/>
      </c>
      <c r="D11" s="69">
        <f>IFERROR(IF(INDEX('Final Calculation Sheet'!$G$4:$G$40,$S6-3)="","",INDEX('Final Calculation Sheet'!$G$4:$G$40,$S6-3)),"")</f>
        <v/>
      </c>
      <c r="E11" s="541">
        <f>IFERROR(IF(INDEX('Final Calculation Sheet'!$G$4:$G$40,$S7-3)="","",INDEX('Final Calculation Sheet'!$G$4:$G$40,$S7-3)),"")</f>
        <v/>
      </c>
      <c r="F11" s="69">
        <f>IFERROR(IF(INDEX('Final Calculation Sheet'!$G$4:$G$40,$S8-3)="","",INDEX('Final Calculation Sheet'!$G$4:$G$40,$S8-3)),"")</f>
        <v/>
      </c>
      <c r="G11" s="541">
        <f>IFERROR(IF(INDEX('Final Calculation Sheet'!$G$4:$G$40,$S9-3)="","",INDEX('Final Calculation Sheet'!$G$4:$G$40,$S9-3)),"")</f>
        <v/>
      </c>
      <c r="H11" s="69">
        <f>IFERROR(IF(INDEX('Final Calculation Sheet'!$G$4:$G$40,$S10-3)="","",INDEX('Final Calculation Sheet'!$G$4:$G$40,$S10-3)),"")</f>
        <v/>
      </c>
      <c r="I11" s="541">
        <f>IFERROR(IF(INDEX('Final Calculation Sheet'!$G$4:$G$40,$S11-3)="","",INDEX('Final Calculation Sheet'!$G$4:$G$40,$S11-3)),"")</f>
        <v/>
      </c>
      <c r="J11" s="69">
        <f>IFERROR(IF(INDEX('Final Calculation Sheet'!$G$4:$G$40,$S12-3)="","",INDEX('Final Calculation Sheet'!$G$4:$G$40,$S12-3)),"")</f>
        <v/>
      </c>
      <c r="K11" s="541">
        <f>IFERROR(IF(INDEX('Final Calculation Sheet'!$G$4:$G$40,$S13-3)="","",INDEX('Final Calculation Sheet'!$G$4:$G$40,$S13-3)),"")</f>
        <v/>
      </c>
      <c r="L11" s="69">
        <f>IFERROR(IF(INDEX('Final Calculation Sheet'!$G$4:$G$40,$S14-3)="","",INDEX('Final Calculation Sheet'!$G$4:$G$40,$S14-3)),"")</f>
        <v/>
      </c>
      <c r="M11" s="541">
        <f>IFERROR(IF(INDEX('Final Calculation Sheet'!$G$4:$G$40,$S15-3)="","",INDEX('Final Calculation Sheet'!$G$4:$G$40,$S15-3)),"")</f>
        <v/>
      </c>
      <c r="N11" s="69">
        <f>IFERROR(IF(INDEX('Final Calculation Sheet'!$G$4:$G$40,$S16-3)="","",INDEX('Final Calculation Sheet'!$G$4:$G$40,$S16-3)),"")</f>
        <v/>
      </c>
      <c r="O11" s="542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543" t="inlineStr">
        <is>
          <t>Mat. Value</t>
        </is>
      </c>
      <c r="B12" s="544">
        <f>IFERROR(IF(INDEX('Final Calculation Sheet'!$H$4:$H$40,$S4-3)="","",INDEX('Final Calculation Sheet'!$H$4:$H$40,$S4-3)),"")</f>
        <v/>
      </c>
      <c r="C12" s="545">
        <f>IFERROR(IF(INDEX('Final Calculation Sheet'!$H$4:$H$40,$S5-3)="","",INDEX('Final Calculation Sheet'!$H$4:$H$40,$S5-3)),"")</f>
        <v/>
      </c>
      <c r="D12" s="544">
        <f>IFERROR(IF(INDEX('Final Calculation Sheet'!$H$4:$H$40,$S6-3)="","",INDEX('Final Calculation Sheet'!$H$4:$H$40,$S6-3)),"")</f>
        <v/>
      </c>
      <c r="E12" s="545">
        <f>IFERROR(IF(INDEX('Final Calculation Sheet'!$H$4:$H$40,$S7-3)="","",INDEX('Final Calculation Sheet'!$H$4:$H$40,$S7-3)),"")</f>
        <v/>
      </c>
      <c r="F12" s="544">
        <f>IFERROR(IF(INDEX('Final Calculation Sheet'!$H$4:$H$40,$S8-3)="","",INDEX('Final Calculation Sheet'!$H$4:$H$40,$S8-3)),"")</f>
        <v/>
      </c>
      <c r="G12" s="545">
        <f>IFERROR(IF(INDEX('Final Calculation Sheet'!$H$4:$H$40,$S9-3)="","",INDEX('Final Calculation Sheet'!$H$4:$H$40,$S9-3)),"")</f>
        <v/>
      </c>
      <c r="H12" s="544">
        <f>IFERROR(IF(INDEX('Final Calculation Sheet'!$H$4:$H$40,$S10-3)="","",INDEX('Final Calculation Sheet'!$H$4:$H$40,$S10-3)),"")</f>
        <v/>
      </c>
      <c r="I12" s="545">
        <f>IFERROR(IF(INDEX('Final Calculation Sheet'!$H$4:$H$40,$S11-3)="","",INDEX('Final Calculation Sheet'!$H$4:$H$40,$S11-3)),"")</f>
        <v/>
      </c>
      <c r="J12" s="544">
        <f>IFERROR(IF(INDEX('Final Calculation Sheet'!$H$4:$H$40,$S12-3)="","",INDEX('Final Calculation Sheet'!$H$4:$H$40,$S12-3)),"")</f>
        <v/>
      </c>
      <c r="K12" s="545">
        <f>IFERROR(IF(INDEX('Final Calculation Sheet'!$H$4:$H$40,$S13-3)="","",INDEX('Final Calculation Sheet'!$H$4:$H$40,$S13-3)),"")</f>
        <v/>
      </c>
      <c r="L12" s="544">
        <f>IFERROR(IF(INDEX('Final Calculation Sheet'!$H$4:$H$40,$S14-3)="","",INDEX('Final Calculation Sheet'!$H$4:$H$40,$S14-3)),"")</f>
        <v/>
      </c>
      <c r="M12" s="545">
        <f>IFERROR(IF(INDEX('Final Calculation Sheet'!$H$4:$H$40,$S15-3)="","",INDEX('Final Calculation Sheet'!$H$4:$H$40,$S15-3)),"")</f>
        <v/>
      </c>
      <c r="N12" s="544">
        <f>IFERROR(IF(INDEX('Final Calculation Sheet'!$H$4:$H$40,$S16-3)="","",INDEX('Final Calculation Sheet'!$H$4:$H$40,$S16-3)),"")</f>
        <v/>
      </c>
      <c r="O12" s="546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540" t="inlineStr">
        <is>
          <t>GST</t>
        </is>
      </c>
      <c r="B13" s="544">
        <f>IFERROR(IF(INDEX('Final Calculation Sheet'!$I$4:$I$40,$S4-3)="","",INDEX('Final Calculation Sheet'!$I$4:$I$40,$S4-3)),"")</f>
        <v/>
      </c>
      <c r="C13" s="545">
        <f>IFERROR(IF(INDEX('Final Calculation Sheet'!$I$4:$I$40,$S5-3)="","",INDEX('Final Calculation Sheet'!$I$4:$I$40,$S5-3)),"")</f>
        <v/>
      </c>
      <c r="D13" s="544">
        <f>IFERROR(IF(INDEX('Final Calculation Sheet'!$I$4:$I$40,$S6-3)="","",INDEX('Final Calculation Sheet'!$I$4:$I$40,$S6-3)),"")</f>
        <v/>
      </c>
      <c r="E13" s="545">
        <f>IFERROR(IF(INDEX('Final Calculation Sheet'!$I$4:$I$40,$S7-3)="","",INDEX('Final Calculation Sheet'!$I$4:$I$40,$S7-3)),"")</f>
        <v/>
      </c>
      <c r="F13" s="544">
        <f>IFERROR(IF(INDEX('Final Calculation Sheet'!$I$4:$I$40,$S8-3)="","",INDEX('Final Calculation Sheet'!$I$4:$I$40,$S8-3)),"")</f>
        <v/>
      </c>
      <c r="G13" s="545">
        <f>IFERROR(IF(INDEX('Final Calculation Sheet'!$I$4:$I$40,$S9-3)="","",INDEX('Final Calculation Sheet'!$I$4:$I$40,$S9-3)),"")</f>
        <v/>
      </c>
      <c r="H13" s="544">
        <f>IFERROR(IF(INDEX('Final Calculation Sheet'!$I$4:$I$40,$S10-3)="","",INDEX('Final Calculation Sheet'!$I$4:$I$40,$S10-3)),"")</f>
        <v/>
      </c>
      <c r="I13" s="545">
        <f>IFERROR(IF(INDEX('Final Calculation Sheet'!$I$4:$I$40,$S11-3)="","",INDEX('Final Calculation Sheet'!$I$4:$I$40,$S11-3)),"")</f>
        <v/>
      </c>
      <c r="J13" s="544">
        <f>IFERROR(IF(INDEX('Final Calculation Sheet'!$I$4:$I$40,$S12-3)="","",INDEX('Final Calculation Sheet'!$I$4:$I$40,$S12-3)),"")</f>
        <v/>
      </c>
      <c r="K13" s="545">
        <f>IFERROR(IF(INDEX('Final Calculation Sheet'!$I$4:$I$40,$S13-3)="","",INDEX('Final Calculation Sheet'!$I$4:$I$40,$S13-3)),"")</f>
        <v/>
      </c>
      <c r="L13" s="544">
        <f>IFERROR(IF(INDEX('Final Calculation Sheet'!$I$4:$I$40,$S14-3)="","",INDEX('Final Calculation Sheet'!$I$4:$I$40,$S14-3)),"")</f>
        <v/>
      </c>
      <c r="M13" s="545">
        <f>IFERROR(IF(INDEX('Final Calculation Sheet'!$I$4:$I$40,$S15-3)="","",INDEX('Final Calculation Sheet'!$I$4:$I$40,$S15-3)),"")</f>
        <v/>
      </c>
      <c r="N13" s="544">
        <f>IFERROR(IF(INDEX('Final Calculation Sheet'!$I$4:$I$40,$S16-3)="","",INDEX('Final Calculation Sheet'!$I$4:$I$40,$S16-3)),"")</f>
        <v/>
      </c>
      <c r="O13" s="546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543" t="inlineStr">
        <is>
          <t>Mat. Value + GST</t>
        </is>
      </c>
      <c r="B14" s="544">
        <f>IFERROR(IF(INDEX('Final Calculation Sheet'!$J$4:$J$40,$S4-3)="","",INDEX('Final Calculation Sheet'!$J$4:$J$40,$S4-3)),"")</f>
        <v/>
      </c>
      <c r="C14" s="545">
        <f>IFERROR(IF(INDEX('Final Calculation Sheet'!$J$4:$J$40,$S5-3)="","",INDEX('Final Calculation Sheet'!$J$4:$J$40,$S5-3)),"")</f>
        <v/>
      </c>
      <c r="D14" s="544">
        <f>IFERROR(IF(INDEX('Final Calculation Sheet'!$J$4:$J$40,$S6-3)="","",INDEX('Final Calculation Sheet'!$J$4:$J$40,$S6-3)),"")</f>
        <v/>
      </c>
      <c r="E14" s="545">
        <f>IFERROR(IF(INDEX('Final Calculation Sheet'!$J$4:$J$40,$S7-3)="","",INDEX('Final Calculation Sheet'!$J$4:$J$40,$S7-3)),"")</f>
        <v/>
      </c>
      <c r="F14" s="544">
        <f>IFERROR(IF(INDEX('Final Calculation Sheet'!$J$4:$J$40,$S8-3)="","",INDEX('Final Calculation Sheet'!$J$4:$J$40,$S8-3)),"")</f>
        <v/>
      </c>
      <c r="G14" s="545">
        <f>IFERROR(IF(INDEX('Final Calculation Sheet'!$J$4:$J$40,$S9-3)="","",INDEX('Final Calculation Sheet'!$J$4:$J$40,$S9-3)),"")</f>
        <v/>
      </c>
      <c r="H14" s="544">
        <f>IFERROR(IF(INDEX('Final Calculation Sheet'!$J$4:$J$40,$S10-3)="","",INDEX('Final Calculation Sheet'!$J$4:$J$40,$S10-3)),"")</f>
        <v/>
      </c>
      <c r="I14" s="545">
        <f>IFERROR(IF(INDEX('Final Calculation Sheet'!$J$4:$J$40,$S11-3)="","",INDEX('Final Calculation Sheet'!$J$4:$J$40,$S11-3)),"")</f>
        <v/>
      </c>
      <c r="J14" s="544">
        <f>IFERROR(IF(INDEX('Final Calculation Sheet'!$J$4:$J$40,$S12-3)="","",INDEX('Final Calculation Sheet'!$J$4:$J$40,$S12-3)),"")</f>
        <v/>
      </c>
      <c r="K14" s="545">
        <f>IFERROR(IF(INDEX('Final Calculation Sheet'!$J$4:$J$40,$S13-3)="","",INDEX('Final Calculation Sheet'!$J$4:$J$40,$S13-3)),"")</f>
        <v/>
      </c>
      <c r="L14" s="544">
        <f>IFERROR(IF(INDEX('Final Calculation Sheet'!$J$4:$J$40,$S14-3)="","",INDEX('Final Calculation Sheet'!$J$4:$J$40,$S14-3)),"")</f>
        <v/>
      </c>
      <c r="M14" s="545">
        <f>IFERROR(IF(INDEX('Final Calculation Sheet'!$J$4:$J$40,$S15-3)="","",INDEX('Final Calculation Sheet'!$J$4:$J$40,$S15-3)),"")</f>
        <v/>
      </c>
      <c r="N14" s="544">
        <f>IFERROR(IF(INDEX('Final Calculation Sheet'!$J$4:$J$40,$S16-3)="","",INDEX('Final Calculation Sheet'!$J$4:$J$40,$S16-3)),"")</f>
        <v/>
      </c>
      <c r="O14" s="546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540" t="inlineStr">
        <is>
          <t>TCS</t>
        </is>
      </c>
      <c r="B15" s="544">
        <f>IFERROR(IF(INDEX('Final Calculation Sheet'!$K$4:$K$40,$S4-3)="","",INDEX('Final Calculation Sheet'!$K$4:$K$40,$S4-3)),"")</f>
        <v/>
      </c>
      <c r="C15" s="545">
        <f>IFERROR(IF(INDEX('Final Calculation Sheet'!$K$4:$K$40,$S5-3)="","",INDEX('Final Calculation Sheet'!$K$4:$K$40,$S5-3)),"")</f>
        <v/>
      </c>
      <c r="D15" s="544">
        <f>IFERROR(IF(INDEX('Final Calculation Sheet'!$K$4:$K$40,$S6-3)="","",INDEX('Final Calculation Sheet'!$K$4:$K$40,$S6-3)),"")</f>
        <v/>
      </c>
      <c r="E15" s="545">
        <f>IFERROR(IF(INDEX('Final Calculation Sheet'!$K$4:$K$40,$S7-3)="","",INDEX('Final Calculation Sheet'!$K$4:$K$40,$S7-3)),"")</f>
        <v/>
      </c>
      <c r="F15" s="544">
        <f>IFERROR(IF(INDEX('Final Calculation Sheet'!$K$4:$K$40,$S8-3)="","",INDEX('Final Calculation Sheet'!$K$4:$K$40,$S8-3)),"")</f>
        <v/>
      </c>
      <c r="G15" s="545">
        <f>IFERROR(IF(INDEX('Final Calculation Sheet'!$K$4:$K$40,$S9-3)="","",INDEX('Final Calculation Sheet'!$K$4:$K$40,$S9-3)),"")</f>
        <v/>
      </c>
      <c r="H15" s="544">
        <f>IFERROR(IF(INDEX('Final Calculation Sheet'!$K$4:$K$40,$S10-3)="","",INDEX('Final Calculation Sheet'!$K$4:$K$40,$S10-3)),"")</f>
        <v/>
      </c>
      <c r="I15" s="545">
        <f>IFERROR(IF(INDEX('Final Calculation Sheet'!$K$4:$K$40,$S11-3)="","",INDEX('Final Calculation Sheet'!$K$4:$K$40,$S11-3)),"")</f>
        <v/>
      </c>
      <c r="J15" s="544">
        <f>IFERROR(IF(INDEX('Final Calculation Sheet'!$K$4:$K$40,$S12-3)="","",INDEX('Final Calculation Sheet'!$K$4:$K$40,$S12-3)),"")</f>
        <v/>
      </c>
      <c r="K15" s="545">
        <f>IFERROR(IF(INDEX('Final Calculation Sheet'!$K$4:$K$40,$S13-3)="","",INDEX('Final Calculation Sheet'!$K$4:$K$40,$S13-3)),"")</f>
        <v/>
      </c>
      <c r="L15" s="544">
        <f>IFERROR(IF(INDEX('Final Calculation Sheet'!$K$4:$K$40,$S14-3)="","",INDEX('Final Calculation Sheet'!$K$4:$K$40,$S14-3)),"")</f>
        <v/>
      </c>
      <c r="M15" s="545">
        <f>IFERROR(IF(INDEX('Final Calculation Sheet'!$K$4:$K$40,$S15-3)="","",INDEX('Final Calculation Sheet'!$K$4:$K$40,$S15-3)),"")</f>
        <v/>
      </c>
      <c r="N15" s="544">
        <f>IFERROR(IF(INDEX('Final Calculation Sheet'!$K$4:$K$40,$S16-3)="","",INDEX('Final Calculation Sheet'!$K$4:$K$40,$S16-3)),"")</f>
        <v/>
      </c>
      <c r="O15" s="546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543" t="inlineStr">
        <is>
          <t>TDS u/s 194(O)</t>
        </is>
      </c>
      <c r="B16" s="544">
        <f>IFERROR(IF(INDEX('Final Calculation Sheet'!$L$4:$L$40,$S4-3)="","",INDEX('Final Calculation Sheet'!$L$4:$L$40,$S4-3)),"")</f>
        <v/>
      </c>
      <c r="C16" s="545">
        <f>IFERROR(IF(INDEX('Final Calculation Sheet'!$L$4:$L$40,$S5-3)="","",INDEX('Final Calculation Sheet'!$L$4:$L$40,$S5-3)),"")</f>
        <v/>
      </c>
      <c r="D16" s="544">
        <f>IFERROR(IF(INDEX('Final Calculation Sheet'!$L$4:$L$40,$S6-3)="","",INDEX('Final Calculation Sheet'!$L$4:$L$40,$S6-3)),"")</f>
        <v/>
      </c>
      <c r="E16" s="545">
        <f>IFERROR(IF(INDEX('Final Calculation Sheet'!$L$4:$L$40,$S7-3)="","",INDEX('Final Calculation Sheet'!$L$4:$L$40,$S7-3)),"")</f>
        <v/>
      </c>
      <c r="F16" s="544">
        <f>IFERROR(IF(INDEX('Final Calculation Sheet'!$L$4:$L$40,$S8-3)="","",INDEX('Final Calculation Sheet'!$L$4:$L$40,$S8-3)),"")</f>
        <v/>
      </c>
      <c r="G16" s="545">
        <f>IFERROR(IF(INDEX('Final Calculation Sheet'!$L$4:$L$40,$S9-3)="","",INDEX('Final Calculation Sheet'!$L$4:$L$40,$S9-3)),"")</f>
        <v/>
      </c>
      <c r="H16" s="544">
        <f>IFERROR(IF(INDEX('Final Calculation Sheet'!$L$4:$L$40,$S10-3)="","",INDEX('Final Calculation Sheet'!$L$4:$L$40,$S10-3)),"")</f>
        <v/>
      </c>
      <c r="I16" s="545">
        <f>IFERROR(IF(INDEX('Final Calculation Sheet'!$L$4:$L$40,$S11-3)="","",INDEX('Final Calculation Sheet'!$L$4:$L$40,$S11-3)),"")</f>
        <v/>
      </c>
      <c r="J16" s="544">
        <f>IFERROR(IF(INDEX('Final Calculation Sheet'!$L$4:$L$40,$S12-3)="","",INDEX('Final Calculation Sheet'!$L$4:$L$40,$S12-3)),"")</f>
        <v/>
      </c>
      <c r="K16" s="545">
        <f>IFERROR(IF(INDEX('Final Calculation Sheet'!$L$4:$L$40,$S13-3)="","",INDEX('Final Calculation Sheet'!$L$4:$L$40,$S13-3)),"")</f>
        <v/>
      </c>
      <c r="L16" s="544">
        <f>IFERROR(IF(INDEX('Final Calculation Sheet'!$L$4:$L$40,$S14-3)="","",INDEX('Final Calculation Sheet'!$L$4:$L$40,$S14-3)),"")</f>
        <v/>
      </c>
      <c r="M16" s="545">
        <f>IFERROR(IF(INDEX('Final Calculation Sheet'!$L$4:$L$40,$S15-3)="","",INDEX('Final Calculation Sheet'!$L$4:$L$40,$S15-3)),"")</f>
        <v/>
      </c>
      <c r="N16" s="544">
        <f>IFERROR(IF(INDEX('Final Calculation Sheet'!$L$4:$L$40,$S16-3)="","",INDEX('Final Calculation Sheet'!$L$4:$L$40,$S16-3)),"")</f>
        <v/>
      </c>
      <c r="O16" s="546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540" t="inlineStr">
        <is>
          <t>Service Charge to MSTC</t>
        </is>
      </c>
      <c r="B17" s="544">
        <f>IFERROR(IF(INDEX('Final Calculation Sheet'!$M$4:$M$40,$S4-3)="","",INDEX('Final Calculation Sheet'!$M$4:$M$40,$S4-3)),"")</f>
        <v/>
      </c>
      <c r="C17" s="545">
        <f>IFERROR(IF(INDEX('Final Calculation Sheet'!$M$4:$M$40,$S5-3)="","",INDEX('Final Calculation Sheet'!$M$4:$M$40,$S5-3)),"")</f>
        <v/>
      </c>
      <c r="D17" s="544">
        <f>IFERROR(IF(INDEX('Final Calculation Sheet'!$M$4:$M$40,$S6-3)="","",INDEX('Final Calculation Sheet'!$M$4:$M$40,$S6-3)),"")</f>
        <v/>
      </c>
      <c r="E17" s="545">
        <f>IFERROR(IF(INDEX('Final Calculation Sheet'!$M$4:$M$40,$S7-3)="","",INDEX('Final Calculation Sheet'!$M$4:$M$40,$S7-3)),"")</f>
        <v/>
      </c>
      <c r="F17" s="544">
        <f>IFERROR(IF(INDEX('Final Calculation Sheet'!$M$4:$M$40,$S8-3)="","",INDEX('Final Calculation Sheet'!$M$4:$M$40,$S8-3)),"")</f>
        <v/>
      </c>
      <c r="G17" s="545">
        <f>IFERROR(IF(INDEX('Final Calculation Sheet'!$M$4:$M$40,$S9-3)="","",INDEX('Final Calculation Sheet'!$M$4:$M$40,$S9-3)),"")</f>
        <v/>
      </c>
      <c r="H17" s="544">
        <f>IFERROR(IF(INDEX('Final Calculation Sheet'!$M$4:$M$40,$S10-3)="","",INDEX('Final Calculation Sheet'!$M$4:$M$40,$S10-3)),"")</f>
        <v/>
      </c>
      <c r="I17" s="545">
        <f>IFERROR(IF(INDEX('Final Calculation Sheet'!$M$4:$M$40,$S11-3)="","",INDEX('Final Calculation Sheet'!$M$4:$M$40,$S11-3)),"")</f>
        <v/>
      </c>
      <c r="J17" s="544">
        <f>IFERROR(IF(INDEX('Final Calculation Sheet'!$M$4:$M$40,$S12-3)="","",INDEX('Final Calculation Sheet'!$M$4:$M$40,$S12-3)),"")</f>
        <v/>
      </c>
      <c r="K17" s="545">
        <f>IFERROR(IF(INDEX('Final Calculation Sheet'!$M$4:$M$40,$S13-3)="","",INDEX('Final Calculation Sheet'!$M$4:$M$40,$S13-3)),"")</f>
        <v/>
      </c>
      <c r="L17" s="544">
        <f>IFERROR(IF(INDEX('Final Calculation Sheet'!$M$4:$M$40,$S14-3)="","",INDEX('Final Calculation Sheet'!$M$4:$M$40,$S14-3)),"")</f>
        <v/>
      </c>
      <c r="M17" s="545">
        <f>IFERROR(IF(INDEX('Final Calculation Sheet'!$M$4:$M$40,$S15-3)="","",INDEX('Final Calculation Sheet'!$M$4:$M$40,$S15-3)),"")</f>
        <v/>
      </c>
      <c r="N17" s="544">
        <f>IFERROR(IF(INDEX('Final Calculation Sheet'!$M$4:$M$40,$S16-3)="","",INDEX('Final Calculation Sheet'!$M$4:$M$40,$S16-3)),"")</f>
        <v/>
      </c>
      <c r="O17" s="546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Sheet'!$N$4:$N$40,$S4-3)="","",INDEX('Final Calculation Sheet'!$N$4:$N$40,$S4-3)),"")</f>
        <v/>
      </c>
      <c r="C18" s="548">
        <f>IFERROR(IF(INDEX('Final Calculation Sheet'!$N$4:$N$40,$S5-3)="","",INDEX('Final Calculation Sheet'!$N$4:$N$40,$S5-3)),"")</f>
        <v/>
      </c>
      <c r="D18" s="547">
        <f>IFERROR(IF(INDEX('Final Calculation Sheet'!$N$4:$N$40,$S6-3)="","",INDEX('Final Calculation Sheet'!$N$4:$N$40,$S6-3)),"")</f>
        <v/>
      </c>
      <c r="E18" s="548">
        <f>IFERROR(IF(INDEX('Final Calculation Sheet'!$N$4:$N$40,$S7-3)="","",INDEX('Final Calculation Sheet'!$N$4:$N$40,$S7-3)),"")</f>
        <v/>
      </c>
      <c r="F18" s="547">
        <f>IFERROR(IF(INDEX('Final Calculation Sheet'!$N$4:$N$40,$S8-3)="","",INDEX('Final Calculation Sheet'!$N$4:$N$40,$S8-3)),"")</f>
        <v/>
      </c>
      <c r="G18" s="548">
        <f>IFERROR(IF(INDEX('Final Calculation Sheet'!$N$4:$N$40,$S9-3)="","",INDEX('Final Calculation Sheet'!$N$4:$N$40,$S9-3)),"")</f>
        <v/>
      </c>
      <c r="H18" s="547">
        <f>IFERROR(IF(INDEX('Final Calculation Sheet'!$N$4:$N$40,$S10-3)="","",INDEX('Final Calculation Sheet'!$N$4:$N$40,$S10-3)),"")</f>
        <v/>
      </c>
      <c r="I18" s="548">
        <f>IFERROR(IF(INDEX('Final Calculation Sheet'!$N$4:$N$40,$S11-3)="","",INDEX('Final Calculation Sheet'!$N$4:$N$40,$S11-3)),"")</f>
        <v/>
      </c>
      <c r="J18" s="547">
        <f>IFERROR(IF(INDEX('Final Calculation Sheet'!$N$4:$N$40,$S12-3)="","",INDEX('Final Calculation Sheet'!$N$4:$N$40,$S12-3)),"")</f>
        <v/>
      </c>
      <c r="K18" s="548">
        <f>IFERROR(IF(INDEX('Final Calculation Sheet'!$N$4:$N$40,$S13-3)="","",INDEX('Final Calculation Sheet'!$N$4:$N$40,$S13-3)),"")</f>
        <v/>
      </c>
      <c r="L18" s="547">
        <f>IFERROR(IF(INDEX('Final Calculation Sheet'!$N$4:$N$40,$S14-3)="","",INDEX('Final Calculation Sheet'!$N$4:$N$40,$S14-3)),"")</f>
        <v/>
      </c>
      <c r="M18" s="548">
        <f>IFERROR(IF(INDEX('Final Calculation Sheet'!$N$4:$N$40,$S15-3)="","",INDEX('Final Calculation Sheet'!$N$4:$N$40,$S15-3)),"")</f>
        <v/>
      </c>
      <c r="N18" s="547">
        <f>IFERROR(IF(INDEX('Final Calculation Sheet'!$N$4:$N$40,$S16-3)="","",INDEX('Final Calculation Sheet'!$N$4:$N$40,$S16-3)),"")</f>
        <v/>
      </c>
      <c r="O18" s="414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Sheet'!$O$4:$O$40,$S4-3)="","",INDEX('Final Calculation Sheet'!$O$4:$O$40,$S4-3)),"")</f>
        <v/>
      </c>
      <c r="C19" s="545">
        <f>IFERROR(IF(INDEX('Final Calculation Sheet'!$O$4:$O$40,$S5-3)="","",INDEX('Final Calculation Sheet'!$O$4:$O$40,$S5-3)),"")</f>
        <v/>
      </c>
      <c r="D19" s="544">
        <f>IFERROR(IF(INDEX('Final Calculation Sheet'!$O$4:$O$40,$S6-3)="","",INDEX('Final Calculation Sheet'!$O$4:$O$40,$S6-3)),"")</f>
        <v/>
      </c>
      <c r="E19" s="545">
        <f>IFERROR(IF(INDEX('Final Calculation Sheet'!$O$4:$O$40,$S7-3)="","",INDEX('Final Calculation Sheet'!$O$4:$O$40,$S7-3)),"")</f>
        <v/>
      </c>
      <c r="F19" s="544">
        <f>IFERROR(IF(INDEX('Final Calculation Sheet'!$O$4:$O$40,$S8-3)="","",INDEX('Final Calculation Sheet'!$O$4:$O$40,$S8-3)),"")</f>
        <v/>
      </c>
      <c r="G19" s="545">
        <f>IFERROR(IF(INDEX('Final Calculation Sheet'!$O$4:$O$40,$S9-3)="","",INDEX('Final Calculation Sheet'!$O$4:$O$40,$S9-3)),"")</f>
        <v/>
      </c>
      <c r="H19" s="544">
        <f>IFERROR(IF(INDEX('Final Calculation Sheet'!$O$4:$O$40,$S10-3)="","",INDEX('Final Calculation Sheet'!$O$4:$O$40,$S10-3)),"")</f>
        <v/>
      </c>
      <c r="I19" s="545">
        <f>IFERROR(IF(INDEX('Final Calculation Sheet'!$O$4:$O$40,$S11-3)="","",INDEX('Final Calculation Sheet'!$O$4:$O$40,$S11-3)),"")</f>
        <v/>
      </c>
      <c r="J19" s="544">
        <f>IFERROR(IF(INDEX('Final Calculation Sheet'!$O$4:$O$40,$S12-3)="","",INDEX('Final Calculation Sheet'!$O$4:$O$40,$S12-3)),"")</f>
        <v/>
      </c>
      <c r="K19" s="545">
        <f>IFERROR(IF(INDEX('Final Calculation Sheet'!$O$4:$O$40,$S13-3)="","",INDEX('Final Calculation Sheet'!$O$4:$O$40,$S13-3)),"")</f>
        <v/>
      </c>
      <c r="L19" s="544">
        <f>IFERROR(IF(INDEX('Final Calculation Sheet'!$O$4:$O$40,$S14-3)="","",INDEX('Final Calculation Sheet'!$O$4:$O$40,$S14-3)),"")</f>
        <v/>
      </c>
      <c r="M19" s="545">
        <f>IFERROR(IF(INDEX('Final Calculation Sheet'!$O$4:$O$40,$S15-3)="","",INDEX('Final Calculation Sheet'!$O$4:$O$40,$S15-3)),"")</f>
        <v/>
      </c>
      <c r="N19" s="544">
        <f>IFERROR(IF(INDEX('Final Calculation Sheet'!$O$4:$O$40,$S16-3)="","",INDEX('Final Calculation Sheet'!$O$4:$O$40,$S16-3)),"")</f>
        <v/>
      </c>
      <c r="O19" s="546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Sheet'!$P$4:$P$40,$S4-3)="","",INDEX('Final Calculation Sheet'!$P$4:$P$40,$S4-3)),"")</f>
        <v/>
      </c>
      <c r="C20" s="545">
        <f>IFERROR(IF(INDEX('Final Calculation Sheet'!$P$4:$P$40,$S5-3)="","",INDEX('Final Calculation Sheet'!$P$4:$P$40,$S5-3)),"")</f>
        <v/>
      </c>
      <c r="D20" s="544">
        <f>IFERROR(IF(INDEX('Final Calculation Sheet'!$P$4:$P$40,$S6-3)="","",INDEX('Final Calculation Sheet'!$P$4:$P$40,$S6-3)),"")</f>
        <v/>
      </c>
      <c r="E20" s="545">
        <f>IFERROR(IF(INDEX('Final Calculation Sheet'!$P$4:$P$40,$S7-3)="","",INDEX('Final Calculation Sheet'!$P$4:$P$40,$S7-3)),"")</f>
        <v/>
      </c>
      <c r="F20" s="544">
        <f>IFERROR(IF(INDEX('Final Calculation Sheet'!$P$4:$P$40,$S8-3)="","",INDEX('Final Calculation Sheet'!$P$4:$P$40,$S8-3)),"")</f>
        <v/>
      </c>
      <c r="G20" s="545">
        <f>IFERROR(IF(INDEX('Final Calculation Sheet'!$P$4:$P$40,$S9-3)="","",INDEX('Final Calculation Sheet'!$P$4:$P$40,$S9-3)),"")</f>
        <v/>
      </c>
      <c r="H20" s="544">
        <f>IFERROR(IF(INDEX('Final Calculation Sheet'!$P$4:$P$40,$S10-3)="","",INDEX('Final Calculation Sheet'!$P$4:$P$40,$S10-3)),"")</f>
        <v/>
      </c>
      <c r="I20" s="545">
        <f>IFERROR(IF(INDEX('Final Calculation Sheet'!$P$4:$P$40,$S11-3)="","",INDEX('Final Calculation Sheet'!$P$4:$P$40,$S11-3)),"")</f>
        <v/>
      </c>
      <c r="J20" s="544">
        <f>IFERROR(IF(INDEX('Final Calculation Sheet'!$P$4:$P$40,$S12-3)="","",INDEX('Final Calculation Sheet'!$P$4:$P$40,$S12-3)),"")</f>
        <v/>
      </c>
      <c r="K20" s="545">
        <f>IFERROR(IF(INDEX('Final Calculation Sheet'!$P$4:$P$40,$S13-3)="","",INDEX('Final Calculation Sheet'!$P$4:$P$40,$S13-3)),"")</f>
        <v/>
      </c>
      <c r="L20" s="544">
        <f>IFERROR(IF(INDEX('Final Calculation Sheet'!$P$4:$P$40,$S14-3)="","",INDEX('Final Calculation Sheet'!$P$4:$P$40,$S14-3)),"")</f>
        <v/>
      </c>
      <c r="M20" s="545">
        <f>IFERROR(IF(INDEX('Final Calculation Sheet'!$P$4:$P$40,$S15-3)="","",INDEX('Final Calculation Sheet'!$P$4:$P$40,$S15-3)),"")</f>
        <v/>
      </c>
      <c r="N20" s="544">
        <f>IFERROR(IF(INDEX('Final Calculation Sheet'!$P$4:$P$40,$S16-3)="","",INDEX('Final Calculation Sheet'!$P$4:$P$40,$S16-3)),"")</f>
        <v/>
      </c>
      <c r="O20" s="546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Sheet'!$Q$4:$Q$40,$S4-3)="","",INDEX('Final Calculation Sheet'!$Q$4:$Q$40,$S4-3)),"")</f>
        <v/>
      </c>
      <c r="C21" s="550">
        <f>IFERROR(IF(INDEX('Final Calculation Sheet'!$Q$4:$Q$40,$S5-3)="","",INDEX('Final Calculation Sheet'!$Q$4:$Q$40,$S5-3)),"")</f>
        <v/>
      </c>
      <c r="D21" s="549">
        <f>IFERROR(IF(INDEX('Final Calculation Sheet'!$Q$4:$Q$40,$S6-3)="","",INDEX('Final Calculation Sheet'!$Q$4:$Q$40,$S6-3)),"")</f>
        <v/>
      </c>
      <c r="E21" s="550">
        <f>IFERROR(IF(INDEX('Final Calculation Sheet'!$Q$4:$Q$40,$S7-3)="","",INDEX('Final Calculation Sheet'!$Q$4:$Q$40,$S7-3)),"")</f>
        <v/>
      </c>
      <c r="F21" s="549">
        <f>IFERROR(IF(INDEX('Final Calculation Sheet'!$Q$4:$Q$40,$S8-3)="","",INDEX('Final Calculation Sheet'!$Q$4:$Q$40,$S8-3)),"")</f>
        <v/>
      </c>
      <c r="G21" s="550">
        <f>IFERROR(IF(INDEX('Final Calculation Sheet'!$Q$4:$Q$40,$S9-3)="","",INDEX('Final Calculation Sheet'!$Q$4:$Q$40,$S9-3)),"")</f>
        <v/>
      </c>
      <c r="H21" s="549">
        <f>IFERROR(IF(INDEX('Final Calculation Sheet'!$Q$4:$Q$40,$S10-3)="","",INDEX('Final Calculation Sheet'!$Q$4:$Q$40,$S10-3)),"")</f>
        <v/>
      </c>
      <c r="I21" s="550">
        <f>IFERROR(IF(INDEX('Final Calculation Sheet'!$Q$4:$Q$40,$S11-3)="","",INDEX('Final Calculation Sheet'!$Q$4:$Q$40,$S11-3)),"")</f>
        <v/>
      </c>
      <c r="J21" s="549">
        <f>IFERROR(IF(INDEX('Final Calculation Sheet'!$Q$4:$Q$40,$S12-3)="","",INDEX('Final Calculation Sheet'!$Q$4:$Q$40,$S12-3)),"")</f>
        <v/>
      </c>
      <c r="K21" s="550">
        <f>IFERROR(IF(INDEX('Final Calculation Sheet'!$Q$4:$Q$40,$S13-3)="","",INDEX('Final Calculation Sheet'!$Q$4:$Q$40,$S13-3)),"")</f>
        <v/>
      </c>
      <c r="L21" s="549">
        <f>IFERROR(IF(INDEX('Final Calculation Sheet'!$Q$4:$Q$40,$S14-3)="","",INDEX('Final Calculation Sheet'!$Q$4:$Q$40,$S14-3)),"")</f>
        <v/>
      </c>
      <c r="M21" s="550">
        <f>IFERROR(IF(INDEX('Final Calculation Sheet'!$Q$4:$Q$40,$S15-3)="","",INDEX('Final Calculation Sheet'!$Q$4:$Q$40,$S15-3)),"")</f>
        <v/>
      </c>
      <c r="N21" s="549">
        <f>IFERROR(IF(INDEX('Final Calculation Sheet'!$Q$4:$Q$40,$S16-3)="","",INDEX('Final Calculation Sheet'!$Q$4:$Q$40,$S16-3)),"")</f>
        <v/>
      </c>
      <c r="O21" s="605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Sheet'!$R$4:$R$40,$S4-3)="","",INDEX('Final Calculation Sheet'!$R$4:$R$40,$S4-3)),"")</f>
        <v/>
      </c>
      <c r="C22" s="545">
        <f>IFERROR(IF(INDEX('Final Calculation Sheet'!$R$4:$R$40,$S5-3)="","",INDEX('Final Calculation Sheet'!$R$4:$R$40,$S5-3)),"")</f>
        <v/>
      </c>
      <c r="D22" s="544">
        <f>IFERROR(IF(INDEX('Final Calculation Sheet'!$R$4:$R$40,$S6-3)="","",INDEX('Final Calculation Sheet'!$R$4:$R$40,$S6-3)),"")</f>
        <v/>
      </c>
      <c r="E22" s="545">
        <f>IFERROR(IF(INDEX('Final Calculation Sheet'!$R$4:$R$40,$S7-3)="","",INDEX('Final Calculation Sheet'!$R$4:$R$40,$S7-3)),"")</f>
        <v/>
      </c>
      <c r="F22" s="544">
        <f>IFERROR(IF(INDEX('Final Calculation Sheet'!$R$4:$R$40,$S8-3)="","",INDEX('Final Calculation Sheet'!$R$4:$R$40,$S8-3)),"")</f>
        <v/>
      </c>
      <c r="G22" s="545">
        <f>IFERROR(IF(INDEX('Final Calculation Sheet'!$R$4:$R$40,$S9-3)="","",INDEX('Final Calculation Sheet'!$R$4:$R$40,$S9-3)),"")</f>
        <v/>
      </c>
      <c r="H22" s="544">
        <f>IFERROR(IF(INDEX('Final Calculation Sheet'!$R$4:$R$40,$S10-3)="","",INDEX('Final Calculation Sheet'!$R$4:$R$40,$S10-3)),"")</f>
        <v/>
      </c>
      <c r="I22" s="545">
        <f>IFERROR(IF(INDEX('Final Calculation Sheet'!$R$4:$R$40,$S11-3)="","",INDEX('Final Calculation Sheet'!$R$4:$R$40,$S11-3)),"")</f>
        <v/>
      </c>
      <c r="J22" s="544">
        <f>IFERROR(IF(INDEX('Final Calculation Sheet'!$R$4:$R$40,$S12-3)="","",INDEX('Final Calculation Sheet'!$R$4:$R$40,$S12-3)),"")</f>
        <v/>
      </c>
      <c r="K22" s="545">
        <f>IFERROR(IF(INDEX('Final Calculation Sheet'!$R$4:$R$40,$S13-3)="","",INDEX('Final Calculation Sheet'!$R$4:$R$40,$S13-3)),"")</f>
        <v/>
      </c>
      <c r="L22" s="544">
        <f>IFERROR(IF(INDEX('Final Calculation Sheet'!$R$4:$R$40,$S14-3)="","",INDEX('Final Calculation Sheet'!$R$4:$R$40,$S14-3)),"")</f>
        <v/>
      </c>
      <c r="M22" s="545">
        <f>IFERROR(IF(INDEX('Final Calculation Sheet'!$R$4:$R$40,$S15-3)="","",INDEX('Final Calculation Sheet'!$R$4:$R$40,$S15-3)),"")</f>
        <v/>
      </c>
      <c r="N22" s="544">
        <f>IFERROR(IF(INDEX('Final Calculation Sheet'!$R$4:$R$40,$S16-3)="","",INDEX('Final Calculation Sheet'!$R$4:$R$40,$S16-3)),"")</f>
        <v/>
      </c>
      <c r="O22" s="546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Sheet'!$S$4:$S$40,$S4-3)="","",INDEX('Final Calculation Sheet'!$S$4:$S$40,$S4-3)),"")</f>
        <v/>
      </c>
      <c r="C23" s="545">
        <f>IFERROR(IF(INDEX('Final Calculation Sheet'!$S$4:$S$40,$S5-3)="","",INDEX('Final Calculation Sheet'!$S$4:$S$40,$S5-3)),"")</f>
        <v/>
      </c>
      <c r="D23" s="544">
        <f>IFERROR(IF(INDEX('Final Calculation Sheet'!$S$4:$S$40,$S6-3)="","",INDEX('Final Calculation Sheet'!$S$4:$S$40,$S6-3)),"")</f>
        <v/>
      </c>
      <c r="E23" s="545">
        <f>IFERROR(IF(INDEX('Final Calculation Sheet'!$S$4:$S$40,$S7-3)="","",INDEX('Final Calculation Sheet'!$S$4:$S$40,$S7-3)),"")</f>
        <v/>
      </c>
      <c r="F23" s="544">
        <f>IFERROR(IF(INDEX('Final Calculation Sheet'!$S$4:$S$40,$S8-3)="","",INDEX('Final Calculation Sheet'!$S$4:$S$40,$S8-3)),"")</f>
        <v/>
      </c>
      <c r="G23" s="545">
        <f>IFERROR(IF(INDEX('Final Calculation Sheet'!$S$4:$S$40,$S9-3)="","",INDEX('Final Calculation Sheet'!$S$4:$S$40,$S9-3)),"")</f>
        <v/>
      </c>
      <c r="H23" s="544">
        <f>IFERROR(IF(INDEX('Final Calculation Sheet'!$S$4:$S$40,$S10-3)="","",INDEX('Final Calculation Sheet'!$S$4:$S$40,$S10-3)),"")</f>
        <v/>
      </c>
      <c r="I23" s="545">
        <f>IFERROR(IF(INDEX('Final Calculation Sheet'!$S$4:$S$40,$S11-3)="","",INDEX('Final Calculation Sheet'!$S$4:$S$40,$S11-3)),"")</f>
        <v/>
      </c>
      <c r="J23" s="544">
        <f>IFERROR(IF(INDEX('Final Calculation Sheet'!$S$4:$S$40,$S12-3)="","",INDEX('Final Calculation Sheet'!$S$4:$S$40,$S12-3)),"")</f>
        <v/>
      </c>
      <c r="K23" s="545">
        <f>IFERROR(IF(INDEX('Final Calculation Sheet'!$S$4:$S$40,$S13-3)="","",INDEX('Final Calculation Sheet'!$S$4:$S$40,$S13-3)),"")</f>
        <v/>
      </c>
      <c r="L23" s="544">
        <f>IFERROR(IF(INDEX('Final Calculation Sheet'!$S$4:$S$40,$S14-3)="","",INDEX('Final Calculation Sheet'!$S$4:$S$40,$S14-3)),"")</f>
        <v/>
      </c>
      <c r="M23" s="545">
        <f>IFERROR(IF(INDEX('Final Calculation Sheet'!$S$4:$S$40,$S15-3)="","",INDEX('Final Calculation Sheet'!$S$4:$S$40,$S15-3)),"")</f>
        <v/>
      </c>
      <c r="N23" s="544">
        <f>IFERROR(IF(INDEX('Final Calculation Sheet'!$S$4:$S$40,$S16-3)="","",INDEX('Final Calculation Sheet'!$S$4:$S$40,$S16-3)),"")</f>
        <v/>
      </c>
      <c r="O23" s="546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Sheet'!$T$4:$T$40,$S4-3)="","",INDEX('Final Calculation Sheet'!$T$4:$T$40,$S4-3)),"")</f>
        <v/>
      </c>
      <c r="C24" s="545">
        <f>IFERROR(IF(INDEX('Final Calculation Sheet'!$T$4:$T$40,$S5-3)="","",INDEX('Final Calculation Sheet'!$T$4:$T$40,$S5-3)),"")</f>
        <v/>
      </c>
      <c r="D24" s="544">
        <f>IFERROR(IF(INDEX('Final Calculation Sheet'!$T$4:$T$40,$S6-3)="","",INDEX('Final Calculation Sheet'!$T$4:$T$40,$S6-3)),"")</f>
        <v/>
      </c>
      <c r="E24" s="545">
        <f>IFERROR(IF(INDEX('Final Calculation Sheet'!$T$4:$T$40,$S7-3)="","",INDEX('Final Calculation Sheet'!$T$4:$T$40,$S7-3)),"")</f>
        <v/>
      </c>
      <c r="F24" s="544">
        <f>IFERROR(IF(INDEX('Final Calculation Sheet'!$T$4:$T$40,$S8-3)="","",INDEX('Final Calculation Sheet'!$T$4:$T$40,$S8-3)),"")</f>
        <v/>
      </c>
      <c r="G24" s="545">
        <f>IFERROR(IF(INDEX('Final Calculation Sheet'!$T$4:$T$40,$S9-3)="","",INDEX('Final Calculation Sheet'!$T$4:$T$40,$S9-3)),"")</f>
        <v/>
      </c>
      <c r="H24" s="544">
        <f>IFERROR(IF(INDEX('Final Calculation Sheet'!$T$4:$T$40,$S10-3)="","",INDEX('Final Calculation Sheet'!$T$4:$T$40,$S10-3)),"")</f>
        <v/>
      </c>
      <c r="I24" s="545">
        <f>IFERROR(IF(INDEX('Final Calculation Sheet'!$T$4:$T$40,$S11-3)="","",INDEX('Final Calculation Sheet'!$T$4:$T$40,$S11-3)),"")</f>
        <v/>
      </c>
      <c r="J24" s="544">
        <f>IFERROR(IF(INDEX('Final Calculation Sheet'!$T$4:$T$40,$S12-3)="","",INDEX('Final Calculation Sheet'!$T$4:$T$40,$S12-3)),"")</f>
        <v/>
      </c>
      <c r="K24" s="545">
        <f>IFERROR(IF(INDEX('Final Calculation Sheet'!$T$4:$T$40,$S13-3)="","",INDEX('Final Calculation Sheet'!$T$4:$T$40,$S13-3)),"")</f>
        <v/>
      </c>
      <c r="L24" s="544">
        <f>IFERROR(IF(INDEX('Final Calculation Sheet'!$T$4:$T$40,$S14-3)="","",INDEX('Final Calculation Sheet'!$T$4:$T$40,$S14-3)),"")</f>
        <v/>
      </c>
      <c r="M24" s="545">
        <f>IFERROR(IF(INDEX('Final Calculation Sheet'!$T$4:$T$40,$S15-3)="","",INDEX('Final Calculation Sheet'!$T$4:$T$40,$S15-3)),"")</f>
        <v/>
      </c>
      <c r="N24" s="544">
        <f>IFERROR(IF(INDEX('Final Calculation Sheet'!$T$4:$T$40,$S16-3)="","",INDEX('Final Calculation Sheet'!$T$4:$T$40,$S16-3)),"")</f>
        <v/>
      </c>
      <c r="O24" s="546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Sheet'!$U$4:$U$40,$S4-3)="","",INDEX('Final Calculation Sheet'!$U$4:$U$40,$S4-3)),"")</f>
        <v/>
      </c>
      <c r="C25" s="553">
        <f>IFERROR(IF(INDEX('Final Calculation Sheet'!$U$4:$U$40,$S5-3)="","",INDEX('Final Calculation Sheet'!$U$4:$U$40,$S5-3)),"")</f>
        <v/>
      </c>
      <c r="D25" s="552">
        <f>IFERROR(IF(INDEX('Final Calculation Sheet'!$U$4:$U$40,$S6-3)="","",INDEX('Final Calculation Sheet'!$U$4:$U$40,$S6-3)),"")</f>
        <v/>
      </c>
      <c r="E25" s="553">
        <f>IFERROR(IF(INDEX('Final Calculation Sheet'!$U$4:$U$40,$S7-3)="","",INDEX('Final Calculation Sheet'!$U$4:$U$40,$S7-3)),"")</f>
        <v/>
      </c>
      <c r="F25" s="552">
        <f>IFERROR(IF(INDEX('Final Calculation Sheet'!$U$4:$U$40,$S8-3)="","",INDEX('Final Calculation Sheet'!$U$4:$U$40,$S8-3)),"")</f>
        <v/>
      </c>
      <c r="G25" s="553">
        <f>IFERROR(IF(INDEX('Final Calculation Sheet'!$U$4:$U$40,$S9-3)="","",INDEX('Final Calculation Sheet'!$U$4:$U$40,$S9-3)),"")</f>
        <v/>
      </c>
      <c r="H25" s="552">
        <f>IFERROR(IF(INDEX('Final Calculation Sheet'!$U$4:$U$40,$S10-3)="","",INDEX('Final Calculation Sheet'!$U$4:$U$40,$S10-3)),"")</f>
        <v/>
      </c>
      <c r="I25" s="553">
        <f>IFERROR(IF(INDEX('Final Calculation Sheet'!$U$4:$U$40,$S11-3)="","",INDEX('Final Calculation Sheet'!$U$4:$U$40,$S11-3)),"")</f>
        <v/>
      </c>
      <c r="J25" s="552">
        <f>IFERROR(IF(INDEX('Final Calculation Sheet'!$U$4:$U$40,$S12-3)="","",INDEX('Final Calculation Sheet'!$U$4:$U$40,$S12-3)),"")</f>
        <v/>
      </c>
      <c r="K25" s="553">
        <f>IFERROR(IF(INDEX('Final Calculation Sheet'!$U$4:$U$40,$S13-3)="","",INDEX('Final Calculation Sheet'!$U$4:$U$40,$S13-3)),"")</f>
        <v/>
      </c>
      <c r="L25" s="552">
        <f>IFERROR(IF(INDEX('Final Calculation Sheet'!$U$4:$U$40,$S14-3)="","",INDEX('Final Calculation Sheet'!$U$4:$U$40,$S14-3)),"")</f>
        <v/>
      </c>
      <c r="M25" s="553">
        <f>IFERROR(IF(INDEX('Final Calculation Sheet'!$U$4:$U$40,$S15-3)="","",INDEX('Final Calculation Sheet'!$U$4:$U$40,$S15-3)),"")</f>
        <v/>
      </c>
      <c r="N25" s="552">
        <f>IFERROR(IF(INDEX('Final Calculation Sheet'!$U$4:$U$40,$S16-3)="","",INDEX('Final Calculation Sheet'!$U$4:$U$40,$S16-3)),"")</f>
        <v/>
      </c>
      <c r="O25" s="554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Sheet'!$V$4:$V$40,$S4-3)="","",INDEX('Final Calculation Sheet'!$V$4:$V$40,$S4-3)),"")</f>
        <v/>
      </c>
      <c r="C26" s="545">
        <f>IFERROR(IF(INDEX('Final Calculation Sheet'!$V$4:$V$40,$S5-3)="","",INDEX('Final Calculation Sheet'!$V$4:$V$40,$S5-3)),"")</f>
        <v/>
      </c>
      <c r="D26" s="544">
        <f>IFERROR(IF(INDEX('Final Calculation Sheet'!$V$4:$V$40,$S6-3)="","",INDEX('Final Calculation Sheet'!$V$4:$V$40,$S6-3)),"")</f>
        <v/>
      </c>
      <c r="E26" s="545">
        <f>IFERROR(IF(INDEX('Final Calculation Sheet'!$V$4:$V$40,$S7-3)="","",INDEX('Final Calculation Sheet'!$V$4:$V$40,$S7-3)),"")</f>
        <v/>
      </c>
      <c r="F26" s="544">
        <f>IFERROR(IF(INDEX('Final Calculation Sheet'!$V$4:$V$40,$S8-3)="","",INDEX('Final Calculation Sheet'!$V$4:$V$40,$S8-3)),"")</f>
        <v/>
      </c>
      <c r="G26" s="545">
        <f>IFERROR(IF(INDEX('Final Calculation Sheet'!$V$4:$V$40,$S9-3)="","",INDEX('Final Calculation Sheet'!$V$4:$V$40,$S9-3)),"")</f>
        <v/>
      </c>
      <c r="H26" s="544">
        <f>IFERROR(IF(INDEX('Final Calculation Sheet'!$V$4:$V$40,$S10-3)="","",INDEX('Final Calculation Sheet'!$V$4:$V$40,$S10-3)),"")</f>
        <v/>
      </c>
      <c r="I26" s="545">
        <f>IFERROR(IF(INDEX('Final Calculation Sheet'!$V$4:$V$40,$S11-3)="","",INDEX('Final Calculation Sheet'!$V$4:$V$40,$S11-3)),"")</f>
        <v/>
      </c>
      <c r="J26" s="544">
        <f>IFERROR(IF(INDEX('Final Calculation Sheet'!$V$4:$V$40,$S12-3)="","",INDEX('Final Calculation Sheet'!$V$4:$V$40,$S12-3)),"")</f>
        <v/>
      </c>
      <c r="K26" s="545">
        <f>IFERROR(IF(INDEX('Final Calculation Sheet'!$V$4:$V$40,$S13-3)="","",INDEX('Final Calculation Sheet'!$V$4:$V$40,$S13-3)),"")</f>
        <v/>
      </c>
      <c r="L26" s="544">
        <f>IFERROR(IF(INDEX('Final Calculation Sheet'!$V$4:$V$40,$S14-3)="","",INDEX('Final Calculation Sheet'!$V$4:$V$40,$S14-3)),"")</f>
        <v/>
      </c>
      <c r="M26" s="545">
        <f>IFERROR(IF(INDEX('Final Calculation Sheet'!$V$4:$V$40,$S15-3)="","",INDEX('Final Calculation Sheet'!$V$4:$V$40,$S15-3)),"")</f>
        <v/>
      </c>
      <c r="N26" s="544">
        <f>IFERROR(IF(INDEX('Final Calculation Sheet'!$V$4:$V$40,$S16-3)="","",INDEX('Final Calculation Sheet'!$V$4:$V$40,$S16-3)),"")</f>
        <v/>
      </c>
      <c r="O26" s="605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Sheet'!$W$4:$W$40,$S4-3)="","",INDEX('Final Calculation Sheet'!$W$4:$W$40,$S4-3)),"")</f>
        <v/>
      </c>
      <c r="C27" s="545">
        <f>IFERROR(IF(INDEX('Final Calculation Sheet'!$W$4:$W$40,$S5-3)="","",INDEX('Final Calculation Sheet'!$W$4:$W$40,$S5-3)),"")</f>
        <v/>
      </c>
      <c r="D27" s="544">
        <f>IFERROR(IF(INDEX('Final Calculation Sheet'!$W$4:$W$40,$S6-3)="","",INDEX('Final Calculation Sheet'!$W$4:$W$40,$S6-3)),"")</f>
        <v/>
      </c>
      <c r="E27" s="545">
        <f>IFERROR(IF(INDEX('Final Calculation Sheet'!$W$4:$W$40,$S7-3)="","",INDEX('Final Calculation Sheet'!$W$4:$W$40,$S7-3)),"")</f>
        <v/>
      </c>
      <c r="F27" s="544">
        <f>IFERROR(IF(INDEX('Final Calculation Sheet'!$W$4:$W$40,$S8-3)="","",INDEX('Final Calculation Sheet'!$W$4:$W$40,$S8-3)),"")</f>
        <v/>
      </c>
      <c r="G27" s="545">
        <f>IFERROR(IF(INDEX('Final Calculation Sheet'!$W$4:$W$40,$S9-3)="","",INDEX('Final Calculation Sheet'!$W$4:$W$40,$S9-3)),"")</f>
        <v/>
      </c>
      <c r="H27" s="544">
        <f>IFERROR(IF(INDEX('Final Calculation Sheet'!$W$4:$W$40,$S10-3)="","",INDEX('Final Calculation Sheet'!$W$4:$W$40,$S10-3)),"")</f>
        <v/>
      </c>
      <c r="I27" s="545">
        <f>IFERROR(IF(INDEX('Final Calculation Sheet'!$W$4:$W$40,$S11-3)="","",INDEX('Final Calculation Sheet'!$W$4:$W$40,$S11-3)),"")</f>
        <v/>
      </c>
      <c r="J27" s="544">
        <f>IFERROR(IF(INDEX('Final Calculation Sheet'!$W$4:$W$40,$S12-3)="","",INDEX('Final Calculation Sheet'!$W$4:$W$40,$S12-3)),"")</f>
        <v/>
      </c>
      <c r="K27" s="545">
        <f>IFERROR(IF(INDEX('Final Calculation Sheet'!$W$4:$W$40,$S13-3)="","",INDEX('Final Calculation Sheet'!$W$4:$W$40,$S13-3)),"")</f>
        <v/>
      </c>
      <c r="L27" s="544">
        <f>IFERROR(IF(INDEX('Final Calculation Sheet'!$W$4:$W$40,$S14-3)="","",INDEX('Final Calculation Sheet'!$W$4:$W$40,$S14-3)),"")</f>
        <v/>
      </c>
      <c r="M27" s="545">
        <f>IFERROR(IF(INDEX('Final Calculation Sheet'!$W$4:$W$40,$S15-3)="","",INDEX('Final Calculation Sheet'!$W$4:$W$40,$S15-3)),"")</f>
        <v/>
      </c>
      <c r="N27" s="544">
        <f>IFERROR(IF(INDEX('Final Calculation Sheet'!$W$4:$W$40,$S16-3)="","",INDEX('Final Calculation Sheet'!$W$4:$W$40,$S16-3)),"")</f>
        <v/>
      </c>
      <c r="O27" s="546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Sheet'!$X$4:$X$40,$S4-3)="","",INDEX('Final Calculation Sheet'!$X$4:$X$40,$S4-3)),"")</f>
        <v/>
      </c>
      <c r="C28" s="545">
        <f>IFERROR(IF(INDEX('Final Calculation Sheet'!$X$4:$X$40,$S5-3)="","",INDEX('Final Calculation Sheet'!$X$4:$X$40,$S5-3)),"")</f>
        <v/>
      </c>
      <c r="D28" s="544">
        <f>IFERROR(IF(INDEX('Final Calculation Sheet'!$X$4:$X$40,$S6-3)="","",INDEX('Final Calculation Sheet'!$X$4:$X$40,$S6-3)),"")</f>
        <v/>
      </c>
      <c r="E28" s="545">
        <f>IFERROR(IF(INDEX('Final Calculation Sheet'!$X$4:$X$40,$S7-3)="","",INDEX('Final Calculation Sheet'!$X$4:$X$40,$S7-3)),"")</f>
        <v/>
      </c>
      <c r="F28" s="544">
        <f>IFERROR(IF(INDEX('Final Calculation Sheet'!$X$4:$X$40,$S8-3)="","",INDEX('Final Calculation Sheet'!$X$4:$X$40,$S8-3)),"")</f>
        <v/>
      </c>
      <c r="G28" s="545">
        <f>IFERROR(IF(INDEX('Final Calculation Sheet'!$X$4:$X$40,$S9-3)="","",INDEX('Final Calculation Sheet'!$X$4:$X$40,$S9-3)),"")</f>
        <v/>
      </c>
      <c r="H28" s="544">
        <f>IFERROR(IF(INDEX('Final Calculation Sheet'!$X$4:$X$40,$S10-3)="","",INDEX('Final Calculation Sheet'!$X$4:$X$40,$S10-3)),"")</f>
        <v/>
      </c>
      <c r="I28" s="545">
        <f>IFERROR(IF(INDEX('Final Calculation Sheet'!$X$4:$X$40,$S11-3)="","",INDEX('Final Calculation Sheet'!$X$4:$X$40,$S11-3)),"")</f>
        <v/>
      </c>
      <c r="J28" s="544">
        <f>IFERROR(IF(INDEX('Final Calculation Sheet'!$X$4:$X$40,$S12-3)="","",INDEX('Final Calculation Sheet'!$X$4:$X$40,$S12-3)),"")</f>
        <v/>
      </c>
      <c r="K28" s="545">
        <f>IFERROR(IF(INDEX('Final Calculation Sheet'!$X$4:$X$40,$S13-3)="","",INDEX('Final Calculation Sheet'!$X$4:$X$40,$S13-3)),"")</f>
        <v/>
      </c>
      <c r="L28" s="544">
        <f>IFERROR(IF(INDEX('Final Calculation Sheet'!$X$4:$X$40,$S14-3)="","",INDEX('Final Calculation Sheet'!$X$4:$X$40,$S14-3)),"")</f>
        <v/>
      </c>
      <c r="M28" s="545">
        <f>IFERROR(IF(INDEX('Final Calculation Sheet'!$X$4:$X$40,$S15-3)="","",INDEX('Final Calculation Sheet'!$X$4:$X$40,$S15-3)),"")</f>
        <v/>
      </c>
      <c r="N28" s="544">
        <f>IFERROR(IF(INDEX('Final Calculation Sheet'!$X$4:$X$40,$S16-3)="","",INDEX('Final Calculation Sheet'!$X$4:$X$40,$S16-3)),"")</f>
        <v/>
      </c>
      <c r="O28" s="546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Sheet'!$Y$4:$Y$40,$S4-3)="","",INDEX('Final Calculation Sheet'!$Y$4:$Y$40,$S4-3)),"")</f>
        <v/>
      </c>
      <c r="C29" s="545">
        <f>IFERROR(IF(INDEX('Final Calculation Sheet'!$Y$4:$Y$40,$S5-3)="","",INDEX('Final Calculation Sheet'!$Y$4:$Y$40,$S5-3)),"")</f>
        <v/>
      </c>
      <c r="D29" s="544">
        <f>IFERROR(IF(INDEX('Final Calculation Sheet'!$Y$4:$Y$40,$S6-3)="","",INDEX('Final Calculation Sheet'!$Y$4:$Y$40,$S6-3)),"")</f>
        <v/>
      </c>
      <c r="E29" s="545">
        <f>IFERROR(IF(INDEX('Final Calculation Sheet'!$Y$4:$Y$40,$S7-3)="","",INDEX('Final Calculation Sheet'!$Y$4:$Y$40,$S7-3)),"")</f>
        <v/>
      </c>
      <c r="F29" s="544">
        <f>IFERROR(IF(INDEX('Final Calculation Sheet'!$Y$4:$Y$40,$S8-3)="","",INDEX('Final Calculation Sheet'!$Y$4:$Y$40,$S8-3)),"")</f>
        <v/>
      </c>
      <c r="G29" s="545">
        <f>IFERROR(IF(INDEX('Final Calculation Sheet'!$Y$4:$Y$40,$S9-3)="","",INDEX('Final Calculation Sheet'!$Y$4:$Y$40,$S9-3)),"")</f>
        <v/>
      </c>
      <c r="H29" s="544">
        <f>IFERROR(IF(INDEX('Final Calculation Sheet'!$Y$4:$Y$40,$S10-3)="","",INDEX('Final Calculation Sheet'!$Y$4:$Y$40,$S10-3)),"")</f>
        <v/>
      </c>
      <c r="I29" s="545">
        <f>IFERROR(IF(INDEX('Final Calculation Sheet'!$Y$4:$Y$40,$S11-3)="","",INDEX('Final Calculation Sheet'!$Y$4:$Y$40,$S11-3)),"")</f>
        <v/>
      </c>
      <c r="J29" s="544">
        <f>IFERROR(IF(INDEX('Final Calculation Sheet'!$Y$4:$Y$40,$S12-3)="","",INDEX('Final Calculation Sheet'!$Y$4:$Y$40,$S12-3)),"")</f>
        <v/>
      </c>
      <c r="K29" s="545">
        <f>IFERROR(IF(INDEX('Final Calculation Sheet'!$Y$4:$Y$40,$S13-3)="","",INDEX('Final Calculation Sheet'!$Y$4:$Y$40,$S13-3)),"")</f>
        <v/>
      </c>
      <c r="L29" s="544">
        <f>IFERROR(IF(INDEX('Final Calculation Sheet'!$Y$4:$Y$40,$S14-3)="","",INDEX('Final Calculation Sheet'!$Y$4:$Y$40,$S14-3)),"")</f>
        <v/>
      </c>
      <c r="M29" s="545">
        <f>IFERROR(IF(INDEX('Final Calculation Sheet'!$Y$4:$Y$40,$S15-3)="","",INDEX('Final Calculation Sheet'!$Y$4:$Y$40,$S15-3)),"")</f>
        <v/>
      </c>
      <c r="N29" s="544">
        <f>IFERROR(IF(INDEX('Final Calculation Sheet'!$Y$4:$Y$40,$S16-3)="","",INDEX('Final Calculation Sheet'!$Y$4:$Y$40,$S16-3)),"")</f>
        <v/>
      </c>
      <c r="O29" s="605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Sheet'!$Z$4:$Z$40,$S4-3)="","",INDEX('Final Calculation Sheet'!$Z$4:$Z$40,$S4-3)),"")</f>
        <v/>
      </c>
      <c r="C30" s="545">
        <f>IFERROR(IF(INDEX('Final Calculation Sheet'!$Z$4:$Z$40,$S5-3)="","",INDEX('Final Calculation Sheet'!$Z$4:$Z$40,$S5-3)),"")</f>
        <v/>
      </c>
      <c r="D30" s="544">
        <f>IFERROR(IF(INDEX('Final Calculation Sheet'!$Z$4:$Z$40,$S6-3)="","",INDEX('Final Calculation Sheet'!$Z$4:$Z$40,$S6-3)),"")</f>
        <v/>
      </c>
      <c r="E30" s="545">
        <f>IFERROR(IF(INDEX('Final Calculation Sheet'!$Z$4:$Z$40,$S7-3)="","",INDEX('Final Calculation Sheet'!$Z$4:$Z$40,$S7-3)),"")</f>
        <v/>
      </c>
      <c r="F30" s="544">
        <f>IFERROR(IF(INDEX('Final Calculation Sheet'!$Z$4:$Z$40,$S8-3)="","",INDEX('Final Calculation Sheet'!$Z$4:$Z$40,$S8-3)),"")</f>
        <v/>
      </c>
      <c r="G30" s="545">
        <f>IFERROR(IF(INDEX('Final Calculation Sheet'!$Z$4:$Z$40,$S9-3)="","",INDEX('Final Calculation Sheet'!$Z$4:$Z$40,$S9-3)),"")</f>
        <v/>
      </c>
      <c r="H30" s="544">
        <f>IFERROR(IF(INDEX('Final Calculation Sheet'!$Z$4:$Z$40,$S10-3)="","",INDEX('Final Calculation Sheet'!$Z$4:$Z$40,$S10-3)),"")</f>
        <v/>
      </c>
      <c r="I30" s="545">
        <f>IFERROR(IF(INDEX('Final Calculation Sheet'!$Z$4:$Z$40,$S11-3)="","",INDEX('Final Calculation Sheet'!$Z$4:$Z$40,$S11-3)),"")</f>
        <v/>
      </c>
      <c r="J30" s="544">
        <f>IFERROR(IF(INDEX('Final Calculation Sheet'!$Z$4:$Z$40,$S12-3)="","",INDEX('Final Calculation Sheet'!$Z$4:$Z$40,$S12-3)),"")</f>
        <v/>
      </c>
      <c r="K30" s="545">
        <f>IFERROR(IF(INDEX('Final Calculation Sheet'!$Z$4:$Z$40,$S13-3)="","",INDEX('Final Calculation Sheet'!$Z$4:$Z$40,$S13-3)),"")</f>
        <v/>
      </c>
      <c r="L30" s="544">
        <f>IFERROR(IF(INDEX('Final Calculation Sheet'!$Z$4:$Z$40,$S14-3)="","",INDEX('Final Calculation Sheet'!$Z$4:$Z$40,$S14-3)),"")</f>
        <v/>
      </c>
      <c r="M30" s="545">
        <f>IFERROR(IF(INDEX('Final Calculation Sheet'!$Z$4:$Z$40,$S15-3)="","",INDEX('Final Calculation Sheet'!$Z$4:$Z$40,$S15-3)),"")</f>
        <v/>
      </c>
      <c r="N30" s="544">
        <f>IFERROR(IF(INDEX('Final Calculation Sheet'!$Z$4:$Z$40,$S16-3)="","",INDEX('Final Calculation Sheet'!$Z$4:$Z$40,$S16-3)),"")</f>
        <v/>
      </c>
      <c r="O30" s="546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Sheet'!$AA$4:$AA$40,$S4-3)="","",INDEX('Final Calculation Sheet'!$AA$4:$AA$40,$S4-3)),"")</f>
        <v/>
      </c>
      <c r="C31" s="545">
        <f>IFERROR(IF(INDEX('Final Calculation Sheet'!$AA$4:$AA$40,$S5-3)="","",INDEX('Final Calculation Sheet'!$AA$4:$AA$40,$S5-3)),"")</f>
        <v/>
      </c>
      <c r="D31" s="544">
        <f>IFERROR(IF(INDEX('Final Calculation Sheet'!$AA$4:$AA$40,$S6-3)="","",INDEX('Final Calculation Sheet'!$AA$4:$AA$40,$S6-3)),"")</f>
        <v/>
      </c>
      <c r="E31" s="545">
        <f>IFERROR(IF(INDEX('Final Calculation Sheet'!$AA$4:$AA$40,$S7-3)="","",INDEX('Final Calculation Sheet'!$AA$4:$AA$40,$S7-3)),"")</f>
        <v/>
      </c>
      <c r="F31" s="544">
        <f>IFERROR(IF(INDEX('Final Calculation Sheet'!$AA$4:$AA$40,$S8-3)="","",INDEX('Final Calculation Sheet'!$AA$4:$AA$40,$S8-3)),"")</f>
        <v/>
      </c>
      <c r="G31" s="545">
        <f>IFERROR(IF(INDEX('Final Calculation Sheet'!$AA$4:$AA$40,$S9-3)="","",INDEX('Final Calculation Sheet'!$AA$4:$AA$40,$S9-3)),"")</f>
        <v/>
      </c>
      <c r="H31" s="544">
        <f>IFERROR(IF(INDEX('Final Calculation Sheet'!$AA$4:$AA$40,$S10-3)="","",INDEX('Final Calculation Sheet'!$AA$4:$AA$40,$S10-3)),"")</f>
        <v/>
      </c>
      <c r="I31" s="545">
        <f>IFERROR(IF(INDEX('Final Calculation Sheet'!$AA$4:$AA$40,$S11-3)="","",INDEX('Final Calculation Sheet'!$AA$4:$AA$40,$S11-3)),"")</f>
        <v/>
      </c>
      <c r="J31" s="544">
        <f>IFERROR(IF(INDEX('Final Calculation Sheet'!$AA$4:$AA$40,$S12-3)="","",INDEX('Final Calculation Sheet'!$AA$4:$AA$40,$S12-3)),"")</f>
        <v/>
      </c>
      <c r="K31" s="545">
        <f>IFERROR(IF(INDEX('Final Calculation Sheet'!$AA$4:$AA$40,$S13-3)="","",INDEX('Final Calculation Sheet'!$AA$4:$AA$40,$S13-3)),"")</f>
        <v/>
      </c>
      <c r="L31" s="544">
        <f>IFERROR(IF(INDEX('Final Calculation Sheet'!$AA$4:$AA$40,$S14-3)="","",INDEX('Final Calculation Sheet'!$AA$4:$AA$40,$S14-3)),"")</f>
        <v/>
      </c>
      <c r="M31" s="545">
        <f>IFERROR(IF(INDEX('Final Calculation Sheet'!$AA$4:$AA$40,$S15-3)="","",INDEX('Final Calculation Sheet'!$AA$4:$AA$40,$S15-3)),"")</f>
        <v/>
      </c>
      <c r="N31" s="544">
        <f>IFERROR(IF(INDEX('Final Calculation Sheet'!$AA$4:$AA$40,$S16-3)="","",INDEX('Final Calculation Sheet'!$AA$4:$AA$40,$S16-3)),"")</f>
        <v/>
      </c>
      <c r="O31" s="546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Sheet'!$AB$4:$AB$40,$S4-3)="","",INDEX('Final Calculation Sheet'!$AB$4:$AB$40,$S4-3)),"")</f>
        <v/>
      </c>
      <c r="C32" s="545">
        <f>IFERROR(IF(INDEX('Final Calculation Sheet'!$AB$4:$AB$40,$S5-3)="","",INDEX('Final Calculation Sheet'!$AB$4:$AB$40,$S5-3)),"")</f>
        <v/>
      </c>
      <c r="D32" s="544">
        <f>IFERROR(IF(INDEX('Final Calculation Sheet'!$AB$4:$AB$40,$S6-3)="","",INDEX('Final Calculation Sheet'!$AB$4:$AB$40,$S6-3)),"")</f>
        <v/>
      </c>
      <c r="E32" s="545">
        <f>IFERROR(IF(INDEX('Final Calculation Sheet'!$AB$4:$AB$40,$S7-3)="","",INDEX('Final Calculation Sheet'!$AB$4:$AB$40,$S7-3)),"")</f>
        <v/>
      </c>
      <c r="F32" s="544">
        <f>IFERROR(IF(INDEX('Final Calculation Sheet'!$AB$4:$AB$40,$S8-3)="","",INDEX('Final Calculation Sheet'!$AB$4:$AB$40,$S8-3)),"")</f>
        <v/>
      </c>
      <c r="G32" s="545">
        <f>IFERROR(IF(INDEX('Final Calculation Sheet'!$AB$4:$AB$40,$S9-3)="","",INDEX('Final Calculation Sheet'!$AB$4:$AB$40,$S9-3)),"")</f>
        <v/>
      </c>
      <c r="H32" s="544">
        <f>IFERROR(IF(INDEX('Final Calculation Sheet'!$AB$4:$AB$40,$S10-3)="","",INDEX('Final Calculation Sheet'!$AB$4:$AB$40,$S10-3)),"")</f>
        <v/>
      </c>
      <c r="I32" s="545">
        <f>IFERROR(IF(INDEX('Final Calculation Sheet'!$AB$4:$AB$40,$S11-3)="","",INDEX('Final Calculation Sheet'!$AB$4:$AB$40,$S11-3)),"")</f>
        <v/>
      </c>
      <c r="J32" s="544">
        <f>IFERROR(IF(INDEX('Final Calculation Sheet'!$AB$4:$AB$40,$S12-3)="","",INDEX('Final Calculation Sheet'!$AB$4:$AB$40,$S12-3)),"")</f>
        <v/>
      </c>
      <c r="K32" s="545">
        <f>IFERROR(IF(INDEX('Final Calculation Sheet'!$AB$4:$AB$40,$S13-3)="","",INDEX('Final Calculation Sheet'!$AB$4:$AB$40,$S13-3)),"")</f>
        <v/>
      </c>
      <c r="L32" s="544">
        <f>IFERROR(IF(INDEX('Final Calculation Sheet'!$AB$4:$AB$40,$S14-3)="","",INDEX('Final Calculation Sheet'!$AB$4:$AB$40,$S14-3)),"")</f>
        <v/>
      </c>
      <c r="M32" s="545">
        <f>IFERROR(IF(INDEX('Final Calculation Sheet'!$AB$4:$AB$40,$S15-3)="","",INDEX('Final Calculation Sheet'!$AB$4:$AB$40,$S15-3)),"")</f>
        <v/>
      </c>
      <c r="N32" s="544">
        <f>IFERROR(IF(INDEX('Final Calculation Sheet'!$AB$4:$AB$40,$S16-3)="","",INDEX('Final Calculation Sheet'!$AB$4:$AB$40,$S16-3)),"")</f>
        <v/>
      </c>
      <c r="O32" s="605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Sheet'!$AC$4:$AC$40,$S4-3)="","",INDEX('Final Calculation Sheet'!$AC$4:$AC$40,$S4-3)),"")</f>
        <v/>
      </c>
      <c r="C33" s="545">
        <f>IFERROR(IF(INDEX('Final Calculation Sheet'!$AC$4:$AC$40,$S5-3)="","",INDEX('Final Calculation Sheet'!$AC$4:$AC$40,$S5-3)),"")</f>
        <v/>
      </c>
      <c r="D33" s="544">
        <f>IFERROR(IF(INDEX('Final Calculation Sheet'!$AC$4:$AC$40,$S6-3)="","",INDEX('Final Calculation Sheet'!$AC$4:$AC$40,$S6-3)),"")</f>
        <v/>
      </c>
      <c r="E33" s="545">
        <f>IFERROR(IF(INDEX('Final Calculation Sheet'!$AC$4:$AC$40,$S7-3)="","",INDEX('Final Calculation Sheet'!$AC$4:$AC$40,$S7-3)),"")</f>
        <v/>
      </c>
      <c r="F33" s="544">
        <f>IFERROR(IF(INDEX('Final Calculation Sheet'!$AC$4:$AC$40,$S8-3)="","",INDEX('Final Calculation Sheet'!$AC$4:$AC$40,$S8-3)),"")</f>
        <v/>
      </c>
      <c r="G33" s="545">
        <f>IFERROR(IF(INDEX('Final Calculation Sheet'!$AC$4:$AC$40,$S9-3)="","",INDEX('Final Calculation Sheet'!$AC$4:$AC$40,$S9-3)),"")</f>
        <v/>
      </c>
      <c r="H33" s="544">
        <f>IFERROR(IF(INDEX('Final Calculation Sheet'!$AC$4:$AC$40,$S10-3)="","",INDEX('Final Calculation Sheet'!$AC$4:$AC$40,$S10-3)),"")</f>
        <v/>
      </c>
      <c r="I33" s="545">
        <f>IFERROR(IF(INDEX('Final Calculation Sheet'!$AC$4:$AC$40,$S11-3)="","",INDEX('Final Calculation Sheet'!$AC$4:$AC$40,$S11-3)),"")</f>
        <v/>
      </c>
      <c r="J33" s="544">
        <f>IFERROR(IF(INDEX('Final Calculation Sheet'!$AC$4:$AC$40,$S12-3)="","",INDEX('Final Calculation Sheet'!$AC$4:$AC$40,$S12-3)),"")</f>
        <v/>
      </c>
      <c r="K33" s="545">
        <f>IFERROR(IF(INDEX('Final Calculation Sheet'!$AC$4:$AC$40,$S13-3)="","",INDEX('Final Calculation Sheet'!$AC$4:$AC$40,$S13-3)),"")</f>
        <v/>
      </c>
      <c r="L33" s="544">
        <f>IFERROR(IF(INDEX('Final Calculation Sheet'!$AC$4:$AC$40,$S14-3)="","",INDEX('Final Calculation Sheet'!$AC$4:$AC$40,$S14-3)),"")</f>
        <v/>
      </c>
      <c r="M33" s="545">
        <f>IFERROR(IF(INDEX('Final Calculation Sheet'!$AC$4:$AC$40,$S15-3)="","",INDEX('Final Calculation Sheet'!$AC$4:$AC$40,$S15-3)),"")</f>
        <v/>
      </c>
      <c r="N33" s="544">
        <f>IFERROR(IF(INDEX('Final Calculation Sheet'!$AC$4:$AC$40,$S16-3)="","",INDEX('Final Calculation Sheet'!$AC$4:$AC$40,$S16-3)),"")</f>
        <v/>
      </c>
      <c r="O33" s="546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Sheet'!$AD$4:$AD$40,$S4-3)="","",INDEX('Final Calculation Sheet'!$AD$4:$AD$40,$S4-3)),"")</f>
        <v/>
      </c>
      <c r="C34" s="545">
        <f>IFERROR(IF(INDEX('Final Calculation Sheet'!$AD$4:$AD$40,$S5-3)="","",INDEX('Final Calculation Sheet'!$AD$4:$AD$40,$S5-3)),"")</f>
        <v/>
      </c>
      <c r="D34" s="544">
        <f>IFERROR(IF(INDEX('Final Calculation Sheet'!$AD$4:$AD$40,$S6-3)="","",INDEX('Final Calculation Sheet'!$AD$4:$AD$40,$S6-3)),"")</f>
        <v/>
      </c>
      <c r="E34" s="545">
        <f>IFERROR(IF(INDEX('Final Calculation Sheet'!$AD$4:$AD$40,$S7-3)="","",INDEX('Final Calculation Sheet'!$AD$4:$AD$40,$S7-3)),"")</f>
        <v/>
      </c>
      <c r="F34" s="544">
        <f>IFERROR(IF(INDEX('Final Calculation Sheet'!$AD$4:$AD$40,$S8-3)="","",INDEX('Final Calculation Sheet'!$AD$4:$AD$40,$S8-3)),"")</f>
        <v/>
      </c>
      <c r="G34" s="545">
        <f>IFERROR(IF(INDEX('Final Calculation Sheet'!$AD$4:$AD$40,$S9-3)="","",INDEX('Final Calculation Sheet'!$AD$4:$AD$40,$S9-3)),"")</f>
        <v/>
      </c>
      <c r="H34" s="544">
        <f>IFERROR(IF(INDEX('Final Calculation Sheet'!$AD$4:$AD$40,$S10-3)="","",INDEX('Final Calculation Sheet'!$AD$4:$AD$40,$S10-3)),"")</f>
        <v/>
      </c>
      <c r="I34" s="545">
        <f>IFERROR(IF(INDEX('Final Calculation Sheet'!$AD$4:$AD$40,$S11-3)="","",INDEX('Final Calculation Sheet'!$AD$4:$AD$40,$S11-3)),"")</f>
        <v/>
      </c>
      <c r="J34" s="544">
        <f>IFERROR(IF(INDEX('Final Calculation Sheet'!$AD$4:$AD$40,$S12-3)="","",INDEX('Final Calculation Sheet'!$AD$4:$AD$40,$S12-3)),"")</f>
        <v/>
      </c>
      <c r="K34" s="545">
        <f>IFERROR(IF(INDEX('Final Calculation Sheet'!$AD$4:$AD$40,$S13-3)="","",INDEX('Final Calculation Sheet'!$AD$4:$AD$40,$S13-3)),"")</f>
        <v/>
      </c>
      <c r="L34" s="544">
        <f>IFERROR(IF(INDEX('Final Calculation Sheet'!$AD$4:$AD$40,$S14-3)="","",INDEX('Final Calculation Sheet'!$AD$4:$AD$40,$S14-3)),"")</f>
        <v/>
      </c>
      <c r="M34" s="545">
        <f>IFERROR(IF(INDEX('Final Calculation Sheet'!$AD$4:$AD$40,$S15-3)="","",INDEX('Final Calculation Sheet'!$AD$4:$AD$40,$S15-3)),"")</f>
        <v/>
      </c>
      <c r="N34" s="544">
        <f>IFERROR(IF(INDEX('Final Calculation Sheet'!$AD$4:$AD$40,$S16-3)="","",INDEX('Final Calculation Sheet'!$AD$4:$AD$40,$S16-3)),"")</f>
        <v/>
      </c>
      <c r="O34" s="546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Sheet'!$AE$4:$AE$40,$S4-3)="","",INDEX('Final Calculation Sheet'!$AE$4:$AE$40,$S4-3)),"")</f>
        <v/>
      </c>
      <c r="C35" s="545">
        <f>IFERROR(IF(INDEX('Final Calculation Sheet'!$AE$4:$AE$40,$S5-3)="","",INDEX('Final Calculation Sheet'!$AE$4:$AE$40,$S5-3)),"")</f>
        <v/>
      </c>
      <c r="D35" s="544">
        <f>IFERROR(IF(INDEX('Final Calculation Sheet'!$AE$4:$AE$40,$S6-3)="","",INDEX('Final Calculation Sheet'!$AE$4:$AE$40,$S6-3)),"")</f>
        <v/>
      </c>
      <c r="E35" s="545">
        <f>IFERROR(IF(INDEX('Final Calculation Sheet'!$AE$4:$AE$40,$S7-3)="","",INDEX('Final Calculation Sheet'!$AE$4:$AE$40,$S7-3)),"")</f>
        <v/>
      </c>
      <c r="F35" s="544">
        <f>IFERROR(IF(INDEX('Final Calculation Sheet'!$AE$4:$AE$40,$S8-3)="","",INDEX('Final Calculation Sheet'!$AE$4:$AE$40,$S8-3)),"")</f>
        <v/>
      </c>
      <c r="G35" s="545">
        <f>IFERROR(IF(INDEX('Final Calculation Sheet'!$AE$4:$AE$40,$S9-3)="","",INDEX('Final Calculation Sheet'!$AE$4:$AE$40,$S9-3)),"")</f>
        <v/>
      </c>
      <c r="H35" s="544">
        <f>IFERROR(IF(INDEX('Final Calculation Sheet'!$AE$4:$AE$40,$S10-3)="","",INDEX('Final Calculation Sheet'!$AE$4:$AE$40,$S10-3)),"")</f>
        <v/>
      </c>
      <c r="I35" s="545">
        <f>IFERROR(IF(INDEX('Final Calculation Sheet'!$AE$4:$AE$40,$S11-3)="","",INDEX('Final Calculation Sheet'!$AE$4:$AE$40,$S11-3)),"")</f>
        <v/>
      </c>
      <c r="J35" s="544">
        <f>IFERROR(IF(INDEX('Final Calculation Sheet'!$AE$4:$AE$40,$S12-3)="","",INDEX('Final Calculation Sheet'!$AE$4:$AE$40,$S12-3)),"")</f>
        <v/>
      </c>
      <c r="K35" s="545">
        <f>IFERROR(IF(INDEX('Final Calculation Sheet'!$AE$4:$AE$40,$S13-3)="","",INDEX('Final Calculation Sheet'!$AE$4:$AE$40,$S13-3)),"")</f>
        <v/>
      </c>
      <c r="L35" s="544">
        <f>IFERROR(IF(INDEX('Final Calculation Sheet'!$AE$4:$AE$40,$S14-3)="","",INDEX('Final Calculation Sheet'!$AE$4:$AE$40,$S14-3)),"")</f>
        <v/>
      </c>
      <c r="M35" s="545">
        <f>IFERROR(IF(INDEX('Final Calculation Sheet'!$AE$4:$AE$40,$S15-3)="","",INDEX('Final Calculation Sheet'!$AE$4:$AE$40,$S15-3)),"")</f>
        <v/>
      </c>
      <c r="N35" s="544">
        <f>IFERROR(IF(INDEX('Final Calculation Sheet'!$AE$4:$AE$40,$S16-3)="","",INDEX('Final Calculation Sheet'!$AE$4:$AE$40,$S16-3)),"")</f>
        <v/>
      </c>
      <c r="O35" s="605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Sheet'!$AF$4:$AF$40,$S4-3)="","",INDEX('Final Calculation Sheet'!$AF$4:$AF$40,$S4-3)),"")</f>
        <v/>
      </c>
      <c r="C36" s="556">
        <f>IFERROR(IF(INDEX('Final Calculation Sheet'!$AF$4:$AF$40,$S5-3)="","",INDEX('Final Calculation Sheet'!$AF$4:$AF$40,$S5-3)),"")</f>
        <v/>
      </c>
      <c r="D36" s="555">
        <f>IFERROR(IF(INDEX('Final Calculation Sheet'!$AF$4:$AF$40,$S6-3)="","",INDEX('Final Calculation Sheet'!$AF$4:$AF$40,$S6-3)),"")</f>
        <v/>
      </c>
      <c r="E36" s="556">
        <f>IFERROR(IF(INDEX('Final Calculation Sheet'!$AF$4:$AF$40,$S7-3)="","",INDEX('Final Calculation Sheet'!$AF$4:$AF$40,$S7-3)),"")</f>
        <v/>
      </c>
      <c r="F36" s="555">
        <f>IFERROR(IF(INDEX('Final Calculation Sheet'!$AF$4:$AF$40,$S8-3)="","",INDEX('Final Calculation Sheet'!$AF$4:$AF$40,$S8-3)),"")</f>
        <v/>
      </c>
      <c r="G36" s="556">
        <f>IFERROR(IF(INDEX('Final Calculation Sheet'!$AF$4:$AF$40,$S9-3)="","",INDEX('Final Calculation Sheet'!$AF$4:$AF$40,$S9-3)),"")</f>
        <v/>
      </c>
      <c r="H36" s="555">
        <f>IFERROR(IF(INDEX('Final Calculation Sheet'!$AF$4:$AF$40,$S10-3)="","",INDEX('Final Calculation Sheet'!$AF$4:$AF$40,$S10-3)),"")</f>
        <v/>
      </c>
      <c r="I36" s="556">
        <f>IFERROR(IF(INDEX('Final Calculation Sheet'!$AF$4:$AF$40,$S11-3)="","",INDEX('Final Calculation Sheet'!$AF$4:$AF$40,$S11-3)),"")</f>
        <v/>
      </c>
      <c r="J36" s="555">
        <f>IFERROR(IF(INDEX('Final Calculation Sheet'!$AF$4:$AF$40,$S12-3)="","",INDEX('Final Calculation Sheet'!$AF$4:$AF$40,$S12-3)),"")</f>
        <v/>
      </c>
      <c r="K36" s="556">
        <f>IFERROR(IF(INDEX('Final Calculation Sheet'!$AF$4:$AF$40,$S13-3)="","",INDEX('Final Calculation Sheet'!$AF$4:$AF$40,$S13-3)),"")</f>
        <v/>
      </c>
      <c r="L36" s="555">
        <f>IFERROR(IF(INDEX('Final Calculation Sheet'!$AF$4:$AF$40,$S14-3)="","",INDEX('Final Calculation Sheet'!$AF$4:$AF$40,$S14-3)),"")</f>
        <v/>
      </c>
      <c r="M36" s="556">
        <f>IFERROR(IF(INDEX('Final Calculation Sheet'!$AF$4:$AF$40,$S15-3)="","",INDEX('Final Calculation Sheet'!$AF$4:$AF$40,$S15-3)),"")</f>
        <v/>
      </c>
      <c r="N36" s="555">
        <f>IFERROR(IF(INDEX('Final Calculation Sheet'!$AF$4:$AF$40,$S16-3)="","",INDEX('Final Calculation Sheet'!$AF$4:$AF$40,$S16-3)),"")</f>
        <v/>
      </c>
      <c r="O36" s="605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Sheet'!$AG$4:$AG$40,$S4-3)="","",INDEX('Final Calculation Sheet'!$AG$4:$AG$40,$S4-3)),"")</f>
        <v/>
      </c>
      <c r="C37" s="545">
        <f>IFERROR(IF(INDEX('Final Calculation Sheet'!$AG$4:$AG$40,$S5-3)="","",INDEX('Final Calculation Sheet'!$AG$4:$AG$40,$S5-3)),"")</f>
        <v/>
      </c>
      <c r="D37" s="544">
        <f>IFERROR(IF(INDEX('Final Calculation Sheet'!$AG$4:$AG$40,$S6-3)="","",INDEX('Final Calculation Sheet'!$AG$4:$AG$40,$S6-3)),"")</f>
        <v/>
      </c>
      <c r="E37" s="545">
        <f>IFERROR(IF(INDEX('Final Calculation Sheet'!$AG$4:$AG$40,$S7-3)="","",INDEX('Final Calculation Sheet'!$AG$4:$AG$40,$S7-3)),"")</f>
        <v/>
      </c>
      <c r="F37" s="544">
        <f>IFERROR(IF(INDEX('Final Calculation Sheet'!$AG$4:$AG$40,$S8-3)="","",INDEX('Final Calculation Sheet'!$AG$4:$AG$40,$S8-3)),"")</f>
        <v/>
      </c>
      <c r="G37" s="545">
        <f>IFERROR(IF(INDEX('Final Calculation Sheet'!$AG$4:$AG$40,$S9-3)="","",INDEX('Final Calculation Sheet'!$AG$4:$AG$40,$S9-3)),"")</f>
        <v/>
      </c>
      <c r="H37" s="544">
        <f>IFERROR(IF(INDEX('Final Calculation Sheet'!$AG$4:$AG$40,$S10-3)="","",INDEX('Final Calculation Sheet'!$AG$4:$AG$40,$S10-3)),"")</f>
        <v/>
      </c>
      <c r="I37" s="545">
        <f>IFERROR(IF(INDEX('Final Calculation Sheet'!$AG$4:$AG$40,$S11-3)="","",INDEX('Final Calculation Sheet'!$AG$4:$AG$40,$S11-3)),"")</f>
        <v/>
      </c>
      <c r="J37" s="544">
        <f>IFERROR(IF(INDEX('Final Calculation Sheet'!$AG$4:$AG$40,$S12-3)="","",INDEX('Final Calculation Sheet'!$AG$4:$AG$40,$S12-3)),"")</f>
        <v/>
      </c>
      <c r="K37" s="545">
        <f>IFERROR(IF(INDEX('Final Calculation Sheet'!$AG$4:$AG$40,$S13-3)="","",INDEX('Final Calculation Sheet'!$AG$4:$AG$40,$S13-3)),"")</f>
        <v/>
      </c>
      <c r="L37" s="544">
        <f>IFERROR(IF(INDEX('Final Calculation Sheet'!$AG$4:$AG$40,$S14-3)="","",INDEX('Final Calculation Sheet'!$AG$4:$AG$40,$S14-3)),"")</f>
        <v/>
      </c>
      <c r="M37" s="545">
        <f>IFERROR(IF(INDEX('Final Calculation Sheet'!$AG$4:$AG$40,$S15-3)="","",INDEX('Final Calculation Sheet'!$AG$4:$AG$40,$S15-3)),"")</f>
        <v/>
      </c>
      <c r="N37" s="544">
        <f>IFERROR(IF(INDEX('Final Calculation Sheet'!$AG$4:$AG$40,$S16-3)="","",INDEX('Final Calculation Sheet'!$AG$4:$AG$40,$S16-3)),"")</f>
        <v/>
      </c>
      <c r="O37" s="605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1">
      <formula>0</formula>
    </cfRule>
    <cfRule type="cellIs" priority="2" operator="lessThanOrEqual" dxfId="4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59" t="inlineStr">
        <is>
          <t>MSTC LIMITED  •  TRANSPOSED, FILTERED BY A ROW'S VALUES   (pick a row, a test and a value → only the matching lots show)</t>
        </is>
      </c>
      <c r="AO1" s="596" t="n"/>
      <c r="AQ1" s="596" t="n"/>
      <c r="AS1" s="596" t="n"/>
      <c r="AU1" s="596" t="inlineStr">
        <is>
          <t>source column of the chosen row</t>
        </is>
      </c>
    </row>
    <row r="2" ht="56" customHeight="1">
      <c r="A2" s="61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622" t="inlineStr">
        <is>
          <t>FILTER  ▸</t>
        </is>
      </c>
      <c r="B3" s="623" t="inlineStr">
        <is>
          <t>ALL BUYERS</t>
        </is>
      </c>
      <c r="C3" s="624" t="inlineStr">
        <is>
          <t>2  ▸  ROW (field)</t>
        </is>
      </c>
      <c r="D3" s="623" t="inlineStr">
        <is>
          <t>— no row filter —</t>
        </is>
      </c>
      <c r="E3" s="624" t="inlineStr">
        <is>
          <t>3  ▸  TEST</t>
        </is>
      </c>
      <c r="F3" s="623" t="inlineStr">
        <is>
          <t>=</t>
        </is>
      </c>
      <c r="G3" s="624" t="inlineStr">
        <is>
          <t>4  ▸  VALUE</t>
        </is>
      </c>
      <c r="H3" s="623" t="n">
        <v>0</v>
      </c>
      <c r="I3" s="600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596" t="inlineStr">
        <is>
          <t>row (field) list for cell 2</t>
        </is>
      </c>
      <c r="AQ3" s="596" t="inlineStr">
        <is>
          <t>buyer list for cell 1</t>
        </is>
      </c>
      <c r="AS3" s="596" t="inlineStr">
        <is>
          <t>test list for cell 3</t>
        </is>
      </c>
      <c r="AU3" s="596" t="n"/>
      <c r="AW3" s="596" t="inlineStr">
        <is>
          <t>1 = this lot passes the filter</t>
        </is>
      </c>
      <c r="AY3" s="596" t="inlineStr">
        <is>
          <t>running count of the lots that pass</t>
        </is>
      </c>
      <c r="BA3" s="596" t="inlineStr">
        <is>
          <t>source row behind each lot column</t>
        </is>
      </c>
    </row>
    <row r="4" ht="30" customHeight="1">
      <c r="A4" s="424" t="inlineStr">
        <is>
          <t>FIELD (row 3 of the source)  ▸  |  MATCHING LOT →</t>
        </is>
      </c>
      <c r="B4" s="625">
        <f>IFERROR(INDEX('Final Calculation Sheet'!$F$4:$F$40,$BA4-3),"")</f>
        <v/>
      </c>
      <c r="C4" s="625">
        <f>IFERROR(INDEX('Final Calculation Sheet'!$F$4:$F$40,$BA5-3),"")</f>
        <v/>
      </c>
      <c r="D4" s="625">
        <f>IFERROR(INDEX('Final Calculation Sheet'!$F$4:$F$40,$BA6-3),"")</f>
        <v/>
      </c>
      <c r="E4" s="625">
        <f>IFERROR(INDEX('Final Calculation Sheet'!$F$4:$F$40,$BA7-3),"")</f>
        <v/>
      </c>
      <c r="F4" s="625">
        <f>IFERROR(INDEX('Final Calculation Sheet'!$F$4:$F$40,$BA8-3),"")</f>
        <v/>
      </c>
      <c r="G4" s="625">
        <f>IFERROR(INDEX('Final Calculation Sheet'!$F$4:$F$40,$BA9-3),"")</f>
        <v/>
      </c>
      <c r="H4" s="625">
        <f>IFERROR(INDEX('Final Calculation Sheet'!$F$4:$F$40,$BA10-3),"")</f>
        <v/>
      </c>
      <c r="I4" s="625">
        <f>IFERROR(INDEX('Final Calculation Sheet'!$F$4:$F$40,$BA11-3),"")</f>
        <v/>
      </c>
      <c r="J4" s="625">
        <f>IFERROR(INDEX('Final Calculation Sheet'!$F$4:$F$40,$BA12-3),"")</f>
        <v/>
      </c>
      <c r="K4" s="625">
        <f>IFERROR(INDEX('Final Calculation Sheet'!$F$4:$F$40,$BA13-3),"")</f>
        <v/>
      </c>
      <c r="L4" s="625">
        <f>IFERROR(INDEX('Final Calculation Sheet'!$F$4:$F$40,$BA14-3),"")</f>
        <v/>
      </c>
      <c r="M4" s="625">
        <f>IFERROR(INDEX('Final Calculation Sheet'!$F$4:$F$40,$BA15-3),"")</f>
        <v/>
      </c>
      <c r="N4" s="625">
        <f>IFERROR(INDEX('Final Calculation Sheet'!$F$4:$F$40,$BA16-3),"")</f>
        <v/>
      </c>
      <c r="O4" s="625">
        <f>IFERROR(INDEX('Final Calculation Sheet'!$F$4:$F$40,$BA17-3),"")</f>
        <v/>
      </c>
      <c r="P4" s="625">
        <f>IFERROR(INDEX('Final Calculation Sheet'!$F$4:$F$40,$BA18-3),"")</f>
        <v/>
      </c>
      <c r="Q4" s="625">
        <f>IFERROR(INDEX('Final Calculation Sheet'!$F$4:$F$40,$BA19-3),"")</f>
        <v/>
      </c>
      <c r="R4" s="625">
        <f>IFERROR(INDEX('Final Calculation Sheet'!$F$4:$F$40,$BA20-3),"")</f>
        <v/>
      </c>
      <c r="S4" s="625">
        <f>IFERROR(INDEX('Final Calculation Sheet'!$F$4:$F$40,$BA21-3),"")</f>
        <v/>
      </c>
      <c r="T4" s="625">
        <f>IFERROR(INDEX('Final Calculation Sheet'!$F$4:$F$40,$BA22-3),"")</f>
        <v/>
      </c>
      <c r="U4" s="625">
        <f>IFERROR(INDEX('Final Calculation Sheet'!$F$4:$F$40,$BA23-3),"")</f>
        <v/>
      </c>
      <c r="V4" s="625">
        <f>IFERROR(INDEX('Final Calculation Sheet'!$F$4:$F$40,$BA24-3),"")</f>
        <v/>
      </c>
      <c r="W4" s="625">
        <f>IFERROR(INDEX('Final Calculation Sheet'!$F$4:$F$40,$BA25-3),"")</f>
        <v/>
      </c>
      <c r="X4" s="625">
        <f>IFERROR(INDEX('Final Calculation Sheet'!$F$4:$F$40,$BA26-3),"")</f>
        <v/>
      </c>
      <c r="Y4" s="625">
        <f>IFERROR(INDEX('Final Calculation Sheet'!$F$4:$F$40,$BA27-3),"")</f>
        <v/>
      </c>
      <c r="Z4" s="625">
        <f>IFERROR(INDEX('Final Calculation Sheet'!$F$4:$F$40,$BA28-3),"")</f>
        <v/>
      </c>
      <c r="AA4" s="625">
        <f>IFERROR(INDEX('Final Calculation Sheet'!$F$4:$F$40,$BA29-3),"")</f>
        <v/>
      </c>
      <c r="AB4" s="625">
        <f>IFERROR(INDEX('Final Calculation Sheet'!$F$4:$F$40,$BA30-3),"")</f>
        <v/>
      </c>
      <c r="AC4" s="625">
        <f>IFERROR(INDEX('Final Calculation Sheet'!$F$4:$F$40,$BA31-3),"")</f>
        <v/>
      </c>
      <c r="AD4" s="625">
        <f>IFERROR(INDEX('Final Calculation Sheet'!$F$4:$F$40,$BA32-3),"")</f>
        <v/>
      </c>
      <c r="AE4" s="625">
        <f>IFERROR(INDEX('Final Calculation Sheet'!$F$4:$F$40,$BA33-3),"")</f>
        <v/>
      </c>
      <c r="AF4" s="625">
        <f>IFERROR(INDEX('Final Calculation Sheet'!$F$4:$F$40,$BA34-3),"")</f>
        <v/>
      </c>
      <c r="AG4" s="625">
        <f>IFERROR(INDEX('Final Calculation Sheet'!$F$4:$F$40,$BA35-3),"")</f>
        <v/>
      </c>
      <c r="AH4" s="625">
        <f>IFERROR(INDEX('Final Calculation Sheet'!$F$4:$F$40,$BA36-3),"")</f>
        <v/>
      </c>
      <c r="AI4" s="625">
        <f>IFERROR(INDEX('Final Calculation Sheet'!$F$4:$F$40,$BA37-3),"")</f>
        <v/>
      </c>
      <c r="AJ4" s="625">
        <f>IFERROR(INDEX('Final Calculation Sheet'!$F$4:$F$40,$BA38-3),"")</f>
        <v/>
      </c>
      <c r="AK4" s="625">
        <f>IFERROR(INDEX('Final Calculation Sheet'!$F$4:$F$40,$BA39-3),"")</f>
        <v/>
      </c>
      <c r="AL4" s="625">
        <f>IFERROR(INDEX('Final Calculation Sheet'!$F$4:$F$40,$BA40-3),"")</f>
        <v/>
      </c>
      <c r="AM4" s="490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540" t="inlineStr">
        <is>
          <t>Quantity</t>
        </is>
      </c>
      <c r="B5" s="69">
        <f>IFERROR(IF(INDEX('Final Calculation Sheet'!$A$4:$A$40,$BA4-3)="","",INDEX('Final Calculation Sheet'!$A$4:$A$40,$BA4-3)),"")</f>
        <v/>
      </c>
      <c r="C5" s="541">
        <f>IFERROR(IF(INDEX('Final Calculation Sheet'!$A$4:$A$40,$BA5-3)="","",INDEX('Final Calculation Sheet'!$A$4:$A$40,$BA5-3)),"")</f>
        <v/>
      </c>
      <c r="D5" s="69">
        <f>IFERROR(IF(INDEX('Final Calculation Sheet'!$A$4:$A$40,$BA6-3)="","",INDEX('Final Calculation Sheet'!$A$4:$A$40,$BA6-3)),"")</f>
        <v/>
      </c>
      <c r="E5" s="541">
        <f>IFERROR(IF(INDEX('Final Calculation Sheet'!$A$4:$A$40,$BA7-3)="","",INDEX('Final Calculation Sheet'!$A$4:$A$40,$BA7-3)),"")</f>
        <v/>
      </c>
      <c r="F5" s="69">
        <f>IFERROR(IF(INDEX('Final Calculation Sheet'!$A$4:$A$40,$BA8-3)="","",INDEX('Final Calculation Sheet'!$A$4:$A$40,$BA8-3)),"")</f>
        <v/>
      </c>
      <c r="G5" s="541">
        <f>IFERROR(IF(INDEX('Final Calculation Sheet'!$A$4:$A$40,$BA9-3)="","",INDEX('Final Calculation Sheet'!$A$4:$A$40,$BA9-3)),"")</f>
        <v/>
      </c>
      <c r="H5" s="69">
        <f>IFERROR(IF(INDEX('Final Calculation Sheet'!$A$4:$A$40,$BA10-3)="","",INDEX('Final Calculation Sheet'!$A$4:$A$40,$BA10-3)),"")</f>
        <v/>
      </c>
      <c r="I5" s="541">
        <f>IFERROR(IF(INDEX('Final Calculation Sheet'!$A$4:$A$40,$BA11-3)="","",INDEX('Final Calculation Sheet'!$A$4:$A$40,$BA11-3)),"")</f>
        <v/>
      </c>
      <c r="J5" s="69">
        <f>IFERROR(IF(INDEX('Final Calculation Sheet'!$A$4:$A$40,$BA12-3)="","",INDEX('Final Calculation Sheet'!$A$4:$A$40,$BA12-3)),"")</f>
        <v/>
      </c>
      <c r="K5" s="541">
        <f>IFERROR(IF(INDEX('Final Calculation Sheet'!$A$4:$A$40,$BA13-3)="","",INDEX('Final Calculation Sheet'!$A$4:$A$40,$BA13-3)),"")</f>
        <v/>
      </c>
      <c r="L5" s="69">
        <f>IFERROR(IF(INDEX('Final Calculation Sheet'!$A$4:$A$40,$BA14-3)="","",INDEX('Final Calculation Sheet'!$A$4:$A$40,$BA14-3)),"")</f>
        <v/>
      </c>
      <c r="M5" s="541">
        <f>IFERROR(IF(INDEX('Final Calculation Sheet'!$A$4:$A$40,$BA15-3)="","",INDEX('Final Calculation Sheet'!$A$4:$A$40,$BA15-3)),"")</f>
        <v/>
      </c>
      <c r="N5" s="69">
        <f>IFERROR(IF(INDEX('Final Calculation Sheet'!$A$4:$A$40,$BA16-3)="","",INDEX('Final Calculation Sheet'!$A$4:$A$40,$BA16-3)),"")</f>
        <v/>
      </c>
      <c r="O5" s="541">
        <f>IFERROR(IF(INDEX('Final Calculation Sheet'!$A$4:$A$40,$BA17-3)="","",INDEX('Final Calculation Sheet'!$A$4:$A$40,$BA17-3)),"")</f>
        <v/>
      </c>
      <c r="P5" s="69">
        <f>IFERROR(IF(INDEX('Final Calculation Sheet'!$A$4:$A$40,$BA18-3)="","",INDEX('Final Calculation Sheet'!$A$4:$A$40,$BA18-3)),"")</f>
        <v/>
      </c>
      <c r="Q5" s="541">
        <f>IFERROR(IF(INDEX('Final Calculation Sheet'!$A$4:$A$40,$BA19-3)="","",INDEX('Final Calculation Sheet'!$A$4:$A$40,$BA19-3)),"")</f>
        <v/>
      </c>
      <c r="R5" s="69">
        <f>IFERROR(IF(INDEX('Final Calculation Sheet'!$A$4:$A$40,$BA20-3)="","",INDEX('Final Calculation Sheet'!$A$4:$A$40,$BA20-3)),"")</f>
        <v/>
      </c>
      <c r="S5" s="541">
        <f>IFERROR(IF(INDEX('Final Calculation Sheet'!$A$4:$A$40,$BA21-3)="","",INDEX('Final Calculation Sheet'!$A$4:$A$40,$BA21-3)),"")</f>
        <v/>
      </c>
      <c r="T5" s="69">
        <f>IFERROR(IF(INDEX('Final Calculation Sheet'!$A$4:$A$40,$BA22-3)="","",INDEX('Final Calculation Sheet'!$A$4:$A$40,$BA22-3)),"")</f>
        <v/>
      </c>
      <c r="U5" s="541">
        <f>IFERROR(IF(INDEX('Final Calculation Sheet'!$A$4:$A$40,$BA23-3)="","",INDEX('Final Calculation Sheet'!$A$4:$A$40,$BA23-3)),"")</f>
        <v/>
      </c>
      <c r="V5" s="69">
        <f>IFERROR(IF(INDEX('Final Calculation Sheet'!$A$4:$A$40,$BA24-3)="","",INDEX('Final Calculation Sheet'!$A$4:$A$40,$BA24-3)),"")</f>
        <v/>
      </c>
      <c r="W5" s="541">
        <f>IFERROR(IF(INDEX('Final Calculation Sheet'!$A$4:$A$40,$BA25-3)="","",INDEX('Final Calculation Sheet'!$A$4:$A$40,$BA25-3)),"")</f>
        <v/>
      </c>
      <c r="X5" s="69">
        <f>IFERROR(IF(INDEX('Final Calculation Sheet'!$A$4:$A$40,$BA26-3)="","",INDEX('Final Calculation Sheet'!$A$4:$A$40,$BA26-3)),"")</f>
        <v/>
      </c>
      <c r="Y5" s="541">
        <f>IFERROR(IF(INDEX('Final Calculation Sheet'!$A$4:$A$40,$BA27-3)="","",INDEX('Final Calculation Sheet'!$A$4:$A$40,$BA27-3)),"")</f>
        <v/>
      </c>
      <c r="Z5" s="69">
        <f>IFERROR(IF(INDEX('Final Calculation Sheet'!$A$4:$A$40,$BA28-3)="","",INDEX('Final Calculation Sheet'!$A$4:$A$40,$BA28-3)),"")</f>
        <v/>
      </c>
      <c r="AA5" s="541">
        <f>IFERROR(IF(INDEX('Final Calculation Sheet'!$A$4:$A$40,$BA29-3)="","",INDEX('Final Calculation Sheet'!$A$4:$A$40,$BA29-3)),"")</f>
        <v/>
      </c>
      <c r="AB5" s="69">
        <f>IFERROR(IF(INDEX('Final Calculation Sheet'!$A$4:$A$40,$BA30-3)="","",INDEX('Final Calculation Sheet'!$A$4:$A$40,$BA30-3)),"")</f>
        <v/>
      </c>
      <c r="AC5" s="541">
        <f>IFERROR(IF(INDEX('Final Calculation Sheet'!$A$4:$A$40,$BA31-3)="","",INDEX('Final Calculation Sheet'!$A$4:$A$40,$BA31-3)),"")</f>
        <v/>
      </c>
      <c r="AD5" s="69">
        <f>IFERROR(IF(INDEX('Final Calculation Sheet'!$A$4:$A$40,$BA32-3)="","",INDEX('Final Calculation Sheet'!$A$4:$A$40,$BA32-3)),"")</f>
        <v/>
      </c>
      <c r="AE5" s="541">
        <f>IFERROR(IF(INDEX('Final Calculation Sheet'!$A$4:$A$40,$BA33-3)="","",INDEX('Final Calculation Sheet'!$A$4:$A$40,$BA33-3)),"")</f>
        <v/>
      </c>
      <c r="AF5" s="69">
        <f>IFERROR(IF(INDEX('Final Calculation Sheet'!$A$4:$A$40,$BA34-3)="","",INDEX('Final Calculation Sheet'!$A$4:$A$40,$BA34-3)),"")</f>
        <v/>
      </c>
      <c r="AG5" s="541">
        <f>IFERROR(IF(INDEX('Final Calculation Sheet'!$A$4:$A$40,$BA35-3)="","",INDEX('Final Calculation Sheet'!$A$4:$A$40,$BA35-3)),"")</f>
        <v/>
      </c>
      <c r="AH5" s="69">
        <f>IFERROR(IF(INDEX('Final Calculation Sheet'!$A$4:$A$40,$BA36-3)="","",INDEX('Final Calculation Sheet'!$A$4:$A$40,$BA36-3)),"")</f>
        <v/>
      </c>
      <c r="AI5" s="541">
        <f>IFERROR(IF(INDEX('Final Calculation Sheet'!$A$4:$A$40,$BA37-3)="","",INDEX('Final Calculation Sheet'!$A$4:$A$40,$BA37-3)),"")</f>
        <v/>
      </c>
      <c r="AJ5" s="69">
        <f>IFERROR(IF(INDEX('Final Calculation Sheet'!$A$4:$A$40,$BA38-3)="","",INDEX('Final Calculation Sheet'!$A$4:$A$40,$BA38-3)),"")</f>
        <v/>
      </c>
      <c r="AK5" s="541">
        <f>IFERROR(IF(INDEX('Final Calculation Sheet'!$A$4:$A$40,$BA39-3)="","",INDEX('Final Calculation Sheet'!$A$4:$A$40,$BA39-3)),"")</f>
        <v/>
      </c>
      <c r="AL5" s="69">
        <f>IFERROR(IF(INDEX('Final Calculation Sheet'!$A$4:$A$40,$BA40-3)="","",INDEX('Final Calculation Sheet'!$A$4:$A$40,$BA40-3)),"")</f>
        <v/>
      </c>
      <c r="AM5" s="542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543" t="inlineStr">
        <is>
          <t>Lot Name</t>
        </is>
      </c>
      <c r="B6" s="69">
        <f>IFERROR(IF(INDEX('Final Calculation Sheet'!$B$4:$B$40,$BA4-3)="","",INDEX('Final Calculation Sheet'!$B$4:$B$40,$BA4-3)),"")</f>
        <v/>
      </c>
      <c r="C6" s="541">
        <f>IFERROR(IF(INDEX('Final Calculation Sheet'!$B$4:$B$40,$BA5-3)="","",INDEX('Final Calculation Sheet'!$B$4:$B$40,$BA5-3)),"")</f>
        <v/>
      </c>
      <c r="D6" s="69">
        <f>IFERROR(IF(INDEX('Final Calculation Sheet'!$B$4:$B$40,$BA6-3)="","",INDEX('Final Calculation Sheet'!$B$4:$B$40,$BA6-3)),"")</f>
        <v/>
      </c>
      <c r="E6" s="541">
        <f>IFERROR(IF(INDEX('Final Calculation Sheet'!$B$4:$B$40,$BA7-3)="","",INDEX('Final Calculation Sheet'!$B$4:$B$40,$BA7-3)),"")</f>
        <v/>
      </c>
      <c r="F6" s="69">
        <f>IFERROR(IF(INDEX('Final Calculation Sheet'!$B$4:$B$40,$BA8-3)="","",INDEX('Final Calculation Sheet'!$B$4:$B$40,$BA8-3)),"")</f>
        <v/>
      </c>
      <c r="G6" s="541">
        <f>IFERROR(IF(INDEX('Final Calculation Sheet'!$B$4:$B$40,$BA9-3)="","",INDEX('Final Calculation Sheet'!$B$4:$B$40,$BA9-3)),"")</f>
        <v/>
      </c>
      <c r="H6" s="69">
        <f>IFERROR(IF(INDEX('Final Calculation Sheet'!$B$4:$B$40,$BA10-3)="","",INDEX('Final Calculation Sheet'!$B$4:$B$40,$BA10-3)),"")</f>
        <v/>
      </c>
      <c r="I6" s="541">
        <f>IFERROR(IF(INDEX('Final Calculation Sheet'!$B$4:$B$40,$BA11-3)="","",INDEX('Final Calculation Sheet'!$B$4:$B$40,$BA11-3)),"")</f>
        <v/>
      </c>
      <c r="J6" s="69">
        <f>IFERROR(IF(INDEX('Final Calculation Sheet'!$B$4:$B$40,$BA12-3)="","",INDEX('Final Calculation Sheet'!$B$4:$B$40,$BA12-3)),"")</f>
        <v/>
      </c>
      <c r="K6" s="541">
        <f>IFERROR(IF(INDEX('Final Calculation Sheet'!$B$4:$B$40,$BA13-3)="","",INDEX('Final Calculation Sheet'!$B$4:$B$40,$BA13-3)),"")</f>
        <v/>
      </c>
      <c r="L6" s="69">
        <f>IFERROR(IF(INDEX('Final Calculation Sheet'!$B$4:$B$40,$BA14-3)="","",INDEX('Final Calculation Sheet'!$B$4:$B$40,$BA14-3)),"")</f>
        <v/>
      </c>
      <c r="M6" s="541">
        <f>IFERROR(IF(INDEX('Final Calculation Sheet'!$B$4:$B$40,$BA15-3)="","",INDEX('Final Calculation Sheet'!$B$4:$B$40,$BA15-3)),"")</f>
        <v/>
      </c>
      <c r="N6" s="69">
        <f>IFERROR(IF(INDEX('Final Calculation Sheet'!$B$4:$B$40,$BA16-3)="","",INDEX('Final Calculation Sheet'!$B$4:$B$40,$BA16-3)),"")</f>
        <v/>
      </c>
      <c r="O6" s="541">
        <f>IFERROR(IF(INDEX('Final Calculation Sheet'!$B$4:$B$40,$BA17-3)="","",INDEX('Final Calculation Sheet'!$B$4:$B$40,$BA17-3)),"")</f>
        <v/>
      </c>
      <c r="P6" s="69">
        <f>IFERROR(IF(INDEX('Final Calculation Sheet'!$B$4:$B$40,$BA18-3)="","",INDEX('Final Calculation Sheet'!$B$4:$B$40,$BA18-3)),"")</f>
        <v/>
      </c>
      <c r="Q6" s="541">
        <f>IFERROR(IF(INDEX('Final Calculation Sheet'!$B$4:$B$40,$BA19-3)="","",INDEX('Final Calculation Sheet'!$B$4:$B$40,$BA19-3)),"")</f>
        <v/>
      </c>
      <c r="R6" s="69">
        <f>IFERROR(IF(INDEX('Final Calculation Sheet'!$B$4:$B$40,$BA20-3)="","",INDEX('Final Calculation Sheet'!$B$4:$B$40,$BA20-3)),"")</f>
        <v/>
      </c>
      <c r="S6" s="541">
        <f>IFERROR(IF(INDEX('Final Calculation Sheet'!$B$4:$B$40,$BA21-3)="","",INDEX('Final Calculation Sheet'!$B$4:$B$40,$BA21-3)),"")</f>
        <v/>
      </c>
      <c r="T6" s="69">
        <f>IFERROR(IF(INDEX('Final Calculation Sheet'!$B$4:$B$40,$BA22-3)="","",INDEX('Final Calculation Sheet'!$B$4:$B$40,$BA22-3)),"")</f>
        <v/>
      </c>
      <c r="U6" s="541">
        <f>IFERROR(IF(INDEX('Final Calculation Sheet'!$B$4:$B$40,$BA23-3)="","",INDEX('Final Calculation Sheet'!$B$4:$B$40,$BA23-3)),"")</f>
        <v/>
      </c>
      <c r="V6" s="69">
        <f>IFERROR(IF(INDEX('Final Calculation Sheet'!$B$4:$B$40,$BA24-3)="","",INDEX('Final Calculation Sheet'!$B$4:$B$40,$BA24-3)),"")</f>
        <v/>
      </c>
      <c r="W6" s="541">
        <f>IFERROR(IF(INDEX('Final Calculation Sheet'!$B$4:$B$40,$BA25-3)="","",INDEX('Final Calculation Sheet'!$B$4:$B$40,$BA25-3)),"")</f>
        <v/>
      </c>
      <c r="X6" s="69">
        <f>IFERROR(IF(INDEX('Final Calculation Sheet'!$B$4:$B$40,$BA26-3)="","",INDEX('Final Calculation Sheet'!$B$4:$B$40,$BA26-3)),"")</f>
        <v/>
      </c>
      <c r="Y6" s="541">
        <f>IFERROR(IF(INDEX('Final Calculation Sheet'!$B$4:$B$40,$BA27-3)="","",INDEX('Final Calculation Sheet'!$B$4:$B$40,$BA27-3)),"")</f>
        <v/>
      </c>
      <c r="Z6" s="69">
        <f>IFERROR(IF(INDEX('Final Calculation Sheet'!$B$4:$B$40,$BA28-3)="","",INDEX('Final Calculation Sheet'!$B$4:$B$40,$BA28-3)),"")</f>
        <v/>
      </c>
      <c r="AA6" s="541">
        <f>IFERROR(IF(INDEX('Final Calculation Sheet'!$B$4:$B$40,$BA29-3)="","",INDEX('Final Calculation Sheet'!$B$4:$B$40,$BA29-3)),"")</f>
        <v/>
      </c>
      <c r="AB6" s="69">
        <f>IFERROR(IF(INDEX('Final Calculation Sheet'!$B$4:$B$40,$BA30-3)="","",INDEX('Final Calculation Sheet'!$B$4:$B$40,$BA30-3)),"")</f>
        <v/>
      </c>
      <c r="AC6" s="541">
        <f>IFERROR(IF(INDEX('Final Calculation Sheet'!$B$4:$B$40,$BA31-3)="","",INDEX('Final Calculation Sheet'!$B$4:$B$40,$BA31-3)),"")</f>
        <v/>
      </c>
      <c r="AD6" s="69">
        <f>IFERROR(IF(INDEX('Final Calculation Sheet'!$B$4:$B$40,$BA32-3)="","",INDEX('Final Calculation Sheet'!$B$4:$B$40,$BA32-3)),"")</f>
        <v/>
      </c>
      <c r="AE6" s="541">
        <f>IFERROR(IF(INDEX('Final Calculation Sheet'!$B$4:$B$40,$BA33-3)="","",INDEX('Final Calculation Sheet'!$B$4:$B$40,$BA33-3)),"")</f>
        <v/>
      </c>
      <c r="AF6" s="69">
        <f>IFERROR(IF(INDEX('Final Calculation Sheet'!$B$4:$B$40,$BA34-3)="","",INDEX('Final Calculation Sheet'!$B$4:$B$40,$BA34-3)),"")</f>
        <v/>
      </c>
      <c r="AG6" s="541">
        <f>IFERROR(IF(INDEX('Final Calculation Sheet'!$B$4:$B$40,$BA35-3)="","",INDEX('Final Calculation Sheet'!$B$4:$B$40,$BA35-3)),"")</f>
        <v/>
      </c>
      <c r="AH6" s="69">
        <f>IFERROR(IF(INDEX('Final Calculation Sheet'!$B$4:$B$40,$BA36-3)="","",INDEX('Final Calculation Sheet'!$B$4:$B$40,$BA36-3)),"")</f>
        <v/>
      </c>
      <c r="AI6" s="541">
        <f>IFERROR(IF(INDEX('Final Calculation Sheet'!$B$4:$B$40,$BA37-3)="","",INDEX('Final Calculation Sheet'!$B$4:$B$40,$BA37-3)),"")</f>
        <v/>
      </c>
      <c r="AJ6" s="69">
        <f>IFERROR(IF(INDEX('Final Calculation Sheet'!$B$4:$B$40,$BA38-3)="","",INDEX('Final Calculation Sheet'!$B$4:$B$40,$BA38-3)),"")</f>
        <v/>
      </c>
      <c r="AK6" s="541">
        <f>IFERROR(IF(INDEX('Final Calculation Sheet'!$B$4:$B$40,$BA39-3)="","",INDEX('Final Calculation Sheet'!$B$4:$B$40,$BA39-3)),"")</f>
        <v/>
      </c>
      <c r="AL6" s="69">
        <f>IFERROR(IF(INDEX('Final Calculation Sheet'!$B$4:$B$40,$BA40-3)="","",INDEX('Final Calculation Sheet'!$B$4:$B$40,$BA40-3)),"")</f>
        <v/>
      </c>
      <c r="AM6" s="542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540" t="inlineStr">
        <is>
          <t>Rate</t>
        </is>
      </c>
      <c r="B7" s="544">
        <f>IFERROR(IF(INDEX('Final Calculation Sheet'!$C$4:$C$40,$BA4-3)="","",INDEX('Final Calculation Sheet'!$C$4:$C$40,$BA4-3)),"")</f>
        <v/>
      </c>
      <c r="C7" s="545">
        <f>IFERROR(IF(INDEX('Final Calculation Sheet'!$C$4:$C$40,$BA5-3)="","",INDEX('Final Calculation Sheet'!$C$4:$C$40,$BA5-3)),"")</f>
        <v/>
      </c>
      <c r="D7" s="544">
        <f>IFERROR(IF(INDEX('Final Calculation Sheet'!$C$4:$C$40,$BA6-3)="","",INDEX('Final Calculation Sheet'!$C$4:$C$40,$BA6-3)),"")</f>
        <v/>
      </c>
      <c r="E7" s="545">
        <f>IFERROR(IF(INDEX('Final Calculation Sheet'!$C$4:$C$40,$BA7-3)="","",INDEX('Final Calculation Sheet'!$C$4:$C$40,$BA7-3)),"")</f>
        <v/>
      </c>
      <c r="F7" s="544">
        <f>IFERROR(IF(INDEX('Final Calculation Sheet'!$C$4:$C$40,$BA8-3)="","",INDEX('Final Calculation Sheet'!$C$4:$C$40,$BA8-3)),"")</f>
        <v/>
      </c>
      <c r="G7" s="545">
        <f>IFERROR(IF(INDEX('Final Calculation Sheet'!$C$4:$C$40,$BA9-3)="","",INDEX('Final Calculation Sheet'!$C$4:$C$40,$BA9-3)),"")</f>
        <v/>
      </c>
      <c r="H7" s="544">
        <f>IFERROR(IF(INDEX('Final Calculation Sheet'!$C$4:$C$40,$BA10-3)="","",INDEX('Final Calculation Sheet'!$C$4:$C$40,$BA10-3)),"")</f>
        <v/>
      </c>
      <c r="I7" s="545">
        <f>IFERROR(IF(INDEX('Final Calculation Sheet'!$C$4:$C$40,$BA11-3)="","",INDEX('Final Calculation Sheet'!$C$4:$C$40,$BA11-3)),"")</f>
        <v/>
      </c>
      <c r="J7" s="544">
        <f>IFERROR(IF(INDEX('Final Calculation Sheet'!$C$4:$C$40,$BA12-3)="","",INDEX('Final Calculation Sheet'!$C$4:$C$40,$BA12-3)),"")</f>
        <v/>
      </c>
      <c r="K7" s="545">
        <f>IFERROR(IF(INDEX('Final Calculation Sheet'!$C$4:$C$40,$BA13-3)="","",INDEX('Final Calculation Sheet'!$C$4:$C$40,$BA13-3)),"")</f>
        <v/>
      </c>
      <c r="L7" s="544">
        <f>IFERROR(IF(INDEX('Final Calculation Sheet'!$C$4:$C$40,$BA14-3)="","",INDEX('Final Calculation Sheet'!$C$4:$C$40,$BA14-3)),"")</f>
        <v/>
      </c>
      <c r="M7" s="545">
        <f>IFERROR(IF(INDEX('Final Calculation Sheet'!$C$4:$C$40,$BA15-3)="","",INDEX('Final Calculation Sheet'!$C$4:$C$40,$BA15-3)),"")</f>
        <v/>
      </c>
      <c r="N7" s="544">
        <f>IFERROR(IF(INDEX('Final Calculation Sheet'!$C$4:$C$40,$BA16-3)="","",INDEX('Final Calculation Sheet'!$C$4:$C$40,$BA16-3)),"")</f>
        <v/>
      </c>
      <c r="O7" s="545">
        <f>IFERROR(IF(INDEX('Final Calculation Sheet'!$C$4:$C$40,$BA17-3)="","",INDEX('Final Calculation Sheet'!$C$4:$C$40,$BA17-3)),"")</f>
        <v/>
      </c>
      <c r="P7" s="544">
        <f>IFERROR(IF(INDEX('Final Calculation Sheet'!$C$4:$C$40,$BA18-3)="","",INDEX('Final Calculation Sheet'!$C$4:$C$40,$BA18-3)),"")</f>
        <v/>
      </c>
      <c r="Q7" s="545">
        <f>IFERROR(IF(INDEX('Final Calculation Sheet'!$C$4:$C$40,$BA19-3)="","",INDEX('Final Calculation Sheet'!$C$4:$C$40,$BA19-3)),"")</f>
        <v/>
      </c>
      <c r="R7" s="544">
        <f>IFERROR(IF(INDEX('Final Calculation Sheet'!$C$4:$C$40,$BA20-3)="","",INDEX('Final Calculation Sheet'!$C$4:$C$40,$BA20-3)),"")</f>
        <v/>
      </c>
      <c r="S7" s="545">
        <f>IFERROR(IF(INDEX('Final Calculation Sheet'!$C$4:$C$40,$BA21-3)="","",INDEX('Final Calculation Sheet'!$C$4:$C$40,$BA21-3)),"")</f>
        <v/>
      </c>
      <c r="T7" s="544">
        <f>IFERROR(IF(INDEX('Final Calculation Sheet'!$C$4:$C$40,$BA22-3)="","",INDEX('Final Calculation Sheet'!$C$4:$C$40,$BA22-3)),"")</f>
        <v/>
      </c>
      <c r="U7" s="545">
        <f>IFERROR(IF(INDEX('Final Calculation Sheet'!$C$4:$C$40,$BA23-3)="","",INDEX('Final Calculation Sheet'!$C$4:$C$40,$BA23-3)),"")</f>
        <v/>
      </c>
      <c r="V7" s="544">
        <f>IFERROR(IF(INDEX('Final Calculation Sheet'!$C$4:$C$40,$BA24-3)="","",INDEX('Final Calculation Sheet'!$C$4:$C$40,$BA24-3)),"")</f>
        <v/>
      </c>
      <c r="W7" s="545">
        <f>IFERROR(IF(INDEX('Final Calculation Sheet'!$C$4:$C$40,$BA25-3)="","",INDEX('Final Calculation Sheet'!$C$4:$C$40,$BA25-3)),"")</f>
        <v/>
      </c>
      <c r="X7" s="544">
        <f>IFERROR(IF(INDEX('Final Calculation Sheet'!$C$4:$C$40,$BA26-3)="","",INDEX('Final Calculation Sheet'!$C$4:$C$40,$BA26-3)),"")</f>
        <v/>
      </c>
      <c r="Y7" s="545">
        <f>IFERROR(IF(INDEX('Final Calculation Sheet'!$C$4:$C$40,$BA27-3)="","",INDEX('Final Calculation Sheet'!$C$4:$C$40,$BA27-3)),"")</f>
        <v/>
      </c>
      <c r="Z7" s="544">
        <f>IFERROR(IF(INDEX('Final Calculation Sheet'!$C$4:$C$40,$BA28-3)="","",INDEX('Final Calculation Sheet'!$C$4:$C$40,$BA28-3)),"")</f>
        <v/>
      </c>
      <c r="AA7" s="545">
        <f>IFERROR(IF(INDEX('Final Calculation Sheet'!$C$4:$C$40,$BA29-3)="","",INDEX('Final Calculation Sheet'!$C$4:$C$40,$BA29-3)),"")</f>
        <v/>
      </c>
      <c r="AB7" s="544">
        <f>IFERROR(IF(INDEX('Final Calculation Sheet'!$C$4:$C$40,$BA30-3)="","",INDEX('Final Calculation Sheet'!$C$4:$C$40,$BA30-3)),"")</f>
        <v/>
      </c>
      <c r="AC7" s="545">
        <f>IFERROR(IF(INDEX('Final Calculation Sheet'!$C$4:$C$40,$BA31-3)="","",INDEX('Final Calculation Sheet'!$C$4:$C$40,$BA31-3)),"")</f>
        <v/>
      </c>
      <c r="AD7" s="544">
        <f>IFERROR(IF(INDEX('Final Calculation Sheet'!$C$4:$C$40,$BA32-3)="","",INDEX('Final Calculation Sheet'!$C$4:$C$40,$BA32-3)),"")</f>
        <v/>
      </c>
      <c r="AE7" s="545">
        <f>IFERROR(IF(INDEX('Final Calculation Sheet'!$C$4:$C$40,$BA33-3)="","",INDEX('Final Calculation Sheet'!$C$4:$C$40,$BA33-3)),"")</f>
        <v/>
      </c>
      <c r="AF7" s="544">
        <f>IFERROR(IF(INDEX('Final Calculation Sheet'!$C$4:$C$40,$BA34-3)="","",INDEX('Final Calculation Sheet'!$C$4:$C$40,$BA34-3)),"")</f>
        <v/>
      </c>
      <c r="AG7" s="545">
        <f>IFERROR(IF(INDEX('Final Calculation Sheet'!$C$4:$C$40,$BA35-3)="","",INDEX('Final Calculation Sheet'!$C$4:$C$40,$BA35-3)),"")</f>
        <v/>
      </c>
      <c r="AH7" s="544">
        <f>IFERROR(IF(INDEX('Final Calculation Sheet'!$C$4:$C$40,$BA36-3)="","",INDEX('Final Calculation Sheet'!$C$4:$C$40,$BA36-3)),"")</f>
        <v/>
      </c>
      <c r="AI7" s="545">
        <f>IFERROR(IF(INDEX('Final Calculation Sheet'!$C$4:$C$40,$BA37-3)="","",INDEX('Final Calculation Sheet'!$C$4:$C$40,$BA37-3)),"")</f>
        <v/>
      </c>
      <c r="AJ7" s="544">
        <f>IFERROR(IF(INDEX('Final Calculation Sheet'!$C$4:$C$40,$BA38-3)="","",INDEX('Final Calculation Sheet'!$C$4:$C$40,$BA38-3)),"")</f>
        <v/>
      </c>
      <c r="AK7" s="545">
        <f>IFERROR(IF(INDEX('Final Calculation Sheet'!$C$4:$C$40,$BA39-3)="","",INDEX('Final Calculation Sheet'!$C$4:$C$40,$BA39-3)),"")</f>
        <v/>
      </c>
      <c r="AL7" s="544">
        <f>IFERROR(IF(INDEX('Final Calculation Sheet'!$C$4:$C$40,$BA40-3)="","",INDEX('Final Calculation Sheet'!$C$4:$C$40,$BA40-3)),"")</f>
        <v/>
      </c>
      <c r="AM7" s="605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543" t="inlineStr">
        <is>
          <t>Bid Sheet</t>
        </is>
      </c>
      <c r="B8" s="69">
        <f>IFERROR(IF(INDEX('Final Calculation Sheet'!$D$4:$D$40,$BA4-3)="","",INDEX('Final Calculation Sheet'!$D$4:$D$40,$BA4-3)),"")</f>
        <v/>
      </c>
      <c r="C8" s="541">
        <f>IFERROR(IF(INDEX('Final Calculation Sheet'!$D$4:$D$40,$BA5-3)="","",INDEX('Final Calculation Sheet'!$D$4:$D$40,$BA5-3)),"")</f>
        <v/>
      </c>
      <c r="D8" s="69">
        <f>IFERROR(IF(INDEX('Final Calculation Sheet'!$D$4:$D$40,$BA6-3)="","",INDEX('Final Calculation Sheet'!$D$4:$D$40,$BA6-3)),"")</f>
        <v/>
      </c>
      <c r="E8" s="541">
        <f>IFERROR(IF(INDEX('Final Calculation Sheet'!$D$4:$D$40,$BA7-3)="","",INDEX('Final Calculation Sheet'!$D$4:$D$40,$BA7-3)),"")</f>
        <v/>
      </c>
      <c r="F8" s="69">
        <f>IFERROR(IF(INDEX('Final Calculation Sheet'!$D$4:$D$40,$BA8-3)="","",INDEX('Final Calculation Sheet'!$D$4:$D$40,$BA8-3)),"")</f>
        <v/>
      </c>
      <c r="G8" s="541">
        <f>IFERROR(IF(INDEX('Final Calculation Sheet'!$D$4:$D$40,$BA9-3)="","",INDEX('Final Calculation Sheet'!$D$4:$D$40,$BA9-3)),"")</f>
        <v/>
      </c>
      <c r="H8" s="69">
        <f>IFERROR(IF(INDEX('Final Calculation Sheet'!$D$4:$D$40,$BA10-3)="","",INDEX('Final Calculation Sheet'!$D$4:$D$40,$BA10-3)),"")</f>
        <v/>
      </c>
      <c r="I8" s="541">
        <f>IFERROR(IF(INDEX('Final Calculation Sheet'!$D$4:$D$40,$BA11-3)="","",INDEX('Final Calculation Sheet'!$D$4:$D$40,$BA11-3)),"")</f>
        <v/>
      </c>
      <c r="J8" s="69">
        <f>IFERROR(IF(INDEX('Final Calculation Sheet'!$D$4:$D$40,$BA12-3)="","",INDEX('Final Calculation Sheet'!$D$4:$D$40,$BA12-3)),"")</f>
        <v/>
      </c>
      <c r="K8" s="541">
        <f>IFERROR(IF(INDEX('Final Calculation Sheet'!$D$4:$D$40,$BA13-3)="","",INDEX('Final Calculation Sheet'!$D$4:$D$40,$BA13-3)),"")</f>
        <v/>
      </c>
      <c r="L8" s="69">
        <f>IFERROR(IF(INDEX('Final Calculation Sheet'!$D$4:$D$40,$BA14-3)="","",INDEX('Final Calculation Sheet'!$D$4:$D$40,$BA14-3)),"")</f>
        <v/>
      </c>
      <c r="M8" s="541">
        <f>IFERROR(IF(INDEX('Final Calculation Sheet'!$D$4:$D$40,$BA15-3)="","",INDEX('Final Calculation Sheet'!$D$4:$D$40,$BA15-3)),"")</f>
        <v/>
      </c>
      <c r="N8" s="69">
        <f>IFERROR(IF(INDEX('Final Calculation Sheet'!$D$4:$D$40,$BA16-3)="","",INDEX('Final Calculation Sheet'!$D$4:$D$40,$BA16-3)),"")</f>
        <v/>
      </c>
      <c r="O8" s="541">
        <f>IFERROR(IF(INDEX('Final Calculation Sheet'!$D$4:$D$40,$BA17-3)="","",INDEX('Final Calculation Sheet'!$D$4:$D$40,$BA17-3)),"")</f>
        <v/>
      </c>
      <c r="P8" s="69">
        <f>IFERROR(IF(INDEX('Final Calculation Sheet'!$D$4:$D$40,$BA18-3)="","",INDEX('Final Calculation Sheet'!$D$4:$D$40,$BA18-3)),"")</f>
        <v/>
      </c>
      <c r="Q8" s="541">
        <f>IFERROR(IF(INDEX('Final Calculation Sheet'!$D$4:$D$40,$BA19-3)="","",INDEX('Final Calculation Sheet'!$D$4:$D$40,$BA19-3)),"")</f>
        <v/>
      </c>
      <c r="R8" s="69">
        <f>IFERROR(IF(INDEX('Final Calculation Sheet'!$D$4:$D$40,$BA20-3)="","",INDEX('Final Calculation Sheet'!$D$4:$D$40,$BA20-3)),"")</f>
        <v/>
      </c>
      <c r="S8" s="541">
        <f>IFERROR(IF(INDEX('Final Calculation Sheet'!$D$4:$D$40,$BA21-3)="","",INDEX('Final Calculation Sheet'!$D$4:$D$40,$BA21-3)),"")</f>
        <v/>
      </c>
      <c r="T8" s="69">
        <f>IFERROR(IF(INDEX('Final Calculation Sheet'!$D$4:$D$40,$BA22-3)="","",INDEX('Final Calculation Sheet'!$D$4:$D$40,$BA22-3)),"")</f>
        <v/>
      </c>
      <c r="U8" s="541">
        <f>IFERROR(IF(INDEX('Final Calculation Sheet'!$D$4:$D$40,$BA23-3)="","",INDEX('Final Calculation Sheet'!$D$4:$D$40,$BA23-3)),"")</f>
        <v/>
      </c>
      <c r="V8" s="69">
        <f>IFERROR(IF(INDEX('Final Calculation Sheet'!$D$4:$D$40,$BA24-3)="","",INDEX('Final Calculation Sheet'!$D$4:$D$40,$BA24-3)),"")</f>
        <v/>
      </c>
      <c r="W8" s="541">
        <f>IFERROR(IF(INDEX('Final Calculation Sheet'!$D$4:$D$40,$BA25-3)="","",INDEX('Final Calculation Sheet'!$D$4:$D$40,$BA25-3)),"")</f>
        <v/>
      </c>
      <c r="X8" s="69">
        <f>IFERROR(IF(INDEX('Final Calculation Sheet'!$D$4:$D$40,$BA26-3)="","",INDEX('Final Calculation Sheet'!$D$4:$D$40,$BA26-3)),"")</f>
        <v/>
      </c>
      <c r="Y8" s="541">
        <f>IFERROR(IF(INDEX('Final Calculation Sheet'!$D$4:$D$40,$BA27-3)="","",INDEX('Final Calculation Sheet'!$D$4:$D$40,$BA27-3)),"")</f>
        <v/>
      </c>
      <c r="Z8" s="69">
        <f>IFERROR(IF(INDEX('Final Calculation Sheet'!$D$4:$D$40,$BA28-3)="","",INDEX('Final Calculation Sheet'!$D$4:$D$40,$BA28-3)),"")</f>
        <v/>
      </c>
      <c r="AA8" s="541">
        <f>IFERROR(IF(INDEX('Final Calculation Sheet'!$D$4:$D$40,$BA29-3)="","",INDEX('Final Calculation Sheet'!$D$4:$D$40,$BA29-3)),"")</f>
        <v/>
      </c>
      <c r="AB8" s="69">
        <f>IFERROR(IF(INDEX('Final Calculation Sheet'!$D$4:$D$40,$BA30-3)="","",INDEX('Final Calculation Sheet'!$D$4:$D$40,$BA30-3)),"")</f>
        <v/>
      </c>
      <c r="AC8" s="541">
        <f>IFERROR(IF(INDEX('Final Calculation Sheet'!$D$4:$D$40,$BA31-3)="","",INDEX('Final Calculation Sheet'!$D$4:$D$40,$BA31-3)),"")</f>
        <v/>
      </c>
      <c r="AD8" s="69">
        <f>IFERROR(IF(INDEX('Final Calculation Sheet'!$D$4:$D$40,$BA32-3)="","",INDEX('Final Calculation Sheet'!$D$4:$D$40,$BA32-3)),"")</f>
        <v/>
      </c>
      <c r="AE8" s="541">
        <f>IFERROR(IF(INDEX('Final Calculation Sheet'!$D$4:$D$40,$BA33-3)="","",INDEX('Final Calculation Sheet'!$D$4:$D$40,$BA33-3)),"")</f>
        <v/>
      </c>
      <c r="AF8" s="69">
        <f>IFERROR(IF(INDEX('Final Calculation Sheet'!$D$4:$D$40,$BA34-3)="","",INDEX('Final Calculation Sheet'!$D$4:$D$40,$BA34-3)),"")</f>
        <v/>
      </c>
      <c r="AG8" s="541">
        <f>IFERROR(IF(INDEX('Final Calculation Sheet'!$D$4:$D$40,$BA35-3)="","",INDEX('Final Calculation Sheet'!$D$4:$D$40,$BA35-3)),"")</f>
        <v/>
      </c>
      <c r="AH8" s="69">
        <f>IFERROR(IF(INDEX('Final Calculation Sheet'!$D$4:$D$40,$BA36-3)="","",INDEX('Final Calculation Sheet'!$D$4:$D$40,$BA36-3)),"")</f>
        <v/>
      </c>
      <c r="AI8" s="541">
        <f>IFERROR(IF(INDEX('Final Calculation Sheet'!$D$4:$D$40,$BA37-3)="","",INDEX('Final Calculation Sheet'!$D$4:$D$40,$BA37-3)),"")</f>
        <v/>
      </c>
      <c r="AJ8" s="69">
        <f>IFERROR(IF(INDEX('Final Calculation Sheet'!$D$4:$D$40,$BA38-3)="","",INDEX('Final Calculation Sheet'!$D$4:$D$40,$BA38-3)),"")</f>
        <v/>
      </c>
      <c r="AK8" s="541">
        <f>IFERROR(IF(INDEX('Final Calculation Sheet'!$D$4:$D$40,$BA39-3)="","",INDEX('Final Calculation Sheet'!$D$4:$D$40,$BA39-3)),"")</f>
        <v/>
      </c>
      <c r="AL8" s="69">
        <f>IFERROR(IF(INDEX('Final Calculation Sheet'!$D$4:$D$40,$BA40-3)="","",INDEX('Final Calculation Sheet'!$D$4:$D$40,$BA40-3)),"")</f>
        <v/>
      </c>
      <c r="AM8" s="542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540" t="inlineStr">
        <is>
          <t>Unit</t>
        </is>
      </c>
      <c r="B9" s="69">
        <f>IFERROR(IF(INDEX('Final Calculation Sheet'!$E$4:$E$40,$BA4-3)="","",INDEX('Final Calculation Sheet'!$E$4:$E$40,$BA4-3)),"")</f>
        <v/>
      </c>
      <c r="C9" s="541">
        <f>IFERROR(IF(INDEX('Final Calculation Sheet'!$E$4:$E$40,$BA5-3)="","",INDEX('Final Calculation Sheet'!$E$4:$E$40,$BA5-3)),"")</f>
        <v/>
      </c>
      <c r="D9" s="69">
        <f>IFERROR(IF(INDEX('Final Calculation Sheet'!$E$4:$E$40,$BA6-3)="","",INDEX('Final Calculation Sheet'!$E$4:$E$40,$BA6-3)),"")</f>
        <v/>
      </c>
      <c r="E9" s="541">
        <f>IFERROR(IF(INDEX('Final Calculation Sheet'!$E$4:$E$40,$BA7-3)="","",INDEX('Final Calculation Sheet'!$E$4:$E$40,$BA7-3)),"")</f>
        <v/>
      </c>
      <c r="F9" s="69">
        <f>IFERROR(IF(INDEX('Final Calculation Sheet'!$E$4:$E$40,$BA8-3)="","",INDEX('Final Calculation Sheet'!$E$4:$E$40,$BA8-3)),"")</f>
        <v/>
      </c>
      <c r="G9" s="541">
        <f>IFERROR(IF(INDEX('Final Calculation Sheet'!$E$4:$E$40,$BA9-3)="","",INDEX('Final Calculation Sheet'!$E$4:$E$40,$BA9-3)),"")</f>
        <v/>
      </c>
      <c r="H9" s="69">
        <f>IFERROR(IF(INDEX('Final Calculation Sheet'!$E$4:$E$40,$BA10-3)="","",INDEX('Final Calculation Sheet'!$E$4:$E$40,$BA10-3)),"")</f>
        <v/>
      </c>
      <c r="I9" s="541">
        <f>IFERROR(IF(INDEX('Final Calculation Sheet'!$E$4:$E$40,$BA11-3)="","",INDEX('Final Calculation Sheet'!$E$4:$E$40,$BA11-3)),"")</f>
        <v/>
      </c>
      <c r="J9" s="69">
        <f>IFERROR(IF(INDEX('Final Calculation Sheet'!$E$4:$E$40,$BA12-3)="","",INDEX('Final Calculation Sheet'!$E$4:$E$40,$BA12-3)),"")</f>
        <v/>
      </c>
      <c r="K9" s="541">
        <f>IFERROR(IF(INDEX('Final Calculation Sheet'!$E$4:$E$40,$BA13-3)="","",INDEX('Final Calculation Sheet'!$E$4:$E$40,$BA13-3)),"")</f>
        <v/>
      </c>
      <c r="L9" s="69">
        <f>IFERROR(IF(INDEX('Final Calculation Sheet'!$E$4:$E$40,$BA14-3)="","",INDEX('Final Calculation Sheet'!$E$4:$E$40,$BA14-3)),"")</f>
        <v/>
      </c>
      <c r="M9" s="541">
        <f>IFERROR(IF(INDEX('Final Calculation Sheet'!$E$4:$E$40,$BA15-3)="","",INDEX('Final Calculation Sheet'!$E$4:$E$40,$BA15-3)),"")</f>
        <v/>
      </c>
      <c r="N9" s="69">
        <f>IFERROR(IF(INDEX('Final Calculation Sheet'!$E$4:$E$40,$BA16-3)="","",INDEX('Final Calculation Sheet'!$E$4:$E$40,$BA16-3)),"")</f>
        <v/>
      </c>
      <c r="O9" s="541">
        <f>IFERROR(IF(INDEX('Final Calculation Sheet'!$E$4:$E$40,$BA17-3)="","",INDEX('Final Calculation Sheet'!$E$4:$E$40,$BA17-3)),"")</f>
        <v/>
      </c>
      <c r="P9" s="69">
        <f>IFERROR(IF(INDEX('Final Calculation Sheet'!$E$4:$E$40,$BA18-3)="","",INDEX('Final Calculation Sheet'!$E$4:$E$40,$BA18-3)),"")</f>
        <v/>
      </c>
      <c r="Q9" s="541">
        <f>IFERROR(IF(INDEX('Final Calculation Sheet'!$E$4:$E$40,$BA19-3)="","",INDEX('Final Calculation Sheet'!$E$4:$E$40,$BA19-3)),"")</f>
        <v/>
      </c>
      <c r="R9" s="69">
        <f>IFERROR(IF(INDEX('Final Calculation Sheet'!$E$4:$E$40,$BA20-3)="","",INDEX('Final Calculation Sheet'!$E$4:$E$40,$BA20-3)),"")</f>
        <v/>
      </c>
      <c r="S9" s="541">
        <f>IFERROR(IF(INDEX('Final Calculation Sheet'!$E$4:$E$40,$BA21-3)="","",INDEX('Final Calculation Sheet'!$E$4:$E$40,$BA21-3)),"")</f>
        <v/>
      </c>
      <c r="T9" s="69">
        <f>IFERROR(IF(INDEX('Final Calculation Sheet'!$E$4:$E$40,$BA22-3)="","",INDEX('Final Calculation Sheet'!$E$4:$E$40,$BA22-3)),"")</f>
        <v/>
      </c>
      <c r="U9" s="541">
        <f>IFERROR(IF(INDEX('Final Calculation Sheet'!$E$4:$E$40,$BA23-3)="","",INDEX('Final Calculation Sheet'!$E$4:$E$40,$BA23-3)),"")</f>
        <v/>
      </c>
      <c r="V9" s="69">
        <f>IFERROR(IF(INDEX('Final Calculation Sheet'!$E$4:$E$40,$BA24-3)="","",INDEX('Final Calculation Sheet'!$E$4:$E$40,$BA24-3)),"")</f>
        <v/>
      </c>
      <c r="W9" s="541">
        <f>IFERROR(IF(INDEX('Final Calculation Sheet'!$E$4:$E$40,$BA25-3)="","",INDEX('Final Calculation Sheet'!$E$4:$E$40,$BA25-3)),"")</f>
        <v/>
      </c>
      <c r="X9" s="69">
        <f>IFERROR(IF(INDEX('Final Calculation Sheet'!$E$4:$E$40,$BA26-3)="","",INDEX('Final Calculation Sheet'!$E$4:$E$40,$BA26-3)),"")</f>
        <v/>
      </c>
      <c r="Y9" s="541">
        <f>IFERROR(IF(INDEX('Final Calculation Sheet'!$E$4:$E$40,$BA27-3)="","",INDEX('Final Calculation Sheet'!$E$4:$E$40,$BA27-3)),"")</f>
        <v/>
      </c>
      <c r="Z9" s="69">
        <f>IFERROR(IF(INDEX('Final Calculation Sheet'!$E$4:$E$40,$BA28-3)="","",INDEX('Final Calculation Sheet'!$E$4:$E$40,$BA28-3)),"")</f>
        <v/>
      </c>
      <c r="AA9" s="541">
        <f>IFERROR(IF(INDEX('Final Calculation Sheet'!$E$4:$E$40,$BA29-3)="","",INDEX('Final Calculation Sheet'!$E$4:$E$40,$BA29-3)),"")</f>
        <v/>
      </c>
      <c r="AB9" s="69">
        <f>IFERROR(IF(INDEX('Final Calculation Sheet'!$E$4:$E$40,$BA30-3)="","",INDEX('Final Calculation Sheet'!$E$4:$E$40,$BA30-3)),"")</f>
        <v/>
      </c>
      <c r="AC9" s="541">
        <f>IFERROR(IF(INDEX('Final Calculation Sheet'!$E$4:$E$40,$BA31-3)="","",INDEX('Final Calculation Sheet'!$E$4:$E$40,$BA31-3)),"")</f>
        <v/>
      </c>
      <c r="AD9" s="69">
        <f>IFERROR(IF(INDEX('Final Calculation Sheet'!$E$4:$E$40,$BA32-3)="","",INDEX('Final Calculation Sheet'!$E$4:$E$40,$BA32-3)),"")</f>
        <v/>
      </c>
      <c r="AE9" s="541">
        <f>IFERROR(IF(INDEX('Final Calculation Sheet'!$E$4:$E$40,$BA33-3)="","",INDEX('Final Calculation Sheet'!$E$4:$E$40,$BA33-3)),"")</f>
        <v/>
      </c>
      <c r="AF9" s="69">
        <f>IFERROR(IF(INDEX('Final Calculation Sheet'!$E$4:$E$40,$BA34-3)="","",INDEX('Final Calculation Sheet'!$E$4:$E$40,$BA34-3)),"")</f>
        <v/>
      </c>
      <c r="AG9" s="541">
        <f>IFERROR(IF(INDEX('Final Calculation Sheet'!$E$4:$E$40,$BA35-3)="","",INDEX('Final Calculation Sheet'!$E$4:$E$40,$BA35-3)),"")</f>
        <v/>
      </c>
      <c r="AH9" s="69">
        <f>IFERROR(IF(INDEX('Final Calculation Sheet'!$E$4:$E$40,$BA36-3)="","",INDEX('Final Calculation Sheet'!$E$4:$E$40,$BA36-3)),"")</f>
        <v/>
      </c>
      <c r="AI9" s="541">
        <f>IFERROR(IF(INDEX('Final Calculation Sheet'!$E$4:$E$40,$BA37-3)="","",INDEX('Final Calculation Sheet'!$E$4:$E$40,$BA37-3)),"")</f>
        <v/>
      </c>
      <c r="AJ9" s="69">
        <f>IFERROR(IF(INDEX('Final Calculation Sheet'!$E$4:$E$40,$BA38-3)="","",INDEX('Final Calculation Sheet'!$E$4:$E$40,$BA38-3)),"")</f>
        <v/>
      </c>
      <c r="AK9" s="541">
        <f>IFERROR(IF(INDEX('Final Calculation Sheet'!$E$4:$E$40,$BA39-3)="","",INDEX('Final Calculation Sheet'!$E$4:$E$40,$BA39-3)),"")</f>
        <v/>
      </c>
      <c r="AL9" s="69">
        <f>IFERROR(IF(INDEX('Final Calculation Sheet'!$E$4:$E$40,$BA40-3)="","",INDEX('Final Calculation Sheet'!$E$4:$E$40,$BA40-3)),"")</f>
        <v/>
      </c>
      <c r="AM9" s="542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543" t="inlineStr">
        <is>
          <t>Lot No.</t>
        </is>
      </c>
      <c r="B10" s="69">
        <f>IFERROR(IF(INDEX('Final Calculation Sheet'!$F$4:$F$40,$BA4-3)="","",INDEX('Final Calculation Sheet'!$F$4:$F$40,$BA4-3)),"")</f>
        <v/>
      </c>
      <c r="C10" s="541">
        <f>IFERROR(IF(INDEX('Final Calculation Sheet'!$F$4:$F$40,$BA5-3)="","",INDEX('Final Calculation Sheet'!$F$4:$F$40,$BA5-3)),"")</f>
        <v/>
      </c>
      <c r="D10" s="69">
        <f>IFERROR(IF(INDEX('Final Calculation Sheet'!$F$4:$F$40,$BA6-3)="","",INDEX('Final Calculation Sheet'!$F$4:$F$40,$BA6-3)),"")</f>
        <v/>
      </c>
      <c r="E10" s="541">
        <f>IFERROR(IF(INDEX('Final Calculation Sheet'!$F$4:$F$40,$BA7-3)="","",INDEX('Final Calculation Sheet'!$F$4:$F$40,$BA7-3)),"")</f>
        <v/>
      </c>
      <c r="F10" s="69">
        <f>IFERROR(IF(INDEX('Final Calculation Sheet'!$F$4:$F$40,$BA8-3)="","",INDEX('Final Calculation Sheet'!$F$4:$F$40,$BA8-3)),"")</f>
        <v/>
      </c>
      <c r="G10" s="541">
        <f>IFERROR(IF(INDEX('Final Calculation Sheet'!$F$4:$F$40,$BA9-3)="","",INDEX('Final Calculation Sheet'!$F$4:$F$40,$BA9-3)),"")</f>
        <v/>
      </c>
      <c r="H10" s="69">
        <f>IFERROR(IF(INDEX('Final Calculation Sheet'!$F$4:$F$40,$BA10-3)="","",INDEX('Final Calculation Sheet'!$F$4:$F$40,$BA10-3)),"")</f>
        <v/>
      </c>
      <c r="I10" s="541">
        <f>IFERROR(IF(INDEX('Final Calculation Sheet'!$F$4:$F$40,$BA11-3)="","",INDEX('Final Calculation Sheet'!$F$4:$F$40,$BA11-3)),"")</f>
        <v/>
      </c>
      <c r="J10" s="69">
        <f>IFERROR(IF(INDEX('Final Calculation Sheet'!$F$4:$F$40,$BA12-3)="","",INDEX('Final Calculation Sheet'!$F$4:$F$40,$BA12-3)),"")</f>
        <v/>
      </c>
      <c r="K10" s="541">
        <f>IFERROR(IF(INDEX('Final Calculation Sheet'!$F$4:$F$40,$BA13-3)="","",INDEX('Final Calculation Sheet'!$F$4:$F$40,$BA13-3)),"")</f>
        <v/>
      </c>
      <c r="L10" s="69">
        <f>IFERROR(IF(INDEX('Final Calculation Sheet'!$F$4:$F$40,$BA14-3)="","",INDEX('Final Calculation Sheet'!$F$4:$F$40,$BA14-3)),"")</f>
        <v/>
      </c>
      <c r="M10" s="541">
        <f>IFERROR(IF(INDEX('Final Calculation Sheet'!$F$4:$F$40,$BA15-3)="","",INDEX('Final Calculation Sheet'!$F$4:$F$40,$BA15-3)),"")</f>
        <v/>
      </c>
      <c r="N10" s="69">
        <f>IFERROR(IF(INDEX('Final Calculation Sheet'!$F$4:$F$40,$BA16-3)="","",INDEX('Final Calculation Sheet'!$F$4:$F$40,$BA16-3)),"")</f>
        <v/>
      </c>
      <c r="O10" s="541">
        <f>IFERROR(IF(INDEX('Final Calculation Sheet'!$F$4:$F$40,$BA17-3)="","",INDEX('Final Calculation Sheet'!$F$4:$F$40,$BA17-3)),"")</f>
        <v/>
      </c>
      <c r="P10" s="69">
        <f>IFERROR(IF(INDEX('Final Calculation Sheet'!$F$4:$F$40,$BA18-3)="","",INDEX('Final Calculation Sheet'!$F$4:$F$40,$BA18-3)),"")</f>
        <v/>
      </c>
      <c r="Q10" s="541">
        <f>IFERROR(IF(INDEX('Final Calculation Sheet'!$F$4:$F$40,$BA19-3)="","",INDEX('Final Calculation Sheet'!$F$4:$F$40,$BA19-3)),"")</f>
        <v/>
      </c>
      <c r="R10" s="69">
        <f>IFERROR(IF(INDEX('Final Calculation Sheet'!$F$4:$F$40,$BA20-3)="","",INDEX('Final Calculation Sheet'!$F$4:$F$40,$BA20-3)),"")</f>
        <v/>
      </c>
      <c r="S10" s="541">
        <f>IFERROR(IF(INDEX('Final Calculation Sheet'!$F$4:$F$40,$BA21-3)="","",INDEX('Final Calculation Sheet'!$F$4:$F$40,$BA21-3)),"")</f>
        <v/>
      </c>
      <c r="T10" s="69">
        <f>IFERROR(IF(INDEX('Final Calculation Sheet'!$F$4:$F$40,$BA22-3)="","",INDEX('Final Calculation Sheet'!$F$4:$F$40,$BA22-3)),"")</f>
        <v/>
      </c>
      <c r="U10" s="541">
        <f>IFERROR(IF(INDEX('Final Calculation Sheet'!$F$4:$F$40,$BA23-3)="","",INDEX('Final Calculation Sheet'!$F$4:$F$40,$BA23-3)),"")</f>
        <v/>
      </c>
      <c r="V10" s="69">
        <f>IFERROR(IF(INDEX('Final Calculation Sheet'!$F$4:$F$40,$BA24-3)="","",INDEX('Final Calculation Sheet'!$F$4:$F$40,$BA24-3)),"")</f>
        <v/>
      </c>
      <c r="W10" s="541">
        <f>IFERROR(IF(INDEX('Final Calculation Sheet'!$F$4:$F$40,$BA25-3)="","",INDEX('Final Calculation Sheet'!$F$4:$F$40,$BA25-3)),"")</f>
        <v/>
      </c>
      <c r="X10" s="69">
        <f>IFERROR(IF(INDEX('Final Calculation Sheet'!$F$4:$F$40,$BA26-3)="","",INDEX('Final Calculation Sheet'!$F$4:$F$40,$BA26-3)),"")</f>
        <v/>
      </c>
      <c r="Y10" s="541">
        <f>IFERROR(IF(INDEX('Final Calculation Sheet'!$F$4:$F$40,$BA27-3)="","",INDEX('Final Calculation Sheet'!$F$4:$F$40,$BA27-3)),"")</f>
        <v/>
      </c>
      <c r="Z10" s="69">
        <f>IFERROR(IF(INDEX('Final Calculation Sheet'!$F$4:$F$40,$BA28-3)="","",INDEX('Final Calculation Sheet'!$F$4:$F$40,$BA28-3)),"")</f>
        <v/>
      </c>
      <c r="AA10" s="541">
        <f>IFERROR(IF(INDEX('Final Calculation Sheet'!$F$4:$F$40,$BA29-3)="","",INDEX('Final Calculation Sheet'!$F$4:$F$40,$BA29-3)),"")</f>
        <v/>
      </c>
      <c r="AB10" s="69">
        <f>IFERROR(IF(INDEX('Final Calculation Sheet'!$F$4:$F$40,$BA30-3)="","",INDEX('Final Calculation Sheet'!$F$4:$F$40,$BA30-3)),"")</f>
        <v/>
      </c>
      <c r="AC10" s="541">
        <f>IFERROR(IF(INDEX('Final Calculation Sheet'!$F$4:$F$40,$BA31-3)="","",INDEX('Final Calculation Sheet'!$F$4:$F$40,$BA31-3)),"")</f>
        <v/>
      </c>
      <c r="AD10" s="69">
        <f>IFERROR(IF(INDEX('Final Calculation Sheet'!$F$4:$F$40,$BA32-3)="","",INDEX('Final Calculation Sheet'!$F$4:$F$40,$BA32-3)),"")</f>
        <v/>
      </c>
      <c r="AE10" s="541">
        <f>IFERROR(IF(INDEX('Final Calculation Sheet'!$F$4:$F$40,$BA33-3)="","",INDEX('Final Calculation Sheet'!$F$4:$F$40,$BA33-3)),"")</f>
        <v/>
      </c>
      <c r="AF10" s="69">
        <f>IFERROR(IF(INDEX('Final Calculation Sheet'!$F$4:$F$40,$BA34-3)="","",INDEX('Final Calculation Sheet'!$F$4:$F$40,$BA34-3)),"")</f>
        <v/>
      </c>
      <c r="AG10" s="541">
        <f>IFERROR(IF(INDEX('Final Calculation Sheet'!$F$4:$F$40,$BA35-3)="","",INDEX('Final Calculation Sheet'!$F$4:$F$40,$BA35-3)),"")</f>
        <v/>
      </c>
      <c r="AH10" s="69">
        <f>IFERROR(IF(INDEX('Final Calculation Sheet'!$F$4:$F$40,$BA36-3)="","",INDEX('Final Calculation Sheet'!$F$4:$F$40,$BA36-3)),"")</f>
        <v/>
      </c>
      <c r="AI10" s="541">
        <f>IFERROR(IF(INDEX('Final Calculation Sheet'!$F$4:$F$40,$BA37-3)="","",INDEX('Final Calculation Sheet'!$F$4:$F$40,$BA37-3)),"")</f>
        <v/>
      </c>
      <c r="AJ10" s="69">
        <f>IFERROR(IF(INDEX('Final Calculation Sheet'!$F$4:$F$40,$BA38-3)="","",INDEX('Final Calculation Sheet'!$F$4:$F$40,$BA38-3)),"")</f>
        <v/>
      </c>
      <c r="AK10" s="541">
        <f>IFERROR(IF(INDEX('Final Calculation Sheet'!$F$4:$F$40,$BA39-3)="","",INDEX('Final Calculation Sheet'!$F$4:$F$40,$BA39-3)),"")</f>
        <v/>
      </c>
      <c r="AL10" s="69">
        <f>IFERROR(IF(INDEX('Final Calculation Sheet'!$F$4:$F$40,$BA40-3)="","",INDEX('Final Calculation Sheet'!$F$4:$F$40,$BA40-3)),"")</f>
        <v/>
      </c>
      <c r="AM10" s="542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540" t="inlineStr">
        <is>
          <t>Buyer</t>
        </is>
      </c>
      <c r="B11" s="69">
        <f>IFERROR(IF(INDEX('Final Calculation Sheet'!$G$4:$G$40,$BA4-3)="","",INDEX('Final Calculation Sheet'!$G$4:$G$40,$BA4-3)),"")</f>
        <v/>
      </c>
      <c r="C11" s="541">
        <f>IFERROR(IF(INDEX('Final Calculation Sheet'!$G$4:$G$40,$BA5-3)="","",INDEX('Final Calculation Sheet'!$G$4:$G$40,$BA5-3)),"")</f>
        <v/>
      </c>
      <c r="D11" s="69">
        <f>IFERROR(IF(INDEX('Final Calculation Sheet'!$G$4:$G$40,$BA6-3)="","",INDEX('Final Calculation Sheet'!$G$4:$G$40,$BA6-3)),"")</f>
        <v/>
      </c>
      <c r="E11" s="541">
        <f>IFERROR(IF(INDEX('Final Calculation Sheet'!$G$4:$G$40,$BA7-3)="","",INDEX('Final Calculation Sheet'!$G$4:$G$40,$BA7-3)),"")</f>
        <v/>
      </c>
      <c r="F11" s="69">
        <f>IFERROR(IF(INDEX('Final Calculation Sheet'!$G$4:$G$40,$BA8-3)="","",INDEX('Final Calculation Sheet'!$G$4:$G$40,$BA8-3)),"")</f>
        <v/>
      </c>
      <c r="G11" s="541">
        <f>IFERROR(IF(INDEX('Final Calculation Sheet'!$G$4:$G$40,$BA9-3)="","",INDEX('Final Calculation Sheet'!$G$4:$G$40,$BA9-3)),"")</f>
        <v/>
      </c>
      <c r="H11" s="69">
        <f>IFERROR(IF(INDEX('Final Calculation Sheet'!$G$4:$G$40,$BA10-3)="","",INDEX('Final Calculation Sheet'!$G$4:$G$40,$BA10-3)),"")</f>
        <v/>
      </c>
      <c r="I11" s="541">
        <f>IFERROR(IF(INDEX('Final Calculation Sheet'!$G$4:$G$40,$BA11-3)="","",INDEX('Final Calculation Sheet'!$G$4:$G$40,$BA11-3)),"")</f>
        <v/>
      </c>
      <c r="J11" s="69">
        <f>IFERROR(IF(INDEX('Final Calculation Sheet'!$G$4:$G$40,$BA12-3)="","",INDEX('Final Calculation Sheet'!$G$4:$G$40,$BA12-3)),"")</f>
        <v/>
      </c>
      <c r="K11" s="541">
        <f>IFERROR(IF(INDEX('Final Calculation Sheet'!$G$4:$G$40,$BA13-3)="","",INDEX('Final Calculation Sheet'!$G$4:$G$40,$BA13-3)),"")</f>
        <v/>
      </c>
      <c r="L11" s="69">
        <f>IFERROR(IF(INDEX('Final Calculation Sheet'!$G$4:$G$40,$BA14-3)="","",INDEX('Final Calculation Sheet'!$G$4:$G$40,$BA14-3)),"")</f>
        <v/>
      </c>
      <c r="M11" s="541">
        <f>IFERROR(IF(INDEX('Final Calculation Sheet'!$G$4:$G$40,$BA15-3)="","",INDEX('Final Calculation Sheet'!$G$4:$G$40,$BA15-3)),"")</f>
        <v/>
      </c>
      <c r="N11" s="69">
        <f>IFERROR(IF(INDEX('Final Calculation Sheet'!$G$4:$G$40,$BA16-3)="","",INDEX('Final Calculation Sheet'!$G$4:$G$40,$BA16-3)),"")</f>
        <v/>
      </c>
      <c r="O11" s="541">
        <f>IFERROR(IF(INDEX('Final Calculation Sheet'!$G$4:$G$40,$BA17-3)="","",INDEX('Final Calculation Sheet'!$G$4:$G$40,$BA17-3)),"")</f>
        <v/>
      </c>
      <c r="P11" s="69">
        <f>IFERROR(IF(INDEX('Final Calculation Sheet'!$G$4:$G$40,$BA18-3)="","",INDEX('Final Calculation Sheet'!$G$4:$G$40,$BA18-3)),"")</f>
        <v/>
      </c>
      <c r="Q11" s="541">
        <f>IFERROR(IF(INDEX('Final Calculation Sheet'!$G$4:$G$40,$BA19-3)="","",INDEX('Final Calculation Sheet'!$G$4:$G$40,$BA19-3)),"")</f>
        <v/>
      </c>
      <c r="R11" s="69">
        <f>IFERROR(IF(INDEX('Final Calculation Sheet'!$G$4:$G$40,$BA20-3)="","",INDEX('Final Calculation Sheet'!$G$4:$G$40,$BA20-3)),"")</f>
        <v/>
      </c>
      <c r="S11" s="541">
        <f>IFERROR(IF(INDEX('Final Calculation Sheet'!$G$4:$G$40,$BA21-3)="","",INDEX('Final Calculation Sheet'!$G$4:$G$40,$BA21-3)),"")</f>
        <v/>
      </c>
      <c r="T11" s="69">
        <f>IFERROR(IF(INDEX('Final Calculation Sheet'!$G$4:$G$40,$BA22-3)="","",INDEX('Final Calculation Sheet'!$G$4:$G$40,$BA22-3)),"")</f>
        <v/>
      </c>
      <c r="U11" s="541">
        <f>IFERROR(IF(INDEX('Final Calculation Sheet'!$G$4:$G$40,$BA23-3)="","",INDEX('Final Calculation Sheet'!$G$4:$G$40,$BA23-3)),"")</f>
        <v/>
      </c>
      <c r="V11" s="69">
        <f>IFERROR(IF(INDEX('Final Calculation Sheet'!$G$4:$G$40,$BA24-3)="","",INDEX('Final Calculation Sheet'!$G$4:$G$40,$BA24-3)),"")</f>
        <v/>
      </c>
      <c r="W11" s="541">
        <f>IFERROR(IF(INDEX('Final Calculation Sheet'!$G$4:$G$40,$BA25-3)="","",INDEX('Final Calculation Sheet'!$G$4:$G$40,$BA25-3)),"")</f>
        <v/>
      </c>
      <c r="X11" s="69">
        <f>IFERROR(IF(INDEX('Final Calculation Sheet'!$G$4:$G$40,$BA26-3)="","",INDEX('Final Calculation Sheet'!$G$4:$G$40,$BA26-3)),"")</f>
        <v/>
      </c>
      <c r="Y11" s="541">
        <f>IFERROR(IF(INDEX('Final Calculation Sheet'!$G$4:$G$40,$BA27-3)="","",INDEX('Final Calculation Sheet'!$G$4:$G$40,$BA27-3)),"")</f>
        <v/>
      </c>
      <c r="Z11" s="69">
        <f>IFERROR(IF(INDEX('Final Calculation Sheet'!$G$4:$G$40,$BA28-3)="","",INDEX('Final Calculation Sheet'!$G$4:$G$40,$BA28-3)),"")</f>
        <v/>
      </c>
      <c r="AA11" s="541">
        <f>IFERROR(IF(INDEX('Final Calculation Sheet'!$G$4:$G$40,$BA29-3)="","",INDEX('Final Calculation Sheet'!$G$4:$G$40,$BA29-3)),"")</f>
        <v/>
      </c>
      <c r="AB11" s="69">
        <f>IFERROR(IF(INDEX('Final Calculation Sheet'!$G$4:$G$40,$BA30-3)="","",INDEX('Final Calculation Sheet'!$G$4:$G$40,$BA30-3)),"")</f>
        <v/>
      </c>
      <c r="AC11" s="541">
        <f>IFERROR(IF(INDEX('Final Calculation Sheet'!$G$4:$G$40,$BA31-3)="","",INDEX('Final Calculation Sheet'!$G$4:$G$40,$BA31-3)),"")</f>
        <v/>
      </c>
      <c r="AD11" s="69">
        <f>IFERROR(IF(INDEX('Final Calculation Sheet'!$G$4:$G$40,$BA32-3)="","",INDEX('Final Calculation Sheet'!$G$4:$G$40,$BA32-3)),"")</f>
        <v/>
      </c>
      <c r="AE11" s="541">
        <f>IFERROR(IF(INDEX('Final Calculation Sheet'!$G$4:$G$40,$BA33-3)="","",INDEX('Final Calculation Sheet'!$G$4:$G$40,$BA33-3)),"")</f>
        <v/>
      </c>
      <c r="AF11" s="69">
        <f>IFERROR(IF(INDEX('Final Calculation Sheet'!$G$4:$G$40,$BA34-3)="","",INDEX('Final Calculation Sheet'!$G$4:$G$40,$BA34-3)),"")</f>
        <v/>
      </c>
      <c r="AG11" s="541">
        <f>IFERROR(IF(INDEX('Final Calculation Sheet'!$G$4:$G$40,$BA35-3)="","",INDEX('Final Calculation Sheet'!$G$4:$G$40,$BA35-3)),"")</f>
        <v/>
      </c>
      <c r="AH11" s="69">
        <f>IFERROR(IF(INDEX('Final Calculation Sheet'!$G$4:$G$40,$BA36-3)="","",INDEX('Final Calculation Sheet'!$G$4:$G$40,$BA36-3)),"")</f>
        <v/>
      </c>
      <c r="AI11" s="541">
        <f>IFERROR(IF(INDEX('Final Calculation Sheet'!$G$4:$G$40,$BA37-3)="","",INDEX('Final Calculation Sheet'!$G$4:$G$40,$BA37-3)),"")</f>
        <v/>
      </c>
      <c r="AJ11" s="69">
        <f>IFERROR(IF(INDEX('Final Calculation Sheet'!$G$4:$G$40,$BA38-3)="","",INDEX('Final Calculation Sheet'!$G$4:$G$40,$BA38-3)),"")</f>
        <v/>
      </c>
      <c r="AK11" s="541">
        <f>IFERROR(IF(INDEX('Final Calculation Sheet'!$G$4:$G$40,$BA39-3)="","",INDEX('Final Calculation Sheet'!$G$4:$G$40,$BA39-3)),"")</f>
        <v/>
      </c>
      <c r="AL11" s="69">
        <f>IFERROR(IF(INDEX('Final Calculation Sheet'!$G$4:$G$40,$BA40-3)="","",INDEX('Final Calculation Sheet'!$G$4:$G$40,$BA40-3)),"")</f>
        <v/>
      </c>
      <c r="AM11" s="542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543" t="inlineStr">
        <is>
          <t>Mat. Value</t>
        </is>
      </c>
      <c r="B12" s="544">
        <f>IFERROR(IF(INDEX('Final Calculation Sheet'!$H$4:$H$40,$BA4-3)="","",INDEX('Final Calculation Sheet'!$H$4:$H$40,$BA4-3)),"")</f>
        <v/>
      </c>
      <c r="C12" s="545">
        <f>IFERROR(IF(INDEX('Final Calculation Sheet'!$H$4:$H$40,$BA5-3)="","",INDEX('Final Calculation Sheet'!$H$4:$H$40,$BA5-3)),"")</f>
        <v/>
      </c>
      <c r="D12" s="544">
        <f>IFERROR(IF(INDEX('Final Calculation Sheet'!$H$4:$H$40,$BA6-3)="","",INDEX('Final Calculation Sheet'!$H$4:$H$40,$BA6-3)),"")</f>
        <v/>
      </c>
      <c r="E12" s="545">
        <f>IFERROR(IF(INDEX('Final Calculation Sheet'!$H$4:$H$40,$BA7-3)="","",INDEX('Final Calculation Sheet'!$H$4:$H$40,$BA7-3)),"")</f>
        <v/>
      </c>
      <c r="F12" s="544">
        <f>IFERROR(IF(INDEX('Final Calculation Sheet'!$H$4:$H$40,$BA8-3)="","",INDEX('Final Calculation Sheet'!$H$4:$H$40,$BA8-3)),"")</f>
        <v/>
      </c>
      <c r="G12" s="545">
        <f>IFERROR(IF(INDEX('Final Calculation Sheet'!$H$4:$H$40,$BA9-3)="","",INDEX('Final Calculation Sheet'!$H$4:$H$40,$BA9-3)),"")</f>
        <v/>
      </c>
      <c r="H12" s="544">
        <f>IFERROR(IF(INDEX('Final Calculation Sheet'!$H$4:$H$40,$BA10-3)="","",INDEX('Final Calculation Sheet'!$H$4:$H$40,$BA10-3)),"")</f>
        <v/>
      </c>
      <c r="I12" s="545">
        <f>IFERROR(IF(INDEX('Final Calculation Sheet'!$H$4:$H$40,$BA11-3)="","",INDEX('Final Calculation Sheet'!$H$4:$H$40,$BA11-3)),"")</f>
        <v/>
      </c>
      <c r="J12" s="544">
        <f>IFERROR(IF(INDEX('Final Calculation Sheet'!$H$4:$H$40,$BA12-3)="","",INDEX('Final Calculation Sheet'!$H$4:$H$40,$BA12-3)),"")</f>
        <v/>
      </c>
      <c r="K12" s="545">
        <f>IFERROR(IF(INDEX('Final Calculation Sheet'!$H$4:$H$40,$BA13-3)="","",INDEX('Final Calculation Sheet'!$H$4:$H$40,$BA13-3)),"")</f>
        <v/>
      </c>
      <c r="L12" s="544">
        <f>IFERROR(IF(INDEX('Final Calculation Sheet'!$H$4:$H$40,$BA14-3)="","",INDEX('Final Calculation Sheet'!$H$4:$H$40,$BA14-3)),"")</f>
        <v/>
      </c>
      <c r="M12" s="545">
        <f>IFERROR(IF(INDEX('Final Calculation Sheet'!$H$4:$H$40,$BA15-3)="","",INDEX('Final Calculation Sheet'!$H$4:$H$40,$BA15-3)),"")</f>
        <v/>
      </c>
      <c r="N12" s="544">
        <f>IFERROR(IF(INDEX('Final Calculation Sheet'!$H$4:$H$40,$BA16-3)="","",INDEX('Final Calculation Sheet'!$H$4:$H$40,$BA16-3)),"")</f>
        <v/>
      </c>
      <c r="O12" s="545">
        <f>IFERROR(IF(INDEX('Final Calculation Sheet'!$H$4:$H$40,$BA17-3)="","",INDEX('Final Calculation Sheet'!$H$4:$H$40,$BA17-3)),"")</f>
        <v/>
      </c>
      <c r="P12" s="544">
        <f>IFERROR(IF(INDEX('Final Calculation Sheet'!$H$4:$H$40,$BA18-3)="","",INDEX('Final Calculation Sheet'!$H$4:$H$40,$BA18-3)),"")</f>
        <v/>
      </c>
      <c r="Q12" s="545">
        <f>IFERROR(IF(INDEX('Final Calculation Sheet'!$H$4:$H$40,$BA19-3)="","",INDEX('Final Calculation Sheet'!$H$4:$H$40,$BA19-3)),"")</f>
        <v/>
      </c>
      <c r="R12" s="544">
        <f>IFERROR(IF(INDEX('Final Calculation Sheet'!$H$4:$H$40,$BA20-3)="","",INDEX('Final Calculation Sheet'!$H$4:$H$40,$BA20-3)),"")</f>
        <v/>
      </c>
      <c r="S12" s="545">
        <f>IFERROR(IF(INDEX('Final Calculation Sheet'!$H$4:$H$40,$BA21-3)="","",INDEX('Final Calculation Sheet'!$H$4:$H$40,$BA21-3)),"")</f>
        <v/>
      </c>
      <c r="T12" s="544">
        <f>IFERROR(IF(INDEX('Final Calculation Sheet'!$H$4:$H$40,$BA22-3)="","",INDEX('Final Calculation Sheet'!$H$4:$H$40,$BA22-3)),"")</f>
        <v/>
      </c>
      <c r="U12" s="545">
        <f>IFERROR(IF(INDEX('Final Calculation Sheet'!$H$4:$H$40,$BA23-3)="","",INDEX('Final Calculation Sheet'!$H$4:$H$40,$BA23-3)),"")</f>
        <v/>
      </c>
      <c r="V12" s="544">
        <f>IFERROR(IF(INDEX('Final Calculation Sheet'!$H$4:$H$40,$BA24-3)="","",INDEX('Final Calculation Sheet'!$H$4:$H$40,$BA24-3)),"")</f>
        <v/>
      </c>
      <c r="W12" s="545">
        <f>IFERROR(IF(INDEX('Final Calculation Sheet'!$H$4:$H$40,$BA25-3)="","",INDEX('Final Calculation Sheet'!$H$4:$H$40,$BA25-3)),"")</f>
        <v/>
      </c>
      <c r="X12" s="544">
        <f>IFERROR(IF(INDEX('Final Calculation Sheet'!$H$4:$H$40,$BA26-3)="","",INDEX('Final Calculation Sheet'!$H$4:$H$40,$BA26-3)),"")</f>
        <v/>
      </c>
      <c r="Y12" s="545">
        <f>IFERROR(IF(INDEX('Final Calculation Sheet'!$H$4:$H$40,$BA27-3)="","",INDEX('Final Calculation Sheet'!$H$4:$H$40,$BA27-3)),"")</f>
        <v/>
      </c>
      <c r="Z12" s="544">
        <f>IFERROR(IF(INDEX('Final Calculation Sheet'!$H$4:$H$40,$BA28-3)="","",INDEX('Final Calculation Sheet'!$H$4:$H$40,$BA28-3)),"")</f>
        <v/>
      </c>
      <c r="AA12" s="545">
        <f>IFERROR(IF(INDEX('Final Calculation Sheet'!$H$4:$H$40,$BA29-3)="","",INDEX('Final Calculation Sheet'!$H$4:$H$40,$BA29-3)),"")</f>
        <v/>
      </c>
      <c r="AB12" s="544">
        <f>IFERROR(IF(INDEX('Final Calculation Sheet'!$H$4:$H$40,$BA30-3)="","",INDEX('Final Calculation Sheet'!$H$4:$H$40,$BA30-3)),"")</f>
        <v/>
      </c>
      <c r="AC12" s="545">
        <f>IFERROR(IF(INDEX('Final Calculation Sheet'!$H$4:$H$40,$BA31-3)="","",INDEX('Final Calculation Sheet'!$H$4:$H$40,$BA31-3)),"")</f>
        <v/>
      </c>
      <c r="AD12" s="544">
        <f>IFERROR(IF(INDEX('Final Calculation Sheet'!$H$4:$H$40,$BA32-3)="","",INDEX('Final Calculation Sheet'!$H$4:$H$40,$BA32-3)),"")</f>
        <v/>
      </c>
      <c r="AE12" s="545">
        <f>IFERROR(IF(INDEX('Final Calculation Sheet'!$H$4:$H$40,$BA33-3)="","",INDEX('Final Calculation Sheet'!$H$4:$H$40,$BA33-3)),"")</f>
        <v/>
      </c>
      <c r="AF12" s="544">
        <f>IFERROR(IF(INDEX('Final Calculation Sheet'!$H$4:$H$40,$BA34-3)="","",INDEX('Final Calculation Sheet'!$H$4:$H$40,$BA34-3)),"")</f>
        <v/>
      </c>
      <c r="AG12" s="545">
        <f>IFERROR(IF(INDEX('Final Calculation Sheet'!$H$4:$H$40,$BA35-3)="","",INDEX('Final Calculation Sheet'!$H$4:$H$40,$BA35-3)),"")</f>
        <v/>
      </c>
      <c r="AH12" s="544">
        <f>IFERROR(IF(INDEX('Final Calculation Sheet'!$H$4:$H$40,$BA36-3)="","",INDEX('Final Calculation Sheet'!$H$4:$H$40,$BA36-3)),"")</f>
        <v/>
      </c>
      <c r="AI12" s="545">
        <f>IFERROR(IF(INDEX('Final Calculation Sheet'!$H$4:$H$40,$BA37-3)="","",INDEX('Final Calculation Sheet'!$H$4:$H$40,$BA37-3)),"")</f>
        <v/>
      </c>
      <c r="AJ12" s="544">
        <f>IFERROR(IF(INDEX('Final Calculation Sheet'!$H$4:$H$40,$BA38-3)="","",INDEX('Final Calculation Sheet'!$H$4:$H$40,$BA38-3)),"")</f>
        <v/>
      </c>
      <c r="AK12" s="545">
        <f>IFERROR(IF(INDEX('Final Calculation Sheet'!$H$4:$H$40,$BA39-3)="","",INDEX('Final Calculation Sheet'!$H$4:$H$40,$BA39-3)),"")</f>
        <v/>
      </c>
      <c r="AL12" s="544">
        <f>IFERROR(IF(INDEX('Final Calculation Sheet'!$H$4:$H$40,$BA40-3)="","",INDEX('Final Calculation Sheet'!$H$4:$H$40,$BA40-3)),"")</f>
        <v/>
      </c>
      <c r="AM12" s="546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540" t="inlineStr">
        <is>
          <t>GST</t>
        </is>
      </c>
      <c r="B13" s="544">
        <f>IFERROR(IF(INDEX('Final Calculation Sheet'!$I$4:$I$40,$BA4-3)="","",INDEX('Final Calculation Sheet'!$I$4:$I$40,$BA4-3)),"")</f>
        <v/>
      </c>
      <c r="C13" s="545">
        <f>IFERROR(IF(INDEX('Final Calculation Sheet'!$I$4:$I$40,$BA5-3)="","",INDEX('Final Calculation Sheet'!$I$4:$I$40,$BA5-3)),"")</f>
        <v/>
      </c>
      <c r="D13" s="544">
        <f>IFERROR(IF(INDEX('Final Calculation Sheet'!$I$4:$I$40,$BA6-3)="","",INDEX('Final Calculation Sheet'!$I$4:$I$40,$BA6-3)),"")</f>
        <v/>
      </c>
      <c r="E13" s="545">
        <f>IFERROR(IF(INDEX('Final Calculation Sheet'!$I$4:$I$40,$BA7-3)="","",INDEX('Final Calculation Sheet'!$I$4:$I$40,$BA7-3)),"")</f>
        <v/>
      </c>
      <c r="F13" s="544">
        <f>IFERROR(IF(INDEX('Final Calculation Sheet'!$I$4:$I$40,$BA8-3)="","",INDEX('Final Calculation Sheet'!$I$4:$I$40,$BA8-3)),"")</f>
        <v/>
      </c>
      <c r="G13" s="545">
        <f>IFERROR(IF(INDEX('Final Calculation Sheet'!$I$4:$I$40,$BA9-3)="","",INDEX('Final Calculation Sheet'!$I$4:$I$40,$BA9-3)),"")</f>
        <v/>
      </c>
      <c r="H13" s="544">
        <f>IFERROR(IF(INDEX('Final Calculation Sheet'!$I$4:$I$40,$BA10-3)="","",INDEX('Final Calculation Sheet'!$I$4:$I$40,$BA10-3)),"")</f>
        <v/>
      </c>
      <c r="I13" s="545">
        <f>IFERROR(IF(INDEX('Final Calculation Sheet'!$I$4:$I$40,$BA11-3)="","",INDEX('Final Calculation Sheet'!$I$4:$I$40,$BA11-3)),"")</f>
        <v/>
      </c>
      <c r="J13" s="544">
        <f>IFERROR(IF(INDEX('Final Calculation Sheet'!$I$4:$I$40,$BA12-3)="","",INDEX('Final Calculation Sheet'!$I$4:$I$40,$BA12-3)),"")</f>
        <v/>
      </c>
      <c r="K13" s="545">
        <f>IFERROR(IF(INDEX('Final Calculation Sheet'!$I$4:$I$40,$BA13-3)="","",INDEX('Final Calculation Sheet'!$I$4:$I$40,$BA13-3)),"")</f>
        <v/>
      </c>
      <c r="L13" s="544">
        <f>IFERROR(IF(INDEX('Final Calculation Sheet'!$I$4:$I$40,$BA14-3)="","",INDEX('Final Calculation Sheet'!$I$4:$I$40,$BA14-3)),"")</f>
        <v/>
      </c>
      <c r="M13" s="545">
        <f>IFERROR(IF(INDEX('Final Calculation Sheet'!$I$4:$I$40,$BA15-3)="","",INDEX('Final Calculation Sheet'!$I$4:$I$40,$BA15-3)),"")</f>
        <v/>
      </c>
      <c r="N13" s="544">
        <f>IFERROR(IF(INDEX('Final Calculation Sheet'!$I$4:$I$40,$BA16-3)="","",INDEX('Final Calculation Sheet'!$I$4:$I$40,$BA16-3)),"")</f>
        <v/>
      </c>
      <c r="O13" s="545">
        <f>IFERROR(IF(INDEX('Final Calculation Sheet'!$I$4:$I$40,$BA17-3)="","",INDEX('Final Calculation Sheet'!$I$4:$I$40,$BA17-3)),"")</f>
        <v/>
      </c>
      <c r="P13" s="544">
        <f>IFERROR(IF(INDEX('Final Calculation Sheet'!$I$4:$I$40,$BA18-3)="","",INDEX('Final Calculation Sheet'!$I$4:$I$40,$BA18-3)),"")</f>
        <v/>
      </c>
      <c r="Q13" s="545">
        <f>IFERROR(IF(INDEX('Final Calculation Sheet'!$I$4:$I$40,$BA19-3)="","",INDEX('Final Calculation Sheet'!$I$4:$I$40,$BA19-3)),"")</f>
        <v/>
      </c>
      <c r="R13" s="544">
        <f>IFERROR(IF(INDEX('Final Calculation Sheet'!$I$4:$I$40,$BA20-3)="","",INDEX('Final Calculation Sheet'!$I$4:$I$40,$BA20-3)),"")</f>
        <v/>
      </c>
      <c r="S13" s="545">
        <f>IFERROR(IF(INDEX('Final Calculation Sheet'!$I$4:$I$40,$BA21-3)="","",INDEX('Final Calculation Sheet'!$I$4:$I$40,$BA21-3)),"")</f>
        <v/>
      </c>
      <c r="T13" s="544">
        <f>IFERROR(IF(INDEX('Final Calculation Sheet'!$I$4:$I$40,$BA22-3)="","",INDEX('Final Calculation Sheet'!$I$4:$I$40,$BA22-3)),"")</f>
        <v/>
      </c>
      <c r="U13" s="545">
        <f>IFERROR(IF(INDEX('Final Calculation Sheet'!$I$4:$I$40,$BA23-3)="","",INDEX('Final Calculation Sheet'!$I$4:$I$40,$BA23-3)),"")</f>
        <v/>
      </c>
      <c r="V13" s="544">
        <f>IFERROR(IF(INDEX('Final Calculation Sheet'!$I$4:$I$40,$BA24-3)="","",INDEX('Final Calculation Sheet'!$I$4:$I$40,$BA24-3)),"")</f>
        <v/>
      </c>
      <c r="W13" s="545">
        <f>IFERROR(IF(INDEX('Final Calculation Sheet'!$I$4:$I$40,$BA25-3)="","",INDEX('Final Calculation Sheet'!$I$4:$I$40,$BA25-3)),"")</f>
        <v/>
      </c>
      <c r="X13" s="544">
        <f>IFERROR(IF(INDEX('Final Calculation Sheet'!$I$4:$I$40,$BA26-3)="","",INDEX('Final Calculation Sheet'!$I$4:$I$40,$BA26-3)),"")</f>
        <v/>
      </c>
      <c r="Y13" s="545">
        <f>IFERROR(IF(INDEX('Final Calculation Sheet'!$I$4:$I$40,$BA27-3)="","",INDEX('Final Calculation Sheet'!$I$4:$I$40,$BA27-3)),"")</f>
        <v/>
      </c>
      <c r="Z13" s="544">
        <f>IFERROR(IF(INDEX('Final Calculation Sheet'!$I$4:$I$40,$BA28-3)="","",INDEX('Final Calculation Sheet'!$I$4:$I$40,$BA28-3)),"")</f>
        <v/>
      </c>
      <c r="AA13" s="545">
        <f>IFERROR(IF(INDEX('Final Calculation Sheet'!$I$4:$I$40,$BA29-3)="","",INDEX('Final Calculation Sheet'!$I$4:$I$40,$BA29-3)),"")</f>
        <v/>
      </c>
      <c r="AB13" s="544">
        <f>IFERROR(IF(INDEX('Final Calculation Sheet'!$I$4:$I$40,$BA30-3)="","",INDEX('Final Calculation Sheet'!$I$4:$I$40,$BA30-3)),"")</f>
        <v/>
      </c>
      <c r="AC13" s="545">
        <f>IFERROR(IF(INDEX('Final Calculation Sheet'!$I$4:$I$40,$BA31-3)="","",INDEX('Final Calculation Sheet'!$I$4:$I$40,$BA31-3)),"")</f>
        <v/>
      </c>
      <c r="AD13" s="544">
        <f>IFERROR(IF(INDEX('Final Calculation Sheet'!$I$4:$I$40,$BA32-3)="","",INDEX('Final Calculation Sheet'!$I$4:$I$40,$BA32-3)),"")</f>
        <v/>
      </c>
      <c r="AE13" s="545">
        <f>IFERROR(IF(INDEX('Final Calculation Sheet'!$I$4:$I$40,$BA33-3)="","",INDEX('Final Calculation Sheet'!$I$4:$I$40,$BA33-3)),"")</f>
        <v/>
      </c>
      <c r="AF13" s="544">
        <f>IFERROR(IF(INDEX('Final Calculation Sheet'!$I$4:$I$40,$BA34-3)="","",INDEX('Final Calculation Sheet'!$I$4:$I$40,$BA34-3)),"")</f>
        <v/>
      </c>
      <c r="AG13" s="545">
        <f>IFERROR(IF(INDEX('Final Calculation Sheet'!$I$4:$I$40,$BA35-3)="","",INDEX('Final Calculation Sheet'!$I$4:$I$40,$BA35-3)),"")</f>
        <v/>
      </c>
      <c r="AH13" s="544">
        <f>IFERROR(IF(INDEX('Final Calculation Sheet'!$I$4:$I$40,$BA36-3)="","",INDEX('Final Calculation Sheet'!$I$4:$I$40,$BA36-3)),"")</f>
        <v/>
      </c>
      <c r="AI13" s="545">
        <f>IFERROR(IF(INDEX('Final Calculation Sheet'!$I$4:$I$40,$BA37-3)="","",INDEX('Final Calculation Sheet'!$I$4:$I$40,$BA37-3)),"")</f>
        <v/>
      </c>
      <c r="AJ13" s="544">
        <f>IFERROR(IF(INDEX('Final Calculation Sheet'!$I$4:$I$40,$BA38-3)="","",INDEX('Final Calculation Sheet'!$I$4:$I$40,$BA38-3)),"")</f>
        <v/>
      </c>
      <c r="AK13" s="545">
        <f>IFERROR(IF(INDEX('Final Calculation Sheet'!$I$4:$I$40,$BA39-3)="","",INDEX('Final Calculation Sheet'!$I$4:$I$40,$BA39-3)),"")</f>
        <v/>
      </c>
      <c r="AL13" s="544">
        <f>IFERROR(IF(INDEX('Final Calculation Sheet'!$I$4:$I$40,$BA40-3)="","",INDEX('Final Calculation Sheet'!$I$4:$I$40,$BA40-3)),"")</f>
        <v/>
      </c>
      <c r="AM13" s="546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543" t="inlineStr">
        <is>
          <t>Mat. Value + GST</t>
        </is>
      </c>
      <c r="B14" s="544">
        <f>IFERROR(IF(INDEX('Final Calculation Sheet'!$J$4:$J$40,$BA4-3)="","",INDEX('Final Calculation Sheet'!$J$4:$J$40,$BA4-3)),"")</f>
        <v/>
      </c>
      <c r="C14" s="545">
        <f>IFERROR(IF(INDEX('Final Calculation Sheet'!$J$4:$J$40,$BA5-3)="","",INDEX('Final Calculation Sheet'!$J$4:$J$40,$BA5-3)),"")</f>
        <v/>
      </c>
      <c r="D14" s="544">
        <f>IFERROR(IF(INDEX('Final Calculation Sheet'!$J$4:$J$40,$BA6-3)="","",INDEX('Final Calculation Sheet'!$J$4:$J$40,$BA6-3)),"")</f>
        <v/>
      </c>
      <c r="E14" s="545">
        <f>IFERROR(IF(INDEX('Final Calculation Sheet'!$J$4:$J$40,$BA7-3)="","",INDEX('Final Calculation Sheet'!$J$4:$J$40,$BA7-3)),"")</f>
        <v/>
      </c>
      <c r="F14" s="544">
        <f>IFERROR(IF(INDEX('Final Calculation Sheet'!$J$4:$J$40,$BA8-3)="","",INDEX('Final Calculation Sheet'!$J$4:$J$40,$BA8-3)),"")</f>
        <v/>
      </c>
      <c r="G14" s="545">
        <f>IFERROR(IF(INDEX('Final Calculation Sheet'!$J$4:$J$40,$BA9-3)="","",INDEX('Final Calculation Sheet'!$J$4:$J$40,$BA9-3)),"")</f>
        <v/>
      </c>
      <c r="H14" s="544">
        <f>IFERROR(IF(INDEX('Final Calculation Sheet'!$J$4:$J$40,$BA10-3)="","",INDEX('Final Calculation Sheet'!$J$4:$J$40,$BA10-3)),"")</f>
        <v/>
      </c>
      <c r="I14" s="545">
        <f>IFERROR(IF(INDEX('Final Calculation Sheet'!$J$4:$J$40,$BA11-3)="","",INDEX('Final Calculation Sheet'!$J$4:$J$40,$BA11-3)),"")</f>
        <v/>
      </c>
      <c r="J14" s="544">
        <f>IFERROR(IF(INDEX('Final Calculation Sheet'!$J$4:$J$40,$BA12-3)="","",INDEX('Final Calculation Sheet'!$J$4:$J$40,$BA12-3)),"")</f>
        <v/>
      </c>
      <c r="K14" s="545">
        <f>IFERROR(IF(INDEX('Final Calculation Sheet'!$J$4:$J$40,$BA13-3)="","",INDEX('Final Calculation Sheet'!$J$4:$J$40,$BA13-3)),"")</f>
        <v/>
      </c>
      <c r="L14" s="544">
        <f>IFERROR(IF(INDEX('Final Calculation Sheet'!$J$4:$J$40,$BA14-3)="","",INDEX('Final Calculation Sheet'!$J$4:$J$40,$BA14-3)),"")</f>
        <v/>
      </c>
      <c r="M14" s="545">
        <f>IFERROR(IF(INDEX('Final Calculation Sheet'!$J$4:$J$40,$BA15-3)="","",INDEX('Final Calculation Sheet'!$J$4:$J$40,$BA15-3)),"")</f>
        <v/>
      </c>
      <c r="N14" s="544">
        <f>IFERROR(IF(INDEX('Final Calculation Sheet'!$J$4:$J$40,$BA16-3)="","",INDEX('Final Calculation Sheet'!$J$4:$J$40,$BA16-3)),"")</f>
        <v/>
      </c>
      <c r="O14" s="545">
        <f>IFERROR(IF(INDEX('Final Calculation Sheet'!$J$4:$J$40,$BA17-3)="","",INDEX('Final Calculation Sheet'!$J$4:$J$40,$BA17-3)),"")</f>
        <v/>
      </c>
      <c r="P14" s="544">
        <f>IFERROR(IF(INDEX('Final Calculation Sheet'!$J$4:$J$40,$BA18-3)="","",INDEX('Final Calculation Sheet'!$J$4:$J$40,$BA18-3)),"")</f>
        <v/>
      </c>
      <c r="Q14" s="545">
        <f>IFERROR(IF(INDEX('Final Calculation Sheet'!$J$4:$J$40,$BA19-3)="","",INDEX('Final Calculation Sheet'!$J$4:$J$40,$BA19-3)),"")</f>
        <v/>
      </c>
      <c r="R14" s="544">
        <f>IFERROR(IF(INDEX('Final Calculation Sheet'!$J$4:$J$40,$BA20-3)="","",INDEX('Final Calculation Sheet'!$J$4:$J$40,$BA20-3)),"")</f>
        <v/>
      </c>
      <c r="S14" s="545">
        <f>IFERROR(IF(INDEX('Final Calculation Sheet'!$J$4:$J$40,$BA21-3)="","",INDEX('Final Calculation Sheet'!$J$4:$J$40,$BA21-3)),"")</f>
        <v/>
      </c>
      <c r="T14" s="544">
        <f>IFERROR(IF(INDEX('Final Calculation Sheet'!$J$4:$J$40,$BA22-3)="","",INDEX('Final Calculation Sheet'!$J$4:$J$40,$BA22-3)),"")</f>
        <v/>
      </c>
      <c r="U14" s="545">
        <f>IFERROR(IF(INDEX('Final Calculation Sheet'!$J$4:$J$40,$BA23-3)="","",INDEX('Final Calculation Sheet'!$J$4:$J$40,$BA23-3)),"")</f>
        <v/>
      </c>
      <c r="V14" s="544">
        <f>IFERROR(IF(INDEX('Final Calculation Sheet'!$J$4:$J$40,$BA24-3)="","",INDEX('Final Calculation Sheet'!$J$4:$J$40,$BA24-3)),"")</f>
        <v/>
      </c>
      <c r="W14" s="545">
        <f>IFERROR(IF(INDEX('Final Calculation Sheet'!$J$4:$J$40,$BA25-3)="","",INDEX('Final Calculation Sheet'!$J$4:$J$40,$BA25-3)),"")</f>
        <v/>
      </c>
      <c r="X14" s="544">
        <f>IFERROR(IF(INDEX('Final Calculation Sheet'!$J$4:$J$40,$BA26-3)="","",INDEX('Final Calculation Sheet'!$J$4:$J$40,$BA26-3)),"")</f>
        <v/>
      </c>
      <c r="Y14" s="545">
        <f>IFERROR(IF(INDEX('Final Calculation Sheet'!$J$4:$J$40,$BA27-3)="","",INDEX('Final Calculation Sheet'!$J$4:$J$40,$BA27-3)),"")</f>
        <v/>
      </c>
      <c r="Z14" s="544">
        <f>IFERROR(IF(INDEX('Final Calculation Sheet'!$J$4:$J$40,$BA28-3)="","",INDEX('Final Calculation Sheet'!$J$4:$J$40,$BA28-3)),"")</f>
        <v/>
      </c>
      <c r="AA14" s="545">
        <f>IFERROR(IF(INDEX('Final Calculation Sheet'!$J$4:$J$40,$BA29-3)="","",INDEX('Final Calculation Sheet'!$J$4:$J$40,$BA29-3)),"")</f>
        <v/>
      </c>
      <c r="AB14" s="544">
        <f>IFERROR(IF(INDEX('Final Calculation Sheet'!$J$4:$J$40,$BA30-3)="","",INDEX('Final Calculation Sheet'!$J$4:$J$40,$BA30-3)),"")</f>
        <v/>
      </c>
      <c r="AC14" s="545">
        <f>IFERROR(IF(INDEX('Final Calculation Sheet'!$J$4:$J$40,$BA31-3)="","",INDEX('Final Calculation Sheet'!$J$4:$J$40,$BA31-3)),"")</f>
        <v/>
      </c>
      <c r="AD14" s="544">
        <f>IFERROR(IF(INDEX('Final Calculation Sheet'!$J$4:$J$40,$BA32-3)="","",INDEX('Final Calculation Sheet'!$J$4:$J$40,$BA32-3)),"")</f>
        <v/>
      </c>
      <c r="AE14" s="545">
        <f>IFERROR(IF(INDEX('Final Calculation Sheet'!$J$4:$J$40,$BA33-3)="","",INDEX('Final Calculation Sheet'!$J$4:$J$40,$BA33-3)),"")</f>
        <v/>
      </c>
      <c r="AF14" s="544">
        <f>IFERROR(IF(INDEX('Final Calculation Sheet'!$J$4:$J$40,$BA34-3)="","",INDEX('Final Calculation Sheet'!$J$4:$J$40,$BA34-3)),"")</f>
        <v/>
      </c>
      <c r="AG14" s="545">
        <f>IFERROR(IF(INDEX('Final Calculation Sheet'!$J$4:$J$40,$BA35-3)="","",INDEX('Final Calculation Sheet'!$J$4:$J$40,$BA35-3)),"")</f>
        <v/>
      </c>
      <c r="AH14" s="544">
        <f>IFERROR(IF(INDEX('Final Calculation Sheet'!$J$4:$J$40,$BA36-3)="","",INDEX('Final Calculation Sheet'!$J$4:$J$40,$BA36-3)),"")</f>
        <v/>
      </c>
      <c r="AI14" s="545">
        <f>IFERROR(IF(INDEX('Final Calculation Sheet'!$J$4:$J$40,$BA37-3)="","",INDEX('Final Calculation Sheet'!$J$4:$J$40,$BA37-3)),"")</f>
        <v/>
      </c>
      <c r="AJ14" s="544">
        <f>IFERROR(IF(INDEX('Final Calculation Sheet'!$J$4:$J$40,$BA38-3)="","",INDEX('Final Calculation Sheet'!$J$4:$J$40,$BA38-3)),"")</f>
        <v/>
      </c>
      <c r="AK14" s="545">
        <f>IFERROR(IF(INDEX('Final Calculation Sheet'!$J$4:$J$40,$BA39-3)="","",INDEX('Final Calculation Sheet'!$J$4:$J$40,$BA39-3)),"")</f>
        <v/>
      </c>
      <c r="AL14" s="544">
        <f>IFERROR(IF(INDEX('Final Calculation Sheet'!$J$4:$J$40,$BA40-3)="","",INDEX('Final Calculation Sheet'!$J$4:$J$40,$BA40-3)),"")</f>
        <v/>
      </c>
      <c r="AM14" s="546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540" t="inlineStr">
        <is>
          <t>TCS</t>
        </is>
      </c>
      <c r="B15" s="544">
        <f>IFERROR(IF(INDEX('Final Calculation Sheet'!$K$4:$K$40,$BA4-3)="","",INDEX('Final Calculation Sheet'!$K$4:$K$40,$BA4-3)),"")</f>
        <v/>
      </c>
      <c r="C15" s="545">
        <f>IFERROR(IF(INDEX('Final Calculation Sheet'!$K$4:$K$40,$BA5-3)="","",INDEX('Final Calculation Sheet'!$K$4:$K$40,$BA5-3)),"")</f>
        <v/>
      </c>
      <c r="D15" s="544">
        <f>IFERROR(IF(INDEX('Final Calculation Sheet'!$K$4:$K$40,$BA6-3)="","",INDEX('Final Calculation Sheet'!$K$4:$K$40,$BA6-3)),"")</f>
        <v/>
      </c>
      <c r="E15" s="545">
        <f>IFERROR(IF(INDEX('Final Calculation Sheet'!$K$4:$K$40,$BA7-3)="","",INDEX('Final Calculation Sheet'!$K$4:$K$40,$BA7-3)),"")</f>
        <v/>
      </c>
      <c r="F15" s="544">
        <f>IFERROR(IF(INDEX('Final Calculation Sheet'!$K$4:$K$40,$BA8-3)="","",INDEX('Final Calculation Sheet'!$K$4:$K$40,$BA8-3)),"")</f>
        <v/>
      </c>
      <c r="G15" s="545">
        <f>IFERROR(IF(INDEX('Final Calculation Sheet'!$K$4:$K$40,$BA9-3)="","",INDEX('Final Calculation Sheet'!$K$4:$K$40,$BA9-3)),"")</f>
        <v/>
      </c>
      <c r="H15" s="544">
        <f>IFERROR(IF(INDEX('Final Calculation Sheet'!$K$4:$K$40,$BA10-3)="","",INDEX('Final Calculation Sheet'!$K$4:$K$40,$BA10-3)),"")</f>
        <v/>
      </c>
      <c r="I15" s="545">
        <f>IFERROR(IF(INDEX('Final Calculation Sheet'!$K$4:$K$40,$BA11-3)="","",INDEX('Final Calculation Sheet'!$K$4:$K$40,$BA11-3)),"")</f>
        <v/>
      </c>
      <c r="J15" s="544">
        <f>IFERROR(IF(INDEX('Final Calculation Sheet'!$K$4:$K$40,$BA12-3)="","",INDEX('Final Calculation Sheet'!$K$4:$K$40,$BA12-3)),"")</f>
        <v/>
      </c>
      <c r="K15" s="545">
        <f>IFERROR(IF(INDEX('Final Calculation Sheet'!$K$4:$K$40,$BA13-3)="","",INDEX('Final Calculation Sheet'!$K$4:$K$40,$BA13-3)),"")</f>
        <v/>
      </c>
      <c r="L15" s="544">
        <f>IFERROR(IF(INDEX('Final Calculation Sheet'!$K$4:$K$40,$BA14-3)="","",INDEX('Final Calculation Sheet'!$K$4:$K$40,$BA14-3)),"")</f>
        <v/>
      </c>
      <c r="M15" s="545">
        <f>IFERROR(IF(INDEX('Final Calculation Sheet'!$K$4:$K$40,$BA15-3)="","",INDEX('Final Calculation Sheet'!$K$4:$K$40,$BA15-3)),"")</f>
        <v/>
      </c>
      <c r="N15" s="544">
        <f>IFERROR(IF(INDEX('Final Calculation Sheet'!$K$4:$K$40,$BA16-3)="","",INDEX('Final Calculation Sheet'!$K$4:$K$40,$BA16-3)),"")</f>
        <v/>
      </c>
      <c r="O15" s="545">
        <f>IFERROR(IF(INDEX('Final Calculation Sheet'!$K$4:$K$40,$BA17-3)="","",INDEX('Final Calculation Sheet'!$K$4:$K$40,$BA17-3)),"")</f>
        <v/>
      </c>
      <c r="P15" s="544">
        <f>IFERROR(IF(INDEX('Final Calculation Sheet'!$K$4:$K$40,$BA18-3)="","",INDEX('Final Calculation Sheet'!$K$4:$K$40,$BA18-3)),"")</f>
        <v/>
      </c>
      <c r="Q15" s="545">
        <f>IFERROR(IF(INDEX('Final Calculation Sheet'!$K$4:$K$40,$BA19-3)="","",INDEX('Final Calculation Sheet'!$K$4:$K$40,$BA19-3)),"")</f>
        <v/>
      </c>
      <c r="R15" s="544">
        <f>IFERROR(IF(INDEX('Final Calculation Sheet'!$K$4:$K$40,$BA20-3)="","",INDEX('Final Calculation Sheet'!$K$4:$K$40,$BA20-3)),"")</f>
        <v/>
      </c>
      <c r="S15" s="545">
        <f>IFERROR(IF(INDEX('Final Calculation Sheet'!$K$4:$K$40,$BA21-3)="","",INDEX('Final Calculation Sheet'!$K$4:$K$40,$BA21-3)),"")</f>
        <v/>
      </c>
      <c r="T15" s="544">
        <f>IFERROR(IF(INDEX('Final Calculation Sheet'!$K$4:$K$40,$BA22-3)="","",INDEX('Final Calculation Sheet'!$K$4:$K$40,$BA22-3)),"")</f>
        <v/>
      </c>
      <c r="U15" s="545">
        <f>IFERROR(IF(INDEX('Final Calculation Sheet'!$K$4:$K$40,$BA23-3)="","",INDEX('Final Calculation Sheet'!$K$4:$K$40,$BA23-3)),"")</f>
        <v/>
      </c>
      <c r="V15" s="544">
        <f>IFERROR(IF(INDEX('Final Calculation Sheet'!$K$4:$K$40,$BA24-3)="","",INDEX('Final Calculation Sheet'!$K$4:$K$40,$BA24-3)),"")</f>
        <v/>
      </c>
      <c r="W15" s="545">
        <f>IFERROR(IF(INDEX('Final Calculation Sheet'!$K$4:$K$40,$BA25-3)="","",INDEX('Final Calculation Sheet'!$K$4:$K$40,$BA25-3)),"")</f>
        <v/>
      </c>
      <c r="X15" s="544">
        <f>IFERROR(IF(INDEX('Final Calculation Sheet'!$K$4:$K$40,$BA26-3)="","",INDEX('Final Calculation Sheet'!$K$4:$K$40,$BA26-3)),"")</f>
        <v/>
      </c>
      <c r="Y15" s="545">
        <f>IFERROR(IF(INDEX('Final Calculation Sheet'!$K$4:$K$40,$BA27-3)="","",INDEX('Final Calculation Sheet'!$K$4:$K$40,$BA27-3)),"")</f>
        <v/>
      </c>
      <c r="Z15" s="544">
        <f>IFERROR(IF(INDEX('Final Calculation Sheet'!$K$4:$K$40,$BA28-3)="","",INDEX('Final Calculation Sheet'!$K$4:$K$40,$BA28-3)),"")</f>
        <v/>
      </c>
      <c r="AA15" s="545">
        <f>IFERROR(IF(INDEX('Final Calculation Sheet'!$K$4:$K$40,$BA29-3)="","",INDEX('Final Calculation Sheet'!$K$4:$K$40,$BA29-3)),"")</f>
        <v/>
      </c>
      <c r="AB15" s="544">
        <f>IFERROR(IF(INDEX('Final Calculation Sheet'!$K$4:$K$40,$BA30-3)="","",INDEX('Final Calculation Sheet'!$K$4:$K$40,$BA30-3)),"")</f>
        <v/>
      </c>
      <c r="AC15" s="545">
        <f>IFERROR(IF(INDEX('Final Calculation Sheet'!$K$4:$K$40,$BA31-3)="","",INDEX('Final Calculation Sheet'!$K$4:$K$40,$BA31-3)),"")</f>
        <v/>
      </c>
      <c r="AD15" s="544">
        <f>IFERROR(IF(INDEX('Final Calculation Sheet'!$K$4:$K$40,$BA32-3)="","",INDEX('Final Calculation Sheet'!$K$4:$K$40,$BA32-3)),"")</f>
        <v/>
      </c>
      <c r="AE15" s="545">
        <f>IFERROR(IF(INDEX('Final Calculation Sheet'!$K$4:$K$40,$BA33-3)="","",INDEX('Final Calculation Sheet'!$K$4:$K$40,$BA33-3)),"")</f>
        <v/>
      </c>
      <c r="AF15" s="544">
        <f>IFERROR(IF(INDEX('Final Calculation Sheet'!$K$4:$K$40,$BA34-3)="","",INDEX('Final Calculation Sheet'!$K$4:$K$40,$BA34-3)),"")</f>
        <v/>
      </c>
      <c r="AG15" s="545">
        <f>IFERROR(IF(INDEX('Final Calculation Sheet'!$K$4:$K$40,$BA35-3)="","",INDEX('Final Calculation Sheet'!$K$4:$K$40,$BA35-3)),"")</f>
        <v/>
      </c>
      <c r="AH15" s="544">
        <f>IFERROR(IF(INDEX('Final Calculation Sheet'!$K$4:$K$40,$BA36-3)="","",INDEX('Final Calculation Sheet'!$K$4:$K$40,$BA36-3)),"")</f>
        <v/>
      </c>
      <c r="AI15" s="545">
        <f>IFERROR(IF(INDEX('Final Calculation Sheet'!$K$4:$K$40,$BA37-3)="","",INDEX('Final Calculation Sheet'!$K$4:$K$40,$BA37-3)),"")</f>
        <v/>
      </c>
      <c r="AJ15" s="544">
        <f>IFERROR(IF(INDEX('Final Calculation Sheet'!$K$4:$K$40,$BA38-3)="","",INDEX('Final Calculation Sheet'!$K$4:$K$40,$BA38-3)),"")</f>
        <v/>
      </c>
      <c r="AK15" s="545">
        <f>IFERROR(IF(INDEX('Final Calculation Sheet'!$K$4:$K$40,$BA39-3)="","",INDEX('Final Calculation Sheet'!$K$4:$K$40,$BA39-3)),"")</f>
        <v/>
      </c>
      <c r="AL15" s="544">
        <f>IFERROR(IF(INDEX('Final Calculation Sheet'!$K$4:$K$40,$BA40-3)="","",INDEX('Final Calculation Sheet'!$K$4:$K$40,$BA40-3)),"")</f>
        <v/>
      </c>
      <c r="AM15" s="546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543" t="inlineStr">
        <is>
          <t>TDS u/s 194(O)</t>
        </is>
      </c>
      <c r="B16" s="544">
        <f>IFERROR(IF(INDEX('Final Calculation Sheet'!$L$4:$L$40,$BA4-3)="","",INDEX('Final Calculation Sheet'!$L$4:$L$40,$BA4-3)),"")</f>
        <v/>
      </c>
      <c r="C16" s="545">
        <f>IFERROR(IF(INDEX('Final Calculation Sheet'!$L$4:$L$40,$BA5-3)="","",INDEX('Final Calculation Sheet'!$L$4:$L$40,$BA5-3)),"")</f>
        <v/>
      </c>
      <c r="D16" s="544">
        <f>IFERROR(IF(INDEX('Final Calculation Sheet'!$L$4:$L$40,$BA6-3)="","",INDEX('Final Calculation Sheet'!$L$4:$L$40,$BA6-3)),"")</f>
        <v/>
      </c>
      <c r="E16" s="545">
        <f>IFERROR(IF(INDEX('Final Calculation Sheet'!$L$4:$L$40,$BA7-3)="","",INDEX('Final Calculation Sheet'!$L$4:$L$40,$BA7-3)),"")</f>
        <v/>
      </c>
      <c r="F16" s="544">
        <f>IFERROR(IF(INDEX('Final Calculation Sheet'!$L$4:$L$40,$BA8-3)="","",INDEX('Final Calculation Sheet'!$L$4:$L$40,$BA8-3)),"")</f>
        <v/>
      </c>
      <c r="G16" s="545">
        <f>IFERROR(IF(INDEX('Final Calculation Sheet'!$L$4:$L$40,$BA9-3)="","",INDEX('Final Calculation Sheet'!$L$4:$L$40,$BA9-3)),"")</f>
        <v/>
      </c>
      <c r="H16" s="544">
        <f>IFERROR(IF(INDEX('Final Calculation Sheet'!$L$4:$L$40,$BA10-3)="","",INDEX('Final Calculation Sheet'!$L$4:$L$40,$BA10-3)),"")</f>
        <v/>
      </c>
      <c r="I16" s="545">
        <f>IFERROR(IF(INDEX('Final Calculation Sheet'!$L$4:$L$40,$BA11-3)="","",INDEX('Final Calculation Sheet'!$L$4:$L$40,$BA11-3)),"")</f>
        <v/>
      </c>
      <c r="J16" s="544">
        <f>IFERROR(IF(INDEX('Final Calculation Sheet'!$L$4:$L$40,$BA12-3)="","",INDEX('Final Calculation Sheet'!$L$4:$L$40,$BA12-3)),"")</f>
        <v/>
      </c>
      <c r="K16" s="545">
        <f>IFERROR(IF(INDEX('Final Calculation Sheet'!$L$4:$L$40,$BA13-3)="","",INDEX('Final Calculation Sheet'!$L$4:$L$40,$BA13-3)),"")</f>
        <v/>
      </c>
      <c r="L16" s="544">
        <f>IFERROR(IF(INDEX('Final Calculation Sheet'!$L$4:$L$40,$BA14-3)="","",INDEX('Final Calculation Sheet'!$L$4:$L$40,$BA14-3)),"")</f>
        <v/>
      </c>
      <c r="M16" s="545">
        <f>IFERROR(IF(INDEX('Final Calculation Sheet'!$L$4:$L$40,$BA15-3)="","",INDEX('Final Calculation Sheet'!$L$4:$L$40,$BA15-3)),"")</f>
        <v/>
      </c>
      <c r="N16" s="544">
        <f>IFERROR(IF(INDEX('Final Calculation Sheet'!$L$4:$L$40,$BA16-3)="","",INDEX('Final Calculation Sheet'!$L$4:$L$40,$BA16-3)),"")</f>
        <v/>
      </c>
      <c r="O16" s="545">
        <f>IFERROR(IF(INDEX('Final Calculation Sheet'!$L$4:$L$40,$BA17-3)="","",INDEX('Final Calculation Sheet'!$L$4:$L$40,$BA17-3)),"")</f>
        <v/>
      </c>
      <c r="P16" s="544">
        <f>IFERROR(IF(INDEX('Final Calculation Sheet'!$L$4:$L$40,$BA18-3)="","",INDEX('Final Calculation Sheet'!$L$4:$L$40,$BA18-3)),"")</f>
        <v/>
      </c>
      <c r="Q16" s="545">
        <f>IFERROR(IF(INDEX('Final Calculation Sheet'!$L$4:$L$40,$BA19-3)="","",INDEX('Final Calculation Sheet'!$L$4:$L$40,$BA19-3)),"")</f>
        <v/>
      </c>
      <c r="R16" s="544">
        <f>IFERROR(IF(INDEX('Final Calculation Sheet'!$L$4:$L$40,$BA20-3)="","",INDEX('Final Calculation Sheet'!$L$4:$L$40,$BA20-3)),"")</f>
        <v/>
      </c>
      <c r="S16" s="545">
        <f>IFERROR(IF(INDEX('Final Calculation Sheet'!$L$4:$L$40,$BA21-3)="","",INDEX('Final Calculation Sheet'!$L$4:$L$40,$BA21-3)),"")</f>
        <v/>
      </c>
      <c r="T16" s="544">
        <f>IFERROR(IF(INDEX('Final Calculation Sheet'!$L$4:$L$40,$BA22-3)="","",INDEX('Final Calculation Sheet'!$L$4:$L$40,$BA22-3)),"")</f>
        <v/>
      </c>
      <c r="U16" s="545">
        <f>IFERROR(IF(INDEX('Final Calculation Sheet'!$L$4:$L$40,$BA23-3)="","",INDEX('Final Calculation Sheet'!$L$4:$L$40,$BA23-3)),"")</f>
        <v/>
      </c>
      <c r="V16" s="544">
        <f>IFERROR(IF(INDEX('Final Calculation Sheet'!$L$4:$L$40,$BA24-3)="","",INDEX('Final Calculation Sheet'!$L$4:$L$40,$BA24-3)),"")</f>
        <v/>
      </c>
      <c r="W16" s="545">
        <f>IFERROR(IF(INDEX('Final Calculation Sheet'!$L$4:$L$40,$BA25-3)="","",INDEX('Final Calculation Sheet'!$L$4:$L$40,$BA25-3)),"")</f>
        <v/>
      </c>
      <c r="X16" s="544">
        <f>IFERROR(IF(INDEX('Final Calculation Sheet'!$L$4:$L$40,$BA26-3)="","",INDEX('Final Calculation Sheet'!$L$4:$L$40,$BA26-3)),"")</f>
        <v/>
      </c>
      <c r="Y16" s="545">
        <f>IFERROR(IF(INDEX('Final Calculation Sheet'!$L$4:$L$40,$BA27-3)="","",INDEX('Final Calculation Sheet'!$L$4:$L$40,$BA27-3)),"")</f>
        <v/>
      </c>
      <c r="Z16" s="544">
        <f>IFERROR(IF(INDEX('Final Calculation Sheet'!$L$4:$L$40,$BA28-3)="","",INDEX('Final Calculation Sheet'!$L$4:$L$40,$BA28-3)),"")</f>
        <v/>
      </c>
      <c r="AA16" s="545">
        <f>IFERROR(IF(INDEX('Final Calculation Sheet'!$L$4:$L$40,$BA29-3)="","",INDEX('Final Calculation Sheet'!$L$4:$L$40,$BA29-3)),"")</f>
        <v/>
      </c>
      <c r="AB16" s="544">
        <f>IFERROR(IF(INDEX('Final Calculation Sheet'!$L$4:$L$40,$BA30-3)="","",INDEX('Final Calculation Sheet'!$L$4:$L$40,$BA30-3)),"")</f>
        <v/>
      </c>
      <c r="AC16" s="545">
        <f>IFERROR(IF(INDEX('Final Calculation Sheet'!$L$4:$L$40,$BA31-3)="","",INDEX('Final Calculation Sheet'!$L$4:$L$40,$BA31-3)),"")</f>
        <v/>
      </c>
      <c r="AD16" s="544">
        <f>IFERROR(IF(INDEX('Final Calculation Sheet'!$L$4:$L$40,$BA32-3)="","",INDEX('Final Calculation Sheet'!$L$4:$L$40,$BA32-3)),"")</f>
        <v/>
      </c>
      <c r="AE16" s="545">
        <f>IFERROR(IF(INDEX('Final Calculation Sheet'!$L$4:$L$40,$BA33-3)="","",INDEX('Final Calculation Sheet'!$L$4:$L$40,$BA33-3)),"")</f>
        <v/>
      </c>
      <c r="AF16" s="544">
        <f>IFERROR(IF(INDEX('Final Calculation Sheet'!$L$4:$L$40,$BA34-3)="","",INDEX('Final Calculation Sheet'!$L$4:$L$40,$BA34-3)),"")</f>
        <v/>
      </c>
      <c r="AG16" s="545">
        <f>IFERROR(IF(INDEX('Final Calculation Sheet'!$L$4:$L$40,$BA35-3)="","",INDEX('Final Calculation Sheet'!$L$4:$L$40,$BA35-3)),"")</f>
        <v/>
      </c>
      <c r="AH16" s="544">
        <f>IFERROR(IF(INDEX('Final Calculation Sheet'!$L$4:$L$40,$BA36-3)="","",INDEX('Final Calculation Sheet'!$L$4:$L$40,$BA36-3)),"")</f>
        <v/>
      </c>
      <c r="AI16" s="545">
        <f>IFERROR(IF(INDEX('Final Calculation Sheet'!$L$4:$L$40,$BA37-3)="","",INDEX('Final Calculation Sheet'!$L$4:$L$40,$BA37-3)),"")</f>
        <v/>
      </c>
      <c r="AJ16" s="544">
        <f>IFERROR(IF(INDEX('Final Calculation Sheet'!$L$4:$L$40,$BA38-3)="","",INDEX('Final Calculation Sheet'!$L$4:$L$40,$BA38-3)),"")</f>
        <v/>
      </c>
      <c r="AK16" s="545">
        <f>IFERROR(IF(INDEX('Final Calculation Sheet'!$L$4:$L$40,$BA39-3)="","",INDEX('Final Calculation Sheet'!$L$4:$L$40,$BA39-3)),"")</f>
        <v/>
      </c>
      <c r="AL16" s="544">
        <f>IFERROR(IF(INDEX('Final Calculation Sheet'!$L$4:$L$40,$BA40-3)="","",INDEX('Final Calculation Sheet'!$L$4:$L$40,$BA40-3)),"")</f>
        <v/>
      </c>
      <c r="AM16" s="546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540" t="inlineStr">
        <is>
          <t>Service Charge to MSTC</t>
        </is>
      </c>
      <c r="B17" s="544">
        <f>IFERROR(IF(INDEX('Final Calculation Sheet'!$M$4:$M$40,$BA4-3)="","",INDEX('Final Calculation Sheet'!$M$4:$M$40,$BA4-3)),"")</f>
        <v/>
      </c>
      <c r="C17" s="545">
        <f>IFERROR(IF(INDEX('Final Calculation Sheet'!$M$4:$M$40,$BA5-3)="","",INDEX('Final Calculation Sheet'!$M$4:$M$40,$BA5-3)),"")</f>
        <v/>
      </c>
      <c r="D17" s="544">
        <f>IFERROR(IF(INDEX('Final Calculation Sheet'!$M$4:$M$40,$BA6-3)="","",INDEX('Final Calculation Sheet'!$M$4:$M$40,$BA6-3)),"")</f>
        <v/>
      </c>
      <c r="E17" s="545">
        <f>IFERROR(IF(INDEX('Final Calculation Sheet'!$M$4:$M$40,$BA7-3)="","",INDEX('Final Calculation Sheet'!$M$4:$M$40,$BA7-3)),"")</f>
        <v/>
      </c>
      <c r="F17" s="544">
        <f>IFERROR(IF(INDEX('Final Calculation Sheet'!$M$4:$M$40,$BA8-3)="","",INDEX('Final Calculation Sheet'!$M$4:$M$40,$BA8-3)),"")</f>
        <v/>
      </c>
      <c r="G17" s="545">
        <f>IFERROR(IF(INDEX('Final Calculation Sheet'!$M$4:$M$40,$BA9-3)="","",INDEX('Final Calculation Sheet'!$M$4:$M$40,$BA9-3)),"")</f>
        <v/>
      </c>
      <c r="H17" s="544">
        <f>IFERROR(IF(INDEX('Final Calculation Sheet'!$M$4:$M$40,$BA10-3)="","",INDEX('Final Calculation Sheet'!$M$4:$M$40,$BA10-3)),"")</f>
        <v/>
      </c>
      <c r="I17" s="545">
        <f>IFERROR(IF(INDEX('Final Calculation Sheet'!$M$4:$M$40,$BA11-3)="","",INDEX('Final Calculation Sheet'!$M$4:$M$40,$BA11-3)),"")</f>
        <v/>
      </c>
      <c r="J17" s="544">
        <f>IFERROR(IF(INDEX('Final Calculation Sheet'!$M$4:$M$40,$BA12-3)="","",INDEX('Final Calculation Sheet'!$M$4:$M$40,$BA12-3)),"")</f>
        <v/>
      </c>
      <c r="K17" s="545">
        <f>IFERROR(IF(INDEX('Final Calculation Sheet'!$M$4:$M$40,$BA13-3)="","",INDEX('Final Calculation Sheet'!$M$4:$M$40,$BA13-3)),"")</f>
        <v/>
      </c>
      <c r="L17" s="544">
        <f>IFERROR(IF(INDEX('Final Calculation Sheet'!$M$4:$M$40,$BA14-3)="","",INDEX('Final Calculation Sheet'!$M$4:$M$40,$BA14-3)),"")</f>
        <v/>
      </c>
      <c r="M17" s="545">
        <f>IFERROR(IF(INDEX('Final Calculation Sheet'!$M$4:$M$40,$BA15-3)="","",INDEX('Final Calculation Sheet'!$M$4:$M$40,$BA15-3)),"")</f>
        <v/>
      </c>
      <c r="N17" s="544">
        <f>IFERROR(IF(INDEX('Final Calculation Sheet'!$M$4:$M$40,$BA16-3)="","",INDEX('Final Calculation Sheet'!$M$4:$M$40,$BA16-3)),"")</f>
        <v/>
      </c>
      <c r="O17" s="545">
        <f>IFERROR(IF(INDEX('Final Calculation Sheet'!$M$4:$M$40,$BA17-3)="","",INDEX('Final Calculation Sheet'!$M$4:$M$40,$BA17-3)),"")</f>
        <v/>
      </c>
      <c r="P17" s="544">
        <f>IFERROR(IF(INDEX('Final Calculation Sheet'!$M$4:$M$40,$BA18-3)="","",INDEX('Final Calculation Sheet'!$M$4:$M$40,$BA18-3)),"")</f>
        <v/>
      </c>
      <c r="Q17" s="545">
        <f>IFERROR(IF(INDEX('Final Calculation Sheet'!$M$4:$M$40,$BA19-3)="","",INDEX('Final Calculation Sheet'!$M$4:$M$40,$BA19-3)),"")</f>
        <v/>
      </c>
      <c r="R17" s="544">
        <f>IFERROR(IF(INDEX('Final Calculation Sheet'!$M$4:$M$40,$BA20-3)="","",INDEX('Final Calculation Sheet'!$M$4:$M$40,$BA20-3)),"")</f>
        <v/>
      </c>
      <c r="S17" s="545">
        <f>IFERROR(IF(INDEX('Final Calculation Sheet'!$M$4:$M$40,$BA21-3)="","",INDEX('Final Calculation Sheet'!$M$4:$M$40,$BA21-3)),"")</f>
        <v/>
      </c>
      <c r="T17" s="544">
        <f>IFERROR(IF(INDEX('Final Calculation Sheet'!$M$4:$M$40,$BA22-3)="","",INDEX('Final Calculation Sheet'!$M$4:$M$40,$BA22-3)),"")</f>
        <v/>
      </c>
      <c r="U17" s="545">
        <f>IFERROR(IF(INDEX('Final Calculation Sheet'!$M$4:$M$40,$BA23-3)="","",INDEX('Final Calculation Sheet'!$M$4:$M$40,$BA23-3)),"")</f>
        <v/>
      </c>
      <c r="V17" s="544">
        <f>IFERROR(IF(INDEX('Final Calculation Sheet'!$M$4:$M$40,$BA24-3)="","",INDEX('Final Calculation Sheet'!$M$4:$M$40,$BA24-3)),"")</f>
        <v/>
      </c>
      <c r="W17" s="545">
        <f>IFERROR(IF(INDEX('Final Calculation Sheet'!$M$4:$M$40,$BA25-3)="","",INDEX('Final Calculation Sheet'!$M$4:$M$40,$BA25-3)),"")</f>
        <v/>
      </c>
      <c r="X17" s="544">
        <f>IFERROR(IF(INDEX('Final Calculation Sheet'!$M$4:$M$40,$BA26-3)="","",INDEX('Final Calculation Sheet'!$M$4:$M$40,$BA26-3)),"")</f>
        <v/>
      </c>
      <c r="Y17" s="545">
        <f>IFERROR(IF(INDEX('Final Calculation Sheet'!$M$4:$M$40,$BA27-3)="","",INDEX('Final Calculation Sheet'!$M$4:$M$40,$BA27-3)),"")</f>
        <v/>
      </c>
      <c r="Z17" s="544">
        <f>IFERROR(IF(INDEX('Final Calculation Sheet'!$M$4:$M$40,$BA28-3)="","",INDEX('Final Calculation Sheet'!$M$4:$M$40,$BA28-3)),"")</f>
        <v/>
      </c>
      <c r="AA17" s="545">
        <f>IFERROR(IF(INDEX('Final Calculation Sheet'!$M$4:$M$40,$BA29-3)="","",INDEX('Final Calculation Sheet'!$M$4:$M$40,$BA29-3)),"")</f>
        <v/>
      </c>
      <c r="AB17" s="544">
        <f>IFERROR(IF(INDEX('Final Calculation Sheet'!$M$4:$M$40,$BA30-3)="","",INDEX('Final Calculation Sheet'!$M$4:$M$40,$BA30-3)),"")</f>
        <v/>
      </c>
      <c r="AC17" s="545">
        <f>IFERROR(IF(INDEX('Final Calculation Sheet'!$M$4:$M$40,$BA31-3)="","",INDEX('Final Calculation Sheet'!$M$4:$M$40,$BA31-3)),"")</f>
        <v/>
      </c>
      <c r="AD17" s="544">
        <f>IFERROR(IF(INDEX('Final Calculation Sheet'!$M$4:$M$40,$BA32-3)="","",INDEX('Final Calculation Sheet'!$M$4:$M$40,$BA32-3)),"")</f>
        <v/>
      </c>
      <c r="AE17" s="545">
        <f>IFERROR(IF(INDEX('Final Calculation Sheet'!$M$4:$M$40,$BA33-3)="","",INDEX('Final Calculation Sheet'!$M$4:$M$40,$BA33-3)),"")</f>
        <v/>
      </c>
      <c r="AF17" s="544">
        <f>IFERROR(IF(INDEX('Final Calculation Sheet'!$M$4:$M$40,$BA34-3)="","",INDEX('Final Calculation Sheet'!$M$4:$M$40,$BA34-3)),"")</f>
        <v/>
      </c>
      <c r="AG17" s="545">
        <f>IFERROR(IF(INDEX('Final Calculation Sheet'!$M$4:$M$40,$BA35-3)="","",INDEX('Final Calculation Sheet'!$M$4:$M$40,$BA35-3)),"")</f>
        <v/>
      </c>
      <c r="AH17" s="544">
        <f>IFERROR(IF(INDEX('Final Calculation Sheet'!$M$4:$M$40,$BA36-3)="","",INDEX('Final Calculation Sheet'!$M$4:$M$40,$BA36-3)),"")</f>
        <v/>
      </c>
      <c r="AI17" s="545">
        <f>IFERROR(IF(INDEX('Final Calculation Sheet'!$M$4:$M$40,$BA37-3)="","",INDEX('Final Calculation Sheet'!$M$4:$M$40,$BA37-3)),"")</f>
        <v/>
      </c>
      <c r="AJ17" s="544">
        <f>IFERROR(IF(INDEX('Final Calculation Sheet'!$M$4:$M$40,$BA38-3)="","",INDEX('Final Calculation Sheet'!$M$4:$M$40,$BA38-3)),"")</f>
        <v/>
      </c>
      <c r="AK17" s="545">
        <f>IFERROR(IF(INDEX('Final Calculation Sheet'!$M$4:$M$40,$BA39-3)="","",INDEX('Final Calculation Sheet'!$M$4:$M$40,$BA39-3)),"")</f>
        <v/>
      </c>
      <c r="AL17" s="544">
        <f>IFERROR(IF(INDEX('Final Calculation Sheet'!$M$4:$M$40,$BA40-3)="","",INDEX('Final Calculation Sheet'!$M$4:$M$40,$BA40-3)),"")</f>
        <v/>
      </c>
      <c r="AM17" s="546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Sheet'!$N$4:$N$40,$BA4-3)="","",INDEX('Final Calculation Sheet'!$N$4:$N$40,$BA4-3)),"")</f>
        <v/>
      </c>
      <c r="C18" s="548">
        <f>IFERROR(IF(INDEX('Final Calculation Sheet'!$N$4:$N$40,$BA5-3)="","",INDEX('Final Calculation Sheet'!$N$4:$N$40,$BA5-3)),"")</f>
        <v/>
      </c>
      <c r="D18" s="547">
        <f>IFERROR(IF(INDEX('Final Calculation Sheet'!$N$4:$N$40,$BA6-3)="","",INDEX('Final Calculation Sheet'!$N$4:$N$40,$BA6-3)),"")</f>
        <v/>
      </c>
      <c r="E18" s="548">
        <f>IFERROR(IF(INDEX('Final Calculation Sheet'!$N$4:$N$40,$BA7-3)="","",INDEX('Final Calculation Sheet'!$N$4:$N$40,$BA7-3)),"")</f>
        <v/>
      </c>
      <c r="F18" s="547">
        <f>IFERROR(IF(INDEX('Final Calculation Sheet'!$N$4:$N$40,$BA8-3)="","",INDEX('Final Calculation Sheet'!$N$4:$N$40,$BA8-3)),"")</f>
        <v/>
      </c>
      <c r="G18" s="548">
        <f>IFERROR(IF(INDEX('Final Calculation Sheet'!$N$4:$N$40,$BA9-3)="","",INDEX('Final Calculation Sheet'!$N$4:$N$40,$BA9-3)),"")</f>
        <v/>
      </c>
      <c r="H18" s="547">
        <f>IFERROR(IF(INDEX('Final Calculation Sheet'!$N$4:$N$40,$BA10-3)="","",INDEX('Final Calculation Sheet'!$N$4:$N$40,$BA10-3)),"")</f>
        <v/>
      </c>
      <c r="I18" s="548">
        <f>IFERROR(IF(INDEX('Final Calculation Sheet'!$N$4:$N$40,$BA11-3)="","",INDEX('Final Calculation Sheet'!$N$4:$N$40,$BA11-3)),"")</f>
        <v/>
      </c>
      <c r="J18" s="547">
        <f>IFERROR(IF(INDEX('Final Calculation Sheet'!$N$4:$N$40,$BA12-3)="","",INDEX('Final Calculation Sheet'!$N$4:$N$40,$BA12-3)),"")</f>
        <v/>
      </c>
      <c r="K18" s="548">
        <f>IFERROR(IF(INDEX('Final Calculation Sheet'!$N$4:$N$40,$BA13-3)="","",INDEX('Final Calculation Sheet'!$N$4:$N$40,$BA13-3)),"")</f>
        <v/>
      </c>
      <c r="L18" s="547">
        <f>IFERROR(IF(INDEX('Final Calculation Sheet'!$N$4:$N$40,$BA14-3)="","",INDEX('Final Calculation Sheet'!$N$4:$N$40,$BA14-3)),"")</f>
        <v/>
      </c>
      <c r="M18" s="548">
        <f>IFERROR(IF(INDEX('Final Calculation Sheet'!$N$4:$N$40,$BA15-3)="","",INDEX('Final Calculation Sheet'!$N$4:$N$40,$BA15-3)),"")</f>
        <v/>
      </c>
      <c r="N18" s="547">
        <f>IFERROR(IF(INDEX('Final Calculation Sheet'!$N$4:$N$40,$BA16-3)="","",INDEX('Final Calculation Sheet'!$N$4:$N$40,$BA16-3)),"")</f>
        <v/>
      </c>
      <c r="O18" s="548">
        <f>IFERROR(IF(INDEX('Final Calculation Sheet'!$N$4:$N$40,$BA17-3)="","",INDEX('Final Calculation Sheet'!$N$4:$N$40,$BA17-3)),"")</f>
        <v/>
      </c>
      <c r="P18" s="547">
        <f>IFERROR(IF(INDEX('Final Calculation Sheet'!$N$4:$N$40,$BA18-3)="","",INDEX('Final Calculation Sheet'!$N$4:$N$40,$BA18-3)),"")</f>
        <v/>
      </c>
      <c r="Q18" s="548">
        <f>IFERROR(IF(INDEX('Final Calculation Sheet'!$N$4:$N$40,$BA19-3)="","",INDEX('Final Calculation Sheet'!$N$4:$N$40,$BA19-3)),"")</f>
        <v/>
      </c>
      <c r="R18" s="547">
        <f>IFERROR(IF(INDEX('Final Calculation Sheet'!$N$4:$N$40,$BA20-3)="","",INDEX('Final Calculation Sheet'!$N$4:$N$40,$BA20-3)),"")</f>
        <v/>
      </c>
      <c r="S18" s="548">
        <f>IFERROR(IF(INDEX('Final Calculation Sheet'!$N$4:$N$40,$BA21-3)="","",INDEX('Final Calculation Sheet'!$N$4:$N$40,$BA21-3)),"")</f>
        <v/>
      </c>
      <c r="T18" s="547">
        <f>IFERROR(IF(INDEX('Final Calculation Sheet'!$N$4:$N$40,$BA22-3)="","",INDEX('Final Calculation Sheet'!$N$4:$N$40,$BA22-3)),"")</f>
        <v/>
      </c>
      <c r="U18" s="548">
        <f>IFERROR(IF(INDEX('Final Calculation Sheet'!$N$4:$N$40,$BA23-3)="","",INDEX('Final Calculation Sheet'!$N$4:$N$40,$BA23-3)),"")</f>
        <v/>
      </c>
      <c r="V18" s="547">
        <f>IFERROR(IF(INDEX('Final Calculation Sheet'!$N$4:$N$40,$BA24-3)="","",INDEX('Final Calculation Sheet'!$N$4:$N$40,$BA24-3)),"")</f>
        <v/>
      </c>
      <c r="W18" s="548">
        <f>IFERROR(IF(INDEX('Final Calculation Sheet'!$N$4:$N$40,$BA25-3)="","",INDEX('Final Calculation Sheet'!$N$4:$N$40,$BA25-3)),"")</f>
        <v/>
      </c>
      <c r="X18" s="547">
        <f>IFERROR(IF(INDEX('Final Calculation Sheet'!$N$4:$N$40,$BA26-3)="","",INDEX('Final Calculation Sheet'!$N$4:$N$40,$BA26-3)),"")</f>
        <v/>
      </c>
      <c r="Y18" s="548">
        <f>IFERROR(IF(INDEX('Final Calculation Sheet'!$N$4:$N$40,$BA27-3)="","",INDEX('Final Calculation Sheet'!$N$4:$N$40,$BA27-3)),"")</f>
        <v/>
      </c>
      <c r="Z18" s="547">
        <f>IFERROR(IF(INDEX('Final Calculation Sheet'!$N$4:$N$40,$BA28-3)="","",INDEX('Final Calculation Sheet'!$N$4:$N$40,$BA28-3)),"")</f>
        <v/>
      </c>
      <c r="AA18" s="548">
        <f>IFERROR(IF(INDEX('Final Calculation Sheet'!$N$4:$N$40,$BA29-3)="","",INDEX('Final Calculation Sheet'!$N$4:$N$40,$BA29-3)),"")</f>
        <v/>
      </c>
      <c r="AB18" s="547">
        <f>IFERROR(IF(INDEX('Final Calculation Sheet'!$N$4:$N$40,$BA30-3)="","",INDEX('Final Calculation Sheet'!$N$4:$N$40,$BA30-3)),"")</f>
        <v/>
      </c>
      <c r="AC18" s="548">
        <f>IFERROR(IF(INDEX('Final Calculation Sheet'!$N$4:$N$40,$BA31-3)="","",INDEX('Final Calculation Sheet'!$N$4:$N$40,$BA31-3)),"")</f>
        <v/>
      </c>
      <c r="AD18" s="547">
        <f>IFERROR(IF(INDEX('Final Calculation Sheet'!$N$4:$N$40,$BA32-3)="","",INDEX('Final Calculation Sheet'!$N$4:$N$40,$BA32-3)),"")</f>
        <v/>
      </c>
      <c r="AE18" s="548">
        <f>IFERROR(IF(INDEX('Final Calculation Sheet'!$N$4:$N$40,$BA33-3)="","",INDEX('Final Calculation Sheet'!$N$4:$N$40,$BA33-3)),"")</f>
        <v/>
      </c>
      <c r="AF18" s="547">
        <f>IFERROR(IF(INDEX('Final Calculation Sheet'!$N$4:$N$40,$BA34-3)="","",INDEX('Final Calculation Sheet'!$N$4:$N$40,$BA34-3)),"")</f>
        <v/>
      </c>
      <c r="AG18" s="548">
        <f>IFERROR(IF(INDEX('Final Calculation Sheet'!$N$4:$N$40,$BA35-3)="","",INDEX('Final Calculation Sheet'!$N$4:$N$40,$BA35-3)),"")</f>
        <v/>
      </c>
      <c r="AH18" s="547">
        <f>IFERROR(IF(INDEX('Final Calculation Sheet'!$N$4:$N$40,$BA36-3)="","",INDEX('Final Calculation Sheet'!$N$4:$N$40,$BA36-3)),"")</f>
        <v/>
      </c>
      <c r="AI18" s="548">
        <f>IFERROR(IF(INDEX('Final Calculation Sheet'!$N$4:$N$40,$BA37-3)="","",INDEX('Final Calculation Sheet'!$N$4:$N$40,$BA37-3)),"")</f>
        <v/>
      </c>
      <c r="AJ18" s="547">
        <f>IFERROR(IF(INDEX('Final Calculation Sheet'!$N$4:$N$40,$BA38-3)="","",INDEX('Final Calculation Sheet'!$N$4:$N$40,$BA38-3)),"")</f>
        <v/>
      </c>
      <c r="AK18" s="548">
        <f>IFERROR(IF(INDEX('Final Calculation Sheet'!$N$4:$N$40,$BA39-3)="","",INDEX('Final Calculation Sheet'!$N$4:$N$40,$BA39-3)),"")</f>
        <v/>
      </c>
      <c r="AL18" s="547">
        <f>IFERROR(IF(INDEX('Final Calculation Sheet'!$N$4:$N$40,$BA40-3)="","",INDEX('Final Calculation Sheet'!$N$4:$N$40,$BA40-3)),"")</f>
        <v/>
      </c>
      <c r="AM18" s="414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Sheet'!$O$4:$O$40,$BA4-3)="","",INDEX('Final Calculation Sheet'!$O$4:$O$40,$BA4-3)),"")</f>
        <v/>
      </c>
      <c r="C19" s="545">
        <f>IFERROR(IF(INDEX('Final Calculation Sheet'!$O$4:$O$40,$BA5-3)="","",INDEX('Final Calculation Sheet'!$O$4:$O$40,$BA5-3)),"")</f>
        <v/>
      </c>
      <c r="D19" s="544">
        <f>IFERROR(IF(INDEX('Final Calculation Sheet'!$O$4:$O$40,$BA6-3)="","",INDEX('Final Calculation Sheet'!$O$4:$O$40,$BA6-3)),"")</f>
        <v/>
      </c>
      <c r="E19" s="545">
        <f>IFERROR(IF(INDEX('Final Calculation Sheet'!$O$4:$O$40,$BA7-3)="","",INDEX('Final Calculation Sheet'!$O$4:$O$40,$BA7-3)),"")</f>
        <v/>
      </c>
      <c r="F19" s="544">
        <f>IFERROR(IF(INDEX('Final Calculation Sheet'!$O$4:$O$40,$BA8-3)="","",INDEX('Final Calculation Sheet'!$O$4:$O$40,$BA8-3)),"")</f>
        <v/>
      </c>
      <c r="G19" s="545">
        <f>IFERROR(IF(INDEX('Final Calculation Sheet'!$O$4:$O$40,$BA9-3)="","",INDEX('Final Calculation Sheet'!$O$4:$O$40,$BA9-3)),"")</f>
        <v/>
      </c>
      <c r="H19" s="544">
        <f>IFERROR(IF(INDEX('Final Calculation Sheet'!$O$4:$O$40,$BA10-3)="","",INDEX('Final Calculation Sheet'!$O$4:$O$40,$BA10-3)),"")</f>
        <v/>
      </c>
      <c r="I19" s="545">
        <f>IFERROR(IF(INDEX('Final Calculation Sheet'!$O$4:$O$40,$BA11-3)="","",INDEX('Final Calculation Sheet'!$O$4:$O$40,$BA11-3)),"")</f>
        <v/>
      </c>
      <c r="J19" s="544">
        <f>IFERROR(IF(INDEX('Final Calculation Sheet'!$O$4:$O$40,$BA12-3)="","",INDEX('Final Calculation Sheet'!$O$4:$O$40,$BA12-3)),"")</f>
        <v/>
      </c>
      <c r="K19" s="545">
        <f>IFERROR(IF(INDEX('Final Calculation Sheet'!$O$4:$O$40,$BA13-3)="","",INDEX('Final Calculation Sheet'!$O$4:$O$40,$BA13-3)),"")</f>
        <v/>
      </c>
      <c r="L19" s="544">
        <f>IFERROR(IF(INDEX('Final Calculation Sheet'!$O$4:$O$40,$BA14-3)="","",INDEX('Final Calculation Sheet'!$O$4:$O$40,$BA14-3)),"")</f>
        <v/>
      </c>
      <c r="M19" s="545">
        <f>IFERROR(IF(INDEX('Final Calculation Sheet'!$O$4:$O$40,$BA15-3)="","",INDEX('Final Calculation Sheet'!$O$4:$O$40,$BA15-3)),"")</f>
        <v/>
      </c>
      <c r="N19" s="544">
        <f>IFERROR(IF(INDEX('Final Calculation Sheet'!$O$4:$O$40,$BA16-3)="","",INDEX('Final Calculation Sheet'!$O$4:$O$40,$BA16-3)),"")</f>
        <v/>
      </c>
      <c r="O19" s="545">
        <f>IFERROR(IF(INDEX('Final Calculation Sheet'!$O$4:$O$40,$BA17-3)="","",INDEX('Final Calculation Sheet'!$O$4:$O$40,$BA17-3)),"")</f>
        <v/>
      </c>
      <c r="P19" s="544">
        <f>IFERROR(IF(INDEX('Final Calculation Sheet'!$O$4:$O$40,$BA18-3)="","",INDEX('Final Calculation Sheet'!$O$4:$O$40,$BA18-3)),"")</f>
        <v/>
      </c>
      <c r="Q19" s="545">
        <f>IFERROR(IF(INDEX('Final Calculation Sheet'!$O$4:$O$40,$BA19-3)="","",INDEX('Final Calculation Sheet'!$O$4:$O$40,$BA19-3)),"")</f>
        <v/>
      </c>
      <c r="R19" s="544">
        <f>IFERROR(IF(INDEX('Final Calculation Sheet'!$O$4:$O$40,$BA20-3)="","",INDEX('Final Calculation Sheet'!$O$4:$O$40,$BA20-3)),"")</f>
        <v/>
      </c>
      <c r="S19" s="545">
        <f>IFERROR(IF(INDEX('Final Calculation Sheet'!$O$4:$O$40,$BA21-3)="","",INDEX('Final Calculation Sheet'!$O$4:$O$40,$BA21-3)),"")</f>
        <v/>
      </c>
      <c r="T19" s="544">
        <f>IFERROR(IF(INDEX('Final Calculation Sheet'!$O$4:$O$40,$BA22-3)="","",INDEX('Final Calculation Sheet'!$O$4:$O$40,$BA22-3)),"")</f>
        <v/>
      </c>
      <c r="U19" s="545">
        <f>IFERROR(IF(INDEX('Final Calculation Sheet'!$O$4:$O$40,$BA23-3)="","",INDEX('Final Calculation Sheet'!$O$4:$O$40,$BA23-3)),"")</f>
        <v/>
      </c>
      <c r="V19" s="544">
        <f>IFERROR(IF(INDEX('Final Calculation Sheet'!$O$4:$O$40,$BA24-3)="","",INDEX('Final Calculation Sheet'!$O$4:$O$40,$BA24-3)),"")</f>
        <v/>
      </c>
      <c r="W19" s="545">
        <f>IFERROR(IF(INDEX('Final Calculation Sheet'!$O$4:$O$40,$BA25-3)="","",INDEX('Final Calculation Sheet'!$O$4:$O$40,$BA25-3)),"")</f>
        <v/>
      </c>
      <c r="X19" s="544">
        <f>IFERROR(IF(INDEX('Final Calculation Sheet'!$O$4:$O$40,$BA26-3)="","",INDEX('Final Calculation Sheet'!$O$4:$O$40,$BA26-3)),"")</f>
        <v/>
      </c>
      <c r="Y19" s="545">
        <f>IFERROR(IF(INDEX('Final Calculation Sheet'!$O$4:$O$40,$BA27-3)="","",INDEX('Final Calculation Sheet'!$O$4:$O$40,$BA27-3)),"")</f>
        <v/>
      </c>
      <c r="Z19" s="544">
        <f>IFERROR(IF(INDEX('Final Calculation Sheet'!$O$4:$O$40,$BA28-3)="","",INDEX('Final Calculation Sheet'!$O$4:$O$40,$BA28-3)),"")</f>
        <v/>
      </c>
      <c r="AA19" s="545">
        <f>IFERROR(IF(INDEX('Final Calculation Sheet'!$O$4:$O$40,$BA29-3)="","",INDEX('Final Calculation Sheet'!$O$4:$O$40,$BA29-3)),"")</f>
        <v/>
      </c>
      <c r="AB19" s="544">
        <f>IFERROR(IF(INDEX('Final Calculation Sheet'!$O$4:$O$40,$BA30-3)="","",INDEX('Final Calculation Sheet'!$O$4:$O$40,$BA30-3)),"")</f>
        <v/>
      </c>
      <c r="AC19" s="545">
        <f>IFERROR(IF(INDEX('Final Calculation Sheet'!$O$4:$O$40,$BA31-3)="","",INDEX('Final Calculation Sheet'!$O$4:$O$40,$BA31-3)),"")</f>
        <v/>
      </c>
      <c r="AD19" s="544">
        <f>IFERROR(IF(INDEX('Final Calculation Sheet'!$O$4:$O$40,$BA32-3)="","",INDEX('Final Calculation Sheet'!$O$4:$O$40,$BA32-3)),"")</f>
        <v/>
      </c>
      <c r="AE19" s="545">
        <f>IFERROR(IF(INDEX('Final Calculation Sheet'!$O$4:$O$40,$BA33-3)="","",INDEX('Final Calculation Sheet'!$O$4:$O$40,$BA33-3)),"")</f>
        <v/>
      </c>
      <c r="AF19" s="544">
        <f>IFERROR(IF(INDEX('Final Calculation Sheet'!$O$4:$O$40,$BA34-3)="","",INDEX('Final Calculation Sheet'!$O$4:$O$40,$BA34-3)),"")</f>
        <v/>
      </c>
      <c r="AG19" s="545">
        <f>IFERROR(IF(INDEX('Final Calculation Sheet'!$O$4:$O$40,$BA35-3)="","",INDEX('Final Calculation Sheet'!$O$4:$O$40,$BA35-3)),"")</f>
        <v/>
      </c>
      <c r="AH19" s="544">
        <f>IFERROR(IF(INDEX('Final Calculation Sheet'!$O$4:$O$40,$BA36-3)="","",INDEX('Final Calculation Sheet'!$O$4:$O$40,$BA36-3)),"")</f>
        <v/>
      </c>
      <c r="AI19" s="545">
        <f>IFERROR(IF(INDEX('Final Calculation Sheet'!$O$4:$O$40,$BA37-3)="","",INDEX('Final Calculation Sheet'!$O$4:$O$40,$BA37-3)),"")</f>
        <v/>
      </c>
      <c r="AJ19" s="544">
        <f>IFERROR(IF(INDEX('Final Calculation Sheet'!$O$4:$O$40,$BA38-3)="","",INDEX('Final Calculation Sheet'!$O$4:$O$40,$BA38-3)),"")</f>
        <v/>
      </c>
      <c r="AK19" s="545">
        <f>IFERROR(IF(INDEX('Final Calculation Sheet'!$O$4:$O$40,$BA39-3)="","",INDEX('Final Calculation Sheet'!$O$4:$O$40,$BA39-3)),"")</f>
        <v/>
      </c>
      <c r="AL19" s="544">
        <f>IFERROR(IF(INDEX('Final Calculation Sheet'!$O$4:$O$40,$BA40-3)="","",INDEX('Final Calculation Sheet'!$O$4:$O$40,$BA40-3)),"")</f>
        <v/>
      </c>
      <c r="AM19" s="546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Sheet'!$P$4:$P$40,$BA4-3)="","",INDEX('Final Calculation Sheet'!$P$4:$P$40,$BA4-3)),"")</f>
        <v/>
      </c>
      <c r="C20" s="545">
        <f>IFERROR(IF(INDEX('Final Calculation Sheet'!$P$4:$P$40,$BA5-3)="","",INDEX('Final Calculation Sheet'!$P$4:$P$40,$BA5-3)),"")</f>
        <v/>
      </c>
      <c r="D20" s="544">
        <f>IFERROR(IF(INDEX('Final Calculation Sheet'!$P$4:$P$40,$BA6-3)="","",INDEX('Final Calculation Sheet'!$P$4:$P$40,$BA6-3)),"")</f>
        <v/>
      </c>
      <c r="E20" s="545">
        <f>IFERROR(IF(INDEX('Final Calculation Sheet'!$P$4:$P$40,$BA7-3)="","",INDEX('Final Calculation Sheet'!$P$4:$P$40,$BA7-3)),"")</f>
        <v/>
      </c>
      <c r="F20" s="544">
        <f>IFERROR(IF(INDEX('Final Calculation Sheet'!$P$4:$P$40,$BA8-3)="","",INDEX('Final Calculation Sheet'!$P$4:$P$40,$BA8-3)),"")</f>
        <v/>
      </c>
      <c r="G20" s="545">
        <f>IFERROR(IF(INDEX('Final Calculation Sheet'!$P$4:$P$40,$BA9-3)="","",INDEX('Final Calculation Sheet'!$P$4:$P$40,$BA9-3)),"")</f>
        <v/>
      </c>
      <c r="H20" s="544">
        <f>IFERROR(IF(INDEX('Final Calculation Sheet'!$P$4:$P$40,$BA10-3)="","",INDEX('Final Calculation Sheet'!$P$4:$P$40,$BA10-3)),"")</f>
        <v/>
      </c>
      <c r="I20" s="545">
        <f>IFERROR(IF(INDEX('Final Calculation Sheet'!$P$4:$P$40,$BA11-3)="","",INDEX('Final Calculation Sheet'!$P$4:$P$40,$BA11-3)),"")</f>
        <v/>
      </c>
      <c r="J20" s="544">
        <f>IFERROR(IF(INDEX('Final Calculation Sheet'!$P$4:$P$40,$BA12-3)="","",INDEX('Final Calculation Sheet'!$P$4:$P$40,$BA12-3)),"")</f>
        <v/>
      </c>
      <c r="K20" s="545">
        <f>IFERROR(IF(INDEX('Final Calculation Sheet'!$P$4:$P$40,$BA13-3)="","",INDEX('Final Calculation Sheet'!$P$4:$P$40,$BA13-3)),"")</f>
        <v/>
      </c>
      <c r="L20" s="544">
        <f>IFERROR(IF(INDEX('Final Calculation Sheet'!$P$4:$P$40,$BA14-3)="","",INDEX('Final Calculation Sheet'!$P$4:$P$40,$BA14-3)),"")</f>
        <v/>
      </c>
      <c r="M20" s="545">
        <f>IFERROR(IF(INDEX('Final Calculation Sheet'!$P$4:$P$40,$BA15-3)="","",INDEX('Final Calculation Sheet'!$P$4:$P$40,$BA15-3)),"")</f>
        <v/>
      </c>
      <c r="N20" s="544">
        <f>IFERROR(IF(INDEX('Final Calculation Sheet'!$P$4:$P$40,$BA16-3)="","",INDEX('Final Calculation Sheet'!$P$4:$P$40,$BA16-3)),"")</f>
        <v/>
      </c>
      <c r="O20" s="545">
        <f>IFERROR(IF(INDEX('Final Calculation Sheet'!$P$4:$P$40,$BA17-3)="","",INDEX('Final Calculation Sheet'!$P$4:$P$40,$BA17-3)),"")</f>
        <v/>
      </c>
      <c r="P20" s="544">
        <f>IFERROR(IF(INDEX('Final Calculation Sheet'!$P$4:$P$40,$BA18-3)="","",INDEX('Final Calculation Sheet'!$P$4:$P$40,$BA18-3)),"")</f>
        <v/>
      </c>
      <c r="Q20" s="545">
        <f>IFERROR(IF(INDEX('Final Calculation Sheet'!$P$4:$P$40,$BA19-3)="","",INDEX('Final Calculation Sheet'!$P$4:$P$40,$BA19-3)),"")</f>
        <v/>
      </c>
      <c r="R20" s="544">
        <f>IFERROR(IF(INDEX('Final Calculation Sheet'!$P$4:$P$40,$BA20-3)="","",INDEX('Final Calculation Sheet'!$P$4:$P$40,$BA20-3)),"")</f>
        <v/>
      </c>
      <c r="S20" s="545">
        <f>IFERROR(IF(INDEX('Final Calculation Sheet'!$P$4:$P$40,$BA21-3)="","",INDEX('Final Calculation Sheet'!$P$4:$P$40,$BA21-3)),"")</f>
        <v/>
      </c>
      <c r="T20" s="544">
        <f>IFERROR(IF(INDEX('Final Calculation Sheet'!$P$4:$P$40,$BA22-3)="","",INDEX('Final Calculation Sheet'!$P$4:$P$40,$BA22-3)),"")</f>
        <v/>
      </c>
      <c r="U20" s="545">
        <f>IFERROR(IF(INDEX('Final Calculation Sheet'!$P$4:$P$40,$BA23-3)="","",INDEX('Final Calculation Sheet'!$P$4:$P$40,$BA23-3)),"")</f>
        <v/>
      </c>
      <c r="V20" s="544">
        <f>IFERROR(IF(INDEX('Final Calculation Sheet'!$P$4:$P$40,$BA24-3)="","",INDEX('Final Calculation Sheet'!$P$4:$P$40,$BA24-3)),"")</f>
        <v/>
      </c>
      <c r="W20" s="545">
        <f>IFERROR(IF(INDEX('Final Calculation Sheet'!$P$4:$P$40,$BA25-3)="","",INDEX('Final Calculation Sheet'!$P$4:$P$40,$BA25-3)),"")</f>
        <v/>
      </c>
      <c r="X20" s="544">
        <f>IFERROR(IF(INDEX('Final Calculation Sheet'!$P$4:$P$40,$BA26-3)="","",INDEX('Final Calculation Sheet'!$P$4:$P$40,$BA26-3)),"")</f>
        <v/>
      </c>
      <c r="Y20" s="545">
        <f>IFERROR(IF(INDEX('Final Calculation Sheet'!$P$4:$P$40,$BA27-3)="","",INDEX('Final Calculation Sheet'!$P$4:$P$40,$BA27-3)),"")</f>
        <v/>
      </c>
      <c r="Z20" s="544">
        <f>IFERROR(IF(INDEX('Final Calculation Sheet'!$P$4:$P$40,$BA28-3)="","",INDEX('Final Calculation Sheet'!$P$4:$P$40,$BA28-3)),"")</f>
        <v/>
      </c>
      <c r="AA20" s="545">
        <f>IFERROR(IF(INDEX('Final Calculation Sheet'!$P$4:$P$40,$BA29-3)="","",INDEX('Final Calculation Sheet'!$P$4:$P$40,$BA29-3)),"")</f>
        <v/>
      </c>
      <c r="AB20" s="544">
        <f>IFERROR(IF(INDEX('Final Calculation Sheet'!$P$4:$P$40,$BA30-3)="","",INDEX('Final Calculation Sheet'!$P$4:$P$40,$BA30-3)),"")</f>
        <v/>
      </c>
      <c r="AC20" s="545">
        <f>IFERROR(IF(INDEX('Final Calculation Sheet'!$P$4:$P$40,$BA31-3)="","",INDEX('Final Calculation Sheet'!$P$4:$P$40,$BA31-3)),"")</f>
        <v/>
      </c>
      <c r="AD20" s="544">
        <f>IFERROR(IF(INDEX('Final Calculation Sheet'!$P$4:$P$40,$BA32-3)="","",INDEX('Final Calculation Sheet'!$P$4:$P$40,$BA32-3)),"")</f>
        <v/>
      </c>
      <c r="AE20" s="545">
        <f>IFERROR(IF(INDEX('Final Calculation Sheet'!$P$4:$P$40,$BA33-3)="","",INDEX('Final Calculation Sheet'!$P$4:$P$40,$BA33-3)),"")</f>
        <v/>
      </c>
      <c r="AF20" s="544">
        <f>IFERROR(IF(INDEX('Final Calculation Sheet'!$P$4:$P$40,$BA34-3)="","",INDEX('Final Calculation Sheet'!$P$4:$P$40,$BA34-3)),"")</f>
        <v/>
      </c>
      <c r="AG20" s="545">
        <f>IFERROR(IF(INDEX('Final Calculation Sheet'!$P$4:$P$40,$BA35-3)="","",INDEX('Final Calculation Sheet'!$P$4:$P$40,$BA35-3)),"")</f>
        <v/>
      </c>
      <c r="AH20" s="544">
        <f>IFERROR(IF(INDEX('Final Calculation Sheet'!$P$4:$P$40,$BA36-3)="","",INDEX('Final Calculation Sheet'!$P$4:$P$40,$BA36-3)),"")</f>
        <v/>
      </c>
      <c r="AI20" s="545">
        <f>IFERROR(IF(INDEX('Final Calculation Sheet'!$P$4:$P$40,$BA37-3)="","",INDEX('Final Calculation Sheet'!$P$4:$P$40,$BA37-3)),"")</f>
        <v/>
      </c>
      <c r="AJ20" s="544">
        <f>IFERROR(IF(INDEX('Final Calculation Sheet'!$P$4:$P$40,$BA38-3)="","",INDEX('Final Calculation Sheet'!$P$4:$P$40,$BA38-3)),"")</f>
        <v/>
      </c>
      <c r="AK20" s="545">
        <f>IFERROR(IF(INDEX('Final Calculation Sheet'!$P$4:$P$40,$BA39-3)="","",INDEX('Final Calculation Sheet'!$P$4:$P$40,$BA39-3)),"")</f>
        <v/>
      </c>
      <c r="AL20" s="544">
        <f>IFERROR(IF(INDEX('Final Calculation Sheet'!$P$4:$P$40,$BA40-3)="","",INDEX('Final Calculation Sheet'!$P$4:$P$40,$BA40-3)),"")</f>
        <v/>
      </c>
      <c r="AM20" s="546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Sheet'!$Q$4:$Q$40,$BA4-3)="","",INDEX('Final Calculation Sheet'!$Q$4:$Q$40,$BA4-3)),"")</f>
        <v/>
      </c>
      <c r="C21" s="550">
        <f>IFERROR(IF(INDEX('Final Calculation Sheet'!$Q$4:$Q$40,$BA5-3)="","",INDEX('Final Calculation Sheet'!$Q$4:$Q$40,$BA5-3)),"")</f>
        <v/>
      </c>
      <c r="D21" s="549">
        <f>IFERROR(IF(INDEX('Final Calculation Sheet'!$Q$4:$Q$40,$BA6-3)="","",INDEX('Final Calculation Sheet'!$Q$4:$Q$40,$BA6-3)),"")</f>
        <v/>
      </c>
      <c r="E21" s="550">
        <f>IFERROR(IF(INDEX('Final Calculation Sheet'!$Q$4:$Q$40,$BA7-3)="","",INDEX('Final Calculation Sheet'!$Q$4:$Q$40,$BA7-3)),"")</f>
        <v/>
      </c>
      <c r="F21" s="549">
        <f>IFERROR(IF(INDEX('Final Calculation Sheet'!$Q$4:$Q$40,$BA8-3)="","",INDEX('Final Calculation Sheet'!$Q$4:$Q$40,$BA8-3)),"")</f>
        <v/>
      </c>
      <c r="G21" s="550">
        <f>IFERROR(IF(INDEX('Final Calculation Sheet'!$Q$4:$Q$40,$BA9-3)="","",INDEX('Final Calculation Sheet'!$Q$4:$Q$40,$BA9-3)),"")</f>
        <v/>
      </c>
      <c r="H21" s="549">
        <f>IFERROR(IF(INDEX('Final Calculation Sheet'!$Q$4:$Q$40,$BA10-3)="","",INDEX('Final Calculation Sheet'!$Q$4:$Q$40,$BA10-3)),"")</f>
        <v/>
      </c>
      <c r="I21" s="550">
        <f>IFERROR(IF(INDEX('Final Calculation Sheet'!$Q$4:$Q$40,$BA11-3)="","",INDEX('Final Calculation Sheet'!$Q$4:$Q$40,$BA11-3)),"")</f>
        <v/>
      </c>
      <c r="J21" s="549">
        <f>IFERROR(IF(INDEX('Final Calculation Sheet'!$Q$4:$Q$40,$BA12-3)="","",INDEX('Final Calculation Sheet'!$Q$4:$Q$40,$BA12-3)),"")</f>
        <v/>
      </c>
      <c r="K21" s="550">
        <f>IFERROR(IF(INDEX('Final Calculation Sheet'!$Q$4:$Q$40,$BA13-3)="","",INDEX('Final Calculation Sheet'!$Q$4:$Q$40,$BA13-3)),"")</f>
        <v/>
      </c>
      <c r="L21" s="549">
        <f>IFERROR(IF(INDEX('Final Calculation Sheet'!$Q$4:$Q$40,$BA14-3)="","",INDEX('Final Calculation Sheet'!$Q$4:$Q$40,$BA14-3)),"")</f>
        <v/>
      </c>
      <c r="M21" s="550">
        <f>IFERROR(IF(INDEX('Final Calculation Sheet'!$Q$4:$Q$40,$BA15-3)="","",INDEX('Final Calculation Sheet'!$Q$4:$Q$40,$BA15-3)),"")</f>
        <v/>
      </c>
      <c r="N21" s="549">
        <f>IFERROR(IF(INDEX('Final Calculation Sheet'!$Q$4:$Q$40,$BA16-3)="","",INDEX('Final Calculation Sheet'!$Q$4:$Q$40,$BA16-3)),"")</f>
        <v/>
      </c>
      <c r="O21" s="550">
        <f>IFERROR(IF(INDEX('Final Calculation Sheet'!$Q$4:$Q$40,$BA17-3)="","",INDEX('Final Calculation Sheet'!$Q$4:$Q$40,$BA17-3)),"")</f>
        <v/>
      </c>
      <c r="P21" s="549">
        <f>IFERROR(IF(INDEX('Final Calculation Sheet'!$Q$4:$Q$40,$BA18-3)="","",INDEX('Final Calculation Sheet'!$Q$4:$Q$40,$BA18-3)),"")</f>
        <v/>
      </c>
      <c r="Q21" s="550">
        <f>IFERROR(IF(INDEX('Final Calculation Sheet'!$Q$4:$Q$40,$BA19-3)="","",INDEX('Final Calculation Sheet'!$Q$4:$Q$40,$BA19-3)),"")</f>
        <v/>
      </c>
      <c r="R21" s="549">
        <f>IFERROR(IF(INDEX('Final Calculation Sheet'!$Q$4:$Q$40,$BA20-3)="","",INDEX('Final Calculation Sheet'!$Q$4:$Q$40,$BA20-3)),"")</f>
        <v/>
      </c>
      <c r="S21" s="550">
        <f>IFERROR(IF(INDEX('Final Calculation Sheet'!$Q$4:$Q$40,$BA21-3)="","",INDEX('Final Calculation Sheet'!$Q$4:$Q$40,$BA21-3)),"")</f>
        <v/>
      </c>
      <c r="T21" s="549">
        <f>IFERROR(IF(INDEX('Final Calculation Sheet'!$Q$4:$Q$40,$BA22-3)="","",INDEX('Final Calculation Sheet'!$Q$4:$Q$40,$BA22-3)),"")</f>
        <v/>
      </c>
      <c r="U21" s="550">
        <f>IFERROR(IF(INDEX('Final Calculation Sheet'!$Q$4:$Q$40,$BA23-3)="","",INDEX('Final Calculation Sheet'!$Q$4:$Q$40,$BA23-3)),"")</f>
        <v/>
      </c>
      <c r="V21" s="549">
        <f>IFERROR(IF(INDEX('Final Calculation Sheet'!$Q$4:$Q$40,$BA24-3)="","",INDEX('Final Calculation Sheet'!$Q$4:$Q$40,$BA24-3)),"")</f>
        <v/>
      </c>
      <c r="W21" s="550">
        <f>IFERROR(IF(INDEX('Final Calculation Sheet'!$Q$4:$Q$40,$BA25-3)="","",INDEX('Final Calculation Sheet'!$Q$4:$Q$40,$BA25-3)),"")</f>
        <v/>
      </c>
      <c r="X21" s="549">
        <f>IFERROR(IF(INDEX('Final Calculation Sheet'!$Q$4:$Q$40,$BA26-3)="","",INDEX('Final Calculation Sheet'!$Q$4:$Q$40,$BA26-3)),"")</f>
        <v/>
      </c>
      <c r="Y21" s="550">
        <f>IFERROR(IF(INDEX('Final Calculation Sheet'!$Q$4:$Q$40,$BA27-3)="","",INDEX('Final Calculation Sheet'!$Q$4:$Q$40,$BA27-3)),"")</f>
        <v/>
      </c>
      <c r="Z21" s="549">
        <f>IFERROR(IF(INDEX('Final Calculation Sheet'!$Q$4:$Q$40,$BA28-3)="","",INDEX('Final Calculation Sheet'!$Q$4:$Q$40,$BA28-3)),"")</f>
        <v/>
      </c>
      <c r="AA21" s="550">
        <f>IFERROR(IF(INDEX('Final Calculation Sheet'!$Q$4:$Q$40,$BA29-3)="","",INDEX('Final Calculation Sheet'!$Q$4:$Q$40,$BA29-3)),"")</f>
        <v/>
      </c>
      <c r="AB21" s="549">
        <f>IFERROR(IF(INDEX('Final Calculation Sheet'!$Q$4:$Q$40,$BA30-3)="","",INDEX('Final Calculation Sheet'!$Q$4:$Q$40,$BA30-3)),"")</f>
        <v/>
      </c>
      <c r="AC21" s="550">
        <f>IFERROR(IF(INDEX('Final Calculation Sheet'!$Q$4:$Q$40,$BA31-3)="","",INDEX('Final Calculation Sheet'!$Q$4:$Q$40,$BA31-3)),"")</f>
        <v/>
      </c>
      <c r="AD21" s="549">
        <f>IFERROR(IF(INDEX('Final Calculation Sheet'!$Q$4:$Q$40,$BA32-3)="","",INDEX('Final Calculation Sheet'!$Q$4:$Q$40,$BA32-3)),"")</f>
        <v/>
      </c>
      <c r="AE21" s="550">
        <f>IFERROR(IF(INDEX('Final Calculation Sheet'!$Q$4:$Q$40,$BA33-3)="","",INDEX('Final Calculation Sheet'!$Q$4:$Q$40,$BA33-3)),"")</f>
        <v/>
      </c>
      <c r="AF21" s="549">
        <f>IFERROR(IF(INDEX('Final Calculation Sheet'!$Q$4:$Q$40,$BA34-3)="","",INDEX('Final Calculation Sheet'!$Q$4:$Q$40,$BA34-3)),"")</f>
        <v/>
      </c>
      <c r="AG21" s="550">
        <f>IFERROR(IF(INDEX('Final Calculation Sheet'!$Q$4:$Q$40,$BA35-3)="","",INDEX('Final Calculation Sheet'!$Q$4:$Q$40,$BA35-3)),"")</f>
        <v/>
      </c>
      <c r="AH21" s="549">
        <f>IFERROR(IF(INDEX('Final Calculation Sheet'!$Q$4:$Q$40,$BA36-3)="","",INDEX('Final Calculation Sheet'!$Q$4:$Q$40,$BA36-3)),"")</f>
        <v/>
      </c>
      <c r="AI21" s="550">
        <f>IFERROR(IF(INDEX('Final Calculation Sheet'!$Q$4:$Q$40,$BA37-3)="","",INDEX('Final Calculation Sheet'!$Q$4:$Q$40,$BA37-3)),"")</f>
        <v/>
      </c>
      <c r="AJ21" s="549">
        <f>IFERROR(IF(INDEX('Final Calculation Sheet'!$Q$4:$Q$40,$BA38-3)="","",INDEX('Final Calculation Sheet'!$Q$4:$Q$40,$BA38-3)),"")</f>
        <v/>
      </c>
      <c r="AK21" s="550">
        <f>IFERROR(IF(INDEX('Final Calculation Sheet'!$Q$4:$Q$40,$BA39-3)="","",INDEX('Final Calculation Sheet'!$Q$4:$Q$40,$BA39-3)),"")</f>
        <v/>
      </c>
      <c r="AL21" s="549">
        <f>IFERROR(IF(INDEX('Final Calculation Sheet'!$Q$4:$Q$40,$BA40-3)="","",INDEX('Final Calculation Sheet'!$Q$4:$Q$40,$BA40-3)),"")</f>
        <v/>
      </c>
      <c r="AM21" s="605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Sheet'!$R$4:$R$40,$BA4-3)="","",INDEX('Final Calculation Sheet'!$R$4:$R$40,$BA4-3)),"")</f>
        <v/>
      </c>
      <c r="C22" s="545">
        <f>IFERROR(IF(INDEX('Final Calculation Sheet'!$R$4:$R$40,$BA5-3)="","",INDEX('Final Calculation Sheet'!$R$4:$R$40,$BA5-3)),"")</f>
        <v/>
      </c>
      <c r="D22" s="544">
        <f>IFERROR(IF(INDEX('Final Calculation Sheet'!$R$4:$R$40,$BA6-3)="","",INDEX('Final Calculation Sheet'!$R$4:$R$40,$BA6-3)),"")</f>
        <v/>
      </c>
      <c r="E22" s="545">
        <f>IFERROR(IF(INDEX('Final Calculation Sheet'!$R$4:$R$40,$BA7-3)="","",INDEX('Final Calculation Sheet'!$R$4:$R$40,$BA7-3)),"")</f>
        <v/>
      </c>
      <c r="F22" s="544">
        <f>IFERROR(IF(INDEX('Final Calculation Sheet'!$R$4:$R$40,$BA8-3)="","",INDEX('Final Calculation Sheet'!$R$4:$R$40,$BA8-3)),"")</f>
        <v/>
      </c>
      <c r="G22" s="545">
        <f>IFERROR(IF(INDEX('Final Calculation Sheet'!$R$4:$R$40,$BA9-3)="","",INDEX('Final Calculation Sheet'!$R$4:$R$40,$BA9-3)),"")</f>
        <v/>
      </c>
      <c r="H22" s="544">
        <f>IFERROR(IF(INDEX('Final Calculation Sheet'!$R$4:$R$40,$BA10-3)="","",INDEX('Final Calculation Sheet'!$R$4:$R$40,$BA10-3)),"")</f>
        <v/>
      </c>
      <c r="I22" s="545">
        <f>IFERROR(IF(INDEX('Final Calculation Sheet'!$R$4:$R$40,$BA11-3)="","",INDEX('Final Calculation Sheet'!$R$4:$R$40,$BA11-3)),"")</f>
        <v/>
      </c>
      <c r="J22" s="544">
        <f>IFERROR(IF(INDEX('Final Calculation Sheet'!$R$4:$R$40,$BA12-3)="","",INDEX('Final Calculation Sheet'!$R$4:$R$40,$BA12-3)),"")</f>
        <v/>
      </c>
      <c r="K22" s="545">
        <f>IFERROR(IF(INDEX('Final Calculation Sheet'!$R$4:$R$40,$BA13-3)="","",INDEX('Final Calculation Sheet'!$R$4:$R$40,$BA13-3)),"")</f>
        <v/>
      </c>
      <c r="L22" s="544">
        <f>IFERROR(IF(INDEX('Final Calculation Sheet'!$R$4:$R$40,$BA14-3)="","",INDEX('Final Calculation Sheet'!$R$4:$R$40,$BA14-3)),"")</f>
        <v/>
      </c>
      <c r="M22" s="545">
        <f>IFERROR(IF(INDEX('Final Calculation Sheet'!$R$4:$R$40,$BA15-3)="","",INDEX('Final Calculation Sheet'!$R$4:$R$40,$BA15-3)),"")</f>
        <v/>
      </c>
      <c r="N22" s="544">
        <f>IFERROR(IF(INDEX('Final Calculation Sheet'!$R$4:$R$40,$BA16-3)="","",INDEX('Final Calculation Sheet'!$R$4:$R$40,$BA16-3)),"")</f>
        <v/>
      </c>
      <c r="O22" s="545">
        <f>IFERROR(IF(INDEX('Final Calculation Sheet'!$R$4:$R$40,$BA17-3)="","",INDEX('Final Calculation Sheet'!$R$4:$R$40,$BA17-3)),"")</f>
        <v/>
      </c>
      <c r="P22" s="544">
        <f>IFERROR(IF(INDEX('Final Calculation Sheet'!$R$4:$R$40,$BA18-3)="","",INDEX('Final Calculation Sheet'!$R$4:$R$40,$BA18-3)),"")</f>
        <v/>
      </c>
      <c r="Q22" s="545">
        <f>IFERROR(IF(INDEX('Final Calculation Sheet'!$R$4:$R$40,$BA19-3)="","",INDEX('Final Calculation Sheet'!$R$4:$R$40,$BA19-3)),"")</f>
        <v/>
      </c>
      <c r="R22" s="544">
        <f>IFERROR(IF(INDEX('Final Calculation Sheet'!$R$4:$R$40,$BA20-3)="","",INDEX('Final Calculation Sheet'!$R$4:$R$40,$BA20-3)),"")</f>
        <v/>
      </c>
      <c r="S22" s="545">
        <f>IFERROR(IF(INDEX('Final Calculation Sheet'!$R$4:$R$40,$BA21-3)="","",INDEX('Final Calculation Sheet'!$R$4:$R$40,$BA21-3)),"")</f>
        <v/>
      </c>
      <c r="T22" s="544">
        <f>IFERROR(IF(INDEX('Final Calculation Sheet'!$R$4:$R$40,$BA22-3)="","",INDEX('Final Calculation Sheet'!$R$4:$R$40,$BA22-3)),"")</f>
        <v/>
      </c>
      <c r="U22" s="545">
        <f>IFERROR(IF(INDEX('Final Calculation Sheet'!$R$4:$R$40,$BA23-3)="","",INDEX('Final Calculation Sheet'!$R$4:$R$40,$BA23-3)),"")</f>
        <v/>
      </c>
      <c r="V22" s="544">
        <f>IFERROR(IF(INDEX('Final Calculation Sheet'!$R$4:$R$40,$BA24-3)="","",INDEX('Final Calculation Sheet'!$R$4:$R$40,$BA24-3)),"")</f>
        <v/>
      </c>
      <c r="W22" s="545">
        <f>IFERROR(IF(INDEX('Final Calculation Sheet'!$R$4:$R$40,$BA25-3)="","",INDEX('Final Calculation Sheet'!$R$4:$R$40,$BA25-3)),"")</f>
        <v/>
      </c>
      <c r="X22" s="544">
        <f>IFERROR(IF(INDEX('Final Calculation Sheet'!$R$4:$R$40,$BA26-3)="","",INDEX('Final Calculation Sheet'!$R$4:$R$40,$BA26-3)),"")</f>
        <v/>
      </c>
      <c r="Y22" s="545">
        <f>IFERROR(IF(INDEX('Final Calculation Sheet'!$R$4:$R$40,$BA27-3)="","",INDEX('Final Calculation Sheet'!$R$4:$R$40,$BA27-3)),"")</f>
        <v/>
      </c>
      <c r="Z22" s="544">
        <f>IFERROR(IF(INDEX('Final Calculation Sheet'!$R$4:$R$40,$BA28-3)="","",INDEX('Final Calculation Sheet'!$R$4:$R$40,$BA28-3)),"")</f>
        <v/>
      </c>
      <c r="AA22" s="545">
        <f>IFERROR(IF(INDEX('Final Calculation Sheet'!$R$4:$R$40,$BA29-3)="","",INDEX('Final Calculation Sheet'!$R$4:$R$40,$BA29-3)),"")</f>
        <v/>
      </c>
      <c r="AB22" s="544">
        <f>IFERROR(IF(INDEX('Final Calculation Sheet'!$R$4:$R$40,$BA30-3)="","",INDEX('Final Calculation Sheet'!$R$4:$R$40,$BA30-3)),"")</f>
        <v/>
      </c>
      <c r="AC22" s="545">
        <f>IFERROR(IF(INDEX('Final Calculation Sheet'!$R$4:$R$40,$BA31-3)="","",INDEX('Final Calculation Sheet'!$R$4:$R$40,$BA31-3)),"")</f>
        <v/>
      </c>
      <c r="AD22" s="544">
        <f>IFERROR(IF(INDEX('Final Calculation Sheet'!$R$4:$R$40,$BA32-3)="","",INDEX('Final Calculation Sheet'!$R$4:$R$40,$BA32-3)),"")</f>
        <v/>
      </c>
      <c r="AE22" s="545">
        <f>IFERROR(IF(INDEX('Final Calculation Sheet'!$R$4:$R$40,$BA33-3)="","",INDEX('Final Calculation Sheet'!$R$4:$R$40,$BA33-3)),"")</f>
        <v/>
      </c>
      <c r="AF22" s="544">
        <f>IFERROR(IF(INDEX('Final Calculation Sheet'!$R$4:$R$40,$BA34-3)="","",INDEX('Final Calculation Sheet'!$R$4:$R$40,$BA34-3)),"")</f>
        <v/>
      </c>
      <c r="AG22" s="545">
        <f>IFERROR(IF(INDEX('Final Calculation Sheet'!$R$4:$R$40,$BA35-3)="","",INDEX('Final Calculation Sheet'!$R$4:$R$40,$BA35-3)),"")</f>
        <v/>
      </c>
      <c r="AH22" s="544">
        <f>IFERROR(IF(INDEX('Final Calculation Sheet'!$R$4:$R$40,$BA36-3)="","",INDEX('Final Calculation Sheet'!$R$4:$R$40,$BA36-3)),"")</f>
        <v/>
      </c>
      <c r="AI22" s="545">
        <f>IFERROR(IF(INDEX('Final Calculation Sheet'!$R$4:$R$40,$BA37-3)="","",INDEX('Final Calculation Sheet'!$R$4:$R$40,$BA37-3)),"")</f>
        <v/>
      </c>
      <c r="AJ22" s="544">
        <f>IFERROR(IF(INDEX('Final Calculation Sheet'!$R$4:$R$40,$BA38-3)="","",INDEX('Final Calculation Sheet'!$R$4:$R$40,$BA38-3)),"")</f>
        <v/>
      </c>
      <c r="AK22" s="545">
        <f>IFERROR(IF(INDEX('Final Calculation Sheet'!$R$4:$R$40,$BA39-3)="","",INDEX('Final Calculation Sheet'!$R$4:$R$40,$BA39-3)),"")</f>
        <v/>
      </c>
      <c r="AL22" s="544">
        <f>IFERROR(IF(INDEX('Final Calculation Sheet'!$R$4:$R$40,$BA40-3)="","",INDEX('Final Calculation Sheet'!$R$4:$R$40,$BA40-3)),"")</f>
        <v/>
      </c>
      <c r="AM22" s="546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Sheet'!$S$4:$S$40,$BA4-3)="","",INDEX('Final Calculation Sheet'!$S$4:$S$40,$BA4-3)),"")</f>
        <v/>
      </c>
      <c r="C23" s="545">
        <f>IFERROR(IF(INDEX('Final Calculation Sheet'!$S$4:$S$40,$BA5-3)="","",INDEX('Final Calculation Sheet'!$S$4:$S$40,$BA5-3)),"")</f>
        <v/>
      </c>
      <c r="D23" s="544">
        <f>IFERROR(IF(INDEX('Final Calculation Sheet'!$S$4:$S$40,$BA6-3)="","",INDEX('Final Calculation Sheet'!$S$4:$S$40,$BA6-3)),"")</f>
        <v/>
      </c>
      <c r="E23" s="545">
        <f>IFERROR(IF(INDEX('Final Calculation Sheet'!$S$4:$S$40,$BA7-3)="","",INDEX('Final Calculation Sheet'!$S$4:$S$40,$BA7-3)),"")</f>
        <v/>
      </c>
      <c r="F23" s="544">
        <f>IFERROR(IF(INDEX('Final Calculation Sheet'!$S$4:$S$40,$BA8-3)="","",INDEX('Final Calculation Sheet'!$S$4:$S$40,$BA8-3)),"")</f>
        <v/>
      </c>
      <c r="G23" s="545">
        <f>IFERROR(IF(INDEX('Final Calculation Sheet'!$S$4:$S$40,$BA9-3)="","",INDEX('Final Calculation Sheet'!$S$4:$S$40,$BA9-3)),"")</f>
        <v/>
      </c>
      <c r="H23" s="544">
        <f>IFERROR(IF(INDEX('Final Calculation Sheet'!$S$4:$S$40,$BA10-3)="","",INDEX('Final Calculation Sheet'!$S$4:$S$40,$BA10-3)),"")</f>
        <v/>
      </c>
      <c r="I23" s="545">
        <f>IFERROR(IF(INDEX('Final Calculation Sheet'!$S$4:$S$40,$BA11-3)="","",INDEX('Final Calculation Sheet'!$S$4:$S$40,$BA11-3)),"")</f>
        <v/>
      </c>
      <c r="J23" s="544">
        <f>IFERROR(IF(INDEX('Final Calculation Sheet'!$S$4:$S$40,$BA12-3)="","",INDEX('Final Calculation Sheet'!$S$4:$S$40,$BA12-3)),"")</f>
        <v/>
      </c>
      <c r="K23" s="545">
        <f>IFERROR(IF(INDEX('Final Calculation Sheet'!$S$4:$S$40,$BA13-3)="","",INDEX('Final Calculation Sheet'!$S$4:$S$40,$BA13-3)),"")</f>
        <v/>
      </c>
      <c r="L23" s="544">
        <f>IFERROR(IF(INDEX('Final Calculation Sheet'!$S$4:$S$40,$BA14-3)="","",INDEX('Final Calculation Sheet'!$S$4:$S$40,$BA14-3)),"")</f>
        <v/>
      </c>
      <c r="M23" s="545">
        <f>IFERROR(IF(INDEX('Final Calculation Sheet'!$S$4:$S$40,$BA15-3)="","",INDEX('Final Calculation Sheet'!$S$4:$S$40,$BA15-3)),"")</f>
        <v/>
      </c>
      <c r="N23" s="544">
        <f>IFERROR(IF(INDEX('Final Calculation Sheet'!$S$4:$S$40,$BA16-3)="","",INDEX('Final Calculation Sheet'!$S$4:$S$40,$BA16-3)),"")</f>
        <v/>
      </c>
      <c r="O23" s="545">
        <f>IFERROR(IF(INDEX('Final Calculation Sheet'!$S$4:$S$40,$BA17-3)="","",INDEX('Final Calculation Sheet'!$S$4:$S$40,$BA17-3)),"")</f>
        <v/>
      </c>
      <c r="P23" s="544">
        <f>IFERROR(IF(INDEX('Final Calculation Sheet'!$S$4:$S$40,$BA18-3)="","",INDEX('Final Calculation Sheet'!$S$4:$S$40,$BA18-3)),"")</f>
        <v/>
      </c>
      <c r="Q23" s="545">
        <f>IFERROR(IF(INDEX('Final Calculation Sheet'!$S$4:$S$40,$BA19-3)="","",INDEX('Final Calculation Sheet'!$S$4:$S$40,$BA19-3)),"")</f>
        <v/>
      </c>
      <c r="R23" s="544">
        <f>IFERROR(IF(INDEX('Final Calculation Sheet'!$S$4:$S$40,$BA20-3)="","",INDEX('Final Calculation Sheet'!$S$4:$S$40,$BA20-3)),"")</f>
        <v/>
      </c>
      <c r="S23" s="545">
        <f>IFERROR(IF(INDEX('Final Calculation Sheet'!$S$4:$S$40,$BA21-3)="","",INDEX('Final Calculation Sheet'!$S$4:$S$40,$BA21-3)),"")</f>
        <v/>
      </c>
      <c r="T23" s="544">
        <f>IFERROR(IF(INDEX('Final Calculation Sheet'!$S$4:$S$40,$BA22-3)="","",INDEX('Final Calculation Sheet'!$S$4:$S$40,$BA22-3)),"")</f>
        <v/>
      </c>
      <c r="U23" s="545">
        <f>IFERROR(IF(INDEX('Final Calculation Sheet'!$S$4:$S$40,$BA23-3)="","",INDEX('Final Calculation Sheet'!$S$4:$S$40,$BA23-3)),"")</f>
        <v/>
      </c>
      <c r="V23" s="544">
        <f>IFERROR(IF(INDEX('Final Calculation Sheet'!$S$4:$S$40,$BA24-3)="","",INDEX('Final Calculation Sheet'!$S$4:$S$40,$BA24-3)),"")</f>
        <v/>
      </c>
      <c r="W23" s="545">
        <f>IFERROR(IF(INDEX('Final Calculation Sheet'!$S$4:$S$40,$BA25-3)="","",INDEX('Final Calculation Sheet'!$S$4:$S$40,$BA25-3)),"")</f>
        <v/>
      </c>
      <c r="X23" s="544">
        <f>IFERROR(IF(INDEX('Final Calculation Sheet'!$S$4:$S$40,$BA26-3)="","",INDEX('Final Calculation Sheet'!$S$4:$S$40,$BA26-3)),"")</f>
        <v/>
      </c>
      <c r="Y23" s="545">
        <f>IFERROR(IF(INDEX('Final Calculation Sheet'!$S$4:$S$40,$BA27-3)="","",INDEX('Final Calculation Sheet'!$S$4:$S$40,$BA27-3)),"")</f>
        <v/>
      </c>
      <c r="Z23" s="544">
        <f>IFERROR(IF(INDEX('Final Calculation Sheet'!$S$4:$S$40,$BA28-3)="","",INDEX('Final Calculation Sheet'!$S$4:$S$40,$BA28-3)),"")</f>
        <v/>
      </c>
      <c r="AA23" s="545">
        <f>IFERROR(IF(INDEX('Final Calculation Sheet'!$S$4:$S$40,$BA29-3)="","",INDEX('Final Calculation Sheet'!$S$4:$S$40,$BA29-3)),"")</f>
        <v/>
      </c>
      <c r="AB23" s="544">
        <f>IFERROR(IF(INDEX('Final Calculation Sheet'!$S$4:$S$40,$BA30-3)="","",INDEX('Final Calculation Sheet'!$S$4:$S$40,$BA30-3)),"")</f>
        <v/>
      </c>
      <c r="AC23" s="545">
        <f>IFERROR(IF(INDEX('Final Calculation Sheet'!$S$4:$S$40,$BA31-3)="","",INDEX('Final Calculation Sheet'!$S$4:$S$40,$BA31-3)),"")</f>
        <v/>
      </c>
      <c r="AD23" s="544">
        <f>IFERROR(IF(INDEX('Final Calculation Sheet'!$S$4:$S$40,$BA32-3)="","",INDEX('Final Calculation Sheet'!$S$4:$S$40,$BA32-3)),"")</f>
        <v/>
      </c>
      <c r="AE23" s="545">
        <f>IFERROR(IF(INDEX('Final Calculation Sheet'!$S$4:$S$40,$BA33-3)="","",INDEX('Final Calculation Sheet'!$S$4:$S$40,$BA33-3)),"")</f>
        <v/>
      </c>
      <c r="AF23" s="544">
        <f>IFERROR(IF(INDEX('Final Calculation Sheet'!$S$4:$S$40,$BA34-3)="","",INDEX('Final Calculation Sheet'!$S$4:$S$40,$BA34-3)),"")</f>
        <v/>
      </c>
      <c r="AG23" s="545">
        <f>IFERROR(IF(INDEX('Final Calculation Sheet'!$S$4:$S$40,$BA35-3)="","",INDEX('Final Calculation Sheet'!$S$4:$S$40,$BA35-3)),"")</f>
        <v/>
      </c>
      <c r="AH23" s="544">
        <f>IFERROR(IF(INDEX('Final Calculation Sheet'!$S$4:$S$40,$BA36-3)="","",INDEX('Final Calculation Sheet'!$S$4:$S$40,$BA36-3)),"")</f>
        <v/>
      </c>
      <c r="AI23" s="545">
        <f>IFERROR(IF(INDEX('Final Calculation Sheet'!$S$4:$S$40,$BA37-3)="","",INDEX('Final Calculation Sheet'!$S$4:$S$40,$BA37-3)),"")</f>
        <v/>
      </c>
      <c r="AJ23" s="544">
        <f>IFERROR(IF(INDEX('Final Calculation Sheet'!$S$4:$S$40,$BA38-3)="","",INDEX('Final Calculation Sheet'!$S$4:$S$40,$BA38-3)),"")</f>
        <v/>
      </c>
      <c r="AK23" s="545">
        <f>IFERROR(IF(INDEX('Final Calculation Sheet'!$S$4:$S$40,$BA39-3)="","",INDEX('Final Calculation Sheet'!$S$4:$S$40,$BA39-3)),"")</f>
        <v/>
      </c>
      <c r="AL23" s="544">
        <f>IFERROR(IF(INDEX('Final Calculation Sheet'!$S$4:$S$40,$BA40-3)="","",INDEX('Final Calculation Sheet'!$S$4:$S$40,$BA40-3)),"")</f>
        <v/>
      </c>
      <c r="AM23" s="546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Sheet'!$T$4:$T$40,$BA4-3)="","",INDEX('Final Calculation Sheet'!$T$4:$T$40,$BA4-3)),"")</f>
        <v/>
      </c>
      <c r="C24" s="545">
        <f>IFERROR(IF(INDEX('Final Calculation Sheet'!$T$4:$T$40,$BA5-3)="","",INDEX('Final Calculation Sheet'!$T$4:$T$40,$BA5-3)),"")</f>
        <v/>
      </c>
      <c r="D24" s="544">
        <f>IFERROR(IF(INDEX('Final Calculation Sheet'!$T$4:$T$40,$BA6-3)="","",INDEX('Final Calculation Sheet'!$T$4:$T$40,$BA6-3)),"")</f>
        <v/>
      </c>
      <c r="E24" s="545">
        <f>IFERROR(IF(INDEX('Final Calculation Sheet'!$T$4:$T$40,$BA7-3)="","",INDEX('Final Calculation Sheet'!$T$4:$T$40,$BA7-3)),"")</f>
        <v/>
      </c>
      <c r="F24" s="544">
        <f>IFERROR(IF(INDEX('Final Calculation Sheet'!$T$4:$T$40,$BA8-3)="","",INDEX('Final Calculation Sheet'!$T$4:$T$40,$BA8-3)),"")</f>
        <v/>
      </c>
      <c r="G24" s="545">
        <f>IFERROR(IF(INDEX('Final Calculation Sheet'!$T$4:$T$40,$BA9-3)="","",INDEX('Final Calculation Sheet'!$T$4:$T$40,$BA9-3)),"")</f>
        <v/>
      </c>
      <c r="H24" s="544">
        <f>IFERROR(IF(INDEX('Final Calculation Sheet'!$T$4:$T$40,$BA10-3)="","",INDEX('Final Calculation Sheet'!$T$4:$T$40,$BA10-3)),"")</f>
        <v/>
      </c>
      <c r="I24" s="545">
        <f>IFERROR(IF(INDEX('Final Calculation Sheet'!$T$4:$T$40,$BA11-3)="","",INDEX('Final Calculation Sheet'!$T$4:$T$40,$BA11-3)),"")</f>
        <v/>
      </c>
      <c r="J24" s="544">
        <f>IFERROR(IF(INDEX('Final Calculation Sheet'!$T$4:$T$40,$BA12-3)="","",INDEX('Final Calculation Sheet'!$T$4:$T$40,$BA12-3)),"")</f>
        <v/>
      </c>
      <c r="K24" s="545">
        <f>IFERROR(IF(INDEX('Final Calculation Sheet'!$T$4:$T$40,$BA13-3)="","",INDEX('Final Calculation Sheet'!$T$4:$T$40,$BA13-3)),"")</f>
        <v/>
      </c>
      <c r="L24" s="544">
        <f>IFERROR(IF(INDEX('Final Calculation Sheet'!$T$4:$T$40,$BA14-3)="","",INDEX('Final Calculation Sheet'!$T$4:$T$40,$BA14-3)),"")</f>
        <v/>
      </c>
      <c r="M24" s="545">
        <f>IFERROR(IF(INDEX('Final Calculation Sheet'!$T$4:$T$40,$BA15-3)="","",INDEX('Final Calculation Sheet'!$T$4:$T$40,$BA15-3)),"")</f>
        <v/>
      </c>
      <c r="N24" s="544">
        <f>IFERROR(IF(INDEX('Final Calculation Sheet'!$T$4:$T$40,$BA16-3)="","",INDEX('Final Calculation Sheet'!$T$4:$T$40,$BA16-3)),"")</f>
        <v/>
      </c>
      <c r="O24" s="545">
        <f>IFERROR(IF(INDEX('Final Calculation Sheet'!$T$4:$T$40,$BA17-3)="","",INDEX('Final Calculation Sheet'!$T$4:$T$40,$BA17-3)),"")</f>
        <v/>
      </c>
      <c r="P24" s="544">
        <f>IFERROR(IF(INDEX('Final Calculation Sheet'!$T$4:$T$40,$BA18-3)="","",INDEX('Final Calculation Sheet'!$T$4:$T$40,$BA18-3)),"")</f>
        <v/>
      </c>
      <c r="Q24" s="545">
        <f>IFERROR(IF(INDEX('Final Calculation Sheet'!$T$4:$T$40,$BA19-3)="","",INDEX('Final Calculation Sheet'!$T$4:$T$40,$BA19-3)),"")</f>
        <v/>
      </c>
      <c r="R24" s="544">
        <f>IFERROR(IF(INDEX('Final Calculation Sheet'!$T$4:$T$40,$BA20-3)="","",INDEX('Final Calculation Sheet'!$T$4:$T$40,$BA20-3)),"")</f>
        <v/>
      </c>
      <c r="S24" s="545">
        <f>IFERROR(IF(INDEX('Final Calculation Sheet'!$T$4:$T$40,$BA21-3)="","",INDEX('Final Calculation Sheet'!$T$4:$T$40,$BA21-3)),"")</f>
        <v/>
      </c>
      <c r="T24" s="544">
        <f>IFERROR(IF(INDEX('Final Calculation Sheet'!$T$4:$T$40,$BA22-3)="","",INDEX('Final Calculation Sheet'!$T$4:$T$40,$BA22-3)),"")</f>
        <v/>
      </c>
      <c r="U24" s="545">
        <f>IFERROR(IF(INDEX('Final Calculation Sheet'!$T$4:$T$40,$BA23-3)="","",INDEX('Final Calculation Sheet'!$T$4:$T$40,$BA23-3)),"")</f>
        <v/>
      </c>
      <c r="V24" s="544">
        <f>IFERROR(IF(INDEX('Final Calculation Sheet'!$T$4:$T$40,$BA24-3)="","",INDEX('Final Calculation Sheet'!$T$4:$T$40,$BA24-3)),"")</f>
        <v/>
      </c>
      <c r="W24" s="545">
        <f>IFERROR(IF(INDEX('Final Calculation Sheet'!$T$4:$T$40,$BA25-3)="","",INDEX('Final Calculation Sheet'!$T$4:$T$40,$BA25-3)),"")</f>
        <v/>
      </c>
      <c r="X24" s="544">
        <f>IFERROR(IF(INDEX('Final Calculation Sheet'!$T$4:$T$40,$BA26-3)="","",INDEX('Final Calculation Sheet'!$T$4:$T$40,$BA26-3)),"")</f>
        <v/>
      </c>
      <c r="Y24" s="545">
        <f>IFERROR(IF(INDEX('Final Calculation Sheet'!$T$4:$T$40,$BA27-3)="","",INDEX('Final Calculation Sheet'!$T$4:$T$40,$BA27-3)),"")</f>
        <v/>
      </c>
      <c r="Z24" s="544">
        <f>IFERROR(IF(INDEX('Final Calculation Sheet'!$T$4:$T$40,$BA28-3)="","",INDEX('Final Calculation Sheet'!$T$4:$T$40,$BA28-3)),"")</f>
        <v/>
      </c>
      <c r="AA24" s="545">
        <f>IFERROR(IF(INDEX('Final Calculation Sheet'!$T$4:$T$40,$BA29-3)="","",INDEX('Final Calculation Sheet'!$T$4:$T$40,$BA29-3)),"")</f>
        <v/>
      </c>
      <c r="AB24" s="544">
        <f>IFERROR(IF(INDEX('Final Calculation Sheet'!$T$4:$T$40,$BA30-3)="","",INDEX('Final Calculation Sheet'!$T$4:$T$40,$BA30-3)),"")</f>
        <v/>
      </c>
      <c r="AC24" s="545">
        <f>IFERROR(IF(INDEX('Final Calculation Sheet'!$T$4:$T$40,$BA31-3)="","",INDEX('Final Calculation Sheet'!$T$4:$T$40,$BA31-3)),"")</f>
        <v/>
      </c>
      <c r="AD24" s="544">
        <f>IFERROR(IF(INDEX('Final Calculation Sheet'!$T$4:$T$40,$BA32-3)="","",INDEX('Final Calculation Sheet'!$T$4:$T$40,$BA32-3)),"")</f>
        <v/>
      </c>
      <c r="AE24" s="545">
        <f>IFERROR(IF(INDEX('Final Calculation Sheet'!$T$4:$T$40,$BA33-3)="","",INDEX('Final Calculation Sheet'!$T$4:$T$40,$BA33-3)),"")</f>
        <v/>
      </c>
      <c r="AF24" s="544">
        <f>IFERROR(IF(INDEX('Final Calculation Sheet'!$T$4:$T$40,$BA34-3)="","",INDEX('Final Calculation Sheet'!$T$4:$T$40,$BA34-3)),"")</f>
        <v/>
      </c>
      <c r="AG24" s="545">
        <f>IFERROR(IF(INDEX('Final Calculation Sheet'!$T$4:$T$40,$BA35-3)="","",INDEX('Final Calculation Sheet'!$T$4:$T$40,$BA35-3)),"")</f>
        <v/>
      </c>
      <c r="AH24" s="544">
        <f>IFERROR(IF(INDEX('Final Calculation Sheet'!$T$4:$T$40,$BA36-3)="","",INDEX('Final Calculation Sheet'!$T$4:$T$40,$BA36-3)),"")</f>
        <v/>
      </c>
      <c r="AI24" s="545">
        <f>IFERROR(IF(INDEX('Final Calculation Sheet'!$T$4:$T$40,$BA37-3)="","",INDEX('Final Calculation Sheet'!$T$4:$T$40,$BA37-3)),"")</f>
        <v/>
      </c>
      <c r="AJ24" s="544">
        <f>IFERROR(IF(INDEX('Final Calculation Sheet'!$T$4:$T$40,$BA38-3)="","",INDEX('Final Calculation Sheet'!$T$4:$T$40,$BA38-3)),"")</f>
        <v/>
      </c>
      <c r="AK24" s="545">
        <f>IFERROR(IF(INDEX('Final Calculation Sheet'!$T$4:$T$40,$BA39-3)="","",INDEX('Final Calculation Sheet'!$T$4:$T$40,$BA39-3)),"")</f>
        <v/>
      </c>
      <c r="AL24" s="544">
        <f>IFERROR(IF(INDEX('Final Calculation Sheet'!$T$4:$T$40,$BA40-3)="","",INDEX('Final Calculation Sheet'!$T$4:$T$40,$BA40-3)),"")</f>
        <v/>
      </c>
      <c r="AM24" s="546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Sheet'!$U$4:$U$40,$BA4-3)="","",INDEX('Final Calculation Sheet'!$U$4:$U$40,$BA4-3)),"")</f>
        <v/>
      </c>
      <c r="C25" s="553">
        <f>IFERROR(IF(INDEX('Final Calculation Sheet'!$U$4:$U$40,$BA5-3)="","",INDEX('Final Calculation Sheet'!$U$4:$U$40,$BA5-3)),"")</f>
        <v/>
      </c>
      <c r="D25" s="552">
        <f>IFERROR(IF(INDEX('Final Calculation Sheet'!$U$4:$U$40,$BA6-3)="","",INDEX('Final Calculation Sheet'!$U$4:$U$40,$BA6-3)),"")</f>
        <v/>
      </c>
      <c r="E25" s="553">
        <f>IFERROR(IF(INDEX('Final Calculation Sheet'!$U$4:$U$40,$BA7-3)="","",INDEX('Final Calculation Sheet'!$U$4:$U$40,$BA7-3)),"")</f>
        <v/>
      </c>
      <c r="F25" s="552">
        <f>IFERROR(IF(INDEX('Final Calculation Sheet'!$U$4:$U$40,$BA8-3)="","",INDEX('Final Calculation Sheet'!$U$4:$U$40,$BA8-3)),"")</f>
        <v/>
      </c>
      <c r="G25" s="553">
        <f>IFERROR(IF(INDEX('Final Calculation Sheet'!$U$4:$U$40,$BA9-3)="","",INDEX('Final Calculation Sheet'!$U$4:$U$40,$BA9-3)),"")</f>
        <v/>
      </c>
      <c r="H25" s="552">
        <f>IFERROR(IF(INDEX('Final Calculation Sheet'!$U$4:$U$40,$BA10-3)="","",INDEX('Final Calculation Sheet'!$U$4:$U$40,$BA10-3)),"")</f>
        <v/>
      </c>
      <c r="I25" s="553">
        <f>IFERROR(IF(INDEX('Final Calculation Sheet'!$U$4:$U$40,$BA11-3)="","",INDEX('Final Calculation Sheet'!$U$4:$U$40,$BA11-3)),"")</f>
        <v/>
      </c>
      <c r="J25" s="552">
        <f>IFERROR(IF(INDEX('Final Calculation Sheet'!$U$4:$U$40,$BA12-3)="","",INDEX('Final Calculation Sheet'!$U$4:$U$40,$BA12-3)),"")</f>
        <v/>
      </c>
      <c r="K25" s="553">
        <f>IFERROR(IF(INDEX('Final Calculation Sheet'!$U$4:$U$40,$BA13-3)="","",INDEX('Final Calculation Sheet'!$U$4:$U$40,$BA13-3)),"")</f>
        <v/>
      </c>
      <c r="L25" s="552">
        <f>IFERROR(IF(INDEX('Final Calculation Sheet'!$U$4:$U$40,$BA14-3)="","",INDEX('Final Calculation Sheet'!$U$4:$U$40,$BA14-3)),"")</f>
        <v/>
      </c>
      <c r="M25" s="553">
        <f>IFERROR(IF(INDEX('Final Calculation Sheet'!$U$4:$U$40,$BA15-3)="","",INDEX('Final Calculation Sheet'!$U$4:$U$40,$BA15-3)),"")</f>
        <v/>
      </c>
      <c r="N25" s="552">
        <f>IFERROR(IF(INDEX('Final Calculation Sheet'!$U$4:$U$40,$BA16-3)="","",INDEX('Final Calculation Sheet'!$U$4:$U$40,$BA16-3)),"")</f>
        <v/>
      </c>
      <c r="O25" s="553">
        <f>IFERROR(IF(INDEX('Final Calculation Sheet'!$U$4:$U$40,$BA17-3)="","",INDEX('Final Calculation Sheet'!$U$4:$U$40,$BA17-3)),"")</f>
        <v/>
      </c>
      <c r="P25" s="552">
        <f>IFERROR(IF(INDEX('Final Calculation Sheet'!$U$4:$U$40,$BA18-3)="","",INDEX('Final Calculation Sheet'!$U$4:$U$40,$BA18-3)),"")</f>
        <v/>
      </c>
      <c r="Q25" s="553">
        <f>IFERROR(IF(INDEX('Final Calculation Sheet'!$U$4:$U$40,$BA19-3)="","",INDEX('Final Calculation Sheet'!$U$4:$U$40,$BA19-3)),"")</f>
        <v/>
      </c>
      <c r="R25" s="552">
        <f>IFERROR(IF(INDEX('Final Calculation Sheet'!$U$4:$U$40,$BA20-3)="","",INDEX('Final Calculation Sheet'!$U$4:$U$40,$BA20-3)),"")</f>
        <v/>
      </c>
      <c r="S25" s="553">
        <f>IFERROR(IF(INDEX('Final Calculation Sheet'!$U$4:$U$40,$BA21-3)="","",INDEX('Final Calculation Sheet'!$U$4:$U$40,$BA21-3)),"")</f>
        <v/>
      </c>
      <c r="T25" s="552">
        <f>IFERROR(IF(INDEX('Final Calculation Sheet'!$U$4:$U$40,$BA22-3)="","",INDEX('Final Calculation Sheet'!$U$4:$U$40,$BA22-3)),"")</f>
        <v/>
      </c>
      <c r="U25" s="553">
        <f>IFERROR(IF(INDEX('Final Calculation Sheet'!$U$4:$U$40,$BA23-3)="","",INDEX('Final Calculation Sheet'!$U$4:$U$40,$BA23-3)),"")</f>
        <v/>
      </c>
      <c r="V25" s="552">
        <f>IFERROR(IF(INDEX('Final Calculation Sheet'!$U$4:$U$40,$BA24-3)="","",INDEX('Final Calculation Sheet'!$U$4:$U$40,$BA24-3)),"")</f>
        <v/>
      </c>
      <c r="W25" s="553">
        <f>IFERROR(IF(INDEX('Final Calculation Sheet'!$U$4:$U$40,$BA25-3)="","",INDEX('Final Calculation Sheet'!$U$4:$U$40,$BA25-3)),"")</f>
        <v/>
      </c>
      <c r="X25" s="552">
        <f>IFERROR(IF(INDEX('Final Calculation Sheet'!$U$4:$U$40,$BA26-3)="","",INDEX('Final Calculation Sheet'!$U$4:$U$40,$BA26-3)),"")</f>
        <v/>
      </c>
      <c r="Y25" s="553">
        <f>IFERROR(IF(INDEX('Final Calculation Sheet'!$U$4:$U$40,$BA27-3)="","",INDEX('Final Calculation Sheet'!$U$4:$U$40,$BA27-3)),"")</f>
        <v/>
      </c>
      <c r="Z25" s="552">
        <f>IFERROR(IF(INDEX('Final Calculation Sheet'!$U$4:$U$40,$BA28-3)="","",INDEX('Final Calculation Sheet'!$U$4:$U$40,$BA28-3)),"")</f>
        <v/>
      </c>
      <c r="AA25" s="553">
        <f>IFERROR(IF(INDEX('Final Calculation Sheet'!$U$4:$U$40,$BA29-3)="","",INDEX('Final Calculation Sheet'!$U$4:$U$40,$BA29-3)),"")</f>
        <v/>
      </c>
      <c r="AB25" s="552">
        <f>IFERROR(IF(INDEX('Final Calculation Sheet'!$U$4:$U$40,$BA30-3)="","",INDEX('Final Calculation Sheet'!$U$4:$U$40,$BA30-3)),"")</f>
        <v/>
      </c>
      <c r="AC25" s="553">
        <f>IFERROR(IF(INDEX('Final Calculation Sheet'!$U$4:$U$40,$BA31-3)="","",INDEX('Final Calculation Sheet'!$U$4:$U$40,$BA31-3)),"")</f>
        <v/>
      </c>
      <c r="AD25" s="552">
        <f>IFERROR(IF(INDEX('Final Calculation Sheet'!$U$4:$U$40,$BA32-3)="","",INDEX('Final Calculation Sheet'!$U$4:$U$40,$BA32-3)),"")</f>
        <v/>
      </c>
      <c r="AE25" s="553">
        <f>IFERROR(IF(INDEX('Final Calculation Sheet'!$U$4:$U$40,$BA33-3)="","",INDEX('Final Calculation Sheet'!$U$4:$U$40,$BA33-3)),"")</f>
        <v/>
      </c>
      <c r="AF25" s="552">
        <f>IFERROR(IF(INDEX('Final Calculation Sheet'!$U$4:$U$40,$BA34-3)="","",INDEX('Final Calculation Sheet'!$U$4:$U$40,$BA34-3)),"")</f>
        <v/>
      </c>
      <c r="AG25" s="553">
        <f>IFERROR(IF(INDEX('Final Calculation Sheet'!$U$4:$U$40,$BA35-3)="","",INDEX('Final Calculation Sheet'!$U$4:$U$40,$BA35-3)),"")</f>
        <v/>
      </c>
      <c r="AH25" s="552">
        <f>IFERROR(IF(INDEX('Final Calculation Sheet'!$U$4:$U$40,$BA36-3)="","",INDEX('Final Calculation Sheet'!$U$4:$U$40,$BA36-3)),"")</f>
        <v/>
      </c>
      <c r="AI25" s="553">
        <f>IFERROR(IF(INDEX('Final Calculation Sheet'!$U$4:$U$40,$BA37-3)="","",INDEX('Final Calculation Sheet'!$U$4:$U$40,$BA37-3)),"")</f>
        <v/>
      </c>
      <c r="AJ25" s="552">
        <f>IFERROR(IF(INDEX('Final Calculation Sheet'!$U$4:$U$40,$BA38-3)="","",INDEX('Final Calculation Sheet'!$U$4:$U$40,$BA38-3)),"")</f>
        <v/>
      </c>
      <c r="AK25" s="553">
        <f>IFERROR(IF(INDEX('Final Calculation Sheet'!$U$4:$U$40,$BA39-3)="","",INDEX('Final Calculation Sheet'!$U$4:$U$40,$BA39-3)),"")</f>
        <v/>
      </c>
      <c r="AL25" s="552">
        <f>IFERROR(IF(INDEX('Final Calculation Sheet'!$U$4:$U$40,$BA40-3)="","",INDEX('Final Calculation Sheet'!$U$4:$U$40,$BA40-3)),"")</f>
        <v/>
      </c>
      <c r="AM25" s="554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Sheet'!$V$4:$V$40,$BA4-3)="","",INDEX('Final Calculation Sheet'!$V$4:$V$40,$BA4-3)),"")</f>
        <v/>
      </c>
      <c r="C26" s="545">
        <f>IFERROR(IF(INDEX('Final Calculation Sheet'!$V$4:$V$40,$BA5-3)="","",INDEX('Final Calculation Sheet'!$V$4:$V$40,$BA5-3)),"")</f>
        <v/>
      </c>
      <c r="D26" s="544">
        <f>IFERROR(IF(INDEX('Final Calculation Sheet'!$V$4:$V$40,$BA6-3)="","",INDEX('Final Calculation Sheet'!$V$4:$V$40,$BA6-3)),"")</f>
        <v/>
      </c>
      <c r="E26" s="545">
        <f>IFERROR(IF(INDEX('Final Calculation Sheet'!$V$4:$V$40,$BA7-3)="","",INDEX('Final Calculation Sheet'!$V$4:$V$40,$BA7-3)),"")</f>
        <v/>
      </c>
      <c r="F26" s="544">
        <f>IFERROR(IF(INDEX('Final Calculation Sheet'!$V$4:$V$40,$BA8-3)="","",INDEX('Final Calculation Sheet'!$V$4:$V$40,$BA8-3)),"")</f>
        <v/>
      </c>
      <c r="G26" s="545">
        <f>IFERROR(IF(INDEX('Final Calculation Sheet'!$V$4:$V$40,$BA9-3)="","",INDEX('Final Calculation Sheet'!$V$4:$V$40,$BA9-3)),"")</f>
        <v/>
      </c>
      <c r="H26" s="544">
        <f>IFERROR(IF(INDEX('Final Calculation Sheet'!$V$4:$V$40,$BA10-3)="","",INDEX('Final Calculation Sheet'!$V$4:$V$40,$BA10-3)),"")</f>
        <v/>
      </c>
      <c r="I26" s="545">
        <f>IFERROR(IF(INDEX('Final Calculation Sheet'!$V$4:$V$40,$BA11-3)="","",INDEX('Final Calculation Sheet'!$V$4:$V$40,$BA11-3)),"")</f>
        <v/>
      </c>
      <c r="J26" s="544">
        <f>IFERROR(IF(INDEX('Final Calculation Sheet'!$V$4:$V$40,$BA12-3)="","",INDEX('Final Calculation Sheet'!$V$4:$V$40,$BA12-3)),"")</f>
        <v/>
      </c>
      <c r="K26" s="545">
        <f>IFERROR(IF(INDEX('Final Calculation Sheet'!$V$4:$V$40,$BA13-3)="","",INDEX('Final Calculation Sheet'!$V$4:$V$40,$BA13-3)),"")</f>
        <v/>
      </c>
      <c r="L26" s="544">
        <f>IFERROR(IF(INDEX('Final Calculation Sheet'!$V$4:$V$40,$BA14-3)="","",INDEX('Final Calculation Sheet'!$V$4:$V$40,$BA14-3)),"")</f>
        <v/>
      </c>
      <c r="M26" s="545">
        <f>IFERROR(IF(INDEX('Final Calculation Sheet'!$V$4:$V$40,$BA15-3)="","",INDEX('Final Calculation Sheet'!$V$4:$V$40,$BA15-3)),"")</f>
        <v/>
      </c>
      <c r="N26" s="544">
        <f>IFERROR(IF(INDEX('Final Calculation Sheet'!$V$4:$V$40,$BA16-3)="","",INDEX('Final Calculation Sheet'!$V$4:$V$40,$BA16-3)),"")</f>
        <v/>
      </c>
      <c r="O26" s="545">
        <f>IFERROR(IF(INDEX('Final Calculation Sheet'!$V$4:$V$40,$BA17-3)="","",INDEX('Final Calculation Sheet'!$V$4:$V$40,$BA17-3)),"")</f>
        <v/>
      </c>
      <c r="P26" s="544">
        <f>IFERROR(IF(INDEX('Final Calculation Sheet'!$V$4:$V$40,$BA18-3)="","",INDEX('Final Calculation Sheet'!$V$4:$V$40,$BA18-3)),"")</f>
        <v/>
      </c>
      <c r="Q26" s="545">
        <f>IFERROR(IF(INDEX('Final Calculation Sheet'!$V$4:$V$40,$BA19-3)="","",INDEX('Final Calculation Sheet'!$V$4:$V$40,$BA19-3)),"")</f>
        <v/>
      </c>
      <c r="R26" s="544">
        <f>IFERROR(IF(INDEX('Final Calculation Sheet'!$V$4:$V$40,$BA20-3)="","",INDEX('Final Calculation Sheet'!$V$4:$V$40,$BA20-3)),"")</f>
        <v/>
      </c>
      <c r="S26" s="545">
        <f>IFERROR(IF(INDEX('Final Calculation Sheet'!$V$4:$V$40,$BA21-3)="","",INDEX('Final Calculation Sheet'!$V$4:$V$40,$BA21-3)),"")</f>
        <v/>
      </c>
      <c r="T26" s="544">
        <f>IFERROR(IF(INDEX('Final Calculation Sheet'!$V$4:$V$40,$BA22-3)="","",INDEX('Final Calculation Sheet'!$V$4:$V$40,$BA22-3)),"")</f>
        <v/>
      </c>
      <c r="U26" s="545">
        <f>IFERROR(IF(INDEX('Final Calculation Sheet'!$V$4:$V$40,$BA23-3)="","",INDEX('Final Calculation Sheet'!$V$4:$V$40,$BA23-3)),"")</f>
        <v/>
      </c>
      <c r="V26" s="544">
        <f>IFERROR(IF(INDEX('Final Calculation Sheet'!$V$4:$V$40,$BA24-3)="","",INDEX('Final Calculation Sheet'!$V$4:$V$40,$BA24-3)),"")</f>
        <v/>
      </c>
      <c r="W26" s="545">
        <f>IFERROR(IF(INDEX('Final Calculation Sheet'!$V$4:$V$40,$BA25-3)="","",INDEX('Final Calculation Sheet'!$V$4:$V$40,$BA25-3)),"")</f>
        <v/>
      </c>
      <c r="X26" s="544">
        <f>IFERROR(IF(INDEX('Final Calculation Sheet'!$V$4:$V$40,$BA26-3)="","",INDEX('Final Calculation Sheet'!$V$4:$V$40,$BA26-3)),"")</f>
        <v/>
      </c>
      <c r="Y26" s="545">
        <f>IFERROR(IF(INDEX('Final Calculation Sheet'!$V$4:$V$40,$BA27-3)="","",INDEX('Final Calculation Sheet'!$V$4:$V$40,$BA27-3)),"")</f>
        <v/>
      </c>
      <c r="Z26" s="544">
        <f>IFERROR(IF(INDEX('Final Calculation Sheet'!$V$4:$V$40,$BA28-3)="","",INDEX('Final Calculation Sheet'!$V$4:$V$40,$BA28-3)),"")</f>
        <v/>
      </c>
      <c r="AA26" s="545">
        <f>IFERROR(IF(INDEX('Final Calculation Sheet'!$V$4:$V$40,$BA29-3)="","",INDEX('Final Calculation Sheet'!$V$4:$V$40,$BA29-3)),"")</f>
        <v/>
      </c>
      <c r="AB26" s="544">
        <f>IFERROR(IF(INDEX('Final Calculation Sheet'!$V$4:$V$40,$BA30-3)="","",INDEX('Final Calculation Sheet'!$V$4:$V$40,$BA30-3)),"")</f>
        <v/>
      </c>
      <c r="AC26" s="545">
        <f>IFERROR(IF(INDEX('Final Calculation Sheet'!$V$4:$V$40,$BA31-3)="","",INDEX('Final Calculation Sheet'!$V$4:$V$40,$BA31-3)),"")</f>
        <v/>
      </c>
      <c r="AD26" s="544">
        <f>IFERROR(IF(INDEX('Final Calculation Sheet'!$V$4:$V$40,$BA32-3)="","",INDEX('Final Calculation Sheet'!$V$4:$V$40,$BA32-3)),"")</f>
        <v/>
      </c>
      <c r="AE26" s="545">
        <f>IFERROR(IF(INDEX('Final Calculation Sheet'!$V$4:$V$40,$BA33-3)="","",INDEX('Final Calculation Sheet'!$V$4:$V$40,$BA33-3)),"")</f>
        <v/>
      </c>
      <c r="AF26" s="544">
        <f>IFERROR(IF(INDEX('Final Calculation Sheet'!$V$4:$V$40,$BA34-3)="","",INDEX('Final Calculation Sheet'!$V$4:$V$40,$BA34-3)),"")</f>
        <v/>
      </c>
      <c r="AG26" s="545">
        <f>IFERROR(IF(INDEX('Final Calculation Sheet'!$V$4:$V$40,$BA35-3)="","",INDEX('Final Calculation Sheet'!$V$4:$V$40,$BA35-3)),"")</f>
        <v/>
      </c>
      <c r="AH26" s="544">
        <f>IFERROR(IF(INDEX('Final Calculation Sheet'!$V$4:$V$40,$BA36-3)="","",INDEX('Final Calculation Sheet'!$V$4:$V$40,$BA36-3)),"")</f>
        <v/>
      </c>
      <c r="AI26" s="545">
        <f>IFERROR(IF(INDEX('Final Calculation Sheet'!$V$4:$V$40,$BA37-3)="","",INDEX('Final Calculation Sheet'!$V$4:$V$40,$BA37-3)),"")</f>
        <v/>
      </c>
      <c r="AJ26" s="544">
        <f>IFERROR(IF(INDEX('Final Calculation Sheet'!$V$4:$V$40,$BA38-3)="","",INDEX('Final Calculation Sheet'!$V$4:$V$40,$BA38-3)),"")</f>
        <v/>
      </c>
      <c r="AK26" s="545">
        <f>IFERROR(IF(INDEX('Final Calculation Sheet'!$V$4:$V$40,$BA39-3)="","",INDEX('Final Calculation Sheet'!$V$4:$V$40,$BA39-3)),"")</f>
        <v/>
      </c>
      <c r="AL26" s="544">
        <f>IFERROR(IF(INDEX('Final Calculation Sheet'!$V$4:$V$40,$BA40-3)="","",INDEX('Final Calculation Sheet'!$V$4:$V$40,$BA40-3)),"")</f>
        <v/>
      </c>
      <c r="AM26" s="605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Sheet'!$W$4:$W$40,$BA4-3)="","",INDEX('Final Calculation Sheet'!$W$4:$W$40,$BA4-3)),"")</f>
        <v/>
      </c>
      <c r="C27" s="545">
        <f>IFERROR(IF(INDEX('Final Calculation Sheet'!$W$4:$W$40,$BA5-3)="","",INDEX('Final Calculation Sheet'!$W$4:$W$40,$BA5-3)),"")</f>
        <v/>
      </c>
      <c r="D27" s="544">
        <f>IFERROR(IF(INDEX('Final Calculation Sheet'!$W$4:$W$40,$BA6-3)="","",INDEX('Final Calculation Sheet'!$W$4:$W$40,$BA6-3)),"")</f>
        <v/>
      </c>
      <c r="E27" s="545">
        <f>IFERROR(IF(INDEX('Final Calculation Sheet'!$W$4:$W$40,$BA7-3)="","",INDEX('Final Calculation Sheet'!$W$4:$W$40,$BA7-3)),"")</f>
        <v/>
      </c>
      <c r="F27" s="544">
        <f>IFERROR(IF(INDEX('Final Calculation Sheet'!$W$4:$W$40,$BA8-3)="","",INDEX('Final Calculation Sheet'!$W$4:$W$40,$BA8-3)),"")</f>
        <v/>
      </c>
      <c r="G27" s="545">
        <f>IFERROR(IF(INDEX('Final Calculation Sheet'!$W$4:$W$40,$BA9-3)="","",INDEX('Final Calculation Sheet'!$W$4:$W$40,$BA9-3)),"")</f>
        <v/>
      </c>
      <c r="H27" s="544">
        <f>IFERROR(IF(INDEX('Final Calculation Sheet'!$W$4:$W$40,$BA10-3)="","",INDEX('Final Calculation Sheet'!$W$4:$W$40,$BA10-3)),"")</f>
        <v/>
      </c>
      <c r="I27" s="545">
        <f>IFERROR(IF(INDEX('Final Calculation Sheet'!$W$4:$W$40,$BA11-3)="","",INDEX('Final Calculation Sheet'!$W$4:$W$40,$BA11-3)),"")</f>
        <v/>
      </c>
      <c r="J27" s="544">
        <f>IFERROR(IF(INDEX('Final Calculation Sheet'!$W$4:$W$40,$BA12-3)="","",INDEX('Final Calculation Sheet'!$W$4:$W$40,$BA12-3)),"")</f>
        <v/>
      </c>
      <c r="K27" s="545">
        <f>IFERROR(IF(INDEX('Final Calculation Sheet'!$W$4:$W$40,$BA13-3)="","",INDEX('Final Calculation Sheet'!$W$4:$W$40,$BA13-3)),"")</f>
        <v/>
      </c>
      <c r="L27" s="544">
        <f>IFERROR(IF(INDEX('Final Calculation Sheet'!$W$4:$W$40,$BA14-3)="","",INDEX('Final Calculation Sheet'!$W$4:$W$40,$BA14-3)),"")</f>
        <v/>
      </c>
      <c r="M27" s="545">
        <f>IFERROR(IF(INDEX('Final Calculation Sheet'!$W$4:$W$40,$BA15-3)="","",INDEX('Final Calculation Sheet'!$W$4:$W$40,$BA15-3)),"")</f>
        <v/>
      </c>
      <c r="N27" s="544">
        <f>IFERROR(IF(INDEX('Final Calculation Sheet'!$W$4:$W$40,$BA16-3)="","",INDEX('Final Calculation Sheet'!$W$4:$W$40,$BA16-3)),"")</f>
        <v/>
      </c>
      <c r="O27" s="545">
        <f>IFERROR(IF(INDEX('Final Calculation Sheet'!$W$4:$W$40,$BA17-3)="","",INDEX('Final Calculation Sheet'!$W$4:$W$40,$BA17-3)),"")</f>
        <v/>
      </c>
      <c r="P27" s="544">
        <f>IFERROR(IF(INDEX('Final Calculation Sheet'!$W$4:$W$40,$BA18-3)="","",INDEX('Final Calculation Sheet'!$W$4:$W$40,$BA18-3)),"")</f>
        <v/>
      </c>
      <c r="Q27" s="545">
        <f>IFERROR(IF(INDEX('Final Calculation Sheet'!$W$4:$W$40,$BA19-3)="","",INDEX('Final Calculation Sheet'!$W$4:$W$40,$BA19-3)),"")</f>
        <v/>
      </c>
      <c r="R27" s="544">
        <f>IFERROR(IF(INDEX('Final Calculation Sheet'!$W$4:$W$40,$BA20-3)="","",INDEX('Final Calculation Sheet'!$W$4:$W$40,$BA20-3)),"")</f>
        <v/>
      </c>
      <c r="S27" s="545">
        <f>IFERROR(IF(INDEX('Final Calculation Sheet'!$W$4:$W$40,$BA21-3)="","",INDEX('Final Calculation Sheet'!$W$4:$W$40,$BA21-3)),"")</f>
        <v/>
      </c>
      <c r="T27" s="544">
        <f>IFERROR(IF(INDEX('Final Calculation Sheet'!$W$4:$W$40,$BA22-3)="","",INDEX('Final Calculation Sheet'!$W$4:$W$40,$BA22-3)),"")</f>
        <v/>
      </c>
      <c r="U27" s="545">
        <f>IFERROR(IF(INDEX('Final Calculation Sheet'!$W$4:$W$40,$BA23-3)="","",INDEX('Final Calculation Sheet'!$W$4:$W$40,$BA23-3)),"")</f>
        <v/>
      </c>
      <c r="V27" s="544">
        <f>IFERROR(IF(INDEX('Final Calculation Sheet'!$W$4:$W$40,$BA24-3)="","",INDEX('Final Calculation Sheet'!$W$4:$W$40,$BA24-3)),"")</f>
        <v/>
      </c>
      <c r="W27" s="545">
        <f>IFERROR(IF(INDEX('Final Calculation Sheet'!$W$4:$W$40,$BA25-3)="","",INDEX('Final Calculation Sheet'!$W$4:$W$40,$BA25-3)),"")</f>
        <v/>
      </c>
      <c r="X27" s="544">
        <f>IFERROR(IF(INDEX('Final Calculation Sheet'!$W$4:$W$40,$BA26-3)="","",INDEX('Final Calculation Sheet'!$W$4:$W$40,$BA26-3)),"")</f>
        <v/>
      </c>
      <c r="Y27" s="545">
        <f>IFERROR(IF(INDEX('Final Calculation Sheet'!$W$4:$W$40,$BA27-3)="","",INDEX('Final Calculation Sheet'!$W$4:$W$40,$BA27-3)),"")</f>
        <v/>
      </c>
      <c r="Z27" s="544">
        <f>IFERROR(IF(INDEX('Final Calculation Sheet'!$W$4:$W$40,$BA28-3)="","",INDEX('Final Calculation Sheet'!$W$4:$W$40,$BA28-3)),"")</f>
        <v/>
      </c>
      <c r="AA27" s="545">
        <f>IFERROR(IF(INDEX('Final Calculation Sheet'!$W$4:$W$40,$BA29-3)="","",INDEX('Final Calculation Sheet'!$W$4:$W$40,$BA29-3)),"")</f>
        <v/>
      </c>
      <c r="AB27" s="544">
        <f>IFERROR(IF(INDEX('Final Calculation Sheet'!$W$4:$W$40,$BA30-3)="","",INDEX('Final Calculation Sheet'!$W$4:$W$40,$BA30-3)),"")</f>
        <v/>
      </c>
      <c r="AC27" s="545">
        <f>IFERROR(IF(INDEX('Final Calculation Sheet'!$W$4:$W$40,$BA31-3)="","",INDEX('Final Calculation Sheet'!$W$4:$W$40,$BA31-3)),"")</f>
        <v/>
      </c>
      <c r="AD27" s="544">
        <f>IFERROR(IF(INDEX('Final Calculation Sheet'!$W$4:$W$40,$BA32-3)="","",INDEX('Final Calculation Sheet'!$W$4:$W$40,$BA32-3)),"")</f>
        <v/>
      </c>
      <c r="AE27" s="545">
        <f>IFERROR(IF(INDEX('Final Calculation Sheet'!$W$4:$W$40,$BA33-3)="","",INDEX('Final Calculation Sheet'!$W$4:$W$40,$BA33-3)),"")</f>
        <v/>
      </c>
      <c r="AF27" s="544">
        <f>IFERROR(IF(INDEX('Final Calculation Sheet'!$W$4:$W$40,$BA34-3)="","",INDEX('Final Calculation Sheet'!$W$4:$W$40,$BA34-3)),"")</f>
        <v/>
      </c>
      <c r="AG27" s="545">
        <f>IFERROR(IF(INDEX('Final Calculation Sheet'!$W$4:$W$40,$BA35-3)="","",INDEX('Final Calculation Sheet'!$W$4:$W$40,$BA35-3)),"")</f>
        <v/>
      </c>
      <c r="AH27" s="544">
        <f>IFERROR(IF(INDEX('Final Calculation Sheet'!$W$4:$W$40,$BA36-3)="","",INDEX('Final Calculation Sheet'!$W$4:$W$40,$BA36-3)),"")</f>
        <v/>
      </c>
      <c r="AI27" s="545">
        <f>IFERROR(IF(INDEX('Final Calculation Sheet'!$W$4:$W$40,$BA37-3)="","",INDEX('Final Calculation Sheet'!$W$4:$W$40,$BA37-3)),"")</f>
        <v/>
      </c>
      <c r="AJ27" s="544">
        <f>IFERROR(IF(INDEX('Final Calculation Sheet'!$W$4:$W$40,$BA38-3)="","",INDEX('Final Calculation Sheet'!$W$4:$W$40,$BA38-3)),"")</f>
        <v/>
      </c>
      <c r="AK27" s="545">
        <f>IFERROR(IF(INDEX('Final Calculation Sheet'!$W$4:$W$40,$BA39-3)="","",INDEX('Final Calculation Sheet'!$W$4:$W$40,$BA39-3)),"")</f>
        <v/>
      </c>
      <c r="AL27" s="544">
        <f>IFERROR(IF(INDEX('Final Calculation Sheet'!$W$4:$W$40,$BA40-3)="","",INDEX('Final Calculation Sheet'!$W$4:$W$40,$BA40-3)),"")</f>
        <v/>
      </c>
      <c r="AM27" s="546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Sheet'!$X$4:$X$40,$BA4-3)="","",INDEX('Final Calculation Sheet'!$X$4:$X$40,$BA4-3)),"")</f>
        <v/>
      </c>
      <c r="C28" s="545">
        <f>IFERROR(IF(INDEX('Final Calculation Sheet'!$X$4:$X$40,$BA5-3)="","",INDEX('Final Calculation Sheet'!$X$4:$X$40,$BA5-3)),"")</f>
        <v/>
      </c>
      <c r="D28" s="544">
        <f>IFERROR(IF(INDEX('Final Calculation Sheet'!$X$4:$X$40,$BA6-3)="","",INDEX('Final Calculation Sheet'!$X$4:$X$40,$BA6-3)),"")</f>
        <v/>
      </c>
      <c r="E28" s="545">
        <f>IFERROR(IF(INDEX('Final Calculation Sheet'!$X$4:$X$40,$BA7-3)="","",INDEX('Final Calculation Sheet'!$X$4:$X$40,$BA7-3)),"")</f>
        <v/>
      </c>
      <c r="F28" s="544">
        <f>IFERROR(IF(INDEX('Final Calculation Sheet'!$X$4:$X$40,$BA8-3)="","",INDEX('Final Calculation Sheet'!$X$4:$X$40,$BA8-3)),"")</f>
        <v/>
      </c>
      <c r="G28" s="545">
        <f>IFERROR(IF(INDEX('Final Calculation Sheet'!$X$4:$X$40,$BA9-3)="","",INDEX('Final Calculation Sheet'!$X$4:$X$40,$BA9-3)),"")</f>
        <v/>
      </c>
      <c r="H28" s="544">
        <f>IFERROR(IF(INDEX('Final Calculation Sheet'!$X$4:$X$40,$BA10-3)="","",INDEX('Final Calculation Sheet'!$X$4:$X$40,$BA10-3)),"")</f>
        <v/>
      </c>
      <c r="I28" s="545">
        <f>IFERROR(IF(INDEX('Final Calculation Sheet'!$X$4:$X$40,$BA11-3)="","",INDEX('Final Calculation Sheet'!$X$4:$X$40,$BA11-3)),"")</f>
        <v/>
      </c>
      <c r="J28" s="544">
        <f>IFERROR(IF(INDEX('Final Calculation Sheet'!$X$4:$X$40,$BA12-3)="","",INDEX('Final Calculation Sheet'!$X$4:$X$40,$BA12-3)),"")</f>
        <v/>
      </c>
      <c r="K28" s="545">
        <f>IFERROR(IF(INDEX('Final Calculation Sheet'!$X$4:$X$40,$BA13-3)="","",INDEX('Final Calculation Sheet'!$X$4:$X$40,$BA13-3)),"")</f>
        <v/>
      </c>
      <c r="L28" s="544">
        <f>IFERROR(IF(INDEX('Final Calculation Sheet'!$X$4:$X$40,$BA14-3)="","",INDEX('Final Calculation Sheet'!$X$4:$X$40,$BA14-3)),"")</f>
        <v/>
      </c>
      <c r="M28" s="545">
        <f>IFERROR(IF(INDEX('Final Calculation Sheet'!$X$4:$X$40,$BA15-3)="","",INDEX('Final Calculation Sheet'!$X$4:$X$40,$BA15-3)),"")</f>
        <v/>
      </c>
      <c r="N28" s="544">
        <f>IFERROR(IF(INDEX('Final Calculation Sheet'!$X$4:$X$40,$BA16-3)="","",INDEX('Final Calculation Sheet'!$X$4:$X$40,$BA16-3)),"")</f>
        <v/>
      </c>
      <c r="O28" s="545">
        <f>IFERROR(IF(INDEX('Final Calculation Sheet'!$X$4:$X$40,$BA17-3)="","",INDEX('Final Calculation Sheet'!$X$4:$X$40,$BA17-3)),"")</f>
        <v/>
      </c>
      <c r="P28" s="544">
        <f>IFERROR(IF(INDEX('Final Calculation Sheet'!$X$4:$X$40,$BA18-3)="","",INDEX('Final Calculation Sheet'!$X$4:$X$40,$BA18-3)),"")</f>
        <v/>
      </c>
      <c r="Q28" s="545">
        <f>IFERROR(IF(INDEX('Final Calculation Sheet'!$X$4:$X$40,$BA19-3)="","",INDEX('Final Calculation Sheet'!$X$4:$X$40,$BA19-3)),"")</f>
        <v/>
      </c>
      <c r="R28" s="544">
        <f>IFERROR(IF(INDEX('Final Calculation Sheet'!$X$4:$X$40,$BA20-3)="","",INDEX('Final Calculation Sheet'!$X$4:$X$40,$BA20-3)),"")</f>
        <v/>
      </c>
      <c r="S28" s="545">
        <f>IFERROR(IF(INDEX('Final Calculation Sheet'!$X$4:$X$40,$BA21-3)="","",INDEX('Final Calculation Sheet'!$X$4:$X$40,$BA21-3)),"")</f>
        <v/>
      </c>
      <c r="T28" s="544">
        <f>IFERROR(IF(INDEX('Final Calculation Sheet'!$X$4:$X$40,$BA22-3)="","",INDEX('Final Calculation Sheet'!$X$4:$X$40,$BA22-3)),"")</f>
        <v/>
      </c>
      <c r="U28" s="545">
        <f>IFERROR(IF(INDEX('Final Calculation Sheet'!$X$4:$X$40,$BA23-3)="","",INDEX('Final Calculation Sheet'!$X$4:$X$40,$BA23-3)),"")</f>
        <v/>
      </c>
      <c r="V28" s="544">
        <f>IFERROR(IF(INDEX('Final Calculation Sheet'!$X$4:$X$40,$BA24-3)="","",INDEX('Final Calculation Sheet'!$X$4:$X$40,$BA24-3)),"")</f>
        <v/>
      </c>
      <c r="W28" s="545">
        <f>IFERROR(IF(INDEX('Final Calculation Sheet'!$X$4:$X$40,$BA25-3)="","",INDEX('Final Calculation Sheet'!$X$4:$X$40,$BA25-3)),"")</f>
        <v/>
      </c>
      <c r="X28" s="544">
        <f>IFERROR(IF(INDEX('Final Calculation Sheet'!$X$4:$X$40,$BA26-3)="","",INDEX('Final Calculation Sheet'!$X$4:$X$40,$BA26-3)),"")</f>
        <v/>
      </c>
      <c r="Y28" s="545">
        <f>IFERROR(IF(INDEX('Final Calculation Sheet'!$X$4:$X$40,$BA27-3)="","",INDEX('Final Calculation Sheet'!$X$4:$X$40,$BA27-3)),"")</f>
        <v/>
      </c>
      <c r="Z28" s="544">
        <f>IFERROR(IF(INDEX('Final Calculation Sheet'!$X$4:$X$40,$BA28-3)="","",INDEX('Final Calculation Sheet'!$X$4:$X$40,$BA28-3)),"")</f>
        <v/>
      </c>
      <c r="AA28" s="545">
        <f>IFERROR(IF(INDEX('Final Calculation Sheet'!$X$4:$X$40,$BA29-3)="","",INDEX('Final Calculation Sheet'!$X$4:$X$40,$BA29-3)),"")</f>
        <v/>
      </c>
      <c r="AB28" s="544">
        <f>IFERROR(IF(INDEX('Final Calculation Sheet'!$X$4:$X$40,$BA30-3)="","",INDEX('Final Calculation Sheet'!$X$4:$X$40,$BA30-3)),"")</f>
        <v/>
      </c>
      <c r="AC28" s="545">
        <f>IFERROR(IF(INDEX('Final Calculation Sheet'!$X$4:$X$40,$BA31-3)="","",INDEX('Final Calculation Sheet'!$X$4:$X$40,$BA31-3)),"")</f>
        <v/>
      </c>
      <c r="AD28" s="544">
        <f>IFERROR(IF(INDEX('Final Calculation Sheet'!$X$4:$X$40,$BA32-3)="","",INDEX('Final Calculation Sheet'!$X$4:$X$40,$BA32-3)),"")</f>
        <v/>
      </c>
      <c r="AE28" s="545">
        <f>IFERROR(IF(INDEX('Final Calculation Sheet'!$X$4:$X$40,$BA33-3)="","",INDEX('Final Calculation Sheet'!$X$4:$X$40,$BA33-3)),"")</f>
        <v/>
      </c>
      <c r="AF28" s="544">
        <f>IFERROR(IF(INDEX('Final Calculation Sheet'!$X$4:$X$40,$BA34-3)="","",INDEX('Final Calculation Sheet'!$X$4:$X$40,$BA34-3)),"")</f>
        <v/>
      </c>
      <c r="AG28" s="545">
        <f>IFERROR(IF(INDEX('Final Calculation Sheet'!$X$4:$X$40,$BA35-3)="","",INDEX('Final Calculation Sheet'!$X$4:$X$40,$BA35-3)),"")</f>
        <v/>
      </c>
      <c r="AH28" s="544">
        <f>IFERROR(IF(INDEX('Final Calculation Sheet'!$X$4:$X$40,$BA36-3)="","",INDEX('Final Calculation Sheet'!$X$4:$X$40,$BA36-3)),"")</f>
        <v/>
      </c>
      <c r="AI28" s="545">
        <f>IFERROR(IF(INDEX('Final Calculation Sheet'!$X$4:$X$40,$BA37-3)="","",INDEX('Final Calculation Sheet'!$X$4:$X$40,$BA37-3)),"")</f>
        <v/>
      </c>
      <c r="AJ28" s="544">
        <f>IFERROR(IF(INDEX('Final Calculation Sheet'!$X$4:$X$40,$BA38-3)="","",INDEX('Final Calculation Sheet'!$X$4:$X$40,$BA38-3)),"")</f>
        <v/>
      </c>
      <c r="AK28" s="545">
        <f>IFERROR(IF(INDEX('Final Calculation Sheet'!$X$4:$X$40,$BA39-3)="","",INDEX('Final Calculation Sheet'!$X$4:$X$40,$BA39-3)),"")</f>
        <v/>
      </c>
      <c r="AL28" s="544">
        <f>IFERROR(IF(INDEX('Final Calculation Sheet'!$X$4:$X$40,$BA40-3)="","",INDEX('Final Calculation Sheet'!$X$4:$X$40,$BA40-3)),"")</f>
        <v/>
      </c>
      <c r="AM28" s="546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Sheet'!$Y$4:$Y$40,$BA4-3)="","",INDEX('Final Calculation Sheet'!$Y$4:$Y$40,$BA4-3)),"")</f>
        <v/>
      </c>
      <c r="C29" s="545">
        <f>IFERROR(IF(INDEX('Final Calculation Sheet'!$Y$4:$Y$40,$BA5-3)="","",INDEX('Final Calculation Sheet'!$Y$4:$Y$40,$BA5-3)),"")</f>
        <v/>
      </c>
      <c r="D29" s="544">
        <f>IFERROR(IF(INDEX('Final Calculation Sheet'!$Y$4:$Y$40,$BA6-3)="","",INDEX('Final Calculation Sheet'!$Y$4:$Y$40,$BA6-3)),"")</f>
        <v/>
      </c>
      <c r="E29" s="545">
        <f>IFERROR(IF(INDEX('Final Calculation Sheet'!$Y$4:$Y$40,$BA7-3)="","",INDEX('Final Calculation Sheet'!$Y$4:$Y$40,$BA7-3)),"")</f>
        <v/>
      </c>
      <c r="F29" s="544">
        <f>IFERROR(IF(INDEX('Final Calculation Sheet'!$Y$4:$Y$40,$BA8-3)="","",INDEX('Final Calculation Sheet'!$Y$4:$Y$40,$BA8-3)),"")</f>
        <v/>
      </c>
      <c r="G29" s="545">
        <f>IFERROR(IF(INDEX('Final Calculation Sheet'!$Y$4:$Y$40,$BA9-3)="","",INDEX('Final Calculation Sheet'!$Y$4:$Y$40,$BA9-3)),"")</f>
        <v/>
      </c>
      <c r="H29" s="544">
        <f>IFERROR(IF(INDEX('Final Calculation Sheet'!$Y$4:$Y$40,$BA10-3)="","",INDEX('Final Calculation Sheet'!$Y$4:$Y$40,$BA10-3)),"")</f>
        <v/>
      </c>
      <c r="I29" s="545">
        <f>IFERROR(IF(INDEX('Final Calculation Sheet'!$Y$4:$Y$40,$BA11-3)="","",INDEX('Final Calculation Sheet'!$Y$4:$Y$40,$BA11-3)),"")</f>
        <v/>
      </c>
      <c r="J29" s="544">
        <f>IFERROR(IF(INDEX('Final Calculation Sheet'!$Y$4:$Y$40,$BA12-3)="","",INDEX('Final Calculation Sheet'!$Y$4:$Y$40,$BA12-3)),"")</f>
        <v/>
      </c>
      <c r="K29" s="545">
        <f>IFERROR(IF(INDEX('Final Calculation Sheet'!$Y$4:$Y$40,$BA13-3)="","",INDEX('Final Calculation Sheet'!$Y$4:$Y$40,$BA13-3)),"")</f>
        <v/>
      </c>
      <c r="L29" s="544">
        <f>IFERROR(IF(INDEX('Final Calculation Sheet'!$Y$4:$Y$40,$BA14-3)="","",INDEX('Final Calculation Sheet'!$Y$4:$Y$40,$BA14-3)),"")</f>
        <v/>
      </c>
      <c r="M29" s="545">
        <f>IFERROR(IF(INDEX('Final Calculation Sheet'!$Y$4:$Y$40,$BA15-3)="","",INDEX('Final Calculation Sheet'!$Y$4:$Y$40,$BA15-3)),"")</f>
        <v/>
      </c>
      <c r="N29" s="544">
        <f>IFERROR(IF(INDEX('Final Calculation Sheet'!$Y$4:$Y$40,$BA16-3)="","",INDEX('Final Calculation Sheet'!$Y$4:$Y$40,$BA16-3)),"")</f>
        <v/>
      </c>
      <c r="O29" s="545">
        <f>IFERROR(IF(INDEX('Final Calculation Sheet'!$Y$4:$Y$40,$BA17-3)="","",INDEX('Final Calculation Sheet'!$Y$4:$Y$40,$BA17-3)),"")</f>
        <v/>
      </c>
      <c r="P29" s="544">
        <f>IFERROR(IF(INDEX('Final Calculation Sheet'!$Y$4:$Y$40,$BA18-3)="","",INDEX('Final Calculation Sheet'!$Y$4:$Y$40,$BA18-3)),"")</f>
        <v/>
      </c>
      <c r="Q29" s="545">
        <f>IFERROR(IF(INDEX('Final Calculation Sheet'!$Y$4:$Y$40,$BA19-3)="","",INDEX('Final Calculation Sheet'!$Y$4:$Y$40,$BA19-3)),"")</f>
        <v/>
      </c>
      <c r="R29" s="544">
        <f>IFERROR(IF(INDEX('Final Calculation Sheet'!$Y$4:$Y$40,$BA20-3)="","",INDEX('Final Calculation Sheet'!$Y$4:$Y$40,$BA20-3)),"")</f>
        <v/>
      </c>
      <c r="S29" s="545">
        <f>IFERROR(IF(INDEX('Final Calculation Sheet'!$Y$4:$Y$40,$BA21-3)="","",INDEX('Final Calculation Sheet'!$Y$4:$Y$40,$BA21-3)),"")</f>
        <v/>
      </c>
      <c r="T29" s="544">
        <f>IFERROR(IF(INDEX('Final Calculation Sheet'!$Y$4:$Y$40,$BA22-3)="","",INDEX('Final Calculation Sheet'!$Y$4:$Y$40,$BA22-3)),"")</f>
        <v/>
      </c>
      <c r="U29" s="545">
        <f>IFERROR(IF(INDEX('Final Calculation Sheet'!$Y$4:$Y$40,$BA23-3)="","",INDEX('Final Calculation Sheet'!$Y$4:$Y$40,$BA23-3)),"")</f>
        <v/>
      </c>
      <c r="V29" s="544">
        <f>IFERROR(IF(INDEX('Final Calculation Sheet'!$Y$4:$Y$40,$BA24-3)="","",INDEX('Final Calculation Sheet'!$Y$4:$Y$40,$BA24-3)),"")</f>
        <v/>
      </c>
      <c r="W29" s="545">
        <f>IFERROR(IF(INDEX('Final Calculation Sheet'!$Y$4:$Y$40,$BA25-3)="","",INDEX('Final Calculation Sheet'!$Y$4:$Y$40,$BA25-3)),"")</f>
        <v/>
      </c>
      <c r="X29" s="544">
        <f>IFERROR(IF(INDEX('Final Calculation Sheet'!$Y$4:$Y$40,$BA26-3)="","",INDEX('Final Calculation Sheet'!$Y$4:$Y$40,$BA26-3)),"")</f>
        <v/>
      </c>
      <c r="Y29" s="545">
        <f>IFERROR(IF(INDEX('Final Calculation Sheet'!$Y$4:$Y$40,$BA27-3)="","",INDEX('Final Calculation Sheet'!$Y$4:$Y$40,$BA27-3)),"")</f>
        <v/>
      </c>
      <c r="Z29" s="544">
        <f>IFERROR(IF(INDEX('Final Calculation Sheet'!$Y$4:$Y$40,$BA28-3)="","",INDEX('Final Calculation Sheet'!$Y$4:$Y$40,$BA28-3)),"")</f>
        <v/>
      </c>
      <c r="AA29" s="545">
        <f>IFERROR(IF(INDEX('Final Calculation Sheet'!$Y$4:$Y$40,$BA29-3)="","",INDEX('Final Calculation Sheet'!$Y$4:$Y$40,$BA29-3)),"")</f>
        <v/>
      </c>
      <c r="AB29" s="544">
        <f>IFERROR(IF(INDEX('Final Calculation Sheet'!$Y$4:$Y$40,$BA30-3)="","",INDEX('Final Calculation Sheet'!$Y$4:$Y$40,$BA30-3)),"")</f>
        <v/>
      </c>
      <c r="AC29" s="545">
        <f>IFERROR(IF(INDEX('Final Calculation Sheet'!$Y$4:$Y$40,$BA31-3)="","",INDEX('Final Calculation Sheet'!$Y$4:$Y$40,$BA31-3)),"")</f>
        <v/>
      </c>
      <c r="AD29" s="544">
        <f>IFERROR(IF(INDEX('Final Calculation Sheet'!$Y$4:$Y$40,$BA32-3)="","",INDEX('Final Calculation Sheet'!$Y$4:$Y$40,$BA32-3)),"")</f>
        <v/>
      </c>
      <c r="AE29" s="545">
        <f>IFERROR(IF(INDEX('Final Calculation Sheet'!$Y$4:$Y$40,$BA33-3)="","",INDEX('Final Calculation Sheet'!$Y$4:$Y$40,$BA33-3)),"")</f>
        <v/>
      </c>
      <c r="AF29" s="544">
        <f>IFERROR(IF(INDEX('Final Calculation Sheet'!$Y$4:$Y$40,$BA34-3)="","",INDEX('Final Calculation Sheet'!$Y$4:$Y$40,$BA34-3)),"")</f>
        <v/>
      </c>
      <c r="AG29" s="545">
        <f>IFERROR(IF(INDEX('Final Calculation Sheet'!$Y$4:$Y$40,$BA35-3)="","",INDEX('Final Calculation Sheet'!$Y$4:$Y$40,$BA35-3)),"")</f>
        <v/>
      </c>
      <c r="AH29" s="544">
        <f>IFERROR(IF(INDEX('Final Calculation Sheet'!$Y$4:$Y$40,$BA36-3)="","",INDEX('Final Calculation Sheet'!$Y$4:$Y$40,$BA36-3)),"")</f>
        <v/>
      </c>
      <c r="AI29" s="545">
        <f>IFERROR(IF(INDEX('Final Calculation Sheet'!$Y$4:$Y$40,$BA37-3)="","",INDEX('Final Calculation Sheet'!$Y$4:$Y$40,$BA37-3)),"")</f>
        <v/>
      </c>
      <c r="AJ29" s="544">
        <f>IFERROR(IF(INDEX('Final Calculation Sheet'!$Y$4:$Y$40,$BA38-3)="","",INDEX('Final Calculation Sheet'!$Y$4:$Y$40,$BA38-3)),"")</f>
        <v/>
      </c>
      <c r="AK29" s="545">
        <f>IFERROR(IF(INDEX('Final Calculation Sheet'!$Y$4:$Y$40,$BA39-3)="","",INDEX('Final Calculation Sheet'!$Y$4:$Y$40,$BA39-3)),"")</f>
        <v/>
      </c>
      <c r="AL29" s="544">
        <f>IFERROR(IF(INDEX('Final Calculation Sheet'!$Y$4:$Y$40,$BA40-3)="","",INDEX('Final Calculation Sheet'!$Y$4:$Y$40,$BA40-3)),"")</f>
        <v/>
      </c>
      <c r="AM29" s="605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Sheet'!$Z$4:$Z$40,$BA4-3)="","",INDEX('Final Calculation Sheet'!$Z$4:$Z$40,$BA4-3)),"")</f>
        <v/>
      </c>
      <c r="C30" s="545">
        <f>IFERROR(IF(INDEX('Final Calculation Sheet'!$Z$4:$Z$40,$BA5-3)="","",INDEX('Final Calculation Sheet'!$Z$4:$Z$40,$BA5-3)),"")</f>
        <v/>
      </c>
      <c r="D30" s="544">
        <f>IFERROR(IF(INDEX('Final Calculation Sheet'!$Z$4:$Z$40,$BA6-3)="","",INDEX('Final Calculation Sheet'!$Z$4:$Z$40,$BA6-3)),"")</f>
        <v/>
      </c>
      <c r="E30" s="545">
        <f>IFERROR(IF(INDEX('Final Calculation Sheet'!$Z$4:$Z$40,$BA7-3)="","",INDEX('Final Calculation Sheet'!$Z$4:$Z$40,$BA7-3)),"")</f>
        <v/>
      </c>
      <c r="F30" s="544">
        <f>IFERROR(IF(INDEX('Final Calculation Sheet'!$Z$4:$Z$40,$BA8-3)="","",INDEX('Final Calculation Sheet'!$Z$4:$Z$40,$BA8-3)),"")</f>
        <v/>
      </c>
      <c r="G30" s="545">
        <f>IFERROR(IF(INDEX('Final Calculation Sheet'!$Z$4:$Z$40,$BA9-3)="","",INDEX('Final Calculation Sheet'!$Z$4:$Z$40,$BA9-3)),"")</f>
        <v/>
      </c>
      <c r="H30" s="544">
        <f>IFERROR(IF(INDEX('Final Calculation Sheet'!$Z$4:$Z$40,$BA10-3)="","",INDEX('Final Calculation Sheet'!$Z$4:$Z$40,$BA10-3)),"")</f>
        <v/>
      </c>
      <c r="I30" s="545">
        <f>IFERROR(IF(INDEX('Final Calculation Sheet'!$Z$4:$Z$40,$BA11-3)="","",INDEX('Final Calculation Sheet'!$Z$4:$Z$40,$BA11-3)),"")</f>
        <v/>
      </c>
      <c r="J30" s="544">
        <f>IFERROR(IF(INDEX('Final Calculation Sheet'!$Z$4:$Z$40,$BA12-3)="","",INDEX('Final Calculation Sheet'!$Z$4:$Z$40,$BA12-3)),"")</f>
        <v/>
      </c>
      <c r="K30" s="545">
        <f>IFERROR(IF(INDEX('Final Calculation Sheet'!$Z$4:$Z$40,$BA13-3)="","",INDEX('Final Calculation Sheet'!$Z$4:$Z$40,$BA13-3)),"")</f>
        <v/>
      </c>
      <c r="L30" s="544">
        <f>IFERROR(IF(INDEX('Final Calculation Sheet'!$Z$4:$Z$40,$BA14-3)="","",INDEX('Final Calculation Sheet'!$Z$4:$Z$40,$BA14-3)),"")</f>
        <v/>
      </c>
      <c r="M30" s="545">
        <f>IFERROR(IF(INDEX('Final Calculation Sheet'!$Z$4:$Z$40,$BA15-3)="","",INDEX('Final Calculation Sheet'!$Z$4:$Z$40,$BA15-3)),"")</f>
        <v/>
      </c>
      <c r="N30" s="544">
        <f>IFERROR(IF(INDEX('Final Calculation Sheet'!$Z$4:$Z$40,$BA16-3)="","",INDEX('Final Calculation Sheet'!$Z$4:$Z$40,$BA16-3)),"")</f>
        <v/>
      </c>
      <c r="O30" s="545">
        <f>IFERROR(IF(INDEX('Final Calculation Sheet'!$Z$4:$Z$40,$BA17-3)="","",INDEX('Final Calculation Sheet'!$Z$4:$Z$40,$BA17-3)),"")</f>
        <v/>
      </c>
      <c r="P30" s="544">
        <f>IFERROR(IF(INDEX('Final Calculation Sheet'!$Z$4:$Z$40,$BA18-3)="","",INDEX('Final Calculation Sheet'!$Z$4:$Z$40,$BA18-3)),"")</f>
        <v/>
      </c>
      <c r="Q30" s="545">
        <f>IFERROR(IF(INDEX('Final Calculation Sheet'!$Z$4:$Z$40,$BA19-3)="","",INDEX('Final Calculation Sheet'!$Z$4:$Z$40,$BA19-3)),"")</f>
        <v/>
      </c>
      <c r="R30" s="544">
        <f>IFERROR(IF(INDEX('Final Calculation Sheet'!$Z$4:$Z$40,$BA20-3)="","",INDEX('Final Calculation Sheet'!$Z$4:$Z$40,$BA20-3)),"")</f>
        <v/>
      </c>
      <c r="S30" s="545">
        <f>IFERROR(IF(INDEX('Final Calculation Sheet'!$Z$4:$Z$40,$BA21-3)="","",INDEX('Final Calculation Sheet'!$Z$4:$Z$40,$BA21-3)),"")</f>
        <v/>
      </c>
      <c r="T30" s="544">
        <f>IFERROR(IF(INDEX('Final Calculation Sheet'!$Z$4:$Z$40,$BA22-3)="","",INDEX('Final Calculation Sheet'!$Z$4:$Z$40,$BA22-3)),"")</f>
        <v/>
      </c>
      <c r="U30" s="545">
        <f>IFERROR(IF(INDEX('Final Calculation Sheet'!$Z$4:$Z$40,$BA23-3)="","",INDEX('Final Calculation Sheet'!$Z$4:$Z$40,$BA23-3)),"")</f>
        <v/>
      </c>
      <c r="V30" s="544">
        <f>IFERROR(IF(INDEX('Final Calculation Sheet'!$Z$4:$Z$40,$BA24-3)="","",INDEX('Final Calculation Sheet'!$Z$4:$Z$40,$BA24-3)),"")</f>
        <v/>
      </c>
      <c r="W30" s="545">
        <f>IFERROR(IF(INDEX('Final Calculation Sheet'!$Z$4:$Z$40,$BA25-3)="","",INDEX('Final Calculation Sheet'!$Z$4:$Z$40,$BA25-3)),"")</f>
        <v/>
      </c>
      <c r="X30" s="544">
        <f>IFERROR(IF(INDEX('Final Calculation Sheet'!$Z$4:$Z$40,$BA26-3)="","",INDEX('Final Calculation Sheet'!$Z$4:$Z$40,$BA26-3)),"")</f>
        <v/>
      </c>
      <c r="Y30" s="545">
        <f>IFERROR(IF(INDEX('Final Calculation Sheet'!$Z$4:$Z$40,$BA27-3)="","",INDEX('Final Calculation Sheet'!$Z$4:$Z$40,$BA27-3)),"")</f>
        <v/>
      </c>
      <c r="Z30" s="544">
        <f>IFERROR(IF(INDEX('Final Calculation Sheet'!$Z$4:$Z$40,$BA28-3)="","",INDEX('Final Calculation Sheet'!$Z$4:$Z$40,$BA28-3)),"")</f>
        <v/>
      </c>
      <c r="AA30" s="545">
        <f>IFERROR(IF(INDEX('Final Calculation Sheet'!$Z$4:$Z$40,$BA29-3)="","",INDEX('Final Calculation Sheet'!$Z$4:$Z$40,$BA29-3)),"")</f>
        <v/>
      </c>
      <c r="AB30" s="544">
        <f>IFERROR(IF(INDEX('Final Calculation Sheet'!$Z$4:$Z$40,$BA30-3)="","",INDEX('Final Calculation Sheet'!$Z$4:$Z$40,$BA30-3)),"")</f>
        <v/>
      </c>
      <c r="AC30" s="545">
        <f>IFERROR(IF(INDEX('Final Calculation Sheet'!$Z$4:$Z$40,$BA31-3)="","",INDEX('Final Calculation Sheet'!$Z$4:$Z$40,$BA31-3)),"")</f>
        <v/>
      </c>
      <c r="AD30" s="544">
        <f>IFERROR(IF(INDEX('Final Calculation Sheet'!$Z$4:$Z$40,$BA32-3)="","",INDEX('Final Calculation Sheet'!$Z$4:$Z$40,$BA32-3)),"")</f>
        <v/>
      </c>
      <c r="AE30" s="545">
        <f>IFERROR(IF(INDEX('Final Calculation Sheet'!$Z$4:$Z$40,$BA33-3)="","",INDEX('Final Calculation Sheet'!$Z$4:$Z$40,$BA33-3)),"")</f>
        <v/>
      </c>
      <c r="AF30" s="544">
        <f>IFERROR(IF(INDEX('Final Calculation Sheet'!$Z$4:$Z$40,$BA34-3)="","",INDEX('Final Calculation Sheet'!$Z$4:$Z$40,$BA34-3)),"")</f>
        <v/>
      </c>
      <c r="AG30" s="545">
        <f>IFERROR(IF(INDEX('Final Calculation Sheet'!$Z$4:$Z$40,$BA35-3)="","",INDEX('Final Calculation Sheet'!$Z$4:$Z$40,$BA35-3)),"")</f>
        <v/>
      </c>
      <c r="AH30" s="544">
        <f>IFERROR(IF(INDEX('Final Calculation Sheet'!$Z$4:$Z$40,$BA36-3)="","",INDEX('Final Calculation Sheet'!$Z$4:$Z$40,$BA36-3)),"")</f>
        <v/>
      </c>
      <c r="AI30" s="545">
        <f>IFERROR(IF(INDEX('Final Calculation Sheet'!$Z$4:$Z$40,$BA37-3)="","",INDEX('Final Calculation Sheet'!$Z$4:$Z$40,$BA37-3)),"")</f>
        <v/>
      </c>
      <c r="AJ30" s="544">
        <f>IFERROR(IF(INDEX('Final Calculation Sheet'!$Z$4:$Z$40,$BA38-3)="","",INDEX('Final Calculation Sheet'!$Z$4:$Z$40,$BA38-3)),"")</f>
        <v/>
      </c>
      <c r="AK30" s="545">
        <f>IFERROR(IF(INDEX('Final Calculation Sheet'!$Z$4:$Z$40,$BA39-3)="","",INDEX('Final Calculation Sheet'!$Z$4:$Z$40,$BA39-3)),"")</f>
        <v/>
      </c>
      <c r="AL30" s="544">
        <f>IFERROR(IF(INDEX('Final Calculation Sheet'!$Z$4:$Z$40,$BA40-3)="","",INDEX('Final Calculation Sheet'!$Z$4:$Z$40,$BA40-3)),"")</f>
        <v/>
      </c>
      <c r="AM30" s="546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Sheet'!$AA$4:$AA$40,$BA4-3)="","",INDEX('Final Calculation Sheet'!$AA$4:$AA$40,$BA4-3)),"")</f>
        <v/>
      </c>
      <c r="C31" s="545">
        <f>IFERROR(IF(INDEX('Final Calculation Sheet'!$AA$4:$AA$40,$BA5-3)="","",INDEX('Final Calculation Sheet'!$AA$4:$AA$40,$BA5-3)),"")</f>
        <v/>
      </c>
      <c r="D31" s="544">
        <f>IFERROR(IF(INDEX('Final Calculation Sheet'!$AA$4:$AA$40,$BA6-3)="","",INDEX('Final Calculation Sheet'!$AA$4:$AA$40,$BA6-3)),"")</f>
        <v/>
      </c>
      <c r="E31" s="545">
        <f>IFERROR(IF(INDEX('Final Calculation Sheet'!$AA$4:$AA$40,$BA7-3)="","",INDEX('Final Calculation Sheet'!$AA$4:$AA$40,$BA7-3)),"")</f>
        <v/>
      </c>
      <c r="F31" s="544">
        <f>IFERROR(IF(INDEX('Final Calculation Sheet'!$AA$4:$AA$40,$BA8-3)="","",INDEX('Final Calculation Sheet'!$AA$4:$AA$40,$BA8-3)),"")</f>
        <v/>
      </c>
      <c r="G31" s="545">
        <f>IFERROR(IF(INDEX('Final Calculation Sheet'!$AA$4:$AA$40,$BA9-3)="","",INDEX('Final Calculation Sheet'!$AA$4:$AA$40,$BA9-3)),"")</f>
        <v/>
      </c>
      <c r="H31" s="544">
        <f>IFERROR(IF(INDEX('Final Calculation Sheet'!$AA$4:$AA$40,$BA10-3)="","",INDEX('Final Calculation Sheet'!$AA$4:$AA$40,$BA10-3)),"")</f>
        <v/>
      </c>
      <c r="I31" s="545">
        <f>IFERROR(IF(INDEX('Final Calculation Sheet'!$AA$4:$AA$40,$BA11-3)="","",INDEX('Final Calculation Sheet'!$AA$4:$AA$40,$BA11-3)),"")</f>
        <v/>
      </c>
      <c r="J31" s="544">
        <f>IFERROR(IF(INDEX('Final Calculation Sheet'!$AA$4:$AA$40,$BA12-3)="","",INDEX('Final Calculation Sheet'!$AA$4:$AA$40,$BA12-3)),"")</f>
        <v/>
      </c>
      <c r="K31" s="545">
        <f>IFERROR(IF(INDEX('Final Calculation Sheet'!$AA$4:$AA$40,$BA13-3)="","",INDEX('Final Calculation Sheet'!$AA$4:$AA$40,$BA13-3)),"")</f>
        <v/>
      </c>
      <c r="L31" s="544">
        <f>IFERROR(IF(INDEX('Final Calculation Sheet'!$AA$4:$AA$40,$BA14-3)="","",INDEX('Final Calculation Sheet'!$AA$4:$AA$40,$BA14-3)),"")</f>
        <v/>
      </c>
      <c r="M31" s="545">
        <f>IFERROR(IF(INDEX('Final Calculation Sheet'!$AA$4:$AA$40,$BA15-3)="","",INDEX('Final Calculation Sheet'!$AA$4:$AA$40,$BA15-3)),"")</f>
        <v/>
      </c>
      <c r="N31" s="544">
        <f>IFERROR(IF(INDEX('Final Calculation Sheet'!$AA$4:$AA$40,$BA16-3)="","",INDEX('Final Calculation Sheet'!$AA$4:$AA$40,$BA16-3)),"")</f>
        <v/>
      </c>
      <c r="O31" s="545">
        <f>IFERROR(IF(INDEX('Final Calculation Sheet'!$AA$4:$AA$40,$BA17-3)="","",INDEX('Final Calculation Sheet'!$AA$4:$AA$40,$BA17-3)),"")</f>
        <v/>
      </c>
      <c r="P31" s="544">
        <f>IFERROR(IF(INDEX('Final Calculation Sheet'!$AA$4:$AA$40,$BA18-3)="","",INDEX('Final Calculation Sheet'!$AA$4:$AA$40,$BA18-3)),"")</f>
        <v/>
      </c>
      <c r="Q31" s="545">
        <f>IFERROR(IF(INDEX('Final Calculation Sheet'!$AA$4:$AA$40,$BA19-3)="","",INDEX('Final Calculation Sheet'!$AA$4:$AA$40,$BA19-3)),"")</f>
        <v/>
      </c>
      <c r="R31" s="544">
        <f>IFERROR(IF(INDEX('Final Calculation Sheet'!$AA$4:$AA$40,$BA20-3)="","",INDEX('Final Calculation Sheet'!$AA$4:$AA$40,$BA20-3)),"")</f>
        <v/>
      </c>
      <c r="S31" s="545">
        <f>IFERROR(IF(INDEX('Final Calculation Sheet'!$AA$4:$AA$40,$BA21-3)="","",INDEX('Final Calculation Sheet'!$AA$4:$AA$40,$BA21-3)),"")</f>
        <v/>
      </c>
      <c r="T31" s="544">
        <f>IFERROR(IF(INDEX('Final Calculation Sheet'!$AA$4:$AA$40,$BA22-3)="","",INDEX('Final Calculation Sheet'!$AA$4:$AA$40,$BA22-3)),"")</f>
        <v/>
      </c>
      <c r="U31" s="545">
        <f>IFERROR(IF(INDEX('Final Calculation Sheet'!$AA$4:$AA$40,$BA23-3)="","",INDEX('Final Calculation Sheet'!$AA$4:$AA$40,$BA23-3)),"")</f>
        <v/>
      </c>
      <c r="V31" s="544">
        <f>IFERROR(IF(INDEX('Final Calculation Sheet'!$AA$4:$AA$40,$BA24-3)="","",INDEX('Final Calculation Sheet'!$AA$4:$AA$40,$BA24-3)),"")</f>
        <v/>
      </c>
      <c r="W31" s="545">
        <f>IFERROR(IF(INDEX('Final Calculation Sheet'!$AA$4:$AA$40,$BA25-3)="","",INDEX('Final Calculation Sheet'!$AA$4:$AA$40,$BA25-3)),"")</f>
        <v/>
      </c>
      <c r="X31" s="544">
        <f>IFERROR(IF(INDEX('Final Calculation Sheet'!$AA$4:$AA$40,$BA26-3)="","",INDEX('Final Calculation Sheet'!$AA$4:$AA$40,$BA26-3)),"")</f>
        <v/>
      </c>
      <c r="Y31" s="545">
        <f>IFERROR(IF(INDEX('Final Calculation Sheet'!$AA$4:$AA$40,$BA27-3)="","",INDEX('Final Calculation Sheet'!$AA$4:$AA$40,$BA27-3)),"")</f>
        <v/>
      </c>
      <c r="Z31" s="544">
        <f>IFERROR(IF(INDEX('Final Calculation Sheet'!$AA$4:$AA$40,$BA28-3)="","",INDEX('Final Calculation Sheet'!$AA$4:$AA$40,$BA28-3)),"")</f>
        <v/>
      </c>
      <c r="AA31" s="545">
        <f>IFERROR(IF(INDEX('Final Calculation Sheet'!$AA$4:$AA$40,$BA29-3)="","",INDEX('Final Calculation Sheet'!$AA$4:$AA$40,$BA29-3)),"")</f>
        <v/>
      </c>
      <c r="AB31" s="544">
        <f>IFERROR(IF(INDEX('Final Calculation Sheet'!$AA$4:$AA$40,$BA30-3)="","",INDEX('Final Calculation Sheet'!$AA$4:$AA$40,$BA30-3)),"")</f>
        <v/>
      </c>
      <c r="AC31" s="545">
        <f>IFERROR(IF(INDEX('Final Calculation Sheet'!$AA$4:$AA$40,$BA31-3)="","",INDEX('Final Calculation Sheet'!$AA$4:$AA$40,$BA31-3)),"")</f>
        <v/>
      </c>
      <c r="AD31" s="544">
        <f>IFERROR(IF(INDEX('Final Calculation Sheet'!$AA$4:$AA$40,$BA32-3)="","",INDEX('Final Calculation Sheet'!$AA$4:$AA$40,$BA32-3)),"")</f>
        <v/>
      </c>
      <c r="AE31" s="545">
        <f>IFERROR(IF(INDEX('Final Calculation Sheet'!$AA$4:$AA$40,$BA33-3)="","",INDEX('Final Calculation Sheet'!$AA$4:$AA$40,$BA33-3)),"")</f>
        <v/>
      </c>
      <c r="AF31" s="544">
        <f>IFERROR(IF(INDEX('Final Calculation Sheet'!$AA$4:$AA$40,$BA34-3)="","",INDEX('Final Calculation Sheet'!$AA$4:$AA$40,$BA34-3)),"")</f>
        <v/>
      </c>
      <c r="AG31" s="545">
        <f>IFERROR(IF(INDEX('Final Calculation Sheet'!$AA$4:$AA$40,$BA35-3)="","",INDEX('Final Calculation Sheet'!$AA$4:$AA$40,$BA35-3)),"")</f>
        <v/>
      </c>
      <c r="AH31" s="544">
        <f>IFERROR(IF(INDEX('Final Calculation Sheet'!$AA$4:$AA$40,$BA36-3)="","",INDEX('Final Calculation Sheet'!$AA$4:$AA$40,$BA36-3)),"")</f>
        <v/>
      </c>
      <c r="AI31" s="545">
        <f>IFERROR(IF(INDEX('Final Calculation Sheet'!$AA$4:$AA$40,$BA37-3)="","",INDEX('Final Calculation Sheet'!$AA$4:$AA$40,$BA37-3)),"")</f>
        <v/>
      </c>
      <c r="AJ31" s="544">
        <f>IFERROR(IF(INDEX('Final Calculation Sheet'!$AA$4:$AA$40,$BA38-3)="","",INDEX('Final Calculation Sheet'!$AA$4:$AA$40,$BA38-3)),"")</f>
        <v/>
      </c>
      <c r="AK31" s="545">
        <f>IFERROR(IF(INDEX('Final Calculation Sheet'!$AA$4:$AA$40,$BA39-3)="","",INDEX('Final Calculation Sheet'!$AA$4:$AA$40,$BA39-3)),"")</f>
        <v/>
      </c>
      <c r="AL31" s="544">
        <f>IFERROR(IF(INDEX('Final Calculation Sheet'!$AA$4:$AA$40,$BA40-3)="","",INDEX('Final Calculation Sheet'!$AA$4:$AA$40,$BA40-3)),"")</f>
        <v/>
      </c>
      <c r="AM31" s="546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Sheet'!$AB$4:$AB$40,$BA4-3)="","",INDEX('Final Calculation Sheet'!$AB$4:$AB$40,$BA4-3)),"")</f>
        <v/>
      </c>
      <c r="C32" s="545">
        <f>IFERROR(IF(INDEX('Final Calculation Sheet'!$AB$4:$AB$40,$BA5-3)="","",INDEX('Final Calculation Sheet'!$AB$4:$AB$40,$BA5-3)),"")</f>
        <v/>
      </c>
      <c r="D32" s="544">
        <f>IFERROR(IF(INDEX('Final Calculation Sheet'!$AB$4:$AB$40,$BA6-3)="","",INDEX('Final Calculation Sheet'!$AB$4:$AB$40,$BA6-3)),"")</f>
        <v/>
      </c>
      <c r="E32" s="545">
        <f>IFERROR(IF(INDEX('Final Calculation Sheet'!$AB$4:$AB$40,$BA7-3)="","",INDEX('Final Calculation Sheet'!$AB$4:$AB$40,$BA7-3)),"")</f>
        <v/>
      </c>
      <c r="F32" s="544">
        <f>IFERROR(IF(INDEX('Final Calculation Sheet'!$AB$4:$AB$40,$BA8-3)="","",INDEX('Final Calculation Sheet'!$AB$4:$AB$40,$BA8-3)),"")</f>
        <v/>
      </c>
      <c r="G32" s="545">
        <f>IFERROR(IF(INDEX('Final Calculation Sheet'!$AB$4:$AB$40,$BA9-3)="","",INDEX('Final Calculation Sheet'!$AB$4:$AB$40,$BA9-3)),"")</f>
        <v/>
      </c>
      <c r="H32" s="544">
        <f>IFERROR(IF(INDEX('Final Calculation Sheet'!$AB$4:$AB$40,$BA10-3)="","",INDEX('Final Calculation Sheet'!$AB$4:$AB$40,$BA10-3)),"")</f>
        <v/>
      </c>
      <c r="I32" s="545">
        <f>IFERROR(IF(INDEX('Final Calculation Sheet'!$AB$4:$AB$40,$BA11-3)="","",INDEX('Final Calculation Sheet'!$AB$4:$AB$40,$BA11-3)),"")</f>
        <v/>
      </c>
      <c r="J32" s="544">
        <f>IFERROR(IF(INDEX('Final Calculation Sheet'!$AB$4:$AB$40,$BA12-3)="","",INDEX('Final Calculation Sheet'!$AB$4:$AB$40,$BA12-3)),"")</f>
        <v/>
      </c>
      <c r="K32" s="545">
        <f>IFERROR(IF(INDEX('Final Calculation Sheet'!$AB$4:$AB$40,$BA13-3)="","",INDEX('Final Calculation Sheet'!$AB$4:$AB$40,$BA13-3)),"")</f>
        <v/>
      </c>
      <c r="L32" s="544">
        <f>IFERROR(IF(INDEX('Final Calculation Sheet'!$AB$4:$AB$40,$BA14-3)="","",INDEX('Final Calculation Sheet'!$AB$4:$AB$40,$BA14-3)),"")</f>
        <v/>
      </c>
      <c r="M32" s="545">
        <f>IFERROR(IF(INDEX('Final Calculation Sheet'!$AB$4:$AB$40,$BA15-3)="","",INDEX('Final Calculation Sheet'!$AB$4:$AB$40,$BA15-3)),"")</f>
        <v/>
      </c>
      <c r="N32" s="544">
        <f>IFERROR(IF(INDEX('Final Calculation Sheet'!$AB$4:$AB$40,$BA16-3)="","",INDEX('Final Calculation Sheet'!$AB$4:$AB$40,$BA16-3)),"")</f>
        <v/>
      </c>
      <c r="O32" s="545">
        <f>IFERROR(IF(INDEX('Final Calculation Sheet'!$AB$4:$AB$40,$BA17-3)="","",INDEX('Final Calculation Sheet'!$AB$4:$AB$40,$BA17-3)),"")</f>
        <v/>
      </c>
      <c r="P32" s="544">
        <f>IFERROR(IF(INDEX('Final Calculation Sheet'!$AB$4:$AB$40,$BA18-3)="","",INDEX('Final Calculation Sheet'!$AB$4:$AB$40,$BA18-3)),"")</f>
        <v/>
      </c>
      <c r="Q32" s="545">
        <f>IFERROR(IF(INDEX('Final Calculation Sheet'!$AB$4:$AB$40,$BA19-3)="","",INDEX('Final Calculation Sheet'!$AB$4:$AB$40,$BA19-3)),"")</f>
        <v/>
      </c>
      <c r="R32" s="544">
        <f>IFERROR(IF(INDEX('Final Calculation Sheet'!$AB$4:$AB$40,$BA20-3)="","",INDEX('Final Calculation Sheet'!$AB$4:$AB$40,$BA20-3)),"")</f>
        <v/>
      </c>
      <c r="S32" s="545">
        <f>IFERROR(IF(INDEX('Final Calculation Sheet'!$AB$4:$AB$40,$BA21-3)="","",INDEX('Final Calculation Sheet'!$AB$4:$AB$40,$BA21-3)),"")</f>
        <v/>
      </c>
      <c r="T32" s="544">
        <f>IFERROR(IF(INDEX('Final Calculation Sheet'!$AB$4:$AB$40,$BA22-3)="","",INDEX('Final Calculation Sheet'!$AB$4:$AB$40,$BA22-3)),"")</f>
        <v/>
      </c>
      <c r="U32" s="545">
        <f>IFERROR(IF(INDEX('Final Calculation Sheet'!$AB$4:$AB$40,$BA23-3)="","",INDEX('Final Calculation Sheet'!$AB$4:$AB$40,$BA23-3)),"")</f>
        <v/>
      </c>
      <c r="V32" s="544">
        <f>IFERROR(IF(INDEX('Final Calculation Sheet'!$AB$4:$AB$40,$BA24-3)="","",INDEX('Final Calculation Sheet'!$AB$4:$AB$40,$BA24-3)),"")</f>
        <v/>
      </c>
      <c r="W32" s="545">
        <f>IFERROR(IF(INDEX('Final Calculation Sheet'!$AB$4:$AB$40,$BA25-3)="","",INDEX('Final Calculation Sheet'!$AB$4:$AB$40,$BA25-3)),"")</f>
        <v/>
      </c>
      <c r="X32" s="544">
        <f>IFERROR(IF(INDEX('Final Calculation Sheet'!$AB$4:$AB$40,$BA26-3)="","",INDEX('Final Calculation Sheet'!$AB$4:$AB$40,$BA26-3)),"")</f>
        <v/>
      </c>
      <c r="Y32" s="545">
        <f>IFERROR(IF(INDEX('Final Calculation Sheet'!$AB$4:$AB$40,$BA27-3)="","",INDEX('Final Calculation Sheet'!$AB$4:$AB$40,$BA27-3)),"")</f>
        <v/>
      </c>
      <c r="Z32" s="544">
        <f>IFERROR(IF(INDEX('Final Calculation Sheet'!$AB$4:$AB$40,$BA28-3)="","",INDEX('Final Calculation Sheet'!$AB$4:$AB$40,$BA28-3)),"")</f>
        <v/>
      </c>
      <c r="AA32" s="545">
        <f>IFERROR(IF(INDEX('Final Calculation Sheet'!$AB$4:$AB$40,$BA29-3)="","",INDEX('Final Calculation Sheet'!$AB$4:$AB$40,$BA29-3)),"")</f>
        <v/>
      </c>
      <c r="AB32" s="544">
        <f>IFERROR(IF(INDEX('Final Calculation Sheet'!$AB$4:$AB$40,$BA30-3)="","",INDEX('Final Calculation Sheet'!$AB$4:$AB$40,$BA30-3)),"")</f>
        <v/>
      </c>
      <c r="AC32" s="545">
        <f>IFERROR(IF(INDEX('Final Calculation Sheet'!$AB$4:$AB$40,$BA31-3)="","",INDEX('Final Calculation Sheet'!$AB$4:$AB$40,$BA31-3)),"")</f>
        <v/>
      </c>
      <c r="AD32" s="544">
        <f>IFERROR(IF(INDEX('Final Calculation Sheet'!$AB$4:$AB$40,$BA32-3)="","",INDEX('Final Calculation Sheet'!$AB$4:$AB$40,$BA32-3)),"")</f>
        <v/>
      </c>
      <c r="AE32" s="545">
        <f>IFERROR(IF(INDEX('Final Calculation Sheet'!$AB$4:$AB$40,$BA33-3)="","",INDEX('Final Calculation Sheet'!$AB$4:$AB$40,$BA33-3)),"")</f>
        <v/>
      </c>
      <c r="AF32" s="544">
        <f>IFERROR(IF(INDEX('Final Calculation Sheet'!$AB$4:$AB$40,$BA34-3)="","",INDEX('Final Calculation Sheet'!$AB$4:$AB$40,$BA34-3)),"")</f>
        <v/>
      </c>
      <c r="AG32" s="545">
        <f>IFERROR(IF(INDEX('Final Calculation Sheet'!$AB$4:$AB$40,$BA35-3)="","",INDEX('Final Calculation Sheet'!$AB$4:$AB$40,$BA35-3)),"")</f>
        <v/>
      </c>
      <c r="AH32" s="544">
        <f>IFERROR(IF(INDEX('Final Calculation Sheet'!$AB$4:$AB$40,$BA36-3)="","",INDEX('Final Calculation Sheet'!$AB$4:$AB$40,$BA36-3)),"")</f>
        <v/>
      </c>
      <c r="AI32" s="545">
        <f>IFERROR(IF(INDEX('Final Calculation Sheet'!$AB$4:$AB$40,$BA37-3)="","",INDEX('Final Calculation Sheet'!$AB$4:$AB$40,$BA37-3)),"")</f>
        <v/>
      </c>
      <c r="AJ32" s="544">
        <f>IFERROR(IF(INDEX('Final Calculation Sheet'!$AB$4:$AB$40,$BA38-3)="","",INDEX('Final Calculation Sheet'!$AB$4:$AB$40,$BA38-3)),"")</f>
        <v/>
      </c>
      <c r="AK32" s="545">
        <f>IFERROR(IF(INDEX('Final Calculation Sheet'!$AB$4:$AB$40,$BA39-3)="","",INDEX('Final Calculation Sheet'!$AB$4:$AB$40,$BA39-3)),"")</f>
        <v/>
      </c>
      <c r="AL32" s="544">
        <f>IFERROR(IF(INDEX('Final Calculation Sheet'!$AB$4:$AB$40,$BA40-3)="","",INDEX('Final Calculation Sheet'!$AB$4:$AB$40,$BA40-3)),"")</f>
        <v/>
      </c>
      <c r="AM32" s="605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Sheet'!$AC$4:$AC$40,$BA4-3)="","",INDEX('Final Calculation Sheet'!$AC$4:$AC$40,$BA4-3)),"")</f>
        <v/>
      </c>
      <c r="C33" s="545">
        <f>IFERROR(IF(INDEX('Final Calculation Sheet'!$AC$4:$AC$40,$BA5-3)="","",INDEX('Final Calculation Sheet'!$AC$4:$AC$40,$BA5-3)),"")</f>
        <v/>
      </c>
      <c r="D33" s="544">
        <f>IFERROR(IF(INDEX('Final Calculation Sheet'!$AC$4:$AC$40,$BA6-3)="","",INDEX('Final Calculation Sheet'!$AC$4:$AC$40,$BA6-3)),"")</f>
        <v/>
      </c>
      <c r="E33" s="545">
        <f>IFERROR(IF(INDEX('Final Calculation Sheet'!$AC$4:$AC$40,$BA7-3)="","",INDEX('Final Calculation Sheet'!$AC$4:$AC$40,$BA7-3)),"")</f>
        <v/>
      </c>
      <c r="F33" s="544">
        <f>IFERROR(IF(INDEX('Final Calculation Sheet'!$AC$4:$AC$40,$BA8-3)="","",INDEX('Final Calculation Sheet'!$AC$4:$AC$40,$BA8-3)),"")</f>
        <v/>
      </c>
      <c r="G33" s="545">
        <f>IFERROR(IF(INDEX('Final Calculation Sheet'!$AC$4:$AC$40,$BA9-3)="","",INDEX('Final Calculation Sheet'!$AC$4:$AC$40,$BA9-3)),"")</f>
        <v/>
      </c>
      <c r="H33" s="544">
        <f>IFERROR(IF(INDEX('Final Calculation Sheet'!$AC$4:$AC$40,$BA10-3)="","",INDEX('Final Calculation Sheet'!$AC$4:$AC$40,$BA10-3)),"")</f>
        <v/>
      </c>
      <c r="I33" s="545">
        <f>IFERROR(IF(INDEX('Final Calculation Sheet'!$AC$4:$AC$40,$BA11-3)="","",INDEX('Final Calculation Sheet'!$AC$4:$AC$40,$BA11-3)),"")</f>
        <v/>
      </c>
      <c r="J33" s="544">
        <f>IFERROR(IF(INDEX('Final Calculation Sheet'!$AC$4:$AC$40,$BA12-3)="","",INDEX('Final Calculation Sheet'!$AC$4:$AC$40,$BA12-3)),"")</f>
        <v/>
      </c>
      <c r="K33" s="545">
        <f>IFERROR(IF(INDEX('Final Calculation Sheet'!$AC$4:$AC$40,$BA13-3)="","",INDEX('Final Calculation Sheet'!$AC$4:$AC$40,$BA13-3)),"")</f>
        <v/>
      </c>
      <c r="L33" s="544">
        <f>IFERROR(IF(INDEX('Final Calculation Sheet'!$AC$4:$AC$40,$BA14-3)="","",INDEX('Final Calculation Sheet'!$AC$4:$AC$40,$BA14-3)),"")</f>
        <v/>
      </c>
      <c r="M33" s="545">
        <f>IFERROR(IF(INDEX('Final Calculation Sheet'!$AC$4:$AC$40,$BA15-3)="","",INDEX('Final Calculation Sheet'!$AC$4:$AC$40,$BA15-3)),"")</f>
        <v/>
      </c>
      <c r="N33" s="544">
        <f>IFERROR(IF(INDEX('Final Calculation Sheet'!$AC$4:$AC$40,$BA16-3)="","",INDEX('Final Calculation Sheet'!$AC$4:$AC$40,$BA16-3)),"")</f>
        <v/>
      </c>
      <c r="O33" s="545">
        <f>IFERROR(IF(INDEX('Final Calculation Sheet'!$AC$4:$AC$40,$BA17-3)="","",INDEX('Final Calculation Sheet'!$AC$4:$AC$40,$BA17-3)),"")</f>
        <v/>
      </c>
      <c r="P33" s="544">
        <f>IFERROR(IF(INDEX('Final Calculation Sheet'!$AC$4:$AC$40,$BA18-3)="","",INDEX('Final Calculation Sheet'!$AC$4:$AC$40,$BA18-3)),"")</f>
        <v/>
      </c>
      <c r="Q33" s="545">
        <f>IFERROR(IF(INDEX('Final Calculation Sheet'!$AC$4:$AC$40,$BA19-3)="","",INDEX('Final Calculation Sheet'!$AC$4:$AC$40,$BA19-3)),"")</f>
        <v/>
      </c>
      <c r="R33" s="544">
        <f>IFERROR(IF(INDEX('Final Calculation Sheet'!$AC$4:$AC$40,$BA20-3)="","",INDEX('Final Calculation Sheet'!$AC$4:$AC$40,$BA20-3)),"")</f>
        <v/>
      </c>
      <c r="S33" s="545">
        <f>IFERROR(IF(INDEX('Final Calculation Sheet'!$AC$4:$AC$40,$BA21-3)="","",INDEX('Final Calculation Sheet'!$AC$4:$AC$40,$BA21-3)),"")</f>
        <v/>
      </c>
      <c r="T33" s="544">
        <f>IFERROR(IF(INDEX('Final Calculation Sheet'!$AC$4:$AC$40,$BA22-3)="","",INDEX('Final Calculation Sheet'!$AC$4:$AC$40,$BA22-3)),"")</f>
        <v/>
      </c>
      <c r="U33" s="545">
        <f>IFERROR(IF(INDEX('Final Calculation Sheet'!$AC$4:$AC$40,$BA23-3)="","",INDEX('Final Calculation Sheet'!$AC$4:$AC$40,$BA23-3)),"")</f>
        <v/>
      </c>
      <c r="V33" s="544">
        <f>IFERROR(IF(INDEX('Final Calculation Sheet'!$AC$4:$AC$40,$BA24-3)="","",INDEX('Final Calculation Sheet'!$AC$4:$AC$40,$BA24-3)),"")</f>
        <v/>
      </c>
      <c r="W33" s="545">
        <f>IFERROR(IF(INDEX('Final Calculation Sheet'!$AC$4:$AC$40,$BA25-3)="","",INDEX('Final Calculation Sheet'!$AC$4:$AC$40,$BA25-3)),"")</f>
        <v/>
      </c>
      <c r="X33" s="544">
        <f>IFERROR(IF(INDEX('Final Calculation Sheet'!$AC$4:$AC$40,$BA26-3)="","",INDEX('Final Calculation Sheet'!$AC$4:$AC$40,$BA26-3)),"")</f>
        <v/>
      </c>
      <c r="Y33" s="545">
        <f>IFERROR(IF(INDEX('Final Calculation Sheet'!$AC$4:$AC$40,$BA27-3)="","",INDEX('Final Calculation Sheet'!$AC$4:$AC$40,$BA27-3)),"")</f>
        <v/>
      </c>
      <c r="Z33" s="544">
        <f>IFERROR(IF(INDEX('Final Calculation Sheet'!$AC$4:$AC$40,$BA28-3)="","",INDEX('Final Calculation Sheet'!$AC$4:$AC$40,$BA28-3)),"")</f>
        <v/>
      </c>
      <c r="AA33" s="545">
        <f>IFERROR(IF(INDEX('Final Calculation Sheet'!$AC$4:$AC$40,$BA29-3)="","",INDEX('Final Calculation Sheet'!$AC$4:$AC$40,$BA29-3)),"")</f>
        <v/>
      </c>
      <c r="AB33" s="544">
        <f>IFERROR(IF(INDEX('Final Calculation Sheet'!$AC$4:$AC$40,$BA30-3)="","",INDEX('Final Calculation Sheet'!$AC$4:$AC$40,$BA30-3)),"")</f>
        <v/>
      </c>
      <c r="AC33" s="545">
        <f>IFERROR(IF(INDEX('Final Calculation Sheet'!$AC$4:$AC$40,$BA31-3)="","",INDEX('Final Calculation Sheet'!$AC$4:$AC$40,$BA31-3)),"")</f>
        <v/>
      </c>
      <c r="AD33" s="544">
        <f>IFERROR(IF(INDEX('Final Calculation Sheet'!$AC$4:$AC$40,$BA32-3)="","",INDEX('Final Calculation Sheet'!$AC$4:$AC$40,$BA32-3)),"")</f>
        <v/>
      </c>
      <c r="AE33" s="545">
        <f>IFERROR(IF(INDEX('Final Calculation Sheet'!$AC$4:$AC$40,$BA33-3)="","",INDEX('Final Calculation Sheet'!$AC$4:$AC$40,$BA33-3)),"")</f>
        <v/>
      </c>
      <c r="AF33" s="544">
        <f>IFERROR(IF(INDEX('Final Calculation Sheet'!$AC$4:$AC$40,$BA34-3)="","",INDEX('Final Calculation Sheet'!$AC$4:$AC$40,$BA34-3)),"")</f>
        <v/>
      </c>
      <c r="AG33" s="545">
        <f>IFERROR(IF(INDEX('Final Calculation Sheet'!$AC$4:$AC$40,$BA35-3)="","",INDEX('Final Calculation Sheet'!$AC$4:$AC$40,$BA35-3)),"")</f>
        <v/>
      </c>
      <c r="AH33" s="544">
        <f>IFERROR(IF(INDEX('Final Calculation Sheet'!$AC$4:$AC$40,$BA36-3)="","",INDEX('Final Calculation Sheet'!$AC$4:$AC$40,$BA36-3)),"")</f>
        <v/>
      </c>
      <c r="AI33" s="545">
        <f>IFERROR(IF(INDEX('Final Calculation Sheet'!$AC$4:$AC$40,$BA37-3)="","",INDEX('Final Calculation Sheet'!$AC$4:$AC$40,$BA37-3)),"")</f>
        <v/>
      </c>
      <c r="AJ33" s="544">
        <f>IFERROR(IF(INDEX('Final Calculation Sheet'!$AC$4:$AC$40,$BA38-3)="","",INDEX('Final Calculation Sheet'!$AC$4:$AC$40,$BA38-3)),"")</f>
        <v/>
      </c>
      <c r="AK33" s="545">
        <f>IFERROR(IF(INDEX('Final Calculation Sheet'!$AC$4:$AC$40,$BA39-3)="","",INDEX('Final Calculation Sheet'!$AC$4:$AC$40,$BA39-3)),"")</f>
        <v/>
      </c>
      <c r="AL33" s="544">
        <f>IFERROR(IF(INDEX('Final Calculation Sheet'!$AC$4:$AC$40,$BA40-3)="","",INDEX('Final Calculation Sheet'!$AC$4:$AC$40,$BA40-3)),"")</f>
        <v/>
      </c>
      <c r="AM33" s="546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Sheet'!$AD$4:$AD$40,$BA4-3)="","",INDEX('Final Calculation Sheet'!$AD$4:$AD$40,$BA4-3)),"")</f>
        <v/>
      </c>
      <c r="C34" s="545">
        <f>IFERROR(IF(INDEX('Final Calculation Sheet'!$AD$4:$AD$40,$BA5-3)="","",INDEX('Final Calculation Sheet'!$AD$4:$AD$40,$BA5-3)),"")</f>
        <v/>
      </c>
      <c r="D34" s="544">
        <f>IFERROR(IF(INDEX('Final Calculation Sheet'!$AD$4:$AD$40,$BA6-3)="","",INDEX('Final Calculation Sheet'!$AD$4:$AD$40,$BA6-3)),"")</f>
        <v/>
      </c>
      <c r="E34" s="545">
        <f>IFERROR(IF(INDEX('Final Calculation Sheet'!$AD$4:$AD$40,$BA7-3)="","",INDEX('Final Calculation Sheet'!$AD$4:$AD$40,$BA7-3)),"")</f>
        <v/>
      </c>
      <c r="F34" s="544">
        <f>IFERROR(IF(INDEX('Final Calculation Sheet'!$AD$4:$AD$40,$BA8-3)="","",INDEX('Final Calculation Sheet'!$AD$4:$AD$40,$BA8-3)),"")</f>
        <v/>
      </c>
      <c r="G34" s="545">
        <f>IFERROR(IF(INDEX('Final Calculation Sheet'!$AD$4:$AD$40,$BA9-3)="","",INDEX('Final Calculation Sheet'!$AD$4:$AD$40,$BA9-3)),"")</f>
        <v/>
      </c>
      <c r="H34" s="544">
        <f>IFERROR(IF(INDEX('Final Calculation Sheet'!$AD$4:$AD$40,$BA10-3)="","",INDEX('Final Calculation Sheet'!$AD$4:$AD$40,$BA10-3)),"")</f>
        <v/>
      </c>
      <c r="I34" s="545">
        <f>IFERROR(IF(INDEX('Final Calculation Sheet'!$AD$4:$AD$40,$BA11-3)="","",INDEX('Final Calculation Sheet'!$AD$4:$AD$40,$BA11-3)),"")</f>
        <v/>
      </c>
      <c r="J34" s="544">
        <f>IFERROR(IF(INDEX('Final Calculation Sheet'!$AD$4:$AD$40,$BA12-3)="","",INDEX('Final Calculation Sheet'!$AD$4:$AD$40,$BA12-3)),"")</f>
        <v/>
      </c>
      <c r="K34" s="545">
        <f>IFERROR(IF(INDEX('Final Calculation Sheet'!$AD$4:$AD$40,$BA13-3)="","",INDEX('Final Calculation Sheet'!$AD$4:$AD$40,$BA13-3)),"")</f>
        <v/>
      </c>
      <c r="L34" s="544">
        <f>IFERROR(IF(INDEX('Final Calculation Sheet'!$AD$4:$AD$40,$BA14-3)="","",INDEX('Final Calculation Sheet'!$AD$4:$AD$40,$BA14-3)),"")</f>
        <v/>
      </c>
      <c r="M34" s="545">
        <f>IFERROR(IF(INDEX('Final Calculation Sheet'!$AD$4:$AD$40,$BA15-3)="","",INDEX('Final Calculation Sheet'!$AD$4:$AD$40,$BA15-3)),"")</f>
        <v/>
      </c>
      <c r="N34" s="544">
        <f>IFERROR(IF(INDEX('Final Calculation Sheet'!$AD$4:$AD$40,$BA16-3)="","",INDEX('Final Calculation Sheet'!$AD$4:$AD$40,$BA16-3)),"")</f>
        <v/>
      </c>
      <c r="O34" s="545">
        <f>IFERROR(IF(INDEX('Final Calculation Sheet'!$AD$4:$AD$40,$BA17-3)="","",INDEX('Final Calculation Sheet'!$AD$4:$AD$40,$BA17-3)),"")</f>
        <v/>
      </c>
      <c r="P34" s="544">
        <f>IFERROR(IF(INDEX('Final Calculation Sheet'!$AD$4:$AD$40,$BA18-3)="","",INDEX('Final Calculation Sheet'!$AD$4:$AD$40,$BA18-3)),"")</f>
        <v/>
      </c>
      <c r="Q34" s="545">
        <f>IFERROR(IF(INDEX('Final Calculation Sheet'!$AD$4:$AD$40,$BA19-3)="","",INDEX('Final Calculation Sheet'!$AD$4:$AD$40,$BA19-3)),"")</f>
        <v/>
      </c>
      <c r="R34" s="544">
        <f>IFERROR(IF(INDEX('Final Calculation Sheet'!$AD$4:$AD$40,$BA20-3)="","",INDEX('Final Calculation Sheet'!$AD$4:$AD$40,$BA20-3)),"")</f>
        <v/>
      </c>
      <c r="S34" s="545">
        <f>IFERROR(IF(INDEX('Final Calculation Sheet'!$AD$4:$AD$40,$BA21-3)="","",INDEX('Final Calculation Sheet'!$AD$4:$AD$40,$BA21-3)),"")</f>
        <v/>
      </c>
      <c r="T34" s="544">
        <f>IFERROR(IF(INDEX('Final Calculation Sheet'!$AD$4:$AD$40,$BA22-3)="","",INDEX('Final Calculation Sheet'!$AD$4:$AD$40,$BA22-3)),"")</f>
        <v/>
      </c>
      <c r="U34" s="545">
        <f>IFERROR(IF(INDEX('Final Calculation Sheet'!$AD$4:$AD$40,$BA23-3)="","",INDEX('Final Calculation Sheet'!$AD$4:$AD$40,$BA23-3)),"")</f>
        <v/>
      </c>
      <c r="V34" s="544">
        <f>IFERROR(IF(INDEX('Final Calculation Sheet'!$AD$4:$AD$40,$BA24-3)="","",INDEX('Final Calculation Sheet'!$AD$4:$AD$40,$BA24-3)),"")</f>
        <v/>
      </c>
      <c r="W34" s="545">
        <f>IFERROR(IF(INDEX('Final Calculation Sheet'!$AD$4:$AD$40,$BA25-3)="","",INDEX('Final Calculation Sheet'!$AD$4:$AD$40,$BA25-3)),"")</f>
        <v/>
      </c>
      <c r="X34" s="544">
        <f>IFERROR(IF(INDEX('Final Calculation Sheet'!$AD$4:$AD$40,$BA26-3)="","",INDEX('Final Calculation Sheet'!$AD$4:$AD$40,$BA26-3)),"")</f>
        <v/>
      </c>
      <c r="Y34" s="545">
        <f>IFERROR(IF(INDEX('Final Calculation Sheet'!$AD$4:$AD$40,$BA27-3)="","",INDEX('Final Calculation Sheet'!$AD$4:$AD$40,$BA27-3)),"")</f>
        <v/>
      </c>
      <c r="Z34" s="544">
        <f>IFERROR(IF(INDEX('Final Calculation Sheet'!$AD$4:$AD$40,$BA28-3)="","",INDEX('Final Calculation Sheet'!$AD$4:$AD$40,$BA28-3)),"")</f>
        <v/>
      </c>
      <c r="AA34" s="545">
        <f>IFERROR(IF(INDEX('Final Calculation Sheet'!$AD$4:$AD$40,$BA29-3)="","",INDEX('Final Calculation Sheet'!$AD$4:$AD$40,$BA29-3)),"")</f>
        <v/>
      </c>
      <c r="AB34" s="544">
        <f>IFERROR(IF(INDEX('Final Calculation Sheet'!$AD$4:$AD$40,$BA30-3)="","",INDEX('Final Calculation Sheet'!$AD$4:$AD$40,$BA30-3)),"")</f>
        <v/>
      </c>
      <c r="AC34" s="545">
        <f>IFERROR(IF(INDEX('Final Calculation Sheet'!$AD$4:$AD$40,$BA31-3)="","",INDEX('Final Calculation Sheet'!$AD$4:$AD$40,$BA31-3)),"")</f>
        <v/>
      </c>
      <c r="AD34" s="544">
        <f>IFERROR(IF(INDEX('Final Calculation Sheet'!$AD$4:$AD$40,$BA32-3)="","",INDEX('Final Calculation Sheet'!$AD$4:$AD$40,$BA32-3)),"")</f>
        <v/>
      </c>
      <c r="AE34" s="545">
        <f>IFERROR(IF(INDEX('Final Calculation Sheet'!$AD$4:$AD$40,$BA33-3)="","",INDEX('Final Calculation Sheet'!$AD$4:$AD$40,$BA33-3)),"")</f>
        <v/>
      </c>
      <c r="AF34" s="544">
        <f>IFERROR(IF(INDEX('Final Calculation Sheet'!$AD$4:$AD$40,$BA34-3)="","",INDEX('Final Calculation Sheet'!$AD$4:$AD$40,$BA34-3)),"")</f>
        <v/>
      </c>
      <c r="AG34" s="545">
        <f>IFERROR(IF(INDEX('Final Calculation Sheet'!$AD$4:$AD$40,$BA35-3)="","",INDEX('Final Calculation Sheet'!$AD$4:$AD$40,$BA35-3)),"")</f>
        <v/>
      </c>
      <c r="AH34" s="544">
        <f>IFERROR(IF(INDEX('Final Calculation Sheet'!$AD$4:$AD$40,$BA36-3)="","",INDEX('Final Calculation Sheet'!$AD$4:$AD$40,$BA36-3)),"")</f>
        <v/>
      </c>
      <c r="AI34" s="545">
        <f>IFERROR(IF(INDEX('Final Calculation Sheet'!$AD$4:$AD$40,$BA37-3)="","",INDEX('Final Calculation Sheet'!$AD$4:$AD$40,$BA37-3)),"")</f>
        <v/>
      </c>
      <c r="AJ34" s="544">
        <f>IFERROR(IF(INDEX('Final Calculation Sheet'!$AD$4:$AD$40,$BA38-3)="","",INDEX('Final Calculation Sheet'!$AD$4:$AD$40,$BA38-3)),"")</f>
        <v/>
      </c>
      <c r="AK34" s="545">
        <f>IFERROR(IF(INDEX('Final Calculation Sheet'!$AD$4:$AD$40,$BA39-3)="","",INDEX('Final Calculation Sheet'!$AD$4:$AD$40,$BA39-3)),"")</f>
        <v/>
      </c>
      <c r="AL34" s="544">
        <f>IFERROR(IF(INDEX('Final Calculation Sheet'!$AD$4:$AD$40,$BA40-3)="","",INDEX('Final Calculation Sheet'!$AD$4:$AD$40,$BA40-3)),"")</f>
        <v/>
      </c>
      <c r="AM34" s="546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Sheet'!$AE$4:$AE$40,$BA4-3)="","",INDEX('Final Calculation Sheet'!$AE$4:$AE$40,$BA4-3)),"")</f>
        <v/>
      </c>
      <c r="C35" s="545">
        <f>IFERROR(IF(INDEX('Final Calculation Sheet'!$AE$4:$AE$40,$BA5-3)="","",INDEX('Final Calculation Sheet'!$AE$4:$AE$40,$BA5-3)),"")</f>
        <v/>
      </c>
      <c r="D35" s="544">
        <f>IFERROR(IF(INDEX('Final Calculation Sheet'!$AE$4:$AE$40,$BA6-3)="","",INDEX('Final Calculation Sheet'!$AE$4:$AE$40,$BA6-3)),"")</f>
        <v/>
      </c>
      <c r="E35" s="545">
        <f>IFERROR(IF(INDEX('Final Calculation Sheet'!$AE$4:$AE$40,$BA7-3)="","",INDEX('Final Calculation Sheet'!$AE$4:$AE$40,$BA7-3)),"")</f>
        <v/>
      </c>
      <c r="F35" s="544">
        <f>IFERROR(IF(INDEX('Final Calculation Sheet'!$AE$4:$AE$40,$BA8-3)="","",INDEX('Final Calculation Sheet'!$AE$4:$AE$40,$BA8-3)),"")</f>
        <v/>
      </c>
      <c r="G35" s="545">
        <f>IFERROR(IF(INDEX('Final Calculation Sheet'!$AE$4:$AE$40,$BA9-3)="","",INDEX('Final Calculation Sheet'!$AE$4:$AE$40,$BA9-3)),"")</f>
        <v/>
      </c>
      <c r="H35" s="544">
        <f>IFERROR(IF(INDEX('Final Calculation Sheet'!$AE$4:$AE$40,$BA10-3)="","",INDEX('Final Calculation Sheet'!$AE$4:$AE$40,$BA10-3)),"")</f>
        <v/>
      </c>
      <c r="I35" s="545">
        <f>IFERROR(IF(INDEX('Final Calculation Sheet'!$AE$4:$AE$40,$BA11-3)="","",INDEX('Final Calculation Sheet'!$AE$4:$AE$40,$BA11-3)),"")</f>
        <v/>
      </c>
      <c r="J35" s="544">
        <f>IFERROR(IF(INDEX('Final Calculation Sheet'!$AE$4:$AE$40,$BA12-3)="","",INDEX('Final Calculation Sheet'!$AE$4:$AE$40,$BA12-3)),"")</f>
        <v/>
      </c>
      <c r="K35" s="545">
        <f>IFERROR(IF(INDEX('Final Calculation Sheet'!$AE$4:$AE$40,$BA13-3)="","",INDEX('Final Calculation Sheet'!$AE$4:$AE$40,$BA13-3)),"")</f>
        <v/>
      </c>
      <c r="L35" s="544">
        <f>IFERROR(IF(INDEX('Final Calculation Sheet'!$AE$4:$AE$40,$BA14-3)="","",INDEX('Final Calculation Sheet'!$AE$4:$AE$40,$BA14-3)),"")</f>
        <v/>
      </c>
      <c r="M35" s="545">
        <f>IFERROR(IF(INDEX('Final Calculation Sheet'!$AE$4:$AE$40,$BA15-3)="","",INDEX('Final Calculation Sheet'!$AE$4:$AE$40,$BA15-3)),"")</f>
        <v/>
      </c>
      <c r="N35" s="544">
        <f>IFERROR(IF(INDEX('Final Calculation Sheet'!$AE$4:$AE$40,$BA16-3)="","",INDEX('Final Calculation Sheet'!$AE$4:$AE$40,$BA16-3)),"")</f>
        <v/>
      </c>
      <c r="O35" s="545">
        <f>IFERROR(IF(INDEX('Final Calculation Sheet'!$AE$4:$AE$40,$BA17-3)="","",INDEX('Final Calculation Sheet'!$AE$4:$AE$40,$BA17-3)),"")</f>
        <v/>
      </c>
      <c r="P35" s="544">
        <f>IFERROR(IF(INDEX('Final Calculation Sheet'!$AE$4:$AE$40,$BA18-3)="","",INDEX('Final Calculation Sheet'!$AE$4:$AE$40,$BA18-3)),"")</f>
        <v/>
      </c>
      <c r="Q35" s="545">
        <f>IFERROR(IF(INDEX('Final Calculation Sheet'!$AE$4:$AE$40,$BA19-3)="","",INDEX('Final Calculation Sheet'!$AE$4:$AE$40,$BA19-3)),"")</f>
        <v/>
      </c>
      <c r="R35" s="544">
        <f>IFERROR(IF(INDEX('Final Calculation Sheet'!$AE$4:$AE$40,$BA20-3)="","",INDEX('Final Calculation Sheet'!$AE$4:$AE$40,$BA20-3)),"")</f>
        <v/>
      </c>
      <c r="S35" s="545">
        <f>IFERROR(IF(INDEX('Final Calculation Sheet'!$AE$4:$AE$40,$BA21-3)="","",INDEX('Final Calculation Sheet'!$AE$4:$AE$40,$BA21-3)),"")</f>
        <v/>
      </c>
      <c r="T35" s="544">
        <f>IFERROR(IF(INDEX('Final Calculation Sheet'!$AE$4:$AE$40,$BA22-3)="","",INDEX('Final Calculation Sheet'!$AE$4:$AE$40,$BA22-3)),"")</f>
        <v/>
      </c>
      <c r="U35" s="545">
        <f>IFERROR(IF(INDEX('Final Calculation Sheet'!$AE$4:$AE$40,$BA23-3)="","",INDEX('Final Calculation Sheet'!$AE$4:$AE$40,$BA23-3)),"")</f>
        <v/>
      </c>
      <c r="V35" s="544">
        <f>IFERROR(IF(INDEX('Final Calculation Sheet'!$AE$4:$AE$40,$BA24-3)="","",INDEX('Final Calculation Sheet'!$AE$4:$AE$40,$BA24-3)),"")</f>
        <v/>
      </c>
      <c r="W35" s="545">
        <f>IFERROR(IF(INDEX('Final Calculation Sheet'!$AE$4:$AE$40,$BA25-3)="","",INDEX('Final Calculation Sheet'!$AE$4:$AE$40,$BA25-3)),"")</f>
        <v/>
      </c>
      <c r="X35" s="544">
        <f>IFERROR(IF(INDEX('Final Calculation Sheet'!$AE$4:$AE$40,$BA26-3)="","",INDEX('Final Calculation Sheet'!$AE$4:$AE$40,$BA26-3)),"")</f>
        <v/>
      </c>
      <c r="Y35" s="545">
        <f>IFERROR(IF(INDEX('Final Calculation Sheet'!$AE$4:$AE$40,$BA27-3)="","",INDEX('Final Calculation Sheet'!$AE$4:$AE$40,$BA27-3)),"")</f>
        <v/>
      </c>
      <c r="Z35" s="544">
        <f>IFERROR(IF(INDEX('Final Calculation Sheet'!$AE$4:$AE$40,$BA28-3)="","",INDEX('Final Calculation Sheet'!$AE$4:$AE$40,$BA28-3)),"")</f>
        <v/>
      </c>
      <c r="AA35" s="545">
        <f>IFERROR(IF(INDEX('Final Calculation Sheet'!$AE$4:$AE$40,$BA29-3)="","",INDEX('Final Calculation Sheet'!$AE$4:$AE$40,$BA29-3)),"")</f>
        <v/>
      </c>
      <c r="AB35" s="544">
        <f>IFERROR(IF(INDEX('Final Calculation Sheet'!$AE$4:$AE$40,$BA30-3)="","",INDEX('Final Calculation Sheet'!$AE$4:$AE$40,$BA30-3)),"")</f>
        <v/>
      </c>
      <c r="AC35" s="545">
        <f>IFERROR(IF(INDEX('Final Calculation Sheet'!$AE$4:$AE$40,$BA31-3)="","",INDEX('Final Calculation Sheet'!$AE$4:$AE$40,$BA31-3)),"")</f>
        <v/>
      </c>
      <c r="AD35" s="544">
        <f>IFERROR(IF(INDEX('Final Calculation Sheet'!$AE$4:$AE$40,$BA32-3)="","",INDEX('Final Calculation Sheet'!$AE$4:$AE$40,$BA32-3)),"")</f>
        <v/>
      </c>
      <c r="AE35" s="545">
        <f>IFERROR(IF(INDEX('Final Calculation Sheet'!$AE$4:$AE$40,$BA33-3)="","",INDEX('Final Calculation Sheet'!$AE$4:$AE$40,$BA33-3)),"")</f>
        <v/>
      </c>
      <c r="AF35" s="544">
        <f>IFERROR(IF(INDEX('Final Calculation Sheet'!$AE$4:$AE$40,$BA34-3)="","",INDEX('Final Calculation Sheet'!$AE$4:$AE$40,$BA34-3)),"")</f>
        <v/>
      </c>
      <c r="AG35" s="545">
        <f>IFERROR(IF(INDEX('Final Calculation Sheet'!$AE$4:$AE$40,$BA35-3)="","",INDEX('Final Calculation Sheet'!$AE$4:$AE$40,$BA35-3)),"")</f>
        <v/>
      </c>
      <c r="AH35" s="544">
        <f>IFERROR(IF(INDEX('Final Calculation Sheet'!$AE$4:$AE$40,$BA36-3)="","",INDEX('Final Calculation Sheet'!$AE$4:$AE$40,$BA36-3)),"")</f>
        <v/>
      </c>
      <c r="AI35" s="545">
        <f>IFERROR(IF(INDEX('Final Calculation Sheet'!$AE$4:$AE$40,$BA37-3)="","",INDEX('Final Calculation Sheet'!$AE$4:$AE$40,$BA37-3)),"")</f>
        <v/>
      </c>
      <c r="AJ35" s="544">
        <f>IFERROR(IF(INDEX('Final Calculation Sheet'!$AE$4:$AE$40,$BA38-3)="","",INDEX('Final Calculation Sheet'!$AE$4:$AE$40,$BA38-3)),"")</f>
        <v/>
      </c>
      <c r="AK35" s="545">
        <f>IFERROR(IF(INDEX('Final Calculation Sheet'!$AE$4:$AE$40,$BA39-3)="","",INDEX('Final Calculation Sheet'!$AE$4:$AE$40,$BA39-3)),"")</f>
        <v/>
      </c>
      <c r="AL35" s="544">
        <f>IFERROR(IF(INDEX('Final Calculation Sheet'!$AE$4:$AE$40,$BA40-3)="","",INDEX('Final Calculation Sheet'!$AE$4:$AE$40,$BA40-3)),"")</f>
        <v/>
      </c>
      <c r="AM35" s="605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Sheet'!$AF$4:$AF$40,$BA4-3)="","",INDEX('Final Calculation Sheet'!$AF$4:$AF$40,$BA4-3)),"")</f>
        <v/>
      </c>
      <c r="C36" s="556">
        <f>IFERROR(IF(INDEX('Final Calculation Sheet'!$AF$4:$AF$40,$BA5-3)="","",INDEX('Final Calculation Sheet'!$AF$4:$AF$40,$BA5-3)),"")</f>
        <v/>
      </c>
      <c r="D36" s="555">
        <f>IFERROR(IF(INDEX('Final Calculation Sheet'!$AF$4:$AF$40,$BA6-3)="","",INDEX('Final Calculation Sheet'!$AF$4:$AF$40,$BA6-3)),"")</f>
        <v/>
      </c>
      <c r="E36" s="556">
        <f>IFERROR(IF(INDEX('Final Calculation Sheet'!$AF$4:$AF$40,$BA7-3)="","",INDEX('Final Calculation Sheet'!$AF$4:$AF$40,$BA7-3)),"")</f>
        <v/>
      </c>
      <c r="F36" s="555">
        <f>IFERROR(IF(INDEX('Final Calculation Sheet'!$AF$4:$AF$40,$BA8-3)="","",INDEX('Final Calculation Sheet'!$AF$4:$AF$40,$BA8-3)),"")</f>
        <v/>
      </c>
      <c r="G36" s="556">
        <f>IFERROR(IF(INDEX('Final Calculation Sheet'!$AF$4:$AF$40,$BA9-3)="","",INDEX('Final Calculation Sheet'!$AF$4:$AF$40,$BA9-3)),"")</f>
        <v/>
      </c>
      <c r="H36" s="555">
        <f>IFERROR(IF(INDEX('Final Calculation Sheet'!$AF$4:$AF$40,$BA10-3)="","",INDEX('Final Calculation Sheet'!$AF$4:$AF$40,$BA10-3)),"")</f>
        <v/>
      </c>
      <c r="I36" s="556">
        <f>IFERROR(IF(INDEX('Final Calculation Sheet'!$AF$4:$AF$40,$BA11-3)="","",INDEX('Final Calculation Sheet'!$AF$4:$AF$40,$BA11-3)),"")</f>
        <v/>
      </c>
      <c r="J36" s="555">
        <f>IFERROR(IF(INDEX('Final Calculation Sheet'!$AF$4:$AF$40,$BA12-3)="","",INDEX('Final Calculation Sheet'!$AF$4:$AF$40,$BA12-3)),"")</f>
        <v/>
      </c>
      <c r="K36" s="556">
        <f>IFERROR(IF(INDEX('Final Calculation Sheet'!$AF$4:$AF$40,$BA13-3)="","",INDEX('Final Calculation Sheet'!$AF$4:$AF$40,$BA13-3)),"")</f>
        <v/>
      </c>
      <c r="L36" s="555">
        <f>IFERROR(IF(INDEX('Final Calculation Sheet'!$AF$4:$AF$40,$BA14-3)="","",INDEX('Final Calculation Sheet'!$AF$4:$AF$40,$BA14-3)),"")</f>
        <v/>
      </c>
      <c r="M36" s="556">
        <f>IFERROR(IF(INDEX('Final Calculation Sheet'!$AF$4:$AF$40,$BA15-3)="","",INDEX('Final Calculation Sheet'!$AF$4:$AF$40,$BA15-3)),"")</f>
        <v/>
      </c>
      <c r="N36" s="555">
        <f>IFERROR(IF(INDEX('Final Calculation Sheet'!$AF$4:$AF$40,$BA16-3)="","",INDEX('Final Calculation Sheet'!$AF$4:$AF$40,$BA16-3)),"")</f>
        <v/>
      </c>
      <c r="O36" s="556">
        <f>IFERROR(IF(INDEX('Final Calculation Sheet'!$AF$4:$AF$40,$BA17-3)="","",INDEX('Final Calculation Sheet'!$AF$4:$AF$40,$BA17-3)),"")</f>
        <v/>
      </c>
      <c r="P36" s="555">
        <f>IFERROR(IF(INDEX('Final Calculation Sheet'!$AF$4:$AF$40,$BA18-3)="","",INDEX('Final Calculation Sheet'!$AF$4:$AF$40,$BA18-3)),"")</f>
        <v/>
      </c>
      <c r="Q36" s="556">
        <f>IFERROR(IF(INDEX('Final Calculation Sheet'!$AF$4:$AF$40,$BA19-3)="","",INDEX('Final Calculation Sheet'!$AF$4:$AF$40,$BA19-3)),"")</f>
        <v/>
      </c>
      <c r="R36" s="555">
        <f>IFERROR(IF(INDEX('Final Calculation Sheet'!$AF$4:$AF$40,$BA20-3)="","",INDEX('Final Calculation Sheet'!$AF$4:$AF$40,$BA20-3)),"")</f>
        <v/>
      </c>
      <c r="S36" s="556">
        <f>IFERROR(IF(INDEX('Final Calculation Sheet'!$AF$4:$AF$40,$BA21-3)="","",INDEX('Final Calculation Sheet'!$AF$4:$AF$40,$BA21-3)),"")</f>
        <v/>
      </c>
      <c r="T36" s="555">
        <f>IFERROR(IF(INDEX('Final Calculation Sheet'!$AF$4:$AF$40,$BA22-3)="","",INDEX('Final Calculation Sheet'!$AF$4:$AF$40,$BA22-3)),"")</f>
        <v/>
      </c>
      <c r="U36" s="556">
        <f>IFERROR(IF(INDEX('Final Calculation Sheet'!$AF$4:$AF$40,$BA23-3)="","",INDEX('Final Calculation Sheet'!$AF$4:$AF$40,$BA23-3)),"")</f>
        <v/>
      </c>
      <c r="V36" s="555">
        <f>IFERROR(IF(INDEX('Final Calculation Sheet'!$AF$4:$AF$40,$BA24-3)="","",INDEX('Final Calculation Sheet'!$AF$4:$AF$40,$BA24-3)),"")</f>
        <v/>
      </c>
      <c r="W36" s="556">
        <f>IFERROR(IF(INDEX('Final Calculation Sheet'!$AF$4:$AF$40,$BA25-3)="","",INDEX('Final Calculation Sheet'!$AF$4:$AF$40,$BA25-3)),"")</f>
        <v/>
      </c>
      <c r="X36" s="555">
        <f>IFERROR(IF(INDEX('Final Calculation Sheet'!$AF$4:$AF$40,$BA26-3)="","",INDEX('Final Calculation Sheet'!$AF$4:$AF$40,$BA26-3)),"")</f>
        <v/>
      </c>
      <c r="Y36" s="556">
        <f>IFERROR(IF(INDEX('Final Calculation Sheet'!$AF$4:$AF$40,$BA27-3)="","",INDEX('Final Calculation Sheet'!$AF$4:$AF$40,$BA27-3)),"")</f>
        <v/>
      </c>
      <c r="Z36" s="555">
        <f>IFERROR(IF(INDEX('Final Calculation Sheet'!$AF$4:$AF$40,$BA28-3)="","",INDEX('Final Calculation Sheet'!$AF$4:$AF$40,$BA28-3)),"")</f>
        <v/>
      </c>
      <c r="AA36" s="556">
        <f>IFERROR(IF(INDEX('Final Calculation Sheet'!$AF$4:$AF$40,$BA29-3)="","",INDEX('Final Calculation Sheet'!$AF$4:$AF$40,$BA29-3)),"")</f>
        <v/>
      </c>
      <c r="AB36" s="555">
        <f>IFERROR(IF(INDEX('Final Calculation Sheet'!$AF$4:$AF$40,$BA30-3)="","",INDEX('Final Calculation Sheet'!$AF$4:$AF$40,$BA30-3)),"")</f>
        <v/>
      </c>
      <c r="AC36" s="556">
        <f>IFERROR(IF(INDEX('Final Calculation Sheet'!$AF$4:$AF$40,$BA31-3)="","",INDEX('Final Calculation Sheet'!$AF$4:$AF$40,$BA31-3)),"")</f>
        <v/>
      </c>
      <c r="AD36" s="555">
        <f>IFERROR(IF(INDEX('Final Calculation Sheet'!$AF$4:$AF$40,$BA32-3)="","",INDEX('Final Calculation Sheet'!$AF$4:$AF$40,$BA32-3)),"")</f>
        <v/>
      </c>
      <c r="AE36" s="556">
        <f>IFERROR(IF(INDEX('Final Calculation Sheet'!$AF$4:$AF$40,$BA33-3)="","",INDEX('Final Calculation Sheet'!$AF$4:$AF$40,$BA33-3)),"")</f>
        <v/>
      </c>
      <c r="AF36" s="555">
        <f>IFERROR(IF(INDEX('Final Calculation Sheet'!$AF$4:$AF$40,$BA34-3)="","",INDEX('Final Calculation Sheet'!$AF$4:$AF$40,$BA34-3)),"")</f>
        <v/>
      </c>
      <c r="AG36" s="556">
        <f>IFERROR(IF(INDEX('Final Calculation Sheet'!$AF$4:$AF$40,$BA35-3)="","",INDEX('Final Calculation Sheet'!$AF$4:$AF$40,$BA35-3)),"")</f>
        <v/>
      </c>
      <c r="AH36" s="555">
        <f>IFERROR(IF(INDEX('Final Calculation Sheet'!$AF$4:$AF$40,$BA36-3)="","",INDEX('Final Calculation Sheet'!$AF$4:$AF$40,$BA36-3)),"")</f>
        <v/>
      </c>
      <c r="AI36" s="556">
        <f>IFERROR(IF(INDEX('Final Calculation Sheet'!$AF$4:$AF$40,$BA37-3)="","",INDEX('Final Calculation Sheet'!$AF$4:$AF$40,$BA37-3)),"")</f>
        <v/>
      </c>
      <c r="AJ36" s="555">
        <f>IFERROR(IF(INDEX('Final Calculation Sheet'!$AF$4:$AF$40,$BA38-3)="","",INDEX('Final Calculation Sheet'!$AF$4:$AF$40,$BA38-3)),"")</f>
        <v/>
      </c>
      <c r="AK36" s="556">
        <f>IFERROR(IF(INDEX('Final Calculation Sheet'!$AF$4:$AF$40,$BA39-3)="","",INDEX('Final Calculation Sheet'!$AF$4:$AF$40,$BA39-3)),"")</f>
        <v/>
      </c>
      <c r="AL36" s="555">
        <f>IFERROR(IF(INDEX('Final Calculation Sheet'!$AF$4:$AF$40,$BA40-3)="","",INDEX('Final Calculation Sheet'!$AF$4:$AF$40,$BA40-3)),"")</f>
        <v/>
      </c>
      <c r="AM36" s="605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Sheet'!$AG$4:$AG$40,$BA4-3)="","",INDEX('Final Calculation Sheet'!$AG$4:$AG$40,$BA4-3)),"")</f>
        <v/>
      </c>
      <c r="C37" s="545">
        <f>IFERROR(IF(INDEX('Final Calculation Sheet'!$AG$4:$AG$40,$BA5-3)="","",INDEX('Final Calculation Sheet'!$AG$4:$AG$40,$BA5-3)),"")</f>
        <v/>
      </c>
      <c r="D37" s="544">
        <f>IFERROR(IF(INDEX('Final Calculation Sheet'!$AG$4:$AG$40,$BA6-3)="","",INDEX('Final Calculation Sheet'!$AG$4:$AG$40,$BA6-3)),"")</f>
        <v/>
      </c>
      <c r="E37" s="545">
        <f>IFERROR(IF(INDEX('Final Calculation Sheet'!$AG$4:$AG$40,$BA7-3)="","",INDEX('Final Calculation Sheet'!$AG$4:$AG$40,$BA7-3)),"")</f>
        <v/>
      </c>
      <c r="F37" s="544">
        <f>IFERROR(IF(INDEX('Final Calculation Sheet'!$AG$4:$AG$40,$BA8-3)="","",INDEX('Final Calculation Sheet'!$AG$4:$AG$40,$BA8-3)),"")</f>
        <v/>
      </c>
      <c r="G37" s="545">
        <f>IFERROR(IF(INDEX('Final Calculation Sheet'!$AG$4:$AG$40,$BA9-3)="","",INDEX('Final Calculation Sheet'!$AG$4:$AG$40,$BA9-3)),"")</f>
        <v/>
      </c>
      <c r="H37" s="544">
        <f>IFERROR(IF(INDEX('Final Calculation Sheet'!$AG$4:$AG$40,$BA10-3)="","",INDEX('Final Calculation Sheet'!$AG$4:$AG$40,$BA10-3)),"")</f>
        <v/>
      </c>
      <c r="I37" s="545">
        <f>IFERROR(IF(INDEX('Final Calculation Sheet'!$AG$4:$AG$40,$BA11-3)="","",INDEX('Final Calculation Sheet'!$AG$4:$AG$40,$BA11-3)),"")</f>
        <v/>
      </c>
      <c r="J37" s="544">
        <f>IFERROR(IF(INDEX('Final Calculation Sheet'!$AG$4:$AG$40,$BA12-3)="","",INDEX('Final Calculation Sheet'!$AG$4:$AG$40,$BA12-3)),"")</f>
        <v/>
      </c>
      <c r="K37" s="545">
        <f>IFERROR(IF(INDEX('Final Calculation Sheet'!$AG$4:$AG$40,$BA13-3)="","",INDEX('Final Calculation Sheet'!$AG$4:$AG$40,$BA13-3)),"")</f>
        <v/>
      </c>
      <c r="L37" s="544">
        <f>IFERROR(IF(INDEX('Final Calculation Sheet'!$AG$4:$AG$40,$BA14-3)="","",INDEX('Final Calculation Sheet'!$AG$4:$AG$40,$BA14-3)),"")</f>
        <v/>
      </c>
      <c r="M37" s="545">
        <f>IFERROR(IF(INDEX('Final Calculation Sheet'!$AG$4:$AG$40,$BA15-3)="","",INDEX('Final Calculation Sheet'!$AG$4:$AG$40,$BA15-3)),"")</f>
        <v/>
      </c>
      <c r="N37" s="544">
        <f>IFERROR(IF(INDEX('Final Calculation Sheet'!$AG$4:$AG$40,$BA16-3)="","",INDEX('Final Calculation Sheet'!$AG$4:$AG$40,$BA16-3)),"")</f>
        <v/>
      </c>
      <c r="O37" s="545">
        <f>IFERROR(IF(INDEX('Final Calculation Sheet'!$AG$4:$AG$40,$BA17-3)="","",INDEX('Final Calculation Sheet'!$AG$4:$AG$40,$BA17-3)),"")</f>
        <v/>
      </c>
      <c r="P37" s="544">
        <f>IFERROR(IF(INDEX('Final Calculation Sheet'!$AG$4:$AG$40,$BA18-3)="","",INDEX('Final Calculation Sheet'!$AG$4:$AG$40,$BA18-3)),"")</f>
        <v/>
      </c>
      <c r="Q37" s="545">
        <f>IFERROR(IF(INDEX('Final Calculation Sheet'!$AG$4:$AG$40,$BA19-3)="","",INDEX('Final Calculation Sheet'!$AG$4:$AG$40,$BA19-3)),"")</f>
        <v/>
      </c>
      <c r="R37" s="544">
        <f>IFERROR(IF(INDEX('Final Calculation Sheet'!$AG$4:$AG$40,$BA20-3)="","",INDEX('Final Calculation Sheet'!$AG$4:$AG$40,$BA20-3)),"")</f>
        <v/>
      </c>
      <c r="S37" s="545">
        <f>IFERROR(IF(INDEX('Final Calculation Sheet'!$AG$4:$AG$40,$BA21-3)="","",INDEX('Final Calculation Sheet'!$AG$4:$AG$40,$BA21-3)),"")</f>
        <v/>
      </c>
      <c r="T37" s="544">
        <f>IFERROR(IF(INDEX('Final Calculation Sheet'!$AG$4:$AG$40,$BA22-3)="","",INDEX('Final Calculation Sheet'!$AG$4:$AG$40,$BA22-3)),"")</f>
        <v/>
      </c>
      <c r="U37" s="545">
        <f>IFERROR(IF(INDEX('Final Calculation Sheet'!$AG$4:$AG$40,$BA23-3)="","",INDEX('Final Calculation Sheet'!$AG$4:$AG$40,$BA23-3)),"")</f>
        <v/>
      </c>
      <c r="V37" s="544">
        <f>IFERROR(IF(INDEX('Final Calculation Sheet'!$AG$4:$AG$40,$BA24-3)="","",INDEX('Final Calculation Sheet'!$AG$4:$AG$40,$BA24-3)),"")</f>
        <v/>
      </c>
      <c r="W37" s="545">
        <f>IFERROR(IF(INDEX('Final Calculation Sheet'!$AG$4:$AG$40,$BA25-3)="","",INDEX('Final Calculation Sheet'!$AG$4:$AG$40,$BA25-3)),"")</f>
        <v/>
      </c>
      <c r="X37" s="544">
        <f>IFERROR(IF(INDEX('Final Calculation Sheet'!$AG$4:$AG$40,$BA26-3)="","",INDEX('Final Calculation Sheet'!$AG$4:$AG$40,$BA26-3)),"")</f>
        <v/>
      </c>
      <c r="Y37" s="545">
        <f>IFERROR(IF(INDEX('Final Calculation Sheet'!$AG$4:$AG$40,$BA27-3)="","",INDEX('Final Calculation Sheet'!$AG$4:$AG$40,$BA27-3)),"")</f>
        <v/>
      </c>
      <c r="Z37" s="544">
        <f>IFERROR(IF(INDEX('Final Calculation Sheet'!$AG$4:$AG$40,$BA28-3)="","",INDEX('Final Calculation Sheet'!$AG$4:$AG$40,$BA28-3)),"")</f>
        <v/>
      </c>
      <c r="AA37" s="545">
        <f>IFERROR(IF(INDEX('Final Calculation Sheet'!$AG$4:$AG$40,$BA29-3)="","",INDEX('Final Calculation Sheet'!$AG$4:$AG$40,$BA29-3)),"")</f>
        <v/>
      </c>
      <c r="AB37" s="544">
        <f>IFERROR(IF(INDEX('Final Calculation Sheet'!$AG$4:$AG$40,$BA30-3)="","",INDEX('Final Calculation Sheet'!$AG$4:$AG$40,$BA30-3)),"")</f>
        <v/>
      </c>
      <c r="AC37" s="545">
        <f>IFERROR(IF(INDEX('Final Calculation Sheet'!$AG$4:$AG$40,$BA31-3)="","",INDEX('Final Calculation Sheet'!$AG$4:$AG$40,$BA31-3)),"")</f>
        <v/>
      </c>
      <c r="AD37" s="544">
        <f>IFERROR(IF(INDEX('Final Calculation Sheet'!$AG$4:$AG$40,$BA32-3)="","",INDEX('Final Calculation Sheet'!$AG$4:$AG$40,$BA32-3)),"")</f>
        <v/>
      </c>
      <c r="AE37" s="545">
        <f>IFERROR(IF(INDEX('Final Calculation Sheet'!$AG$4:$AG$40,$BA33-3)="","",INDEX('Final Calculation Sheet'!$AG$4:$AG$40,$BA33-3)),"")</f>
        <v/>
      </c>
      <c r="AF37" s="544">
        <f>IFERROR(IF(INDEX('Final Calculation Sheet'!$AG$4:$AG$40,$BA34-3)="","",INDEX('Final Calculation Sheet'!$AG$4:$AG$40,$BA34-3)),"")</f>
        <v/>
      </c>
      <c r="AG37" s="545">
        <f>IFERROR(IF(INDEX('Final Calculation Sheet'!$AG$4:$AG$40,$BA35-3)="","",INDEX('Final Calculation Sheet'!$AG$4:$AG$40,$BA35-3)),"")</f>
        <v/>
      </c>
      <c r="AH37" s="544">
        <f>IFERROR(IF(INDEX('Final Calculation Sheet'!$AG$4:$AG$40,$BA36-3)="","",INDEX('Final Calculation Sheet'!$AG$4:$AG$40,$BA36-3)),"")</f>
        <v/>
      </c>
      <c r="AI37" s="545">
        <f>IFERROR(IF(INDEX('Final Calculation Sheet'!$AG$4:$AG$40,$BA37-3)="","",INDEX('Final Calculation Sheet'!$AG$4:$AG$40,$BA37-3)),"")</f>
        <v/>
      </c>
      <c r="AJ37" s="544">
        <f>IFERROR(IF(INDEX('Final Calculation Sheet'!$AG$4:$AG$40,$BA38-3)="","",INDEX('Final Calculation Sheet'!$AG$4:$AG$40,$BA38-3)),"")</f>
        <v/>
      </c>
      <c r="AK37" s="545">
        <f>IFERROR(IF(INDEX('Final Calculation Sheet'!$AG$4:$AG$40,$BA39-3)="","",INDEX('Final Calculation Sheet'!$AG$4:$AG$40,$BA39-3)),"")</f>
        <v/>
      </c>
      <c r="AL37" s="544">
        <f>IFERROR(IF(INDEX('Final Calculation Sheet'!$AG$4:$AG$40,$BA40-3)="","",INDEX('Final Calculation Sheet'!$AG$4:$AG$40,$BA40-3)),"")</f>
        <v/>
      </c>
      <c r="AM37" s="605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1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1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399" t="inlineStr">
        <is>
          <t>DETAIL BAND  →</t>
        </is>
      </c>
      <c r="B3" s="233" t="inlineStr">
        <is>
          <t>BUYER OVERVIEW</t>
        </is>
      </c>
      <c r="C3" s="384" t="n"/>
      <c r="D3" s="384" t="n"/>
      <c r="E3" s="384" t="n"/>
      <c r="F3" s="384" t="n"/>
      <c r="G3" s="234" t="inlineStr">
        <is>
          <t>LOT INFORMATION</t>
        </is>
      </c>
      <c r="H3" s="385" t="n"/>
      <c r="I3" s="385" t="n"/>
      <c r="J3" s="235" t="inlineStr">
        <is>
          <t>FINANCIALS</t>
        </is>
      </c>
      <c r="K3" s="386" t="n"/>
      <c r="L3" s="386" t="n"/>
      <c r="M3" s="386" t="n"/>
      <c r="N3" s="386" t="n"/>
      <c r="O3" s="386" t="n"/>
      <c r="P3" s="386" t="n"/>
      <c r="Q3" s="386" t="n"/>
      <c r="R3" s="386" t="n"/>
      <c r="S3" s="386" t="n"/>
      <c r="T3" s="386" t="n"/>
      <c r="U3" s="236" t="inlineStr">
        <is>
          <t>SECURITY DEPOSIT</t>
        </is>
      </c>
      <c r="V3" s="387" t="n"/>
      <c r="W3" s="387" t="n"/>
      <c r="X3" s="237" t="inlineStr">
        <is>
          <t>FINAL PAYMENT</t>
        </is>
      </c>
      <c r="Y3" s="388" t="n"/>
      <c r="Z3" s="388" t="n"/>
      <c r="AA3" s="238" t="inlineStr">
        <is>
          <t>LPP</t>
        </is>
      </c>
      <c r="AB3" s="389" t="n"/>
      <c r="AC3" s="239" t="inlineStr">
        <is>
          <t>DOCUMENT</t>
        </is>
      </c>
      <c r="AD3" s="390" t="n"/>
      <c r="AE3" s="400" t="inlineStr">
        <is>
          <t>RECOVERY</t>
        </is>
      </c>
    </row>
    <row r="4" ht="108" customHeight="1">
      <c r="A4" s="424" t="inlineStr">
        <is>
          <t>BUYER  ▸  |  FIELD →</t>
        </is>
      </c>
      <c r="B4" s="606" t="inlineStr">
        <is>
          <t>Lots</t>
        </is>
      </c>
      <c r="C4" s="606" t="inlineStr">
        <is>
          <t>Mat. Value (₹)</t>
        </is>
      </c>
      <c r="D4" s="606" t="inlineStr">
        <is>
          <t>Total Received (₹)</t>
        </is>
      </c>
      <c r="E4" s="606" t="inlineStr">
        <is>
          <t>Outstanding (₹)</t>
        </is>
      </c>
      <c r="F4" s="606" t="inlineStr">
        <is>
          <t>Payment Status</t>
        </is>
      </c>
      <c r="G4" s="606" t="inlineStr">
        <is>
          <t>Quantity (total)</t>
        </is>
      </c>
      <c r="H4" s="606" t="inlineStr">
        <is>
          <t>Avg Rate (₹)</t>
        </is>
      </c>
      <c r="I4" s="606" t="inlineStr">
        <is>
          <t>Lots pending invoice</t>
        </is>
      </c>
      <c r="J4" s="606" t="inlineStr">
        <is>
          <t>GST @ 18% (₹)</t>
        </is>
      </c>
      <c r="K4" s="606" t="inlineStr">
        <is>
          <t>Mat. Value + GST (₹)</t>
        </is>
      </c>
      <c r="L4" s="606" t="inlineStr">
        <is>
          <t>TCS @ 2% (₹)</t>
        </is>
      </c>
      <c r="M4" s="606" t="inlineStr">
        <is>
          <t>TDS u/s 194(O) (₹)</t>
        </is>
      </c>
      <c r="N4" s="606" t="inlineStr">
        <is>
          <t>Service Charge gross (₹)</t>
        </is>
      </c>
      <c r="O4" s="606" t="inlineStr">
        <is>
          <t>TDS u/s 194(H) (₹)</t>
        </is>
      </c>
      <c r="P4" s="606" t="inlineStr">
        <is>
          <t>Net Service Charge (₹)</t>
        </is>
      </c>
      <c r="Q4" s="606" t="inlineStr">
        <is>
          <t>Svc Charge to MSTC (₹)</t>
        </is>
      </c>
      <c r="R4" s="606" t="inlineStr">
        <is>
          <t>GST TDS (₹)</t>
        </is>
      </c>
      <c r="S4" s="606" t="inlineStr">
        <is>
          <t>GST TDS % (effective)</t>
        </is>
      </c>
      <c r="T4" s="606" t="inlineStr">
        <is>
          <t>Total Receivables (₹)</t>
        </is>
      </c>
      <c r="U4" s="606" t="inlineStr">
        <is>
          <t>SD Expected (₹)</t>
        </is>
      </c>
      <c r="V4" s="606" t="inlineStr">
        <is>
          <t>SD Received (₹)</t>
        </is>
      </c>
      <c r="W4" s="606" t="inlineStr">
        <is>
          <t>SD Outstanding (₹)</t>
        </is>
      </c>
      <c r="X4" s="606" t="inlineStr">
        <is>
          <t>FP Expected (₹)</t>
        </is>
      </c>
      <c r="Y4" s="606" t="inlineStr">
        <is>
          <t>FP Received (₹)</t>
        </is>
      </c>
      <c r="Z4" s="606" t="inlineStr">
        <is>
          <t>FP Outstanding (₹)</t>
        </is>
      </c>
      <c r="AA4" s="606" t="inlineStr">
        <is>
          <t>LPP Expected (₹)</t>
        </is>
      </c>
      <c r="AB4" s="606" t="inlineStr">
        <is>
          <t>LPP Received (₹)</t>
        </is>
      </c>
      <c r="AC4" s="606" t="inlineStr">
        <is>
          <t>Invoices raised</t>
        </is>
      </c>
      <c r="AD4" s="606" t="inlineStr">
        <is>
          <t>SAP Docs posted</t>
        </is>
      </c>
      <c r="AE4" s="606" t="inlineStr">
        <is>
          <t>Collection %</t>
        </is>
      </c>
    </row>
    <row r="5" ht="16" customHeight="1">
      <c r="A5" s="607" t="inlineStr">
        <is>
          <t>AL HAMD TRADE CORPORATION</t>
        </is>
      </c>
      <c r="B5" s="491">
        <f>COUNTIF('Final Calculation Sheet'!$G$4:$G$1000,$A5)</f>
        <v/>
      </c>
      <c r="C5" s="500">
        <f>SUMIF('Final Calculation Sheet'!$G$4:$G$1000,$A5,'Final Calculation Sheet'!$H$4:$H$1000)</f>
        <v/>
      </c>
      <c r="D5" s="500">
        <f>SUMIF('Final Calculation Sheet'!$G$4:$G$1000,$A5,'Final Calculation Sheet'!$AC$4:$AC$1000)</f>
        <v/>
      </c>
      <c r="E5" s="500">
        <f>SUMIF('Final Calculation Sheet'!$G$4:$G$1000,$A5,'Final Calculation Sheet'!$AD$4:$AD$1000)</f>
        <v/>
      </c>
      <c r="F5" s="504">
        <f>IF(SUMIF('Final Calculation Sheet'!$G$4:$G$1000,$A5,'Final Calculation Sheet'!$AD$4:$AD$1000)&lt;=0,"SETTLED","OUTSTANDING")</f>
        <v/>
      </c>
      <c r="G5" s="509">
        <f>SUMIF('Final Calculation Sheet'!$G$4:$G$1000,$A5,'Final Calculation Sheet'!$A$4:$A$1000)</f>
        <v/>
      </c>
      <c r="H5" s="500">
        <f>IFERROR(SUMIF('Final Calculation Sheet'!$G$4:$G$1000,$A5,'Final Calculation Sheet'!$H$4:$H$1000)/SUMIF('Final Calculation Sheet'!$G$4:$G$1000,$A5,'Final Calculation Sheet'!$A$4:$A$1000),"")</f>
        <v/>
      </c>
      <c r="I5" s="491">
        <f>COUNTIFS('Final Calculation Sheet'!$G$4:$G$1000,$A5,'Final Calculation Sheet'!$AE$4:$AE$1000,"")</f>
        <v/>
      </c>
      <c r="J5" s="500">
        <f>SUMIF('Final Calculation Sheet'!$G$4:$G$1000,$A5,'Final Calculation Sheet'!$I$4:$I$1000)</f>
        <v/>
      </c>
      <c r="K5" s="500">
        <f>SUMIF('Final Calculation Sheet'!$G$4:$G$1000,$A5,'Final Calculation Sheet'!$J$4:$J$1000)</f>
        <v/>
      </c>
      <c r="L5" s="500">
        <f>SUMIF('Final Calculation Sheet'!$G$4:$G$1000,$A5,'Final Calculation Sheet'!$K$4:$K$1000)</f>
        <v/>
      </c>
      <c r="M5" s="513">
        <f>SUMIF('Final Calculation Sheet'!$G$4:$G$1000,$A5,'Final Calculation Sheet'!$L$4:$L$1000)</f>
        <v/>
      </c>
      <c r="N5" s="513">
        <f>SUMIF('Final Calculation Sheet'!$G$4:$G$1000,$A5,'Final Calculation Sheet'!$M$4:$M$1000)</f>
        <v/>
      </c>
      <c r="O5" s="513">
        <f>SUMIF('Final Calculation Sheet'!$G$4:$G$1000,$A5,'Final Calculation Sheet'!$N$4:$N$1000)</f>
        <v/>
      </c>
      <c r="P5" s="513">
        <f>SUMIF('Final Calculation Sheet'!$G$4:$G$1000,$A5,'Final Calculation Sheet'!$O$4:$O$1000)</f>
        <v/>
      </c>
      <c r="Q5" s="500">
        <f>SUMIF('Final Calculation Sheet'!$G$4:$G$1000,$A5,'Final Calculation Sheet'!$P$4:$P$1000)</f>
        <v/>
      </c>
      <c r="R5" s="500">
        <f>SUMIF('Final Calculation Sheet'!$G$4:$G$1000,$A5,'Final Calculation Sheet'!$R$4:$R$1000)</f>
        <v/>
      </c>
      <c r="S5" s="517">
        <f>IFERROR(SUMIF('Final Calculation Sheet'!$G$4:$G$1000,$A5,'Final Calculation Sheet'!$R$4:$R$1000)/SUMIF('Final Calculation Sheet'!$G$4:$G$1000,$A5,'Final Calculation Sheet'!$H$4:$H$1000),"")</f>
        <v/>
      </c>
      <c r="T5" s="500">
        <f>SUMIF('Final Calculation Sheet'!$G$4:$G$1000,$A5,'Final Calculation Sheet'!$S$4:$S$1000)</f>
        <v/>
      </c>
      <c r="U5" s="500">
        <f>SUMIF('Final Calculation Sheet'!$G$4:$G$1000,$A5,'Final Calculation Sheet'!$T$4:$T$1000)</f>
        <v/>
      </c>
      <c r="V5" s="500">
        <f>SUMIF('Final Calculation Sheet'!$G$4:$G$1000,$A5,'Final Calculation Sheet'!$U$4:$U$1000)</f>
        <v/>
      </c>
      <c r="W5" s="500">
        <f>SUMIF('Final Calculation Sheet'!$G$4:$G$1000,$A5,'Final Calculation Sheet'!$T$4:$T$1000)-SUMIF('Final Calculation Sheet'!$G$4:$G$1000,$A5,'Final Calculation Sheet'!$U$4:$U$1000)</f>
        <v/>
      </c>
      <c r="X5" s="500">
        <f>SUMIF('Final Calculation Sheet'!$G$4:$G$1000,$A5,'Final Calculation Sheet'!$W$4:$W$1000)</f>
        <v/>
      </c>
      <c r="Y5" s="500">
        <f>SUMIF('Final Calculation Sheet'!$G$4:$G$1000,$A5,'Final Calculation Sheet'!$X$4:$X$1000)</f>
        <v/>
      </c>
      <c r="Z5" s="500">
        <f>SUMIF('Final Calculation Sheet'!$G$4:$G$1000,$A5,'Final Calculation Sheet'!$W$4:$W$1000)-SUMIF('Final Calculation Sheet'!$G$4:$G$1000,$A5,'Final Calculation Sheet'!$X$4:$X$1000)</f>
        <v/>
      </c>
      <c r="AA5" s="500">
        <f>SUMIF('Final Calculation Sheet'!$G$4:$G$1000,$A5,'Final Calculation Sheet'!$Z$4:$Z$1000)</f>
        <v/>
      </c>
      <c r="AB5" s="500">
        <f>SUMIF('Final Calculation Sheet'!$G$4:$G$1000,$A5,'Final Calculation Sheet'!$AA$4:$AA$1000)</f>
        <v/>
      </c>
      <c r="AC5" s="491">
        <f>COUNTIF('Final Calculation Sheet'!$G$4:$G$1000,$A5)-COUNTIFS('Final Calculation Sheet'!$G$4:$G$1000,$A5,'Final Calculation Sheet'!$AE$4:$AE$1000,"")</f>
        <v/>
      </c>
      <c r="AD5" s="491">
        <f>COUNTIF('Final Calculation Sheet'!$G$4:$G$1000,$A5)-COUNTIFS('Final Calculation Sheet'!$G$4:$G$1000,$A5,'Final Calculation Sheet'!$AF$4:$AF$1000,"")</f>
        <v/>
      </c>
      <c r="AE5" s="527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608" t="inlineStr">
        <is>
          <t>F R KHANS ENTERPRISES</t>
        </is>
      </c>
      <c r="B6" s="492">
        <f>COUNTIF('Final Calculation Sheet'!$G$4:$G$1000,$A6)</f>
        <v/>
      </c>
      <c r="C6" s="88">
        <f>SUMIF('Final Calculation Sheet'!$G$4:$G$1000,$A6,'Final Calculation Sheet'!$H$4:$H$1000)</f>
        <v/>
      </c>
      <c r="D6" s="88">
        <f>SUMIF('Final Calculation Sheet'!$G$4:$G$1000,$A6,'Final Calculation Sheet'!$AC$4:$AC$1000)</f>
        <v/>
      </c>
      <c r="E6" s="88">
        <f>SUMIF('Final Calculation Sheet'!$G$4:$G$1000,$A6,'Final Calculation Sheet'!$AD$4:$AD$1000)</f>
        <v/>
      </c>
      <c r="F6" s="98">
        <f>IF(SUMIF('Final Calculation Sheet'!$G$4:$G$1000,$A6,'Final Calculation Sheet'!$AD$4:$AD$1000)&lt;=0,"SETTLED","OUTSTANDING")</f>
        <v/>
      </c>
      <c r="G6" s="91">
        <f>SUMIF('Final Calculation Sheet'!$G$4:$G$1000,$A6,'Final Calculation Sheet'!$A$4:$A$1000)</f>
        <v/>
      </c>
      <c r="H6" s="88">
        <f>IFERROR(SUMIF('Final Calculation Sheet'!$G$4:$G$1000,$A6,'Final Calculation Sheet'!$H$4:$H$1000)/SUMIF('Final Calculation Sheet'!$G$4:$G$1000,$A6,'Final Calculation Sheet'!$A$4:$A$1000),"")</f>
        <v/>
      </c>
      <c r="I6" s="492">
        <f>COUNTIFS('Final Calculation Sheet'!$G$4:$G$1000,$A6,'Final Calculation Sheet'!$AE$4:$AE$1000,"")</f>
        <v/>
      </c>
      <c r="J6" s="88">
        <f>SUMIF('Final Calculation Sheet'!$G$4:$G$1000,$A6,'Final Calculation Sheet'!$I$4:$I$1000)</f>
        <v/>
      </c>
      <c r="K6" s="88">
        <f>SUMIF('Final Calculation Sheet'!$G$4:$G$1000,$A6,'Final Calculation Sheet'!$J$4:$J$1000)</f>
        <v/>
      </c>
      <c r="L6" s="88">
        <f>SUMIF('Final Calculation Sheet'!$G$4:$G$1000,$A6,'Final Calculation Sheet'!$K$4:$K$1000)</f>
        <v/>
      </c>
      <c r="M6" s="95">
        <f>SUMIF('Final Calculation Sheet'!$G$4:$G$1000,$A6,'Final Calculation Sheet'!$L$4:$L$1000)</f>
        <v/>
      </c>
      <c r="N6" s="95">
        <f>SUMIF('Final Calculation Sheet'!$G$4:$G$1000,$A6,'Final Calculation Sheet'!$M$4:$M$1000)</f>
        <v/>
      </c>
      <c r="O6" s="95">
        <f>SUMIF('Final Calculation Sheet'!$G$4:$G$1000,$A6,'Final Calculation Sheet'!$N$4:$N$1000)</f>
        <v/>
      </c>
      <c r="P6" s="95">
        <f>SUMIF('Final Calculation Sheet'!$G$4:$G$1000,$A6,'Final Calculation Sheet'!$O$4:$O$1000)</f>
        <v/>
      </c>
      <c r="Q6" s="88">
        <f>SUMIF('Final Calculation Sheet'!$G$4:$G$1000,$A6,'Final Calculation Sheet'!$P$4:$P$1000)</f>
        <v/>
      </c>
      <c r="R6" s="88">
        <f>SUMIF('Final Calculation Sheet'!$G$4:$G$1000,$A6,'Final Calculation Sheet'!$R$4:$R$1000)</f>
        <v/>
      </c>
      <c r="S6" s="518">
        <f>IFERROR(SUMIF('Final Calculation Sheet'!$G$4:$G$1000,$A6,'Final Calculation Sheet'!$R$4:$R$1000)/SUMIF('Final Calculation Sheet'!$G$4:$G$1000,$A6,'Final Calculation Sheet'!$H$4:$H$1000),"")</f>
        <v/>
      </c>
      <c r="T6" s="88">
        <f>SUMIF('Final Calculation Sheet'!$G$4:$G$1000,$A6,'Final Calculation Sheet'!$S$4:$S$1000)</f>
        <v/>
      </c>
      <c r="U6" s="88">
        <f>SUMIF('Final Calculation Sheet'!$G$4:$G$1000,$A6,'Final Calculation Sheet'!$T$4:$T$1000)</f>
        <v/>
      </c>
      <c r="V6" s="88">
        <f>SUMIF('Final Calculation Sheet'!$G$4:$G$1000,$A6,'Final Calculation Sheet'!$U$4:$U$1000)</f>
        <v/>
      </c>
      <c r="W6" s="88">
        <f>SUMIF('Final Calculation Sheet'!$G$4:$G$1000,$A6,'Final Calculation Sheet'!$T$4:$T$1000)-SUMIF('Final Calculation Sheet'!$G$4:$G$1000,$A6,'Final Calculation Sheet'!$U$4:$U$1000)</f>
        <v/>
      </c>
      <c r="X6" s="88">
        <f>SUMIF('Final Calculation Sheet'!$G$4:$G$1000,$A6,'Final Calculation Sheet'!$W$4:$W$1000)</f>
        <v/>
      </c>
      <c r="Y6" s="88">
        <f>SUMIF('Final Calculation Sheet'!$G$4:$G$1000,$A6,'Final Calculation Sheet'!$X$4:$X$1000)</f>
        <v/>
      </c>
      <c r="Z6" s="88">
        <f>SUMIF('Final Calculation Sheet'!$G$4:$G$1000,$A6,'Final Calculation Sheet'!$W$4:$W$1000)-SUMIF('Final Calculation Sheet'!$G$4:$G$1000,$A6,'Final Calculation Sheet'!$X$4:$X$1000)</f>
        <v/>
      </c>
      <c r="AA6" s="88">
        <f>SUMIF('Final Calculation Sheet'!$G$4:$G$1000,$A6,'Final Calculation Sheet'!$Z$4:$Z$1000)</f>
        <v/>
      </c>
      <c r="AB6" s="88">
        <f>SUMIF('Final Calculation Sheet'!$G$4:$G$1000,$A6,'Final Calculation Sheet'!$AA$4:$AA$1000)</f>
        <v/>
      </c>
      <c r="AC6" s="492">
        <f>COUNTIF('Final Calculation Sheet'!$G$4:$G$1000,$A6)-COUNTIFS('Final Calculation Sheet'!$G$4:$G$1000,$A6,'Final Calculation Sheet'!$AE$4:$AE$1000,"")</f>
        <v/>
      </c>
      <c r="AD6" s="492">
        <f>COUNTIF('Final Calculation Sheet'!$G$4:$G$1000,$A6)-COUNTIFS('Final Calculation Sheet'!$G$4:$G$1000,$A6,'Final Calculation Sheet'!$AF$4:$AF$1000,"")</f>
        <v/>
      </c>
      <c r="AE6" s="528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609" t="inlineStr">
        <is>
          <t>HIND TRADERS</t>
        </is>
      </c>
      <c r="B7" s="493">
        <f>COUNTIF('Final Calculation Sheet'!$G$4:$G$1000,$A7)</f>
        <v/>
      </c>
      <c r="C7" s="501">
        <f>SUMIF('Final Calculation Sheet'!$G$4:$G$1000,$A7,'Final Calculation Sheet'!$H$4:$H$1000)</f>
        <v/>
      </c>
      <c r="D7" s="501">
        <f>SUMIF('Final Calculation Sheet'!$G$4:$G$1000,$A7,'Final Calculation Sheet'!$AC$4:$AC$1000)</f>
        <v/>
      </c>
      <c r="E7" s="501">
        <f>SUMIF('Final Calculation Sheet'!$G$4:$G$1000,$A7,'Final Calculation Sheet'!$AD$4:$AD$1000)</f>
        <v/>
      </c>
      <c r="F7" s="505">
        <f>IF(SUMIF('Final Calculation Sheet'!$G$4:$G$1000,$A7,'Final Calculation Sheet'!$AD$4:$AD$1000)&lt;=0,"SETTLED","OUTSTANDING")</f>
        <v/>
      </c>
      <c r="G7" s="510">
        <f>SUMIF('Final Calculation Sheet'!$G$4:$G$1000,$A7,'Final Calculation Sheet'!$A$4:$A$1000)</f>
        <v/>
      </c>
      <c r="H7" s="501">
        <f>IFERROR(SUMIF('Final Calculation Sheet'!$G$4:$G$1000,$A7,'Final Calculation Sheet'!$H$4:$H$1000)/SUMIF('Final Calculation Sheet'!$G$4:$G$1000,$A7,'Final Calculation Sheet'!$A$4:$A$1000),"")</f>
        <v/>
      </c>
      <c r="I7" s="493">
        <f>COUNTIFS('Final Calculation Sheet'!$G$4:$G$1000,$A7,'Final Calculation Sheet'!$AE$4:$AE$1000,"")</f>
        <v/>
      </c>
      <c r="J7" s="501">
        <f>SUMIF('Final Calculation Sheet'!$G$4:$G$1000,$A7,'Final Calculation Sheet'!$I$4:$I$1000)</f>
        <v/>
      </c>
      <c r="K7" s="501">
        <f>SUMIF('Final Calculation Sheet'!$G$4:$G$1000,$A7,'Final Calculation Sheet'!$J$4:$J$1000)</f>
        <v/>
      </c>
      <c r="L7" s="501">
        <f>SUMIF('Final Calculation Sheet'!$G$4:$G$1000,$A7,'Final Calculation Sheet'!$K$4:$K$1000)</f>
        <v/>
      </c>
      <c r="M7" s="514">
        <f>SUMIF('Final Calculation Sheet'!$G$4:$G$1000,$A7,'Final Calculation Sheet'!$L$4:$L$1000)</f>
        <v/>
      </c>
      <c r="N7" s="514">
        <f>SUMIF('Final Calculation Sheet'!$G$4:$G$1000,$A7,'Final Calculation Sheet'!$M$4:$M$1000)</f>
        <v/>
      </c>
      <c r="O7" s="514">
        <f>SUMIF('Final Calculation Sheet'!$G$4:$G$1000,$A7,'Final Calculation Sheet'!$N$4:$N$1000)</f>
        <v/>
      </c>
      <c r="P7" s="514">
        <f>SUMIF('Final Calculation Sheet'!$G$4:$G$1000,$A7,'Final Calculation Sheet'!$O$4:$O$1000)</f>
        <v/>
      </c>
      <c r="Q7" s="501">
        <f>SUMIF('Final Calculation Sheet'!$G$4:$G$1000,$A7,'Final Calculation Sheet'!$P$4:$P$1000)</f>
        <v/>
      </c>
      <c r="R7" s="501">
        <f>SUMIF('Final Calculation Sheet'!$G$4:$G$1000,$A7,'Final Calculation Sheet'!$R$4:$R$1000)</f>
        <v/>
      </c>
      <c r="S7" s="519">
        <f>IFERROR(SUMIF('Final Calculation Sheet'!$G$4:$G$1000,$A7,'Final Calculation Sheet'!$R$4:$R$1000)/SUMIF('Final Calculation Sheet'!$G$4:$G$1000,$A7,'Final Calculation Sheet'!$H$4:$H$1000),"")</f>
        <v/>
      </c>
      <c r="T7" s="501">
        <f>SUMIF('Final Calculation Sheet'!$G$4:$G$1000,$A7,'Final Calculation Sheet'!$S$4:$S$1000)</f>
        <v/>
      </c>
      <c r="U7" s="501">
        <f>SUMIF('Final Calculation Sheet'!$G$4:$G$1000,$A7,'Final Calculation Sheet'!$T$4:$T$1000)</f>
        <v/>
      </c>
      <c r="V7" s="501">
        <f>SUMIF('Final Calculation Sheet'!$G$4:$G$1000,$A7,'Final Calculation Sheet'!$U$4:$U$1000)</f>
        <v/>
      </c>
      <c r="W7" s="501">
        <f>SUMIF('Final Calculation Sheet'!$G$4:$G$1000,$A7,'Final Calculation Sheet'!$T$4:$T$1000)-SUMIF('Final Calculation Sheet'!$G$4:$G$1000,$A7,'Final Calculation Sheet'!$U$4:$U$1000)</f>
        <v/>
      </c>
      <c r="X7" s="501">
        <f>SUMIF('Final Calculation Sheet'!$G$4:$G$1000,$A7,'Final Calculation Sheet'!$W$4:$W$1000)</f>
        <v/>
      </c>
      <c r="Y7" s="501">
        <f>SUMIF('Final Calculation Sheet'!$G$4:$G$1000,$A7,'Final Calculation Sheet'!$X$4:$X$1000)</f>
        <v/>
      </c>
      <c r="Z7" s="501">
        <f>SUMIF('Final Calculation Sheet'!$G$4:$G$1000,$A7,'Final Calculation Sheet'!$W$4:$W$1000)-SUMIF('Final Calculation Sheet'!$G$4:$G$1000,$A7,'Final Calculation Sheet'!$X$4:$X$1000)</f>
        <v/>
      </c>
      <c r="AA7" s="501">
        <f>SUMIF('Final Calculation Sheet'!$G$4:$G$1000,$A7,'Final Calculation Sheet'!$Z$4:$Z$1000)</f>
        <v/>
      </c>
      <c r="AB7" s="501">
        <f>SUMIF('Final Calculation Sheet'!$G$4:$G$1000,$A7,'Final Calculation Sheet'!$AA$4:$AA$1000)</f>
        <v/>
      </c>
      <c r="AC7" s="493">
        <f>COUNTIF('Final Calculation Sheet'!$G$4:$G$1000,$A7)-COUNTIFS('Final Calculation Sheet'!$G$4:$G$1000,$A7,'Final Calculation Sheet'!$AE$4:$AE$1000,"")</f>
        <v/>
      </c>
      <c r="AD7" s="493">
        <f>COUNTIF('Final Calculation Sheet'!$G$4:$G$1000,$A7)-COUNTIFS('Final Calculation Sheet'!$G$4:$G$1000,$A7,'Final Calculation Sheet'!$AF$4:$AF$1000,"")</f>
        <v/>
      </c>
      <c r="AE7" s="529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610" t="inlineStr">
        <is>
          <t>KASHYAP TRADING CO</t>
        </is>
      </c>
      <c r="B8" s="494">
        <f>COUNTIF('Final Calculation Sheet'!$G$4:$G$1000,$A8)</f>
        <v/>
      </c>
      <c r="C8" s="181">
        <f>SUMIF('Final Calculation Sheet'!$G$4:$G$1000,$A8,'Final Calculation Sheet'!$H$4:$H$1000)</f>
        <v/>
      </c>
      <c r="D8" s="181">
        <f>SUMIF('Final Calculation Sheet'!$G$4:$G$1000,$A8,'Final Calculation Sheet'!$AC$4:$AC$1000)</f>
        <v/>
      </c>
      <c r="E8" s="181">
        <f>SUMIF('Final Calculation Sheet'!$G$4:$G$1000,$A8,'Final Calculation Sheet'!$AD$4:$AD$1000)</f>
        <v/>
      </c>
      <c r="F8" s="187">
        <f>IF(SUMIF('Final Calculation Sheet'!$G$4:$G$1000,$A8,'Final Calculation Sheet'!$AD$4:$AD$1000)&lt;=0,"SETTLED","OUTSTANDING")</f>
        <v/>
      </c>
      <c r="G8" s="183">
        <f>SUMIF('Final Calculation Sheet'!$G$4:$G$1000,$A8,'Final Calculation Sheet'!$A$4:$A$1000)</f>
        <v/>
      </c>
      <c r="H8" s="181">
        <f>IFERROR(SUMIF('Final Calculation Sheet'!$G$4:$G$1000,$A8,'Final Calculation Sheet'!$H$4:$H$1000)/SUMIF('Final Calculation Sheet'!$G$4:$G$1000,$A8,'Final Calculation Sheet'!$A$4:$A$1000),"")</f>
        <v/>
      </c>
      <c r="I8" s="494">
        <f>COUNTIFS('Final Calculation Sheet'!$G$4:$G$1000,$A8,'Final Calculation Sheet'!$AE$4:$AE$1000,"")</f>
        <v/>
      </c>
      <c r="J8" s="181">
        <f>SUMIF('Final Calculation Sheet'!$G$4:$G$1000,$A8,'Final Calculation Sheet'!$I$4:$I$1000)</f>
        <v/>
      </c>
      <c r="K8" s="181">
        <f>SUMIF('Final Calculation Sheet'!$G$4:$G$1000,$A8,'Final Calculation Sheet'!$J$4:$J$1000)</f>
        <v/>
      </c>
      <c r="L8" s="181">
        <f>SUMIF('Final Calculation Sheet'!$G$4:$G$1000,$A8,'Final Calculation Sheet'!$K$4:$K$1000)</f>
        <v/>
      </c>
      <c r="M8" s="185">
        <f>SUMIF('Final Calculation Sheet'!$G$4:$G$1000,$A8,'Final Calculation Sheet'!$L$4:$L$1000)</f>
        <v/>
      </c>
      <c r="N8" s="185">
        <f>SUMIF('Final Calculation Sheet'!$G$4:$G$1000,$A8,'Final Calculation Sheet'!$M$4:$M$1000)</f>
        <v/>
      </c>
      <c r="O8" s="185">
        <f>SUMIF('Final Calculation Sheet'!$G$4:$G$1000,$A8,'Final Calculation Sheet'!$N$4:$N$1000)</f>
        <v/>
      </c>
      <c r="P8" s="185">
        <f>SUMIF('Final Calculation Sheet'!$G$4:$G$1000,$A8,'Final Calculation Sheet'!$O$4:$O$1000)</f>
        <v/>
      </c>
      <c r="Q8" s="181">
        <f>SUMIF('Final Calculation Sheet'!$G$4:$G$1000,$A8,'Final Calculation Sheet'!$P$4:$P$1000)</f>
        <v/>
      </c>
      <c r="R8" s="181">
        <f>SUMIF('Final Calculation Sheet'!$G$4:$G$1000,$A8,'Final Calculation Sheet'!$R$4:$R$1000)</f>
        <v/>
      </c>
      <c r="S8" s="520">
        <f>IFERROR(SUMIF('Final Calculation Sheet'!$G$4:$G$1000,$A8,'Final Calculation Sheet'!$R$4:$R$1000)/SUMIF('Final Calculation Sheet'!$G$4:$G$1000,$A8,'Final Calculation Sheet'!$H$4:$H$1000),"")</f>
        <v/>
      </c>
      <c r="T8" s="181">
        <f>SUMIF('Final Calculation Sheet'!$G$4:$G$1000,$A8,'Final Calculation Sheet'!$S$4:$S$1000)</f>
        <v/>
      </c>
      <c r="U8" s="181">
        <f>SUMIF('Final Calculation Sheet'!$G$4:$G$1000,$A8,'Final Calculation Sheet'!$T$4:$T$1000)</f>
        <v/>
      </c>
      <c r="V8" s="181">
        <f>SUMIF('Final Calculation Sheet'!$G$4:$G$1000,$A8,'Final Calculation Sheet'!$U$4:$U$1000)</f>
        <v/>
      </c>
      <c r="W8" s="181">
        <f>SUMIF('Final Calculation Sheet'!$G$4:$G$1000,$A8,'Final Calculation Sheet'!$T$4:$T$1000)-SUMIF('Final Calculation Sheet'!$G$4:$G$1000,$A8,'Final Calculation Sheet'!$U$4:$U$1000)</f>
        <v/>
      </c>
      <c r="X8" s="181">
        <f>SUMIF('Final Calculation Sheet'!$G$4:$G$1000,$A8,'Final Calculation Sheet'!$W$4:$W$1000)</f>
        <v/>
      </c>
      <c r="Y8" s="181">
        <f>SUMIF('Final Calculation Sheet'!$G$4:$G$1000,$A8,'Final Calculation Sheet'!$X$4:$X$1000)</f>
        <v/>
      </c>
      <c r="Z8" s="181">
        <f>SUMIF('Final Calculation Sheet'!$G$4:$G$1000,$A8,'Final Calculation Sheet'!$W$4:$W$1000)-SUMIF('Final Calculation Sheet'!$G$4:$G$1000,$A8,'Final Calculation Sheet'!$X$4:$X$1000)</f>
        <v/>
      </c>
      <c r="AA8" s="181">
        <f>SUMIF('Final Calculation Sheet'!$G$4:$G$1000,$A8,'Final Calculation Sheet'!$Z$4:$Z$1000)</f>
        <v/>
      </c>
      <c r="AB8" s="181">
        <f>SUMIF('Final Calculation Sheet'!$G$4:$G$1000,$A8,'Final Calculation Sheet'!$AA$4:$AA$1000)</f>
        <v/>
      </c>
      <c r="AC8" s="494">
        <f>COUNTIF('Final Calculation Sheet'!$G$4:$G$1000,$A8)-COUNTIFS('Final Calculation Sheet'!$G$4:$G$1000,$A8,'Final Calculation Sheet'!$AE$4:$AE$1000,"")</f>
        <v/>
      </c>
      <c r="AD8" s="494">
        <f>COUNTIF('Final Calculation Sheet'!$G$4:$G$1000,$A8)-COUNTIFS('Final Calculation Sheet'!$G$4:$G$1000,$A8,'Final Calculation Sheet'!$AF$4:$AF$1000,"")</f>
        <v/>
      </c>
      <c r="AE8" s="530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611" t="inlineStr">
        <is>
          <t>M I SCRAP TRADERS</t>
        </is>
      </c>
      <c r="B9" s="495">
        <f>COUNTIF('Final Calculation Sheet'!$G$4:$G$1000,$A9)</f>
        <v/>
      </c>
      <c r="C9" s="502">
        <f>SUMIF('Final Calculation Sheet'!$G$4:$G$1000,$A9,'Final Calculation Sheet'!$H$4:$H$1000)</f>
        <v/>
      </c>
      <c r="D9" s="502">
        <f>SUMIF('Final Calculation Sheet'!$G$4:$G$1000,$A9,'Final Calculation Sheet'!$AC$4:$AC$1000)</f>
        <v/>
      </c>
      <c r="E9" s="502">
        <f>SUMIF('Final Calculation Sheet'!$G$4:$G$1000,$A9,'Final Calculation Sheet'!$AD$4:$AD$1000)</f>
        <v/>
      </c>
      <c r="F9" s="506">
        <f>IF(SUMIF('Final Calculation Sheet'!$G$4:$G$1000,$A9,'Final Calculation Sheet'!$AD$4:$AD$1000)&lt;=0,"SETTLED","OUTSTANDING")</f>
        <v/>
      </c>
      <c r="G9" s="511">
        <f>SUMIF('Final Calculation Sheet'!$G$4:$G$1000,$A9,'Final Calculation Sheet'!$A$4:$A$1000)</f>
        <v/>
      </c>
      <c r="H9" s="502">
        <f>IFERROR(SUMIF('Final Calculation Sheet'!$G$4:$G$1000,$A9,'Final Calculation Sheet'!$H$4:$H$1000)/SUMIF('Final Calculation Sheet'!$G$4:$G$1000,$A9,'Final Calculation Sheet'!$A$4:$A$1000),"")</f>
        <v/>
      </c>
      <c r="I9" s="495">
        <f>COUNTIFS('Final Calculation Sheet'!$G$4:$G$1000,$A9,'Final Calculation Sheet'!$AE$4:$AE$1000,"")</f>
        <v/>
      </c>
      <c r="J9" s="502">
        <f>SUMIF('Final Calculation Sheet'!$G$4:$G$1000,$A9,'Final Calculation Sheet'!$I$4:$I$1000)</f>
        <v/>
      </c>
      <c r="K9" s="502">
        <f>SUMIF('Final Calculation Sheet'!$G$4:$G$1000,$A9,'Final Calculation Sheet'!$J$4:$J$1000)</f>
        <v/>
      </c>
      <c r="L9" s="502">
        <f>SUMIF('Final Calculation Sheet'!$G$4:$G$1000,$A9,'Final Calculation Sheet'!$K$4:$K$1000)</f>
        <v/>
      </c>
      <c r="M9" s="515">
        <f>SUMIF('Final Calculation Sheet'!$G$4:$G$1000,$A9,'Final Calculation Sheet'!$L$4:$L$1000)</f>
        <v/>
      </c>
      <c r="N9" s="515">
        <f>SUMIF('Final Calculation Sheet'!$G$4:$G$1000,$A9,'Final Calculation Sheet'!$M$4:$M$1000)</f>
        <v/>
      </c>
      <c r="O9" s="515">
        <f>SUMIF('Final Calculation Sheet'!$G$4:$G$1000,$A9,'Final Calculation Sheet'!$N$4:$N$1000)</f>
        <v/>
      </c>
      <c r="P9" s="515">
        <f>SUMIF('Final Calculation Sheet'!$G$4:$G$1000,$A9,'Final Calculation Sheet'!$O$4:$O$1000)</f>
        <v/>
      </c>
      <c r="Q9" s="502">
        <f>SUMIF('Final Calculation Sheet'!$G$4:$G$1000,$A9,'Final Calculation Sheet'!$P$4:$P$1000)</f>
        <v/>
      </c>
      <c r="R9" s="502">
        <f>SUMIF('Final Calculation Sheet'!$G$4:$G$1000,$A9,'Final Calculation Sheet'!$R$4:$R$1000)</f>
        <v/>
      </c>
      <c r="S9" s="521">
        <f>IFERROR(SUMIF('Final Calculation Sheet'!$G$4:$G$1000,$A9,'Final Calculation Sheet'!$R$4:$R$1000)/SUMIF('Final Calculation Sheet'!$G$4:$G$1000,$A9,'Final Calculation Sheet'!$H$4:$H$1000),"")</f>
        <v/>
      </c>
      <c r="T9" s="502">
        <f>SUMIF('Final Calculation Sheet'!$G$4:$G$1000,$A9,'Final Calculation Sheet'!$S$4:$S$1000)</f>
        <v/>
      </c>
      <c r="U9" s="502">
        <f>SUMIF('Final Calculation Sheet'!$G$4:$G$1000,$A9,'Final Calculation Sheet'!$T$4:$T$1000)</f>
        <v/>
      </c>
      <c r="V9" s="502">
        <f>SUMIF('Final Calculation Sheet'!$G$4:$G$1000,$A9,'Final Calculation Sheet'!$U$4:$U$1000)</f>
        <v/>
      </c>
      <c r="W9" s="502">
        <f>SUMIF('Final Calculation Sheet'!$G$4:$G$1000,$A9,'Final Calculation Sheet'!$T$4:$T$1000)-SUMIF('Final Calculation Sheet'!$G$4:$G$1000,$A9,'Final Calculation Sheet'!$U$4:$U$1000)</f>
        <v/>
      </c>
      <c r="X9" s="502">
        <f>SUMIF('Final Calculation Sheet'!$G$4:$G$1000,$A9,'Final Calculation Sheet'!$W$4:$W$1000)</f>
        <v/>
      </c>
      <c r="Y9" s="502">
        <f>SUMIF('Final Calculation Sheet'!$G$4:$G$1000,$A9,'Final Calculation Sheet'!$X$4:$X$1000)</f>
        <v/>
      </c>
      <c r="Z9" s="502">
        <f>SUMIF('Final Calculation Sheet'!$G$4:$G$1000,$A9,'Final Calculation Sheet'!$W$4:$W$1000)-SUMIF('Final Calculation Sheet'!$G$4:$G$1000,$A9,'Final Calculation Sheet'!$X$4:$X$1000)</f>
        <v/>
      </c>
      <c r="AA9" s="502">
        <f>SUMIF('Final Calculation Sheet'!$G$4:$G$1000,$A9,'Final Calculation Sheet'!$Z$4:$Z$1000)</f>
        <v/>
      </c>
      <c r="AB9" s="502">
        <f>SUMIF('Final Calculation Sheet'!$G$4:$G$1000,$A9,'Final Calculation Sheet'!$AA$4:$AA$1000)</f>
        <v/>
      </c>
      <c r="AC9" s="495">
        <f>COUNTIF('Final Calculation Sheet'!$G$4:$G$1000,$A9)-COUNTIFS('Final Calculation Sheet'!$G$4:$G$1000,$A9,'Final Calculation Sheet'!$AE$4:$AE$1000,"")</f>
        <v/>
      </c>
      <c r="AD9" s="495">
        <f>COUNTIF('Final Calculation Sheet'!$G$4:$G$1000,$A9)-COUNTIFS('Final Calculation Sheet'!$G$4:$G$1000,$A9,'Final Calculation Sheet'!$AF$4:$AF$1000,"")</f>
        <v/>
      </c>
      <c r="AE9" s="531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612" t="inlineStr">
        <is>
          <t>NATIONAL ENTERPRISES</t>
        </is>
      </c>
      <c r="B10" s="496">
        <f>COUNTIF('Final Calculation Sheet'!$G$4:$G$1000,$A10)</f>
        <v/>
      </c>
      <c r="C10" s="131">
        <f>SUMIF('Final Calculation Sheet'!$G$4:$G$1000,$A10,'Final Calculation Sheet'!$H$4:$H$1000)</f>
        <v/>
      </c>
      <c r="D10" s="131">
        <f>SUMIF('Final Calculation Sheet'!$G$4:$G$1000,$A10,'Final Calculation Sheet'!$AC$4:$AC$1000)</f>
        <v/>
      </c>
      <c r="E10" s="131">
        <f>SUMIF('Final Calculation Sheet'!$G$4:$G$1000,$A10,'Final Calculation Sheet'!$AD$4:$AD$1000)</f>
        <v/>
      </c>
      <c r="F10" s="141">
        <f>IF(SUMIF('Final Calculation Sheet'!$G$4:$G$1000,$A10,'Final Calculation Sheet'!$AD$4:$AD$1000)&lt;=0,"SETTLED","OUTSTANDING")</f>
        <v/>
      </c>
      <c r="G10" s="134">
        <f>SUMIF('Final Calculation Sheet'!$G$4:$G$1000,$A10,'Final Calculation Sheet'!$A$4:$A$1000)</f>
        <v/>
      </c>
      <c r="H10" s="131">
        <f>IFERROR(SUMIF('Final Calculation Sheet'!$G$4:$G$1000,$A10,'Final Calculation Sheet'!$H$4:$H$1000)/SUMIF('Final Calculation Sheet'!$G$4:$G$1000,$A10,'Final Calculation Sheet'!$A$4:$A$1000),"")</f>
        <v/>
      </c>
      <c r="I10" s="496">
        <f>COUNTIFS('Final Calculation Sheet'!$G$4:$G$1000,$A10,'Final Calculation Sheet'!$AE$4:$AE$1000,"")</f>
        <v/>
      </c>
      <c r="J10" s="131">
        <f>SUMIF('Final Calculation Sheet'!$G$4:$G$1000,$A10,'Final Calculation Sheet'!$I$4:$I$1000)</f>
        <v/>
      </c>
      <c r="K10" s="131">
        <f>SUMIF('Final Calculation Sheet'!$G$4:$G$1000,$A10,'Final Calculation Sheet'!$J$4:$J$1000)</f>
        <v/>
      </c>
      <c r="L10" s="131">
        <f>SUMIF('Final Calculation Sheet'!$G$4:$G$1000,$A10,'Final Calculation Sheet'!$K$4:$K$1000)</f>
        <v/>
      </c>
      <c r="M10" s="138">
        <f>SUMIF('Final Calculation Sheet'!$G$4:$G$1000,$A10,'Final Calculation Sheet'!$L$4:$L$1000)</f>
        <v/>
      </c>
      <c r="N10" s="138">
        <f>SUMIF('Final Calculation Sheet'!$G$4:$G$1000,$A10,'Final Calculation Sheet'!$M$4:$M$1000)</f>
        <v/>
      </c>
      <c r="O10" s="138">
        <f>SUMIF('Final Calculation Sheet'!$G$4:$G$1000,$A10,'Final Calculation Sheet'!$N$4:$N$1000)</f>
        <v/>
      </c>
      <c r="P10" s="138">
        <f>SUMIF('Final Calculation Sheet'!$G$4:$G$1000,$A10,'Final Calculation Sheet'!$O$4:$O$1000)</f>
        <v/>
      </c>
      <c r="Q10" s="131">
        <f>SUMIF('Final Calculation Sheet'!$G$4:$G$1000,$A10,'Final Calculation Sheet'!$P$4:$P$1000)</f>
        <v/>
      </c>
      <c r="R10" s="131">
        <f>SUMIF('Final Calculation Sheet'!$G$4:$G$1000,$A10,'Final Calculation Sheet'!$R$4:$R$1000)</f>
        <v/>
      </c>
      <c r="S10" s="522">
        <f>IFERROR(SUMIF('Final Calculation Sheet'!$G$4:$G$1000,$A10,'Final Calculation Sheet'!$R$4:$R$1000)/SUMIF('Final Calculation Sheet'!$G$4:$G$1000,$A10,'Final Calculation Sheet'!$H$4:$H$1000),"")</f>
        <v/>
      </c>
      <c r="T10" s="131">
        <f>SUMIF('Final Calculation Sheet'!$G$4:$G$1000,$A10,'Final Calculation Sheet'!$S$4:$S$1000)</f>
        <v/>
      </c>
      <c r="U10" s="131">
        <f>SUMIF('Final Calculation Sheet'!$G$4:$G$1000,$A10,'Final Calculation Sheet'!$T$4:$T$1000)</f>
        <v/>
      </c>
      <c r="V10" s="131">
        <f>SUMIF('Final Calculation Sheet'!$G$4:$G$1000,$A10,'Final Calculation Sheet'!$U$4:$U$1000)</f>
        <v/>
      </c>
      <c r="W10" s="131">
        <f>SUMIF('Final Calculation Sheet'!$G$4:$G$1000,$A10,'Final Calculation Sheet'!$T$4:$T$1000)-SUMIF('Final Calculation Sheet'!$G$4:$G$1000,$A10,'Final Calculation Sheet'!$U$4:$U$1000)</f>
        <v/>
      </c>
      <c r="X10" s="131">
        <f>SUMIF('Final Calculation Sheet'!$G$4:$G$1000,$A10,'Final Calculation Sheet'!$W$4:$W$1000)</f>
        <v/>
      </c>
      <c r="Y10" s="131">
        <f>SUMIF('Final Calculation Sheet'!$G$4:$G$1000,$A10,'Final Calculation Sheet'!$X$4:$X$1000)</f>
        <v/>
      </c>
      <c r="Z10" s="131">
        <f>SUMIF('Final Calculation Sheet'!$G$4:$G$1000,$A10,'Final Calculation Sheet'!$W$4:$W$1000)-SUMIF('Final Calculation Sheet'!$G$4:$G$1000,$A10,'Final Calculation Sheet'!$X$4:$X$1000)</f>
        <v/>
      </c>
      <c r="AA10" s="131">
        <f>SUMIF('Final Calculation Sheet'!$G$4:$G$1000,$A10,'Final Calculation Sheet'!$Z$4:$Z$1000)</f>
        <v/>
      </c>
      <c r="AB10" s="131">
        <f>SUMIF('Final Calculation Sheet'!$G$4:$G$1000,$A10,'Final Calculation Sheet'!$AA$4:$AA$1000)</f>
        <v/>
      </c>
      <c r="AC10" s="496">
        <f>COUNTIF('Final Calculation Sheet'!$G$4:$G$1000,$A10)-COUNTIFS('Final Calculation Sheet'!$G$4:$G$1000,$A10,'Final Calculation Sheet'!$AE$4:$AE$1000,"")</f>
        <v/>
      </c>
      <c r="AD10" s="496">
        <f>COUNTIF('Final Calculation Sheet'!$G$4:$G$1000,$A10)-COUNTIFS('Final Calculation Sheet'!$G$4:$G$1000,$A10,'Final Calculation Sheet'!$AF$4:$AF$1000,"")</f>
        <v/>
      </c>
      <c r="AE10" s="532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613" t="inlineStr">
        <is>
          <t>NATIONAL SCRAP AND BUILDING MATERIAL SUPPLIER</t>
        </is>
      </c>
      <c r="B11" s="497">
        <f>COUNTIF('Final Calculation Sheet'!$G$4:$G$1000,$A11)</f>
        <v/>
      </c>
      <c r="C11" s="503">
        <f>SUMIF('Final Calculation Sheet'!$G$4:$G$1000,$A11,'Final Calculation Sheet'!$H$4:$H$1000)</f>
        <v/>
      </c>
      <c r="D11" s="503">
        <f>SUMIF('Final Calculation Sheet'!$G$4:$G$1000,$A11,'Final Calculation Sheet'!$AC$4:$AC$1000)</f>
        <v/>
      </c>
      <c r="E11" s="503">
        <f>SUMIF('Final Calculation Sheet'!$G$4:$G$1000,$A11,'Final Calculation Sheet'!$AD$4:$AD$1000)</f>
        <v/>
      </c>
      <c r="F11" s="507">
        <f>IF(SUMIF('Final Calculation Sheet'!$G$4:$G$1000,$A11,'Final Calculation Sheet'!$AD$4:$AD$1000)&lt;=0,"SETTLED","OUTSTANDING")</f>
        <v/>
      </c>
      <c r="G11" s="512">
        <f>SUMIF('Final Calculation Sheet'!$G$4:$G$1000,$A11,'Final Calculation Sheet'!$A$4:$A$1000)</f>
        <v/>
      </c>
      <c r="H11" s="503">
        <f>IFERROR(SUMIF('Final Calculation Sheet'!$G$4:$G$1000,$A11,'Final Calculation Sheet'!$H$4:$H$1000)/SUMIF('Final Calculation Sheet'!$G$4:$G$1000,$A11,'Final Calculation Sheet'!$A$4:$A$1000),"")</f>
        <v/>
      </c>
      <c r="I11" s="497">
        <f>COUNTIFS('Final Calculation Sheet'!$G$4:$G$1000,$A11,'Final Calculation Sheet'!$AE$4:$AE$1000,"")</f>
        <v/>
      </c>
      <c r="J11" s="503">
        <f>SUMIF('Final Calculation Sheet'!$G$4:$G$1000,$A11,'Final Calculation Sheet'!$I$4:$I$1000)</f>
        <v/>
      </c>
      <c r="K11" s="503">
        <f>SUMIF('Final Calculation Sheet'!$G$4:$G$1000,$A11,'Final Calculation Sheet'!$J$4:$J$1000)</f>
        <v/>
      </c>
      <c r="L11" s="503">
        <f>SUMIF('Final Calculation Sheet'!$G$4:$G$1000,$A11,'Final Calculation Sheet'!$K$4:$K$1000)</f>
        <v/>
      </c>
      <c r="M11" s="516">
        <f>SUMIF('Final Calculation Sheet'!$G$4:$G$1000,$A11,'Final Calculation Sheet'!$L$4:$L$1000)</f>
        <v/>
      </c>
      <c r="N11" s="516">
        <f>SUMIF('Final Calculation Sheet'!$G$4:$G$1000,$A11,'Final Calculation Sheet'!$M$4:$M$1000)</f>
        <v/>
      </c>
      <c r="O11" s="516">
        <f>SUMIF('Final Calculation Sheet'!$G$4:$G$1000,$A11,'Final Calculation Sheet'!$N$4:$N$1000)</f>
        <v/>
      </c>
      <c r="P11" s="516">
        <f>SUMIF('Final Calculation Sheet'!$G$4:$G$1000,$A11,'Final Calculation Sheet'!$O$4:$O$1000)</f>
        <v/>
      </c>
      <c r="Q11" s="503">
        <f>SUMIF('Final Calculation Sheet'!$G$4:$G$1000,$A11,'Final Calculation Sheet'!$P$4:$P$1000)</f>
        <v/>
      </c>
      <c r="R11" s="503">
        <f>SUMIF('Final Calculation Sheet'!$G$4:$G$1000,$A11,'Final Calculation Sheet'!$R$4:$R$1000)</f>
        <v/>
      </c>
      <c r="S11" s="523">
        <f>IFERROR(SUMIF('Final Calculation Sheet'!$G$4:$G$1000,$A11,'Final Calculation Sheet'!$R$4:$R$1000)/SUMIF('Final Calculation Sheet'!$G$4:$G$1000,$A11,'Final Calculation Sheet'!$H$4:$H$1000),"")</f>
        <v/>
      </c>
      <c r="T11" s="503">
        <f>SUMIF('Final Calculation Sheet'!$G$4:$G$1000,$A11,'Final Calculation Sheet'!$S$4:$S$1000)</f>
        <v/>
      </c>
      <c r="U11" s="503">
        <f>SUMIF('Final Calculation Sheet'!$G$4:$G$1000,$A11,'Final Calculation Sheet'!$T$4:$T$1000)</f>
        <v/>
      </c>
      <c r="V11" s="503">
        <f>SUMIF('Final Calculation Sheet'!$G$4:$G$1000,$A11,'Final Calculation Sheet'!$U$4:$U$1000)</f>
        <v/>
      </c>
      <c r="W11" s="503">
        <f>SUMIF('Final Calculation Sheet'!$G$4:$G$1000,$A11,'Final Calculation Sheet'!$T$4:$T$1000)-SUMIF('Final Calculation Sheet'!$G$4:$G$1000,$A11,'Final Calculation Sheet'!$U$4:$U$1000)</f>
        <v/>
      </c>
      <c r="X11" s="503">
        <f>SUMIF('Final Calculation Sheet'!$G$4:$G$1000,$A11,'Final Calculation Sheet'!$W$4:$W$1000)</f>
        <v/>
      </c>
      <c r="Y11" s="503">
        <f>SUMIF('Final Calculation Sheet'!$G$4:$G$1000,$A11,'Final Calculation Sheet'!$X$4:$X$1000)</f>
        <v/>
      </c>
      <c r="Z11" s="503">
        <f>SUMIF('Final Calculation Sheet'!$G$4:$G$1000,$A11,'Final Calculation Sheet'!$W$4:$W$1000)-SUMIF('Final Calculation Sheet'!$G$4:$G$1000,$A11,'Final Calculation Sheet'!$X$4:$X$1000)</f>
        <v/>
      </c>
      <c r="AA11" s="503">
        <f>SUMIF('Final Calculation Sheet'!$G$4:$G$1000,$A11,'Final Calculation Sheet'!$Z$4:$Z$1000)</f>
        <v/>
      </c>
      <c r="AB11" s="503">
        <f>SUMIF('Final Calculation Sheet'!$G$4:$G$1000,$A11,'Final Calculation Sheet'!$AA$4:$AA$1000)</f>
        <v/>
      </c>
      <c r="AC11" s="497">
        <f>COUNTIF('Final Calculation Sheet'!$G$4:$G$1000,$A11)-COUNTIFS('Final Calculation Sheet'!$G$4:$G$1000,$A11,'Final Calculation Sheet'!$AE$4:$AE$1000,"")</f>
        <v/>
      </c>
      <c r="AD11" s="497">
        <f>COUNTIF('Final Calculation Sheet'!$G$4:$G$1000,$A11)-COUNTIFS('Final Calculation Sheet'!$G$4:$G$1000,$A11,'Final Calculation Sheet'!$AF$4:$AF$1000,"")</f>
        <v/>
      </c>
      <c r="AE11" s="533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614" t="inlineStr">
        <is>
          <t>OMKAR STEELS</t>
        </is>
      </c>
      <c r="B12" s="498">
        <f>COUNTIF('Final Calculation Sheet'!$G$4:$G$1000,$A12)</f>
        <v/>
      </c>
      <c r="C12" s="156">
        <f>SUMIF('Final Calculation Sheet'!$G$4:$G$1000,$A12,'Final Calculation Sheet'!$H$4:$H$1000)</f>
        <v/>
      </c>
      <c r="D12" s="156">
        <f>SUMIF('Final Calculation Sheet'!$G$4:$G$1000,$A12,'Final Calculation Sheet'!$AC$4:$AC$1000)</f>
        <v/>
      </c>
      <c r="E12" s="156">
        <f>SUMIF('Final Calculation Sheet'!$G$4:$G$1000,$A12,'Final Calculation Sheet'!$AD$4:$AD$1000)</f>
        <v/>
      </c>
      <c r="F12" s="166">
        <f>IF(SUMIF('Final Calculation Sheet'!$G$4:$G$1000,$A12,'Final Calculation Sheet'!$AD$4:$AD$1000)&lt;=0,"SETTLED","OUTSTANDING")</f>
        <v/>
      </c>
      <c r="G12" s="159">
        <f>SUMIF('Final Calculation Sheet'!$G$4:$G$1000,$A12,'Final Calculation Sheet'!$A$4:$A$1000)</f>
        <v/>
      </c>
      <c r="H12" s="156">
        <f>IFERROR(SUMIF('Final Calculation Sheet'!$G$4:$G$1000,$A12,'Final Calculation Sheet'!$H$4:$H$1000)/SUMIF('Final Calculation Sheet'!$G$4:$G$1000,$A12,'Final Calculation Sheet'!$A$4:$A$1000),"")</f>
        <v/>
      </c>
      <c r="I12" s="498">
        <f>COUNTIFS('Final Calculation Sheet'!$G$4:$G$1000,$A12,'Final Calculation Sheet'!$AE$4:$AE$1000,"")</f>
        <v/>
      </c>
      <c r="J12" s="156">
        <f>SUMIF('Final Calculation Sheet'!$G$4:$G$1000,$A12,'Final Calculation Sheet'!$I$4:$I$1000)</f>
        <v/>
      </c>
      <c r="K12" s="156">
        <f>SUMIF('Final Calculation Sheet'!$G$4:$G$1000,$A12,'Final Calculation Sheet'!$J$4:$J$1000)</f>
        <v/>
      </c>
      <c r="L12" s="156">
        <f>SUMIF('Final Calculation Sheet'!$G$4:$G$1000,$A12,'Final Calculation Sheet'!$K$4:$K$1000)</f>
        <v/>
      </c>
      <c r="M12" s="163">
        <f>SUMIF('Final Calculation Sheet'!$G$4:$G$1000,$A12,'Final Calculation Sheet'!$L$4:$L$1000)</f>
        <v/>
      </c>
      <c r="N12" s="163">
        <f>SUMIF('Final Calculation Sheet'!$G$4:$G$1000,$A12,'Final Calculation Sheet'!$M$4:$M$1000)</f>
        <v/>
      </c>
      <c r="O12" s="163">
        <f>SUMIF('Final Calculation Sheet'!$G$4:$G$1000,$A12,'Final Calculation Sheet'!$N$4:$N$1000)</f>
        <v/>
      </c>
      <c r="P12" s="163">
        <f>SUMIF('Final Calculation Sheet'!$G$4:$G$1000,$A12,'Final Calculation Sheet'!$O$4:$O$1000)</f>
        <v/>
      </c>
      <c r="Q12" s="156">
        <f>SUMIF('Final Calculation Sheet'!$G$4:$G$1000,$A12,'Final Calculation Sheet'!$P$4:$P$1000)</f>
        <v/>
      </c>
      <c r="R12" s="156">
        <f>SUMIF('Final Calculation Sheet'!$G$4:$G$1000,$A12,'Final Calculation Sheet'!$R$4:$R$1000)</f>
        <v/>
      </c>
      <c r="S12" s="524">
        <f>IFERROR(SUMIF('Final Calculation Sheet'!$G$4:$G$1000,$A12,'Final Calculation Sheet'!$R$4:$R$1000)/SUMIF('Final Calculation Sheet'!$G$4:$G$1000,$A12,'Final Calculation Sheet'!$H$4:$H$1000),"")</f>
        <v/>
      </c>
      <c r="T12" s="156">
        <f>SUMIF('Final Calculation Sheet'!$G$4:$G$1000,$A12,'Final Calculation Sheet'!$S$4:$S$1000)</f>
        <v/>
      </c>
      <c r="U12" s="156">
        <f>SUMIF('Final Calculation Sheet'!$G$4:$G$1000,$A12,'Final Calculation Sheet'!$T$4:$T$1000)</f>
        <v/>
      </c>
      <c r="V12" s="156">
        <f>SUMIF('Final Calculation Sheet'!$G$4:$G$1000,$A12,'Final Calculation Sheet'!$U$4:$U$1000)</f>
        <v/>
      </c>
      <c r="W12" s="156">
        <f>SUMIF('Final Calculation Sheet'!$G$4:$G$1000,$A12,'Final Calculation Sheet'!$T$4:$T$1000)-SUMIF('Final Calculation Sheet'!$G$4:$G$1000,$A12,'Final Calculation Sheet'!$U$4:$U$1000)</f>
        <v/>
      </c>
      <c r="X12" s="156">
        <f>SUMIF('Final Calculation Sheet'!$G$4:$G$1000,$A12,'Final Calculation Sheet'!$W$4:$W$1000)</f>
        <v/>
      </c>
      <c r="Y12" s="156">
        <f>SUMIF('Final Calculation Sheet'!$G$4:$G$1000,$A12,'Final Calculation Sheet'!$X$4:$X$1000)</f>
        <v/>
      </c>
      <c r="Z12" s="156">
        <f>SUMIF('Final Calculation Sheet'!$G$4:$G$1000,$A12,'Final Calculation Sheet'!$W$4:$W$1000)-SUMIF('Final Calculation Sheet'!$G$4:$G$1000,$A12,'Final Calculation Sheet'!$X$4:$X$1000)</f>
        <v/>
      </c>
      <c r="AA12" s="156">
        <f>SUMIF('Final Calculation Sheet'!$G$4:$G$1000,$A12,'Final Calculation Sheet'!$Z$4:$Z$1000)</f>
        <v/>
      </c>
      <c r="AB12" s="156">
        <f>SUMIF('Final Calculation Sheet'!$G$4:$G$1000,$A12,'Final Calculation Sheet'!$AA$4:$AA$1000)</f>
        <v/>
      </c>
      <c r="AC12" s="498">
        <f>COUNTIF('Final Calculation Sheet'!$G$4:$G$1000,$A12)-COUNTIFS('Final Calculation Sheet'!$G$4:$G$1000,$A12,'Final Calculation Sheet'!$AE$4:$AE$1000,"")</f>
        <v/>
      </c>
      <c r="AD12" s="498">
        <f>COUNTIF('Final Calculation Sheet'!$G$4:$G$1000,$A12)-COUNTIFS('Final Calculation Sheet'!$G$4:$G$1000,$A12,'Final Calculation Sheet'!$AF$4:$AF$1000,"")</f>
        <v/>
      </c>
      <c r="AE12" s="534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607" t="inlineStr">
        <is>
          <t>S M ENTERPRISES</t>
        </is>
      </c>
      <c r="B13" s="491">
        <f>COUNTIF('Final Calculation Sheet'!$G$4:$G$1000,$A13)</f>
        <v/>
      </c>
      <c r="C13" s="500">
        <f>SUMIF('Final Calculation Sheet'!$G$4:$G$1000,$A13,'Final Calculation Sheet'!$H$4:$H$1000)</f>
        <v/>
      </c>
      <c r="D13" s="500">
        <f>SUMIF('Final Calculation Sheet'!$G$4:$G$1000,$A13,'Final Calculation Sheet'!$AC$4:$AC$1000)</f>
        <v/>
      </c>
      <c r="E13" s="500">
        <f>SUMIF('Final Calculation Sheet'!$G$4:$G$1000,$A13,'Final Calculation Sheet'!$AD$4:$AD$1000)</f>
        <v/>
      </c>
      <c r="F13" s="504">
        <f>IF(SUMIF('Final Calculation Sheet'!$G$4:$G$1000,$A13,'Final Calculation Sheet'!$AD$4:$AD$1000)&lt;=0,"SETTLED","OUTSTANDING")</f>
        <v/>
      </c>
      <c r="G13" s="509">
        <f>SUMIF('Final Calculation Sheet'!$G$4:$G$1000,$A13,'Final Calculation Sheet'!$A$4:$A$1000)</f>
        <v/>
      </c>
      <c r="H13" s="500">
        <f>IFERROR(SUMIF('Final Calculation Sheet'!$G$4:$G$1000,$A13,'Final Calculation Sheet'!$H$4:$H$1000)/SUMIF('Final Calculation Sheet'!$G$4:$G$1000,$A13,'Final Calculation Sheet'!$A$4:$A$1000),"")</f>
        <v/>
      </c>
      <c r="I13" s="491">
        <f>COUNTIFS('Final Calculation Sheet'!$G$4:$G$1000,$A13,'Final Calculation Sheet'!$AE$4:$AE$1000,"")</f>
        <v/>
      </c>
      <c r="J13" s="500">
        <f>SUMIF('Final Calculation Sheet'!$G$4:$G$1000,$A13,'Final Calculation Sheet'!$I$4:$I$1000)</f>
        <v/>
      </c>
      <c r="K13" s="500">
        <f>SUMIF('Final Calculation Sheet'!$G$4:$G$1000,$A13,'Final Calculation Sheet'!$J$4:$J$1000)</f>
        <v/>
      </c>
      <c r="L13" s="500">
        <f>SUMIF('Final Calculation Sheet'!$G$4:$G$1000,$A13,'Final Calculation Sheet'!$K$4:$K$1000)</f>
        <v/>
      </c>
      <c r="M13" s="513">
        <f>SUMIF('Final Calculation Sheet'!$G$4:$G$1000,$A13,'Final Calculation Sheet'!$L$4:$L$1000)</f>
        <v/>
      </c>
      <c r="N13" s="513">
        <f>SUMIF('Final Calculation Sheet'!$G$4:$G$1000,$A13,'Final Calculation Sheet'!$M$4:$M$1000)</f>
        <v/>
      </c>
      <c r="O13" s="513">
        <f>SUMIF('Final Calculation Sheet'!$G$4:$G$1000,$A13,'Final Calculation Sheet'!$N$4:$N$1000)</f>
        <v/>
      </c>
      <c r="P13" s="513">
        <f>SUMIF('Final Calculation Sheet'!$G$4:$G$1000,$A13,'Final Calculation Sheet'!$O$4:$O$1000)</f>
        <v/>
      </c>
      <c r="Q13" s="500">
        <f>SUMIF('Final Calculation Sheet'!$G$4:$G$1000,$A13,'Final Calculation Sheet'!$P$4:$P$1000)</f>
        <v/>
      </c>
      <c r="R13" s="500">
        <f>SUMIF('Final Calculation Sheet'!$G$4:$G$1000,$A13,'Final Calculation Sheet'!$R$4:$R$1000)</f>
        <v/>
      </c>
      <c r="S13" s="517">
        <f>IFERROR(SUMIF('Final Calculation Sheet'!$G$4:$G$1000,$A13,'Final Calculation Sheet'!$R$4:$R$1000)/SUMIF('Final Calculation Sheet'!$G$4:$G$1000,$A13,'Final Calculation Sheet'!$H$4:$H$1000),"")</f>
        <v/>
      </c>
      <c r="T13" s="500">
        <f>SUMIF('Final Calculation Sheet'!$G$4:$G$1000,$A13,'Final Calculation Sheet'!$S$4:$S$1000)</f>
        <v/>
      </c>
      <c r="U13" s="500">
        <f>SUMIF('Final Calculation Sheet'!$G$4:$G$1000,$A13,'Final Calculation Sheet'!$T$4:$T$1000)</f>
        <v/>
      </c>
      <c r="V13" s="500">
        <f>SUMIF('Final Calculation Sheet'!$G$4:$G$1000,$A13,'Final Calculation Sheet'!$U$4:$U$1000)</f>
        <v/>
      </c>
      <c r="W13" s="500">
        <f>SUMIF('Final Calculation Sheet'!$G$4:$G$1000,$A13,'Final Calculation Sheet'!$T$4:$T$1000)-SUMIF('Final Calculation Sheet'!$G$4:$G$1000,$A13,'Final Calculation Sheet'!$U$4:$U$1000)</f>
        <v/>
      </c>
      <c r="X13" s="500">
        <f>SUMIF('Final Calculation Sheet'!$G$4:$G$1000,$A13,'Final Calculation Sheet'!$W$4:$W$1000)</f>
        <v/>
      </c>
      <c r="Y13" s="500">
        <f>SUMIF('Final Calculation Sheet'!$G$4:$G$1000,$A13,'Final Calculation Sheet'!$X$4:$X$1000)</f>
        <v/>
      </c>
      <c r="Z13" s="500">
        <f>SUMIF('Final Calculation Sheet'!$G$4:$G$1000,$A13,'Final Calculation Sheet'!$W$4:$W$1000)-SUMIF('Final Calculation Sheet'!$G$4:$G$1000,$A13,'Final Calculation Sheet'!$X$4:$X$1000)</f>
        <v/>
      </c>
      <c r="AA13" s="500">
        <f>SUMIF('Final Calculation Sheet'!$G$4:$G$1000,$A13,'Final Calculation Sheet'!$Z$4:$Z$1000)</f>
        <v/>
      </c>
      <c r="AB13" s="500">
        <f>SUMIF('Final Calculation Sheet'!$G$4:$G$1000,$A13,'Final Calculation Sheet'!$AA$4:$AA$1000)</f>
        <v/>
      </c>
      <c r="AC13" s="491">
        <f>COUNTIF('Final Calculation Sheet'!$G$4:$G$1000,$A13)-COUNTIFS('Final Calculation Sheet'!$G$4:$G$1000,$A13,'Final Calculation Sheet'!$AE$4:$AE$1000,"")</f>
        <v/>
      </c>
      <c r="AD13" s="491">
        <f>COUNTIF('Final Calculation Sheet'!$G$4:$G$1000,$A13)-COUNTIFS('Final Calculation Sheet'!$G$4:$G$1000,$A13,'Final Calculation Sheet'!$AF$4:$AF$1000,"")</f>
        <v/>
      </c>
      <c r="AE13" s="527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608" t="inlineStr">
        <is>
          <t>SAHARA ENTERPRISES</t>
        </is>
      </c>
      <c r="B14" s="492">
        <f>COUNTIF('Final Calculation Sheet'!$G$4:$G$1000,$A14)</f>
        <v/>
      </c>
      <c r="C14" s="88">
        <f>SUMIF('Final Calculation Sheet'!$G$4:$G$1000,$A14,'Final Calculation Sheet'!$H$4:$H$1000)</f>
        <v/>
      </c>
      <c r="D14" s="88">
        <f>SUMIF('Final Calculation Sheet'!$G$4:$G$1000,$A14,'Final Calculation Sheet'!$AC$4:$AC$1000)</f>
        <v/>
      </c>
      <c r="E14" s="88">
        <f>SUMIF('Final Calculation Sheet'!$G$4:$G$1000,$A14,'Final Calculation Sheet'!$AD$4:$AD$1000)</f>
        <v/>
      </c>
      <c r="F14" s="98">
        <f>IF(SUMIF('Final Calculation Sheet'!$G$4:$G$1000,$A14,'Final Calculation Sheet'!$AD$4:$AD$1000)&lt;=0,"SETTLED","OUTSTANDING")</f>
        <v/>
      </c>
      <c r="G14" s="91">
        <f>SUMIF('Final Calculation Sheet'!$G$4:$G$1000,$A14,'Final Calculation Sheet'!$A$4:$A$1000)</f>
        <v/>
      </c>
      <c r="H14" s="88">
        <f>IFERROR(SUMIF('Final Calculation Sheet'!$G$4:$G$1000,$A14,'Final Calculation Sheet'!$H$4:$H$1000)/SUMIF('Final Calculation Sheet'!$G$4:$G$1000,$A14,'Final Calculation Sheet'!$A$4:$A$1000),"")</f>
        <v/>
      </c>
      <c r="I14" s="492">
        <f>COUNTIFS('Final Calculation Sheet'!$G$4:$G$1000,$A14,'Final Calculation Sheet'!$AE$4:$AE$1000,"")</f>
        <v/>
      </c>
      <c r="J14" s="88">
        <f>SUMIF('Final Calculation Sheet'!$G$4:$G$1000,$A14,'Final Calculation Sheet'!$I$4:$I$1000)</f>
        <v/>
      </c>
      <c r="K14" s="88">
        <f>SUMIF('Final Calculation Sheet'!$G$4:$G$1000,$A14,'Final Calculation Sheet'!$J$4:$J$1000)</f>
        <v/>
      </c>
      <c r="L14" s="88">
        <f>SUMIF('Final Calculation Sheet'!$G$4:$G$1000,$A14,'Final Calculation Sheet'!$K$4:$K$1000)</f>
        <v/>
      </c>
      <c r="M14" s="95">
        <f>SUMIF('Final Calculation Sheet'!$G$4:$G$1000,$A14,'Final Calculation Sheet'!$L$4:$L$1000)</f>
        <v/>
      </c>
      <c r="N14" s="95">
        <f>SUMIF('Final Calculation Sheet'!$G$4:$G$1000,$A14,'Final Calculation Sheet'!$M$4:$M$1000)</f>
        <v/>
      </c>
      <c r="O14" s="95">
        <f>SUMIF('Final Calculation Sheet'!$G$4:$G$1000,$A14,'Final Calculation Sheet'!$N$4:$N$1000)</f>
        <v/>
      </c>
      <c r="P14" s="95">
        <f>SUMIF('Final Calculation Sheet'!$G$4:$G$1000,$A14,'Final Calculation Sheet'!$O$4:$O$1000)</f>
        <v/>
      </c>
      <c r="Q14" s="88">
        <f>SUMIF('Final Calculation Sheet'!$G$4:$G$1000,$A14,'Final Calculation Sheet'!$P$4:$P$1000)</f>
        <v/>
      </c>
      <c r="R14" s="88">
        <f>SUMIF('Final Calculation Sheet'!$G$4:$G$1000,$A14,'Final Calculation Sheet'!$R$4:$R$1000)</f>
        <v/>
      </c>
      <c r="S14" s="518">
        <f>IFERROR(SUMIF('Final Calculation Sheet'!$G$4:$G$1000,$A14,'Final Calculation Sheet'!$R$4:$R$1000)/SUMIF('Final Calculation Sheet'!$G$4:$G$1000,$A14,'Final Calculation Sheet'!$H$4:$H$1000),"")</f>
        <v/>
      </c>
      <c r="T14" s="88">
        <f>SUMIF('Final Calculation Sheet'!$G$4:$G$1000,$A14,'Final Calculation Sheet'!$S$4:$S$1000)</f>
        <v/>
      </c>
      <c r="U14" s="88">
        <f>SUMIF('Final Calculation Sheet'!$G$4:$G$1000,$A14,'Final Calculation Sheet'!$T$4:$T$1000)</f>
        <v/>
      </c>
      <c r="V14" s="88">
        <f>SUMIF('Final Calculation Sheet'!$G$4:$G$1000,$A14,'Final Calculation Sheet'!$U$4:$U$1000)</f>
        <v/>
      </c>
      <c r="W14" s="88">
        <f>SUMIF('Final Calculation Sheet'!$G$4:$G$1000,$A14,'Final Calculation Sheet'!$T$4:$T$1000)-SUMIF('Final Calculation Sheet'!$G$4:$G$1000,$A14,'Final Calculation Sheet'!$U$4:$U$1000)</f>
        <v/>
      </c>
      <c r="X14" s="88">
        <f>SUMIF('Final Calculation Sheet'!$G$4:$G$1000,$A14,'Final Calculation Sheet'!$W$4:$W$1000)</f>
        <v/>
      </c>
      <c r="Y14" s="88">
        <f>SUMIF('Final Calculation Sheet'!$G$4:$G$1000,$A14,'Final Calculation Sheet'!$X$4:$X$1000)</f>
        <v/>
      </c>
      <c r="Z14" s="88">
        <f>SUMIF('Final Calculation Sheet'!$G$4:$G$1000,$A14,'Final Calculation Sheet'!$W$4:$W$1000)-SUMIF('Final Calculation Sheet'!$G$4:$G$1000,$A14,'Final Calculation Sheet'!$X$4:$X$1000)</f>
        <v/>
      </c>
      <c r="AA14" s="88">
        <f>SUMIF('Final Calculation Sheet'!$G$4:$G$1000,$A14,'Final Calculation Sheet'!$Z$4:$Z$1000)</f>
        <v/>
      </c>
      <c r="AB14" s="88">
        <f>SUMIF('Final Calculation Sheet'!$G$4:$G$1000,$A14,'Final Calculation Sheet'!$AA$4:$AA$1000)</f>
        <v/>
      </c>
      <c r="AC14" s="492">
        <f>COUNTIF('Final Calculation Sheet'!$G$4:$G$1000,$A14)-COUNTIFS('Final Calculation Sheet'!$G$4:$G$1000,$A14,'Final Calculation Sheet'!$AE$4:$AE$1000,"")</f>
        <v/>
      </c>
      <c r="AD14" s="492">
        <f>COUNTIF('Final Calculation Sheet'!$G$4:$G$1000,$A14)-COUNTIFS('Final Calculation Sheet'!$G$4:$G$1000,$A14,'Final Calculation Sheet'!$AF$4:$AF$1000,"")</f>
        <v/>
      </c>
      <c r="AE14" s="528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609" t="inlineStr">
        <is>
          <t>SHAR JAHAN TRADERS</t>
        </is>
      </c>
      <c r="B15" s="493">
        <f>COUNTIF('Final Calculation Sheet'!$G$4:$G$1000,$A15)</f>
        <v/>
      </c>
      <c r="C15" s="501">
        <f>SUMIF('Final Calculation Sheet'!$G$4:$G$1000,$A15,'Final Calculation Sheet'!$H$4:$H$1000)</f>
        <v/>
      </c>
      <c r="D15" s="501">
        <f>SUMIF('Final Calculation Sheet'!$G$4:$G$1000,$A15,'Final Calculation Sheet'!$AC$4:$AC$1000)</f>
        <v/>
      </c>
      <c r="E15" s="501">
        <f>SUMIF('Final Calculation Sheet'!$G$4:$G$1000,$A15,'Final Calculation Sheet'!$AD$4:$AD$1000)</f>
        <v/>
      </c>
      <c r="F15" s="505">
        <f>IF(SUMIF('Final Calculation Sheet'!$G$4:$G$1000,$A15,'Final Calculation Sheet'!$AD$4:$AD$1000)&lt;=0,"SETTLED","OUTSTANDING")</f>
        <v/>
      </c>
      <c r="G15" s="510">
        <f>SUMIF('Final Calculation Sheet'!$G$4:$G$1000,$A15,'Final Calculation Sheet'!$A$4:$A$1000)</f>
        <v/>
      </c>
      <c r="H15" s="501">
        <f>IFERROR(SUMIF('Final Calculation Sheet'!$G$4:$G$1000,$A15,'Final Calculation Sheet'!$H$4:$H$1000)/SUMIF('Final Calculation Sheet'!$G$4:$G$1000,$A15,'Final Calculation Sheet'!$A$4:$A$1000),"")</f>
        <v/>
      </c>
      <c r="I15" s="493">
        <f>COUNTIFS('Final Calculation Sheet'!$G$4:$G$1000,$A15,'Final Calculation Sheet'!$AE$4:$AE$1000,"")</f>
        <v/>
      </c>
      <c r="J15" s="501">
        <f>SUMIF('Final Calculation Sheet'!$G$4:$G$1000,$A15,'Final Calculation Sheet'!$I$4:$I$1000)</f>
        <v/>
      </c>
      <c r="K15" s="501">
        <f>SUMIF('Final Calculation Sheet'!$G$4:$G$1000,$A15,'Final Calculation Sheet'!$J$4:$J$1000)</f>
        <v/>
      </c>
      <c r="L15" s="501">
        <f>SUMIF('Final Calculation Sheet'!$G$4:$G$1000,$A15,'Final Calculation Sheet'!$K$4:$K$1000)</f>
        <v/>
      </c>
      <c r="M15" s="514">
        <f>SUMIF('Final Calculation Sheet'!$G$4:$G$1000,$A15,'Final Calculation Sheet'!$L$4:$L$1000)</f>
        <v/>
      </c>
      <c r="N15" s="514">
        <f>SUMIF('Final Calculation Sheet'!$G$4:$G$1000,$A15,'Final Calculation Sheet'!$M$4:$M$1000)</f>
        <v/>
      </c>
      <c r="O15" s="514">
        <f>SUMIF('Final Calculation Sheet'!$G$4:$G$1000,$A15,'Final Calculation Sheet'!$N$4:$N$1000)</f>
        <v/>
      </c>
      <c r="P15" s="514">
        <f>SUMIF('Final Calculation Sheet'!$G$4:$G$1000,$A15,'Final Calculation Sheet'!$O$4:$O$1000)</f>
        <v/>
      </c>
      <c r="Q15" s="501">
        <f>SUMIF('Final Calculation Sheet'!$G$4:$G$1000,$A15,'Final Calculation Sheet'!$P$4:$P$1000)</f>
        <v/>
      </c>
      <c r="R15" s="501">
        <f>SUMIF('Final Calculation Sheet'!$G$4:$G$1000,$A15,'Final Calculation Sheet'!$R$4:$R$1000)</f>
        <v/>
      </c>
      <c r="S15" s="519">
        <f>IFERROR(SUMIF('Final Calculation Sheet'!$G$4:$G$1000,$A15,'Final Calculation Sheet'!$R$4:$R$1000)/SUMIF('Final Calculation Sheet'!$G$4:$G$1000,$A15,'Final Calculation Sheet'!$H$4:$H$1000),"")</f>
        <v/>
      </c>
      <c r="T15" s="501">
        <f>SUMIF('Final Calculation Sheet'!$G$4:$G$1000,$A15,'Final Calculation Sheet'!$S$4:$S$1000)</f>
        <v/>
      </c>
      <c r="U15" s="501">
        <f>SUMIF('Final Calculation Sheet'!$G$4:$G$1000,$A15,'Final Calculation Sheet'!$T$4:$T$1000)</f>
        <v/>
      </c>
      <c r="V15" s="501">
        <f>SUMIF('Final Calculation Sheet'!$G$4:$G$1000,$A15,'Final Calculation Sheet'!$U$4:$U$1000)</f>
        <v/>
      </c>
      <c r="W15" s="501">
        <f>SUMIF('Final Calculation Sheet'!$G$4:$G$1000,$A15,'Final Calculation Sheet'!$T$4:$T$1000)-SUMIF('Final Calculation Sheet'!$G$4:$G$1000,$A15,'Final Calculation Sheet'!$U$4:$U$1000)</f>
        <v/>
      </c>
      <c r="X15" s="501">
        <f>SUMIF('Final Calculation Sheet'!$G$4:$G$1000,$A15,'Final Calculation Sheet'!$W$4:$W$1000)</f>
        <v/>
      </c>
      <c r="Y15" s="501">
        <f>SUMIF('Final Calculation Sheet'!$G$4:$G$1000,$A15,'Final Calculation Sheet'!$X$4:$X$1000)</f>
        <v/>
      </c>
      <c r="Z15" s="501">
        <f>SUMIF('Final Calculation Sheet'!$G$4:$G$1000,$A15,'Final Calculation Sheet'!$W$4:$W$1000)-SUMIF('Final Calculation Sheet'!$G$4:$G$1000,$A15,'Final Calculation Sheet'!$X$4:$X$1000)</f>
        <v/>
      </c>
      <c r="AA15" s="501">
        <f>SUMIF('Final Calculation Sheet'!$G$4:$G$1000,$A15,'Final Calculation Sheet'!$Z$4:$Z$1000)</f>
        <v/>
      </c>
      <c r="AB15" s="501">
        <f>SUMIF('Final Calculation Sheet'!$G$4:$G$1000,$A15,'Final Calculation Sheet'!$AA$4:$AA$1000)</f>
        <v/>
      </c>
      <c r="AC15" s="493">
        <f>COUNTIF('Final Calculation Sheet'!$G$4:$G$1000,$A15)-COUNTIFS('Final Calculation Sheet'!$G$4:$G$1000,$A15,'Final Calculation Sheet'!$AE$4:$AE$1000,"")</f>
        <v/>
      </c>
      <c r="AD15" s="493">
        <f>COUNTIF('Final Calculation Sheet'!$G$4:$G$1000,$A15)-COUNTIFS('Final Calculation Sheet'!$G$4:$G$1000,$A15,'Final Calculation Sheet'!$AF$4:$AF$1000,"")</f>
        <v/>
      </c>
      <c r="AE15" s="529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610" t="inlineStr">
        <is>
          <t>STERLING ENTERPRISES</t>
        </is>
      </c>
      <c r="B16" s="494">
        <f>COUNTIF('Final Calculation Sheet'!$G$4:$G$1000,$A16)</f>
        <v/>
      </c>
      <c r="C16" s="181">
        <f>SUMIF('Final Calculation Sheet'!$G$4:$G$1000,$A16,'Final Calculation Sheet'!$H$4:$H$1000)</f>
        <v/>
      </c>
      <c r="D16" s="181">
        <f>SUMIF('Final Calculation Sheet'!$G$4:$G$1000,$A16,'Final Calculation Sheet'!$AC$4:$AC$1000)</f>
        <v/>
      </c>
      <c r="E16" s="181">
        <f>SUMIF('Final Calculation Sheet'!$G$4:$G$1000,$A16,'Final Calculation Sheet'!$AD$4:$AD$1000)</f>
        <v/>
      </c>
      <c r="F16" s="187">
        <f>IF(SUMIF('Final Calculation Sheet'!$G$4:$G$1000,$A16,'Final Calculation Sheet'!$AD$4:$AD$1000)&lt;=0,"SETTLED","OUTSTANDING")</f>
        <v/>
      </c>
      <c r="G16" s="183">
        <f>SUMIF('Final Calculation Sheet'!$G$4:$G$1000,$A16,'Final Calculation Sheet'!$A$4:$A$1000)</f>
        <v/>
      </c>
      <c r="H16" s="181">
        <f>IFERROR(SUMIF('Final Calculation Sheet'!$G$4:$G$1000,$A16,'Final Calculation Sheet'!$H$4:$H$1000)/SUMIF('Final Calculation Sheet'!$G$4:$G$1000,$A16,'Final Calculation Sheet'!$A$4:$A$1000),"")</f>
        <v/>
      </c>
      <c r="I16" s="494">
        <f>COUNTIFS('Final Calculation Sheet'!$G$4:$G$1000,$A16,'Final Calculation Sheet'!$AE$4:$AE$1000,"")</f>
        <v/>
      </c>
      <c r="J16" s="181">
        <f>SUMIF('Final Calculation Sheet'!$G$4:$G$1000,$A16,'Final Calculation Sheet'!$I$4:$I$1000)</f>
        <v/>
      </c>
      <c r="K16" s="181">
        <f>SUMIF('Final Calculation Sheet'!$G$4:$G$1000,$A16,'Final Calculation Sheet'!$J$4:$J$1000)</f>
        <v/>
      </c>
      <c r="L16" s="181">
        <f>SUMIF('Final Calculation Sheet'!$G$4:$G$1000,$A16,'Final Calculation Sheet'!$K$4:$K$1000)</f>
        <v/>
      </c>
      <c r="M16" s="185">
        <f>SUMIF('Final Calculation Sheet'!$G$4:$G$1000,$A16,'Final Calculation Sheet'!$L$4:$L$1000)</f>
        <v/>
      </c>
      <c r="N16" s="185">
        <f>SUMIF('Final Calculation Sheet'!$G$4:$G$1000,$A16,'Final Calculation Sheet'!$M$4:$M$1000)</f>
        <v/>
      </c>
      <c r="O16" s="185">
        <f>SUMIF('Final Calculation Sheet'!$G$4:$G$1000,$A16,'Final Calculation Sheet'!$N$4:$N$1000)</f>
        <v/>
      </c>
      <c r="P16" s="185">
        <f>SUMIF('Final Calculation Sheet'!$G$4:$G$1000,$A16,'Final Calculation Sheet'!$O$4:$O$1000)</f>
        <v/>
      </c>
      <c r="Q16" s="181">
        <f>SUMIF('Final Calculation Sheet'!$G$4:$G$1000,$A16,'Final Calculation Sheet'!$P$4:$P$1000)</f>
        <v/>
      </c>
      <c r="R16" s="181">
        <f>SUMIF('Final Calculation Sheet'!$G$4:$G$1000,$A16,'Final Calculation Sheet'!$R$4:$R$1000)</f>
        <v/>
      </c>
      <c r="S16" s="520">
        <f>IFERROR(SUMIF('Final Calculation Sheet'!$G$4:$G$1000,$A16,'Final Calculation Sheet'!$R$4:$R$1000)/SUMIF('Final Calculation Sheet'!$G$4:$G$1000,$A16,'Final Calculation Sheet'!$H$4:$H$1000),"")</f>
        <v/>
      </c>
      <c r="T16" s="181">
        <f>SUMIF('Final Calculation Sheet'!$G$4:$G$1000,$A16,'Final Calculation Sheet'!$S$4:$S$1000)</f>
        <v/>
      </c>
      <c r="U16" s="181">
        <f>SUMIF('Final Calculation Sheet'!$G$4:$G$1000,$A16,'Final Calculation Sheet'!$T$4:$T$1000)</f>
        <v/>
      </c>
      <c r="V16" s="181">
        <f>SUMIF('Final Calculation Sheet'!$G$4:$G$1000,$A16,'Final Calculation Sheet'!$U$4:$U$1000)</f>
        <v/>
      </c>
      <c r="W16" s="181">
        <f>SUMIF('Final Calculation Sheet'!$G$4:$G$1000,$A16,'Final Calculation Sheet'!$T$4:$T$1000)-SUMIF('Final Calculation Sheet'!$G$4:$G$1000,$A16,'Final Calculation Sheet'!$U$4:$U$1000)</f>
        <v/>
      </c>
      <c r="X16" s="181">
        <f>SUMIF('Final Calculation Sheet'!$G$4:$G$1000,$A16,'Final Calculation Sheet'!$W$4:$W$1000)</f>
        <v/>
      </c>
      <c r="Y16" s="181">
        <f>SUMIF('Final Calculation Sheet'!$G$4:$G$1000,$A16,'Final Calculation Sheet'!$X$4:$X$1000)</f>
        <v/>
      </c>
      <c r="Z16" s="181">
        <f>SUMIF('Final Calculation Sheet'!$G$4:$G$1000,$A16,'Final Calculation Sheet'!$W$4:$W$1000)-SUMIF('Final Calculation Sheet'!$G$4:$G$1000,$A16,'Final Calculation Sheet'!$X$4:$X$1000)</f>
        <v/>
      </c>
      <c r="AA16" s="181">
        <f>SUMIF('Final Calculation Sheet'!$G$4:$G$1000,$A16,'Final Calculation Sheet'!$Z$4:$Z$1000)</f>
        <v/>
      </c>
      <c r="AB16" s="181">
        <f>SUMIF('Final Calculation Sheet'!$G$4:$G$1000,$A16,'Final Calculation Sheet'!$AA$4:$AA$1000)</f>
        <v/>
      </c>
      <c r="AC16" s="494">
        <f>COUNTIF('Final Calculation Sheet'!$G$4:$G$1000,$A16)-COUNTIFS('Final Calculation Sheet'!$G$4:$G$1000,$A16,'Final Calculation Sheet'!$AE$4:$AE$1000,"")</f>
        <v/>
      </c>
      <c r="AD16" s="494">
        <f>COUNTIF('Final Calculation Sheet'!$G$4:$G$1000,$A16)-COUNTIFS('Final Calculation Sheet'!$G$4:$G$1000,$A16,'Final Calculation Sheet'!$AF$4:$AF$1000,"")</f>
        <v/>
      </c>
      <c r="AE16" s="530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611" t="inlineStr">
        <is>
          <t>WATAN SCRAP TRADERS</t>
        </is>
      </c>
      <c r="B17" s="495">
        <f>COUNTIF('Final Calculation Sheet'!$G$4:$G$1000,$A17)</f>
        <v/>
      </c>
      <c r="C17" s="502">
        <f>SUMIF('Final Calculation Sheet'!$G$4:$G$1000,$A17,'Final Calculation Sheet'!$H$4:$H$1000)</f>
        <v/>
      </c>
      <c r="D17" s="502">
        <f>SUMIF('Final Calculation Sheet'!$G$4:$G$1000,$A17,'Final Calculation Sheet'!$AC$4:$AC$1000)</f>
        <v/>
      </c>
      <c r="E17" s="502">
        <f>SUMIF('Final Calculation Sheet'!$G$4:$G$1000,$A17,'Final Calculation Sheet'!$AD$4:$AD$1000)</f>
        <v/>
      </c>
      <c r="F17" s="506">
        <f>IF(SUMIF('Final Calculation Sheet'!$G$4:$G$1000,$A17,'Final Calculation Sheet'!$AD$4:$AD$1000)&lt;=0,"SETTLED","OUTSTANDING")</f>
        <v/>
      </c>
      <c r="G17" s="511">
        <f>SUMIF('Final Calculation Sheet'!$G$4:$G$1000,$A17,'Final Calculation Sheet'!$A$4:$A$1000)</f>
        <v/>
      </c>
      <c r="H17" s="502">
        <f>IFERROR(SUMIF('Final Calculation Sheet'!$G$4:$G$1000,$A17,'Final Calculation Sheet'!$H$4:$H$1000)/SUMIF('Final Calculation Sheet'!$G$4:$G$1000,$A17,'Final Calculation Sheet'!$A$4:$A$1000),"")</f>
        <v/>
      </c>
      <c r="I17" s="495">
        <f>COUNTIFS('Final Calculation Sheet'!$G$4:$G$1000,$A17,'Final Calculation Sheet'!$AE$4:$AE$1000,"")</f>
        <v/>
      </c>
      <c r="J17" s="502">
        <f>SUMIF('Final Calculation Sheet'!$G$4:$G$1000,$A17,'Final Calculation Sheet'!$I$4:$I$1000)</f>
        <v/>
      </c>
      <c r="K17" s="502">
        <f>SUMIF('Final Calculation Sheet'!$G$4:$G$1000,$A17,'Final Calculation Sheet'!$J$4:$J$1000)</f>
        <v/>
      </c>
      <c r="L17" s="502">
        <f>SUMIF('Final Calculation Sheet'!$G$4:$G$1000,$A17,'Final Calculation Sheet'!$K$4:$K$1000)</f>
        <v/>
      </c>
      <c r="M17" s="515">
        <f>SUMIF('Final Calculation Sheet'!$G$4:$G$1000,$A17,'Final Calculation Sheet'!$L$4:$L$1000)</f>
        <v/>
      </c>
      <c r="N17" s="515">
        <f>SUMIF('Final Calculation Sheet'!$G$4:$G$1000,$A17,'Final Calculation Sheet'!$M$4:$M$1000)</f>
        <v/>
      </c>
      <c r="O17" s="515">
        <f>SUMIF('Final Calculation Sheet'!$G$4:$G$1000,$A17,'Final Calculation Sheet'!$N$4:$N$1000)</f>
        <v/>
      </c>
      <c r="P17" s="515">
        <f>SUMIF('Final Calculation Sheet'!$G$4:$G$1000,$A17,'Final Calculation Sheet'!$O$4:$O$1000)</f>
        <v/>
      </c>
      <c r="Q17" s="502">
        <f>SUMIF('Final Calculation Sheet'!$G$4:$G$1000,$A17,'Final Calculation Sheet'!$P$4:$P$1000)</f>
        <v/>
      </c>
      <c r="R17" s="502">
        <f>SUMIF('Final Calculation Sheet'!$G$4:$G$1000,$A17,'Final Calculation Sheet'!$R$4:$R$1000)</f>
        <v/>
      </c>
      <c r="S17" s="521">
        <f>IFERROR(SUMIF('Final Calculation Sheet'!$G$4:$G$1000,$A17,'Final Calculation Sheet'!$R$4:$R$1000)/SUMIF('Final Calculation Sheet'!$G$4:$G$1000,$A17,'Final Calculation Sheet'!$H$4:$H$1000),"")</f>
        <v/>
      </c>
      <c r="T17" s="502">
        <f>SUMIF('Final Calculation Sheet'!$G$4:$G$1000,$A17,'Final Calculation Sheet'!$S$4:$S$1000)</f>
        <v/>
      </c>
      <c r="U17" s="502">
        <f>SUMIF('Final Calculation Sheet'!$G$4:$G$1000,$A17,'Final Calculation Sheet'!$T$4:$T$1000)</f>
        <v/>
      </c>
      <c r="V17" s="502">
        <f>SUMIF('Final Calculation Sheet'!$G$4:$G$1000,$A17,'Final Calculation Sheet'!$U$4:$U$1000)</f>
        <v/>
      </c>
      <c r="W17" s="502">
        <f>SUMIF('Final Calculation Sheet'!$G$4:$G$1000,$A17,'Final Calculation Sheet'!$T$4:$T$1000)-SUMIF('Final Calculation Sheet'!$G$4:$G$1000,$A17,'Final Calculation Sheet'!$U$4:$U$1000)</f>
        <v/>
      </c>
      <c r="X17" s="502">
        <f>SUMIF('Final Calculation Sheet'!$G$4:$G$1000,$A17,'Final Calculation Sheet'!$W$4:$W$1000)</f>
        <v/>
      </c>
      <c r="Y17" s="502">
        <f>SUMIF('Final Calculation Sheet'!$G$4:$G$1000,$A17,'Final Calculation Sheet'!$X$4:$X$1000)</f>
        <v/>
      </c>
      <c r="Z17" s="502">
        <f>SUMIF('Final Calculation Sheet'!$G$4:$G$1000,$A17,'Final Calculation Sheet'!$W$4:$W$1000)-SUMIF('Final Calculation Sheet'!$G$4:$G$1000,$A17,'Final Calculation Sheet'!$X$4:$X$1000)</f>
        <v/>
      </c>
      <c r="AA17" s="502">
        <f>SUMIF('Final Calculation Sheet'!$G$4:$G$1000,$A17,'Final Calculation Sheet'!$Z$4:$Z$1000)</f>
        <v/>
      </c>
      <c r="AB17" s="502">
        <f>SUMIF('Final Calculation Sheet'!$G$4:$G$1000,$A17,'Final Calculation Sheet'!$AA$4:$AA$1000)</f>
        <v/>
      </c>
      <c r="AC17" s="495">
        <f>COUNTIF('Final Calculation Sheet'!$G$4:$G$1000,$A17)-COUNTIFS('Final Calculation Sheet'!$G$4:$G$1000,$A17,'Final Calculation Sheet'!$AE$4:$AE$1000,"")</f>
        <v/>
      </c>
      <c r="AD17" s="495">
        <f>COUNTIF('Final Calculation Sheet'!$G$4:$G$1000,$A17)-COUNTIFS('Final Calculation Sheet'!$G$4:$G$1000,$A17,'Final Calculation Sheet'!$AF$4:$AF$1000,"")</f>
        <v/>
      </c>
      <c r="AE17" s="531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615" t="inlineStr">
        <is>
          <t>∑  TOTAL — visible buyers</t>
        </is>
      </c>
      <c r="B18" s="616">
        <f>SUBTOTAL(109,B5:B17)</f>
        <v/>
      </c>
      <c r="C18" s="227">
        <f>SUBTOTAL(109,C5:C17)</f>
        <v/>
      </c>
      <c r="D18" s="227">
        <f>SUBTOTAL(109,D5:D17)</f>
        <v/>
      </c>
      <c r="E18" s="227">
        <f>SUBTOTAL(109,E5:E17)</f>
        <v/>
      </c>
      <c r="F18" s="617">
        <f>IF(E18&lt;=0,"SETTLED","OUTSTANDING")</f>
        <v/>
      </c>
      <c r="G18" s="618">
        <f>SUBTOTAL(109,G5:G17)</f>
        <v/>
      </c>
      <c r="H18" s="227">
        <f>IFERROR(C18/G18,"")</f>
        <v/>
      </c>
      <c r="I18" s="616">
        <f>SUBTOTAL(109,I5:I17)</f>
        <v/>
      </c>
      <c r="J18" s="227">
        <f>SUBTOTAL(109,J5:J17)</f>
        <v/>
      </c>
      <c r="K18" s="227">
        <f>SUBTOTAL(109,K5:K17)</f>
        <v/>
      </c>
      <c r="L18" s="227">
        <f>SUBTOTAL(109,L5:L17)</f>
        <v/>
      </c>
      <c r="M18" s="619">
        <f>SUBTOTAL(109,M5:M17)</f>
        <v/>
      </c>
      <c r="N18" s="619">
        <f>SUBTOTAL(109,N5:N17)</f>
        <v/>
      </c>
      <c r="O18" s="619">
        <f>SUBTOTAL(109,O5:O17)</f>
        <v/>
      </c>
      <c r="P18" s="619">
        <f>SUBTOTAL(109,P5:P17)</f>
        <v/>
      </c>
      <c r="Q18" s="227">
        <f>SUBTOTAL(109,Q5:Q17)</f>
        <v/>
      </c>
      <c r="R18" s="227">
        <f>SUBTOTAL(109,R5:R17)</f>
        <v/>
      </c>
      <c r="S18" s="620">
        <f>IFERROR(R18/C18,"")</f>
        <v/>
      </c>
      <c r="T18" s="227">
        <f>SUBTOTAL(109,T5:T17)</f>
        <v/>
      </c>
      <c r="U18" s="227">
        <f>SUBTOTAL(109,U5:U17)</f>
        <v/>
      </c>
      <c r="V18" s="227">
        <f>SUBTOTAL(109,V5:V17)</f>
        <v/>
      </c>
      <c r="W18" s="227">
        <f>U18-V18</f>
        <v/>
      </c>
      <c r="X18" s="227">
        <f>SUBTOTAL(109,X5:X17)</f>
        <v/>
      </c>
      <c r="Y18" s="227">
        <f>SUBTOTAL(109,Y5:Y17)</f>
        <v/>
      </c>
      <c r="Z18" s="227">
        <f>X18-Y18</f>
        <v/>
      </c>
      <c r="AA18" s="227">
        <f>SUBTOTAL(109,AA5:AA17)</f>
        <v/>
      </c>
      <c r="AB18" s="227">
        <f>SUBTOTAL(109,AB5:AB17)</f>
        <v/>
      </c>
      <c r="AC18" s="616">
        <f>SUBTOTAL(109,AC5:AC17)</f>
        <v/>
      </c>
      <c r="AD18" s="616">
        <f>SUBTOTAL(109,AD5:AD17)</f>
        <v/>
      </c>
      <c r="AE18" s="621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1">
      <formula>0</formula>
    </cfRule>
    <cfRule type="cellIs" priority="2" operator="lessThanOrEqual" dxfId="4">
      <formula>0</formula>
    </cfRule>
  </conditionalFormatting>
  <conditionalFormatting sqref="F5:F18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2026-09-07T18:32:50Z</dcterms:modified>
  <cp:lastModifiedBy>Piyush Prakash Dhabekar</cp:lastModifiedBy>
  <cp:revision>0</cp:revision>
</cp:coreProperties>
</file>