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6" autoFilterDateGrouping="1"/>
  </bookViews>
  <sheets>
    <sheet name="Final Calculation Sheet" sheetId="1" state="visible" r:id="rId1"/>
    <sheet name="Final Calc (Transposed)" sheetId="2" state="visible" r:id="rId2"/>
    <sheet name="Transposed + Field Filter" sheetId="3" state="visible" r:id="rId3"/>
    <sheet name="Transposed + Lot Folds" sheetId="4" state="visible" r:id="rId4"/>
    <sheet name="Transposed + Both Filters" sheetId="5" state="visible" r:id="rId5"/>
    <sheet name="Transposed - Pick a Buyer" sheetId="6" state="visible" r:id="rId6"/>
    <sheet name="Transposed - Filter Values" sheetId="7" state="visible" r:id="rId7"/>
    <sheet name="Buyer Pivot" sheetId="8" state="visible" r:id="rId8"/>
    <sheet name="Buyer Rows (Filter)" sheetId="9" state="visible" r:id="rId9"/>
    <sheet name="Lot-wise Vertical" sheetId="10" state="visible" r:id="rId10"/>
    <sheet name="Collapsible - Lots Across" sheetId="11" state="visible" r:id="rId11"/>
    <sheet name="Collapsible + Field Filter" sheetId="12" state="visible" r:id="rId12"/>
    <sheet name="Collapsible - Lots Down" sheetId="13" state="visible" r:id="rId13"/>
    <sheet name="Ledger Filter - Lots Down" sheetId="14" state="visible" r:id="rId14"/>
    <sheet name="Ledger Filter - Lots Across" sheetId="15" state="visible" r:id="rId15"/>
  </sheets>
  <definedNames>
    <definedName name="_xlnm._FilterDatabase" localSheetId="0" hidden="1">'Final Calculation Sheet'!$A$3:$AG$43</definedName>
    <definedName name="_xlnm._FilterDatabase" localSheetId="1" hidden="1">'Final Calc (Transposed)'!$A$3:$A$36</definedName>
    <definedName name="_xlnm.Print_Titles" localSheetId="1">'Final Calc (Transposed)'!$A:$A</definedName>
    <definedName name="_xlnm._FilterDatabase" localSheetId="2" hidden="1">'Transposed + Field Filter'!$A$3:$A$36</definedName>
    <definedName name="_xlnm.Print_Titles" localSheetId="2">'Transposed + Field Filter'!$A:$A</definedName>
    <definedName name="_xlnm.Print_Titles" localSheetId="3">'Transposed + Lot Folds'!$A:$A</definedName>
    <definedName name="_xlnm._FilterDatabase" localSheetId="4" hidden="1">'Transposed + Both Filters'!$A$5:$A$38</definedName>
    <definedName name="_xlnm.Print_Titles" localSheetId="4">'Transposed + Both Filters'!$A:$A</definedName>
    <definedName name="_xlnm._FilterDatabase" localSheetId="5" hidden="1">'Transposed - Pick a Buyer'!$A$4:$A$37</definedName>
    <definedName name="_xlnm.Print_Titles" localSheetId="5">'Transposed - Pick a Buyer'!$A:$A</definedName>
    <definedName name="_xlnm._FilterDatabase" localSheetId="6" hidden="1">'Transposed - Filter Values'!$A$4:$A$37</definedName>
    <definedName name="_xlnm.Print_Titles" localSheetId="6">'Transposed - Filter Values'!$A:$A</definedName>
    <definedName name="_xlnm._FilterDatabase" localSheetId="7" hidden="1">'Buyer Pivot'!$A$3:$O$41</definedName>
    <definedName name="_xlnm.Print_Titles" localSheetId="7">'Buyer Pivot'!$A:$A</definedName>
    <definedName name="_xlnm._FilterDatabase" localSheetId="8" hidden="1">'Buyer Rows (Filter)'!$A$4:$AE$17</definedName>
    <definedName name="_xlnm.Print_Titles" localSheetId="8">'Buyer Rows (Filter)'!$A:$A</definedName>
    <definedName name="_xlnm._FilterDatabase" localSheetId="11" hidden="1">'Collapsible + Field Filter'!$A$5:$A$563</definedName>
    <definedName name="_xlnm.Print_Titles" localSheetId="12">'Collapsible - Lots Down'!$4:$4</definedName>
    <definedName name="_xlnm._FilterDatabase" localSheetId="13" hidden="1">'Ledger Filter - Lots Down'!$A$5:$AI$55</definedName>
    <definedName name="_xlnm.Print_Titles" localSheetId="13">'Ledger Filter - Lots Down'!$5:$5</definedName>
    <definedName name="_xlnm._FilterDatabase" localSheetId="14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2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</fonts>
  <fills count="39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2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</cellXfs>
  <cellStyles count="1">
    <cellStyle name="Normal" xfId="0" builtinId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1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622" t="inlineStr">
        <is>
          <t>FILTER  ▸</t>
        </is>
      </c>
      <c r="B3" s="623" t="inlineStr">
        <is>
          <t>ALL BUYERS</t>
        </is>
      </c>
      <c r="C3" s="624" t="inlineStr">
        <is>
          <t>2  ▸  ROW (field)</t>
        </is>
      </c>
      <c r="D3" s="623" t="inlineStr">
        <is>
          <t>— no row filter —</t>
        </is>
      </c>
      <c r="E3" s="624" t="inlineStr">
        <is>
          <t>3  ▸  TEST</t>
        </is>
      </c>
      <c r="F3" s="623" t="inlineStr">
        <is>
          <t>=</t>
        </is>
      </c>
      <c r="G3" s="624" t="inlineStr">
        <is>
          <t>4  ▸  VALUE</t>
        </is>
      </c>
      <c r="H3" s="623" t="n">
        <v>0</v>
      </c>
      <c r="I3" s="600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424" t="inlineStr">
        <is>
          <t>FIELD (row 3 of the source)  ▸  |  MATCHING LOT →</t>
        </is>
      </c>
      <c r="B4" s="625">
        <f>IFERROR(INDEX('Final Calculation Sheet'!$F$4:$F$40,$BA4-3),"")</f>
        <v/>
      </c>
      <c r="C4" s="625">
        <f>IFERROR(INDEX('Final Calculation Sheet'!$F$4:$F$40,$BA5-3),"")</f>
        <v/>
      </c>
      <c r="D4" s="625">
        <f>IFERROR(INDEX('Final Calculation Sheet'!$F$4:$F$40,$BA6-3),"")</f>
        <v/>
      </c>
      <c r="E4" s="625">
        <f>IFERROR(INDEX('Final Calculation Sheet'!$F$4:$F$40,$BA7-3),"")</f>
        <v/>
      </c>
      <c r="F4" s="625">
        <f>IFERROR(INDEX('Final Calculation Sheet'!$F$4:$F$40,$BA8-3),"")</f>
        <v/>
      </c>
      <c r="G4" s="625">
        <f>IFERROR(INDEX('Final Calculation Sheet'!$F$4:$F$40,$BA9-3),"")</f>
        <v/>
      </c>
      <c r="H4" s="625">
        <f>IFERROR(INDEX('Final Calculation Sheet'!$F$4:$F$40,$BA10-3),"")</f>
        <v/>
      </c>
      <c r="I4" s="625">
        <f>IFERROR(INDEX('Final Calculation Sheet'!$F$4:$F$40,$BA11-3),"")</f>
        <v/>
      </c>
      <c r="J4" s="625">
        <f>IFERROR(INDEX('Final Calculation Sheet'!$F$4:$F$40,$BA12-3),"")</f>
        <v/>
      </c>
      <c r="K4" s="625">
        <f>IFERROR(INDEX('Final Calculation Sheet'!$F$4:$F$40,$BA13-3),"")</f>
        <v/>
      </c>
      <c r="L4" s="625">
        <f>IFERROR(INDEX('Final Calculation Sheet'!$F$4:$F$40,$BA14-3),"")</f>
        <v/>
      </c>
      <c r="M4" s="625">
        <f>IFERROR(INDEX('Final Calculation Sheet'!$F$4:$F$40,$BA15-3),"")</f>
        <v/>
      </c>
      <c r="N4" s="625">
        <f>IFERROR(INDEX('Final Calculation Sheet'!$F$4:$F$40,$BA16-3),"")</f>
        <v/>
      </c>
      <c r="O4" s="625">
        <f>IFERROR(INDEX('Final Calculation Sheet'!$F$4:$F$40,$BA17-3),"")</f>
        <v/>
      </c>
      <c r="P4" s="625">
        <f>IFERROR(INDEX('Final Calculation Sheet'!$F$4:$F$40,$BA18-3),"")</f>
        <v/>
      </c>
      <c r="Q4" s="625">
        <f>IFERROR(INDEX('Final Calculation Sheet'!$F$4:$F$40,$BA19-3),"")</f>
        <v/>
      </c>
      <c r="R4" s="625">
        <f>IFERROR(INDEX('Final Calculation Sheet'!$F$4:$F$40,$BA20-3),"")</f>
        <v/>
      </c>
      <c r="S4" s="625">
        <f>IFERROR(INDEX('Final Calculation Sheet'!$F$4:$F$40,$BA21-3),"")</f>
        <v/>
      </c>
      <c r="T4" s="625">
        <f>IFERROR(INDEX('Final Calculation Sheet'!$F$4:$F$40,$BA22-3),"")</f>
        <v/>
      </c>
      <c r="U4" s="625">
        <f>IFERROR(INDEX('Final Calculation Sheet'!$F$4:$F$40,$BA23-3),"")</f>
        <v/>
      </c>
      <c r="V4" s="625">
        <f>IFERROR(INDEX('Final Calculation Sheet'!$F$4:$F$40,$BA24-3),"")</f>
        <v/>
      </c>
      <c r="W4" s="625">
        <f>IFERROR(INDEX('Final Calculation Sheet'!$F$4:$F$40,$BA25-3),"")</f>
        <v/>
      </c>
      <c r="X4" s="625">
        <f>IFERROR(INDEX('Final Calculation Sheet'!$F$4:$F$40,$BA26-3),"")</f>
        <v/>
      </c>
      <c r="Y4" s="625">
        <f>IFERROR(INDEX('Final Calculation Sheet'!$F$4:$F$40,$BA27-3),"")</f>
        <v/>
      </c>
      <c r="Z4" s="625">
        <f>IFERROR(INDEX('Final Calculation Sheet'!$F$4:$F$40,$BA28-3),"")</f>
        <v/>
      </c>
      <c r="AA4" s="625">
        <f>IFERROR(INDEX('Final Calculation Sheet'!$F$4:$F$40,$BA29-3),"")</f>
        <v/>
      </c>
      <c r="AB4" s="625">
        <f>IFERROR(INDEX('Final Calculation Sheet'!$F$4:$F$40,$BA30-3),"")</f>
        <v/>
      </c>
      <c r="AC4" s="625">
        <f>IFERROR(INDEX('Final Calculation Sheet'!$F$4:$F$40,$BA31-3),"")</f>
        <v/>
      </c>
      <c r="AD4" s="625">
        <f>IFERROR(INDEX('Final Calculation Sheet'!$F$4:$F$40,$BA32-3),"")</f>
        <v/>
      </c>
      <c r="AE4" s="625">
        <f>IFERROR(INDEX('Final Calculation Sheet'!$F$4:$F$40,$BA33-3),"")</f>
        <v/>
      </c>
      <c r="AF4" s="625">
        <f>IFERROR(INDEX('Final Calculation Sheet'!$F$4:$F$40,$BA34-3),"")</f>
        <v/>
      </c>
      <c r="AG4" s="625">
        <f>IFERROR(INDEX('Final Calculation Sheet'!$F$4:$F$40,$BA35-3),"")</f>
        <v/>
      </c>
      <c r="AH4" s="625">
        <f>IFERROR(INDEX('Final Calculation Sheet'!$F$4:$F$40,$BA36-3),"")</f>
        <v/>
      </c>
      <c r="AI4" s="625">
        <f>IFERROR(INDEX('Final Calculation Sheet'!$F$4:$F$40,$BA37-3),"")</f>
        <v/>
      </c>
      <c r="AJ4" s="625">
        <f>IFERROR(INDEX('Final Calculation Sheet'!$F$4:$F$40,$BA38-3),"")</f>
        <v/>
      </c>
      <c r="AK4" s="625">
        <f>IFERROR(INDEX('Final Calculation Sheet'!$F$4:$F$40,$BA39-3),"")</f>
        <v/>
      </c>
      <c r="AL4" s="625">
        <f>IFERROR(INDEX('Final Calculation Sheet'!$F$4:$F$40,$BA40-3),"")</f>
        <v/>
      </c>
      <c r="AM4" s="490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540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541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541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541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541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541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541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541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541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541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541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541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541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541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541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541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541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541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541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54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543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541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541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541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541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541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541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541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541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541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541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541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541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541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541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541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541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541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541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54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540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545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545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545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545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545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545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545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545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545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545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545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545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545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545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545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545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545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545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605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543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541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541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541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541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541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541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541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541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541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541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541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541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541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541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541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541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541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541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54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540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541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541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541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541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541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541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541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541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541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541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541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541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541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541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541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541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541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541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54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543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541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541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541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541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541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541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541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541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541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541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541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541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541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541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541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541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541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541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54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540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541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541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541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541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541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541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541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541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541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541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541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541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541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541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541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541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541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541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54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543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545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545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545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545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545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545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545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545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545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545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545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545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545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545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545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545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545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545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54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540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545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545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545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545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545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545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545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545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545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545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545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545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545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545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545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545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545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545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54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543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545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545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545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545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545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545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545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545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545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545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545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545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545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545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545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545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545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545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54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540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545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545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545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545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545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545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545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545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545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545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545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545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545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545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545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545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545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545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54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543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545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545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545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545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545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545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545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545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545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545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545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545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545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545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545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545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545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545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54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540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545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545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545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545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545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545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545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545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545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545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545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545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545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545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545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545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545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545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54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548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548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548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548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548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548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548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548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548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548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548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548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548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548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548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548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548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548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414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545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545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545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545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545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545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545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545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545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545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545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545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545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545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545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545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545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545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54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545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545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545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545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545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545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545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545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545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545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545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545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545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545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545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545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545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545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54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550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550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550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550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550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550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550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550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550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550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550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550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550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550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550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550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550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550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605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545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545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545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545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545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545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545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545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545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545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545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545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545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545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545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545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545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545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54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545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545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545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545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545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545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545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545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545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545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545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545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545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545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545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545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545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545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54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545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545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545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545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545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545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545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545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545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545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545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545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545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545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545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545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545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545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54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553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553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553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553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553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553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553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553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553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553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553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553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553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553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553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553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553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553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554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545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545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545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545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545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545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545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545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545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545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545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545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545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545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545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545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545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545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605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545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545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545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545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545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545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545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545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545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545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545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545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545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545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545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545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545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545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54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545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545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545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545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545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545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545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545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545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545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545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545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545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545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545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545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545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545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54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545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545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545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545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545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545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545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545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545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545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545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545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545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545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545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545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545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545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605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545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545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545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545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545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545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545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545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545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545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545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545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545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545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545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545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545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545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54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545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545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545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545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545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545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545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545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545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545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545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545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545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545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545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545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545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545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54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545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545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545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545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545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545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545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545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545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545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545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545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545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545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545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545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545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545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605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545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545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545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545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545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545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545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545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545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545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545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545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545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545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545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545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545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545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54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545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545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545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545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545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545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545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545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545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545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545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545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545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545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545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545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545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545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54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545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545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545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545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545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545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545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545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545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545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545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545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545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545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545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545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545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545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605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556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556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556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556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556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556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556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556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556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556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556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556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556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556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556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556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556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556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605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545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545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545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545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545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545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545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545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545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545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545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545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545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545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545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545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545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545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605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1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2026-09-07T05:48:48Z</dcterms:modified>
  <cp:lastModifiedBy>Piyush Prakash Dhabekar</cp:lastModifiedBy>
  <cp:revision>0</cp:revision>
</cp:coreProperties>
</file>